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ic\Documents\"/>
    </mc:Choice>
  </mc:AlternateContent>
  <xr:revisionPtr revIDLastSave="0" documentId="13_ncr:1_{4517ECE2-A33E-42EE-AD74-D749921FF89B}" xr6:coauthVersionLast="47" xr6:coauthVersionMax="47" xr10:uidLastSave="{00000000-0000-0000-0000-000000000000}"/>
  <bookViews>
    <workbookView xWindow="-120" yWindow="-120" windowWidth="20730" windowHeight="11160" firstSheet="2" activeTab="3" xr2:uid="{C116C665-3A63-4F9A-8447-4A03E230427B}"/>
  </bookViews>
  <sheets>
    <sheet name="26_03_2026_Registre_Maintenance" sheetId="4" r:id="rId1"/>
    <sheet name="26_03_2026_Log_Reseau_v1" sheetId="3" r:id="rId2"/>
    <sheet name="Fichier master (Log+Mai+Client)" sheetId="6" r:id="rId3"/>
    <sheet name="Tableau Croisé Dynamique" sheetId="8" r:id="rId4"/>
    <sheet name="Matrice de retention" sheetId="7" r:id="rId5"/>
    <sheet name="Logs reseau et registre mainten" sheetId="5" r:id="rId6"/>
    <sheet name="26_03_2026_Client_Churn_v1" sheetId="2" r:id="rId7"/>
    <sheet name="Sheet1" sheetId="1" r:id="rId8"/>
  </sheets>
  <definedNames>
    <definedName name="ExternalData_1" localSheetId="6" hidden="1">'26_03_2026_Client_Churn_v1'!$A$1:$H$749</definedName>
    <definedName name="ExternalData_2" localSheetId="1" hidden="1">'26_03_2026_Log_Reseau_v1'!$A$1:$E$1075</definedName>
    <definedName name="ExternalData_2" localSheetId="5" hidden="1">'Logs reseau et registre mainten'!$A$1:$E$1075</definedName>
    <definedName name="ExternalData_3" localSheetId="0" hidden="1">'26_03_2026_Registre_Maintenance'!$A$1:$F$499</definedName>
    <definedName name="ExternalData_3" localSheetId="2" hidden="1">'Fichier master (Log+Mai+Client)'!$A$1:$P$548</definedName>
    <definedName name="ExternalData_3" localSheetId="4" hidden="1">'Matrice de retention'!$A$1:$P$548</definedName>
  </definedNames>
  <calcPr calcId="191029"/>
  <pivotCaches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7" l="1"/>
  <c r="V2" i="7" s="1"/>
  <c r="W2" i="7" s="1"/>
  <c r="U3" i="7"/>
  <c r="V3" i="7" s="1"/>
  <c r="W3" i="7" s="1"/>
  <c r="U5" i="7"/>
  <c r="V5" i="7" s="1"/>
  <c r="W5" i="7" s="1"/>
  <c r="U6" i="7"/>
  <c r="V6" i="7" s="1"/>
  <c r="W6" i="7" s="1"/>
  <c r="U12" i="7"/>
  <c r="V12" i="7" s="1"/>
  <c r="W12" i="7" s="1"/>
  <c r="U13" i="7"/>
  <c r="V13" i="7" s="1"/>
  <c r="W13" i="7" s="1"/>
  <c r="U20" i="7"/>
  <c r="V20" i="7" s="1"/>
  <c r="W20" i="7" s="1"/>
  <c r="U22" i="7"/>
  <c r="V22" i="7" s="1"/>
  <c r="W22" i="7" s="1"/>
  <c r="U29" i="7"/>
  <c r="V29" i="7" s="1"/>
  <c r="W29" i="7" s="1"/>
  <c r="U32" i="7"/>
  <c r="V32" i="7" s="1"/>
  <c r="W32" i="7" s="1"/>
  <c r="U35" i="7"/>
  <c r="V35" i="7" s="1"/>
  <c r="W35" i="7" s="1"/>
  <c r="U36" i="7"/>
  <c r="V36" i="7" s="1"/>
  <c r="W36" i="7" s="1"/>
  <c r="U38" i="7"/>
  <c r="V38" i="7" s="1"/>
  <c r="W38" i="7" s="1"/>
  <c r="U40" i="7"/>
  <c r="V40" i="7" s="1"/>
  <c r="W40" i="7" s="1"/>
  <c r="U44" i="7"/>
  <c r="V44" i="7" s="1"/>
  <c r="W44" i="7" s="1"/>
  <c r="U45" i="7"/>
  <c r="V45" i="7" s="1"/>
  <c r="W45" i="7" s="1"/>
  <c r="U48" i="7"/>
  <c r="V48" i="7" s="1"/>
  <c r="W48" i="7" s="1"/>
  <c r="U51" i="7"/>
  <c r="V51" i="7" s="1"/>
  <c r="W51" i="7" s="1"/>
  <c r="U54" i="7"/>
  <c r="V54" i="7" s="1"/>
  <c r="W54" i="7" s="1"/>
  <c r="U55" i="7"/>
  <c r="V55" i="7" s="1"/>
  <c r="W55" i="7" s="1"/>
  <c r="U56" i="7"/>
  <c r="V56" i="7" s="1"/>
  <c r="W56" i="7" s="1"/>
  <c r="U59" i="7"/>
  <c r="V59" i="7" s="1"/>
  <c r="W59" i="7" s="1"/>
  <c r="U60" i="7"/>
  <c r="V60" i="7" s="1"/>
  <c r="W60" i="7" s="1"/>
  <c r="U62" i="7"/>
  <c r="V62" i="7" s="1"/>
  <c r="W62" i="7" s="1"/>
  <c r="U63" i="7"/>
  <c r="V63" i="7" s="1"/>
  <c r="W63" i="7" s="1"/>
  <c r="U68" i="7"/>
  <c r="V68" i="7" s="1"/>
  <c r="W68" i="7" s="1"/>
  <c r="U72" i="7"/>
  <c r="V72" i="7" s="1"/>
  <c r="W72" i="7" s="1"/>
  <c r="U75" i="7"/>
  <c r="V75" i="7" s="1"/>
  <c r="W75" i="7" s="1"/>
  <c r="U76" i="7"/>
  <c r="V76" i="7" s="1"/>
  <c r="W76" i="7" s="1"/>
  <c r="U80" i="7"/>
  <c r="V80" i="7" s="1"/>
  <c r="W80" i="7" s="1"/>
  <c r="U81" i="7"/>
  <c r="V81" i="7" s="1"/>
  <c r="W81" i="7" s="1"/>
  <c r="U84" i="7"/>
  <c r="V84" i="7" s="1"/>
  <c r="W84" i="7" s="1"/>
  <c r="U85" i="7"/>
  <c r="V85" i="7" s="1"/>
  <c r="W85" i="7" s="1"/>
  <c r="U86" i="7"/>
  <c r="V86" i="7" s="1"/>
  <c r="W86" i="7" s="1"/>
  <c r="U87" i="7"/>
  <c r="V87" i="7" s="1"/>
  <c r="W87" i="7" s="1"/>
  <c r="U91" i="7"/>
  <c r="V91" i="7" s="1"/>
  <c r="W91" i="7" s="1"/>
  <c r="U92" i="7"/>
  <c r="V92" i="7" s="1"/>
  <c r="W92" i="7" s="1"/>
  <c r="U94" i="7"/>
  <c r="V94" i="7" s="1"/>
  <c r="W94" i="7" s="1"/>
  <c r="U96" i="7"/>
  <c r="V96" i="7" s="1"/>
  <c r="W96" i="7" s="1"/>
  <c r="U109" i="7"/>
  <c r="V109" i="7" s="1"/>
  <c r="W109" i="7" s="1"/>
  <c r="U111" i="7"/>
  <c r="V111" i="7" s="1"/>
  <c r="W111" i="7" s="1"/>
  <c r="U112" i="7"/>
  <c r="V112" i="7" s="1"/>
  <c r="W112" i="7" s="1"/>
  <c r="U116" i="7"/>
  <c r="V116" i="7" s="1"/>
  <c r="W116" i="7" s="1"/>
  <c r="U121" i="7"/>
  <c r="V121" i="7" s="1"/>
  <c r="W121" i="7" s="1"/>
  <c r="U124" i="7"/>
  <c r="V124" i="7" s="1"/>
  <c r="W124" i="7" s="1"/>
  <c r="U128" i="7"/>
  <c r="V128" i="7" s="1"/>
  <c r="W128" i="7" s="1"/>
  <c r="U129" i="7"/>
  <c r="V129" i="7" s="1"/>
  <c r="W129" i="7" s="1"/>
  <c r="U132" i="7"/>
  <c r="V132" i="7" s="1"/>
  <c r="W132" i="7" s="1"/>
  <c r="U133" i="7"/>
  <c r="V133" i="7" s="1"/>
  <c r="W133" i="7" s="1"/>
  <c r="U137" i="7"/>
  <c r="V137" i="7" s="1"/>
  <c r="W137" i="7" s="1"/>
  <c r="U138" i="7"/>
  <c r="V138" i="7" s="1"/>
  <c r="W138" i="7" s="1"/>
  <c r="U139" i="7"/>
  <c r="V139" i="7" s="1"/>
  <c r="W139" i="7" s="1"/>
  <c r="U146" i="7"/>
  <c r="V146" i="7" s="1"/>
  <c r="W146" i="7" s="1"/>
  <c r="U148" i="7"/>
  <c r="V148" i="7" s="1"/>
  <c r="W148" i="7" s="1"/>
  <c r="U150" i="7"/>
  <c r="V150" i="7" s="1"/>
  <c r="W150" i="7" s="1"/>
  <c r="U153" i="7"/>
  <c r="V153" i="7" s="1"/>
  <c r="W153" i="7" s="1"/>
  <c r="U161" i="7"/>
  <c r="V161" i="7" s="1"/>
  <c r="W161" i="7" s="1"/>
  <c r="U165" i="7"/>
  <c r="V165" i="7" s="1"/>
  <c r="W165" i="7" s="1"/>
  <c r="U166" i="7"/>
  <c r="V166" i="7" s="1"/>
  <c r="W166" i="7" s="1"/>
  <c r="U168" i="7"/>
  <c r="V168" i="7" s="1"/>
  <c r="W168" i="7" s="1"/>
  <c r="U173" i="7"/>
  <c r="V173" i="7" s="1"/>
  <c r="W173" i="7" s="1"/>
  <c r="U175" i="7"/>
  <c r="V175" i="7" s="1"/>
  <c r="W175" i="7" s="1"/>
  <c r="U176" i="7"/>
  <c r="V176" i="7" s="1"/>
  <c r="W176" i="7" s="1"/>
  <c r="U179" i="7"/>
  <c r="V179" i="7" s="1"/>
  <c r="W179" i="7" s="1"/>
  <c r="U181" i="7"/>
  <c r="V181" i="7" s="1"/>
  <c r="W181" i="7" s="1"/>
  <c r="U182" i="7"/>
  <c r="V182" i="7" s="1"/>
  <c r="W182" i="7" s="1"/>
  <c r="U186" i="7"/>
  <c r="V186" i="7" s="1"/>
  <c r="W186" i="7" s="1"/>
  <c r="U187" i="7"/>
  <c r="V187" i="7" s="1"/>
  <c r="W187" i="7" s="1"/>
  <c r="U189" i="7"/>
  <c r="V189" i="7" s="1"/>
  <c r="W189" i="7" s="1"/>
  <c r="U190" i="7"/>
  <c r="V190" i="7" s="1"/>
  <c r="W190" i="7" s="1"/>
  <c r="U198" i="7"/>
  <c r="V198" i="7" s="1"/>
  <c r="W198" i="7" s="1"/>
  <c r="U200" i="7"/>
  <c r="V200" i="7" s="1"/>
  <c r="W200" i="7" s="1"/>
  <c r="U201" i="7"/>
  <c r="V201" i="7" s="1"/>
  <c r="W201" i="7" s="1"/>
  <c r="U202" i="7"/>
  <c r="V202" i="7" s="1"/>
  <c r="W202" i="7" s="1"/>
  <c r="U217" i="7"/>
  <c r="V217" i="7" s="1"/>
  <c r="W217" i="7" s="1"/>
  <c r="U220" i="7"/>
  <c r="V220" i="7" s="1"/>
  <c r="W220" i="7" s="1"/>
  <c r="U221" i="7"/>
  <c r="V221" i="7" s="1"/>
  <c r="W221" i="7" s="1"/>
  <c r="U223" i="7"/>
  <c r="V223" i="7" s="1"/>
  <c r="W223" i="7" s="1"/>
  <c r="U224" i="7"/>
  <c r="V224" i="7" s="1"/>
  <c r="W224" i="7" s="1"/>
  <c r="U225" i="7"/>
  <c r="V225" i="7" s="1"/>
  <c r="W225" i="7" s="1"/>
  <c r="U228" i="7"/>
  <c r="V228" i="7" s="1"/>
  <c r="W228" i="7" s="1"/>
  <c r="U232" i="7"/>
  <c r="V232" i="7" s="1"/>
  <c r="W232" i="7" s="1"/>
  <c r="U233" i="7"/>
  <c r="V233" i="7" s="1"/>
  <c r="W233" i="7" s="1"/>
  <c r="U234" i="7"/>
  <c r="V234" i="7" s="1"/>
  <c r="W234" i="7" s="1"/>
  <c r="U235" i="7"/>
  <c r="V235" i="7" s="1"/>
  <c r="W235" i="7" s="1"/>
  <c r="U240" i="7"/>
  <c r="V240" i="7" s="1"/>
  <c r="W240" i="7" s="1"/>
  <c r="U241" i="7"/>
  <c r="V241" i="7" s="1"/>
  <c r="W241" i="7" s="1"/>
  <c r="U242" i="7"/>
  <c r="V242" i="7" s="1"/>
  <c r="W242" i="7" s="1"/>
  <c r="U243" i="7"/>
  <c r="V243" i="7" s="1"/>
  <c r="W243" i="7" s="1"/>
  <c r="U245" i="7"/>
  <c r="V245" i="7" s="1"/>
  <c r="W245" i="7" s="1"/>
  <c r="U246" i="7"/>
  <c r="V246" i="7" s="1"/>
  <c r="W246" i="7" s="1"/>
  <c r="U247" i="7"/>
  <c r="V247" i="7" s="1"/>
  <c r="W247" i="7" s="1"/>
  <c r="U250" i="7"/>
  <c r="V250" i="7" s="1"/>
  <c r="W250" i="7" s="1"/>
  <c r="U254" i="7"/>
  <c r="V254" i="7" s="1"/>
  <c r="W254" i="7" s="1"/>
  <c r="U259" i="7"/>
  <c r="V259" i="7" s="1"/>
  <c r="W259" i="7" s="1"/>
  <c r="U260" i="7"/>
  <c r="V260" i="7" s="1"/>
  <c r="W260" i="7" s="1"/>
  <c r="U262" i="7"/>
  <c r="V262" i="7" s="1"/>
  <c r="W262" i="7" s="1"/>
  <c r="U263" i="7"/>
  <c r="V263" i="7" s="1"/>
  <c r="W263" i="7" s="1"/>
  <c r="U264" i="7"/>
  <c r="V264" i="7" s="1"/>
  <c r="W264" i="7" s="1"/>
  <c r="U267" i="7"/>
  <c r="V267" i="7" s="1"/>
  <c r="W267" i="7" s="1"/>
  <c r="U269" i="7"/>
  <c r="V269" i="7" s="1"/>
  <c r="W269" i="7" s="1"/>
  <c r="U271" i="7"/>
  <c r="V271" i="7" s="1"/>
  <c r="W271" i="7" s="1"/>
  <c r="U273" i="7"/>
  <c r="V273" i="7" s="1"/>
  <c r="W273" i="7" s="1"/>
  <c r="U274" i="7"/>
  <c r="V274" i="7" s="1"/>
  <c r="W274" i="7" s="1"/>
  <c r="U275" i="7"/>
  <c r="V275" i="7" s="1"/>
  <c r="W275" i="7" s="1"/>
  <c r="U276" i="7"/>
  <c r="V276" i="7" s="1"/>
  <c r="W276" i="7" s="1"/>
  <c r="U280" i="7"/>
  <c r="V280" i="7" s="1"/>
  <c r="W280" i="7" s="1"/>
  <c r="U281" i="7"/>
  <c r="V281" i="7" s="1"/>
  <c r="W281" i="7" s="1"/>
  <c r="U283" i="7"/>
  <c r="V283" i="7" s="1"/>
  <c r="W283" i="7" s="1"/>
  <c r="U287" i="7"/>
  <c r="V287" i="7" s="1"/>
  <c r="W287" i="7" s="1"/>
  <c r="U289" i="7"/>
  <c r="V289" i="7" s="1"/>
  <c r="W289" i="7" s="1"/>
  <c r="U291" i="7"/>
  <c r="V291" i="7" s="1"/>
  <c r="W291" i="7" s="1"/>
  <c r="U292" i="7"/>
  <c r="V292" i="7" s="1"/>
  <c r="W292" i="7" s="1"/>
  <c r="U294" i="7"/>
  <c r="V294" i="7" s="1"/>
  <c r="W294" i="7" s="1"/>
  <c r="U298" i="7"/>
  <c r="V298" i="7" s="1"/>
  <c r="W298" i="7" s="1"/>
  <c r="U300" i="7"/>
  <c r="V300" i="7" s="1"/>
  <c r="W300" i="7" s="1"/>
  <c r="U308" i="7"/>
  <c r="V308" i="7" s="1"/>
  <c r="W308" i="7" s="1"/>
  <c r="U309" i="7"/>
  <c r="V309" i="7" s="1"/>
  <c r="W309" i="7" s="1"/>
  <c r="U311" i="7"/>
  <c r="V311" i="7" s="1"/>
  <c r="W311" i="7" s="1"/>
  <c r="U312" i="7"/>
  <c r="V312" i="7" s="1"/>
  <c r="W312" i="7" s="1"/>
  <c r="U321" i="7"/>
  <c r="V321" i="7" s="1"/>
  <c r="W321" i="7" s="1"/>
  <c r="U328" i="7"/>
  <c r="V328" i="7" s="1"/>
  <c r="W328" i="7" s="1"/>
  <c r="U329" i="7"/>
  <c r="V329" i="7" s="1"/>
  <c r="W329" i="7" s="1"/>
  <c r="U331" i="7"/>
  <c r="V331" i="7" s="1"/>
  <c r="W331" i="7" s="1"/>
  <c r="U332" i="7"/>
  <c r="V332" i="7" s="1"/>
  <c r="W332" i="7" s="1"/>
  <c r="U333" i="7"/>
  <c r="V333" i="7" s="1"/>
  <c r="W333" i="7" s="1"/>
  <c r="U338" i="7"/>
  <c r="V338" i="7" s="1"/>
  <c r="W338" i="7" s="1"/>
  <c r="U340" i="7"/>
  <c r="V340" i="7" s="1"/>
  <c r="W340" i="7" s="1"/>
  <c r="U341" i="7"/>
  <c r="V341" i="7" s="1"/>
  <c r="W341" i="7" s="1"/>
  <c r="U343" i="7"/>
  <c r="V343" i="7" s="1"/>
  <c r="W343" i="7" s="1"/>
  <c r="U344" i="7"/>
  <c r="V344" i="7" s="1"/>
  <c r="W344" i="7" s="1"/>
  <c r="U347" i="7"/>
  <c r="V347" i="7" s="1"/>
  <c r="W347" i="7" s="1"/>
  <c r="U348" i="7"/>
  <c r="V348" i="7" s="1"/>
  <c r="W348" i="7" s="1"/>
  <c r="U349" i="7"/>
  <c r="V349" i="7" s="1"/>
  <c r="W349" i="7" s="1"/>
  <c r="U350" i="7"/>
  <c r="V350" i="7" s="1"/>
  <c r="W350" i="7" s="1"/>
  <c r="U359" i="7"/>
  <c r="V359" i="7" s="1"/>
  <c r="W359" i="7" s="1"/>
  <c r="U366" i="7"/>
  <c r="V366" i="7" s="1"/>
  <c r="W366" i="7" s="1"/>
  <c r="U370" i="7"/>
  <c r="V370" i="7" s="1"/>
  <c r="W370" i="7" s="1"/>
  <c r="U371" i="7"/>
  <c r="V371" i="7" s="1"/>
  <c r="W371" i="7" s="1"/>
  <c r="U373" i="7"/>
  <c r="V373" i="7" s="1"/>
  <c r="W373" i="7" s="1"/>
  <c r="U374" i="7"/>
  <c r="V374" i="7" s="1"/>
  <c r="W374" i="7" s="1"/>
  <c r="U376" i="7"/>
  <c r="V376" i="7" s="1"/>
  <c r="W376" i="7" s="1"/>
  <c r="U382" i="7"/>
  <c r="V382" i="7" s="1"/>
  <c r="W382" i="7" s="1"/>
  <c r="U384" i="7"/>
  <c r="V384" i="7" s="1"/>
  <c r="W384" i="7" s="1"/>
  <c r="U386" i="7"/>
  <c r="V386" i="7" s="1"/>
  <c r="W386" i="7" s="1"/>
  <c r="U387" i="7"/>
  <c r="V387" i="7" s="1"/>
  <c r="W387" i="7" s="1"/>
  <c r="U389" i="7"/>
  <c r="V389" i="7" s="1"/>
  <c r="W389" i="7" s="1"/>
  <c r="U392" i="7"/>
  <c r="V392" i="7" s="1"/>
  <c r="W392" i="7" s="1"/>
  <c r="U394" i="7"/>
  <c r="V394" i="7" s="1"/>
  <c r="W394" i="7" s="1"/>
  <c r="U395" i="7"/>
  <c r="V395" i="7" s="1"/>
  <c r="W395" i="7" s="1"/>
  <c r="U401" i="7"/>
  <c r="V401" i="7" s="1"/>
  <c r="W401" i="7" s="1"/>
  <c r="U402" i="7"/>
  <c r="V402" i="7" s="1"/>
  <c r="W402" i="7" s="1"/>
  <c r="U414" i="7"/>
  <c r="V414" i="7" s="1"/>
  <c r="W414" i="7" s="1"/>
  <c r="U415" i="7"/>
  <c r="V415" i="7" s="1"/>
  <c r="W415" i="7" s="1"/>
  <c r="U416" i="7"/>
  <c r="V416" i="7" s="1"/>
  <c r="W416" i="7" s="1"/>
  <c r="U417" i="7"/>
  <c r="V417" i="7" s="1"/>
  <c r="W417" i="7" s="1"/>
  <c r="U420" i="7"/>
  <c r="V420" i="7" s="1"/>
  <c r="W420" i="7" s="1"/>
  <c r="U423" i="7"/>
  <c r="V423" i="7" s="1"/>
  <c r="W423" i="7" s="1"/>
  <c r="U424" i="7"/>
  <c r="V424" i="7" s="1"/>
  <c r="W424" i="7" s="1"/>
  <c r="U429" i="7"/>
  <c r="V429" i="7" s="1"/>
  <c r="W429" i="7" s="1"/>
  <c r="U433" i="7"/>
  <c r="V433" i="7" s="1"/>
  <c r="W433" i="7" s="1"/>
  <c r="U434" i="7"/>
  <c r="V434" i="7" s="1"/>
  <c r="W434" i="7" s="1"/>
  <c r="U436" i="7"/>
  <c r="V436" i="7" s="1"/>
  <c r="W436" i="7" s="1"/>
  <c r="U439" i="7"/>
  <c r="V439" i="7" s="1"/>
  <c r="W439" i="7" s="1"/>
  <c r="U443" i="7"/>
  <c r="V443" i="7" s="1"/>
  <c r="W443" i="7" s="1"/>
  <c r="U444" i="7"/>
  <c r="V444" i="7" s="1"/>
  <c r="W444" i="7" s="1"/>
  <c r="U445" i="7"/>
  <c r="V445" i="7" s="1"/>
  <c r="W445" i="7" s="1"/>
  <c r="U449" i="7"/>
  <c r="V449" i="7" s="1"/>
  <c r="W449" i="7" s="1"/>
  <c r="U451" i="7"/>
  <c r="V451" i="7" s="1"/>
  <c r="W451" i="7" s="1"/>
  <c r="U456" i="7"/>
  <c r="V456" i="7" s="1"/>
  <c r="W456" i="7" s="1"/>
  <c r="U458" i="7"/>
  <c r="V458" i="7" s="1"/>
  <c r="W458" i="7" s="1"/>
  <c r="U462" i="7"/>
  <c r="V462" i="7" s="1"/>
  <c r="W462" i="7" s="1"/>
  <c r="U465" i="7"/>
  <c r="V465" i="7" s="1"/>
  <c r="W465" i="7" s="1"/>
  <c r="U466" i="7"/>
  <c r="V466" i="7" s="1"/>
  <c r="W466" i="7" s="1"/>
  <c r="U468" i="7"/>
  <c r="V468" i="7" s="1"/>
  <c r="W468" i="7" s="1"/>
  <c r="U470" i="7"/>
  <c r="V470" i="7" s="1"/>
  <c r="W470" i="7" s="1"/>
  <c r="U471" i="7"/>
  <c r="V471" i="7" s="1"/>
  <c r="W471" i="7" s="1"/>
  <c r="U472" i="7"/>
  <c r="V472" i="7" s="1"/>
  <c r="W472" i="7" s="1"/>
  <c r="U473" i="7"/>
  <c r="V473" i="7" s="1"/>
  <c r="W473" i="7" s="1"/>
  <c r="U474" i="7"/>
  <c r="V474" i="7" s="1"/>
  <c r="W474" i="7" s="1"/>
  <c r="U475" i="7"/>
  <c r="V475" i="7" s="1"/>
  <c r="W475" i="7" s="1"/>
  <c r="U476" i="7"/>
  <c r="V476" i="7" s="1"/>
  <c r="W476" i="7" s="1"/>
  <c r="U478" i="7"/>
  <c r="V478" i="7" s="1"/>
  <c r="W478" i="7" s="1"/>
  <c r="U480" i="7"/>
  <c r="V480" i="7" s="1"/>
  <c r="W480" i="7" s="1"/>
  <c r="U489" i="7"/>
  <c r="V489" i="7" s="1"/>
  <c r="W489" i="7" s="1"/>
  <c r="U496" i="7"/>
  <c r="V496" i="7" s="1"/>
  <c r="W496" i="7" s="1"/>
  <c r="U497" i="7"/>
  <c r="V497" i="7" s="1"/>
  <c r="W497" i="7" s="1"/>
  <c r="U502" i="7"/>
  <c r="V502" i="7" s="1"/>
  <c r="W502" i="7" s="1"/>
  <c r="U507" i="7"/>
  <c r="V507" i="7" s="1"/>
  <c r="W507" i="7" s="1"/>
  <c r="U515" i="7"/>
  <c r="V515" i="7" s="1"/>
  <c r="W515" i="7" s="1"/>
  <c r="U517" i="7"/>
  <c r="V517" i="7" s="1"/>
  <c r="W517" i="7" s="1"/>
  <c r="U518" i="7"/>
  <c r="V518" i="7" s="1"/>
  <c r="W518" i="7" s="1"/>
  <c r="U520" i="7"/>
  <c r="V520" i="7" s="1"/>
  <c r="W520" i="7" s="1"/>
  <c r="U521" i="7"/>
  <c r="V521" i="7" s="1"/>
  <c r="W521" i="7" s="1"/>
  <c r="U525" i="7"/>
  <c r="V525" i="7" s="1"/>
  <c r="W525" i="7" s="1"/>
  <c r="U527" i="7"/>
  <c r="V527" i="7" s="1"/>
  <c r="W527" i="7" s="1"/>
  <c r="U528" i="7"/>
  <c r="V528" i="7" s="1"/>
  <c r="W528" i="7" s="1"/>
  <c r="U532" i="7"/>
  <c r="V532" i="7" s="1"/>
  <c r="W532" i="7" s="1"/>
  <c r="U533" i="7"/>
  <c r="V533" i="7" s="1"/>
  <c r="W533" i="7" s="1"/>
  <c r="U535" i="7"/>
  <c r="V535" i="7" s="1"/>
  <c r="W535" i="7" s="1"/>
  <c r="U536" i="7"/>
  <c r="V536" i="7" s="1"/>
  <c r="W536" i="7" s="1"/>
  <c r="U541" i="7"/>
  <c r="V541" i="7" s="1"/>
  <c r="W541" i="7" s="1"/>
  <c r="U542" i="7"/>
  <c r="V542" i="7" s="1"/>
  <c r="W542" i="7" s="1"/>
  <c r="U546" i="7"/>
  <c r="V546" i="7" s="1"/>
  <c r="W546" i="7" s="1"/>
  <c r="U548" i="7"/>
  <c r="V548" i="7" s="1"/>
  <c r="W548" i="7" s="1"/>
  <c r="S2" i="7"/>
  <c r="T2" i="7" s="1"/>
  <c r="S3" i="7"/>
  <c r="T3" i="7" s="1"/>
  <c r="S4" i="7"/>
  <c r="T4" i="7" s="1"/>
  <c r="S5" i="7"/>
  <c r="T5" i="7" s="1"/>
  <c r="S6" i="7"/>
  <c r="T6" i="7" s="1"/>
  <c r="S7" i="7"/>
  <c r="T7" i="7" s="1"/>
  <c r="S8" i="7"/>
  <c r="T8" i="7" s="1"/>
  <c r="S9" i="7"/>
  <c r="T9" i="7" s="1"/>
  <c r="S10" i="7"/>
  <c r="T10" i="7" s="1"/>
  <c r="S11" i="7"/>
  <c r="T11" i="7" s="1"/>
  <c r="S12" i="7"/>
  <c r="T12" i="7" s="1"/>
  <c r="S13" i="7"/>
  <c r="T13" i="7" s="1"/>
  <c r="S14" i="7"/>
  <c r="T14" i="7" s="1"/>
  <c r="S15" i="7"/>
  <c r="T15" i="7" s="1"/>
  <c r="S16" i="7"/>
  <c r="T16" i="7" s="1"/>
  <c r="S17" i="7"/>
  <c r="T17" i="7" s="1"/>
  <c r="S18" i="7"/>
  <c r="T18" i="7" s="1"/>
  <c r="S19" i="7"/>
  <c r="T19" i="7" s="1"/>
  <c r="S20" i="7"/>
  <c r="T20" i="7" s="1"/>
  <c r="S21" i="7"/>
  <c r="T21" i="7" s="1"/>
  <c r="S22" i="7"/>
  <c r="T22" i="7" s="1"/>
  <c r="S23" i="7"/>
  <c r="T23" i="7" s="1"/>
  <c r="S24" i="7"/>
  <c r="T24" i="7" s="1"/>
  <c r="S25" i="7"/>
  <c r="T25" i="7" s="1"/>
  <c r="S26" i="7"/>
  <c r="T26" i="7" s="1"/>
  <c r="S27" i="7"/>
  <c r="T27" i="7" s="1"/>
  <c r="S28" i="7"/>
  <c r="T28" i="7" s="1"/>
  <c r="S29" i="7"/>
  <c r="T29" i="7" s="1"/>
  <c r="S30" i="7"/>
  <c r="T30" i="7" s="1"/>
  <c r="S31" i="7"/>
  <c r="T31" i="7" s="1"/>
  <c r="S32" i="7"/>
  <c r="T32" i="7" s="1"/>
  <c r="S33" i="7"/>
  <c r="T33" i="7" s="1"/>
  <c r="S34" i="7"/>
  <c r="T34" i="7" s="1"/>
  <c r="S35" i="7"/>
  <c r="T35" i="7" s="1"/>
  <c r="S36" i="7"/>
  <c r="T36" i="7" s="1"/>
  <c r="S37" i="7"/>
  <c r="T37" i="7" s="1"/>
  <c r="S38" i="7"/>
  <c r="T38" i="7" s="1"/>
  <c r="S39" i="7"/>
  <c r="T39" i="7" s="1"/>
  <c r="S40" i="7"/>
  <c r="T40" i="7" s="1"/>
  <c r="S41" i="7"/>
  <c r="T41" i="7" s="1"/>
  <c r="S42" i="7"/>
  <c r="T42" i="7" s="1"/>
  <c r="S43" i="7"/>
  <c r="T43" i="7" s="1"/>
  <c r="S44" i="7"/>
  <c r="T44" i="7" s="1"/>
  <c r="S45" i="7"/>
  <c r="T45" i="7" s="1"/>
  <c r="S46" i="7"/>
  <c r="T46" i="7" s="1"/>
  <c r="S47" i="7"/>
  <c r="T47" i="7" s="1"/>
  <c r="S48" i="7"/>
  <c r="T48" i="7" s="1"/>
  <c r="S49" i="7"/>
  <c r="T49" i="7" s="1"/>
  <c r="S50" i="7"/>
  <c r="T50" i="7" s="1"/>
  <c r="S51" i="7"/>
  <c r="T51" i="7" s="1"/>
  <c r="S52" i="7"/>
  <c r="T52" i="7" s="1"/>
  <c r="S53" i="7"/>
  <c r="T53" i="7" s="1"/>
  <c r="S54" i="7"/>
  <c r="T54" i="7" s="1"/>
  <c r="S55" i="7"/>
  <c r="T55" i="7" s="1"/>
  <c r="S56" i="7"/>
  <c r="T56" i="7" s="1"/>
  <c r="S57" i="7"/>
  <c r="T57" i="7" s="1"/>
  <c r="S58" i="7"/>
  <c r="T58" i="7" s="1"/>
  <c r="S59" i="7"/>
  <c r="T59" i="7" s="1"/>
  <c r="S60" i="7"/>
  <c r="T60" i="7" s="1"/>
  <c r="S61" i="7"/>
  <c r="T61" i="7" s="1"/>
  <c r="S62" i="7"/>
  <c r="T62" i="7" s="1"/>
  <c r="S63" i="7"/>
  <c r="T63" i="7" s="1"/>
  <c r="S64" i="7"/>
  <c r="T64" i="7" s="1"/>
  <c r="S65" i="7"/>
  <c r="T65" i="7" s="1"/>
  <c r="S66" i="7"/>
  <c r="T66" i="7" s="1"/>
  <c r="S67" i="7"/>
  <c r="T67" i="7" s="1"/>
  <c r="S68" i="7"/>
  <c r="T68" i="7" s="1"/>
  <c r="S69" i="7"/>
  <c r="T69" i="7" s="1"/>
  <c r="S70" i="7"/>
  <c r="T70" i="7" s="1"/>
  <c r="S71" i="7"/>
  <c r="T71" i="7" s="1"/>
  <c r="S72" i="7"/>
  <c r="T72" i="7" s="1"/>
  <c r="S73" i="7"/>
  <c r="T73" i="7" s="1"/>
  <c r="S74" i="7"/>
  <c r="T74" i="7" s="1"/>
  <c r="S75" i="7"/>
  <c r="T75" i="7" s="1"/>
  <c r="S76" i="7"/>
  <c r="T76" i="7" s="1"/>
  <c r="S77" i="7"/>
  <c r="T77" i="7" s="1"/>
  <c r="S78" i="7"/>
  <c r="T78" i="7" s="1"/>
  <c r="S79" i="7"/>
  <c r="T79" i="7" s="1"/>
  <c r="S80" i="7"/>
  <c r="T80" i="7" s="1"/>
  <c r="S81" i="7"/>
  <c r="T81" i="7" s="1"/>
  <c r="S82" i="7"/>
  <c r="T82" i="7" s="1"/>
  <c r="S83" i="7"/>
  <c r="T83" i="7" s="1"/>
  <c r="S84" i="7"/>
  <c r="T84" i="7" s="1"/>
  <c r="S85" i="7"/>
  <c r="T85" i="7" s="1"/>
  <c r="S86" i="7"/>
  <c r="T86" i="7" s="1"/>
  <c r="S87" i="7"/>
  <c r="T87" i="7" s="1"/>
  <c r="S88" i="7"/>
  <c r="T88" i="7" s="1"/>
  <c r="S89" i="7"/>
  <c r="T89" i="7" s="1"/>
  <c r="S90" i="7"/>
  <c r="T90" i="7" s="1"/>
  <c r="S91" i="7"/>
  <c r="T91" i="7" s="1"/>
  <c r="S92" i="7"/>
  <c r="T92" i="7" s="1"/>
  <c r="S93" i="7"/>
  <c r="T93" i="7" s="1"/>
  <c r="S94" i="7"/>
  <c r="T94" i="7" s="1"/>
  <c r="S95" i="7"/>
  <c r="T95" i="7" s="1"/>
  <c r="S96" i="7"/>
  <c r="T96" i="7" s="1"/>
  <c r="S97" i="7"/>
  <c r="T97" i="7" s="1"/>
  <c r="S98" i="7"/>
  <c r="T98" i="7" s="1"/>
  <c r="S99" i="7"/>
  <c r="T99" i="7" s="1"/>
  <c r="S100" i="7"/>
  <c r="T100" i="7" s="1"/>
  <c r="S101" i="7"/>
  <c r="T101" i="7" s="1"/>
  <c r="S102" i="7"/>
  <c r="T102" i="7" s="1"/>
  <c r="S103" i="7"/>
  <c r="T103" i="7" s="1"/>
  <c r="S104" i="7"/>
  <c r="T104" i="7" s="1"/>
  <c r="S105" i="7"/>
  <c r="T105" i="7" s="1"/>
  <c r="S106" i="7"/>
  <c r="T106" i="7" s="1"/>
  <c r="S107" i="7"/>
  <c r="T107" i="7" s="1"/>
  <c r="S108" i="7"/>
  <c r="T108" i="7" s="1"/>
  <c r="S109" i="7"/>
  <c r="T109" i="7" s="1"/>
  <c r="S110" i="7"/>
  <c r="T110" i="7" s="1"/>
  <c r="S111" i="7"/>
  <c r="T111" i="7" s="1"/>
  <c r="S112" i="7"/>
  <c r="T112" i="7" s="1"/>
  <c r="S113" i="7"/>
  <c r="T113" i="7" s="1"/>
  <c r="S114" i="7"/>
  <c r="T114" i="7" s="1"/>
  <c r="S115" i="7"/>
  <c r="T115" i="7" s="1"/>
  <c r="S116" i="7"/>
  <c r="T116" i="7" s="1"/>
  <c r="S117" i="7"/>
  <c r="T117" i="7" s="1"/>
  <c r="S118" i="7"/>
  <c r="T118" i="7" s="1"/>
  <c r="S119" i="7"/>
  <c r="T119" i="7" s="1"/>
  <c r="S120" i="7"/>
  <c r="T120" i="7" s="1"/>
  <c r="S121" i="7"/>
  <c r="T121" i="7" s="1"/>
  <c r="S122" i="7"/>
  <c r="T122" i="7" s="1"/>
  <c r="S123" i="7"/>
  <c r="T123" i="7" s="1"/>
  <c r="S124" i="7"/>
  <c r="T124" i="7" s="1"/>
  <c r="S125" i="7"/>
  <c r="T125" i="7" s="1"/>
  <c r="S126" i="7"/>
  <c r="T126" i="7" s="1"/>
  <c r="S127" i="7"/>
  <c r="T127" i="7" s="1"/>
  <c r="S128" i="7"/>
  <c r="T128" i="7" s="1"/>
  <c r="S129" i="7"/>
  <c r="T129" i="7" s="1"/>
  <c r="S130" i="7"/>
  <c r="T130" i="7" s="1"/>
  <c r="S131" i="7"/>
  <c r="T131" i="7" s="1"/>
  <c r="S132" i="7"/>
  <c r="T132" i="7" s="1"/>
  <c r="S133" i="7"/>
  <c r="T133" i="7" s="1"/>
  <c r="S134" i="7"/>
  <c r="T134" i="7" s="1"/>
  <c r="S135" i="7"/>
  <c r="T135" i="7" s="1"/>
  <c r="S136" i="7"/>
  <c r="T136" i="7" s="1"/>
  <c r="S137" i="7"/>
  <c r="T137" i="7" s="1"/>
  <c r="S138" i="7"/>
  <c r="T138" i="7" s="1"/>
  <c r="S139" i="7"/>
  <c r="T139" i="7" s="1"/>
  <c r="S140" i="7"/>
  <c r="T140" i="7" s="1"/>
  <c r="S141" i="7"/>
  <c r="T141" i="7" s="1"/>
  <c r="S142" i="7"/>
  <c r="T142" i="7" s="1"/>
  <c r="S143" i="7"/>
  <c r="T143" i="7" s="1"/>
  <c r="S144" i="7"/>
  <c r="T144" i="7" s="1"/>
  <c r="S145" i="7"/>
  <c r="T145" i="7" s="1"/>
  <c r="S146" i="7"/>
  <c r="T146" i="7" s="1"/>
  <c r="S147" i="7"/>
  <c r="T147" i="7" s="1"/>
  <c r="S148" i="7"/>
  <c r="T148" i="7" s="1"/>
  <c r="S149" i="7"/>
  <c r="T149" i="7" s="1"/>
  <c r="S150" i="7"/>
  <c r="T150" i="7" s="1"/>
  <c r="S151" i="7"/>
  <c r="T151" i="7" s="1"/>
  <c r="S152" i="7"/>
  <c r="T152" i="7" s="1"/>
  <c r="S153" i="7"/>
  <c r="T153" i="7" s="1"/>
  <c r="S154" i="7"/>
  <c r="T154" i="7" s="1"/>
  <c r="S155" i="7"/>
  <c r="T155" i="7" s="1"/>
  <c r="S156" i="7"/>
  <c r="T156" i="7" s="1"/>
  <c r="S157" i="7"/>
  <c r="T157" i="7" s="1"/>
  <c r="S158" i="7"/>
  <c r="T158" i="7" s="1"/>
  <c r="S159" i="7"/>
  <c r="T159" i="7" s="1"/>
  <c r="S160" i="7"/>
  <c r="T160" i="7" s="1"/>
  <c r="S161" i="7"/>
  <c r="T161" i="7" s="1"/>
  <c r="S162" i="7"/>
  <c r="T162" i="7" s="1"/>
  <c r="S163" i="7"/>
  <c r="T163" i="7" s="1"/>
  <c r="S164" i="7"/>
  <c r="T164" i="7" s="1"/>
  <c r="S165" i="7"/>
  <c r="T165" i="7" s="1"/>
  <c r="S166" i="7"/>
  <c r="T166" i="7" s="1"/>
  <c r="S167" i="7"/>
  <c r="T167" i="7" s="1"/>
  <c r="S168" i="7"/>
  <c r="T168" i="7" s="1"/>
  <c r="S169" i="7"/>
  <c r="T169" i="7" s="1"/>
  <c r="S170" i="7"/>
  <c r="T170" i="7" s="1"/>
  <c r="S171" i="7"/>
  <c r="T171" i="7" s="1"/>
  <c r="S172" i="7"/>
  <c r="T172" i="7" s="1"/>
  <c r="S173" i="7"/>
  <c r="T173" i="7" s="1"/>
  <c r="S174" i="7"/>
  <c r="T174" i="7" s="1"/>
  <c r="S175" i="7"/>
  <c r="T175" i="7" s="1"/>
  <c r="S176" i="7"/>
  <c r="T176" i="7" s="1"/>
  <c r="S177" i="7"/>
  <c r="T177" i="7" s="1"/>
  <c r="S178" i="7"/>
  <c r="T178" i="7" s="1"/>
  <c r="S179" i="7"/>
  <c r="T179" i="7" s="1"/>
  <c r="S180" i="7"/>
  <c r="T180" i="7" s="1"/>
  <c r="S181" i="7"/>
  <c r="T181" i="7" s="1"/>
  <c r="S182" i="7"/>
  <c r="T182" i="7" s="1"/>
  <c r="S183" i="7"/>
  <c r="T183" i="7" s="1"/>
  <c r="S184" i="7"/>
  <c r="T184" i="7" s="1"/>
  <c r="S185" i="7"/>
  <c r="T185" i="7" s="1"/>
  <c r="S186" i="7"/>
  <c r="T186" i="7" s="1"/>
  <c r="S187" i="7"/>
  <c r="T187" i="7" s="1"/>
  <c r="S188" i="7"/>
  <c r="T188" i="7" s="1"/>
  <c r="S189" i="7"/>
  <c r="T189" i="7" s="1"/>
  <c r="S190" i="7"/>
  <c r="T190" i="7" s="1"/>
  <c r="S191" i="7"/>
  <c r="T191" i="7" s="1"/>
  <c r="S192" i="7"/>
  <c r="T192" i="7" s="1"/>
  <c r="S193" i="7"/>
  <c r="T193" i="7" s="1"/>
  <c r="S194" i="7"/>
  <c r="T194" i="7" s="1"/>
  <c r="S195" i="7"/>
  <c r="T195" i="7" s="1"/>
  <c r="S196" i="7"/>
  <c r="T196" i="7" s="1"/>
  <c r="S197" i="7"/>
  <c r="T197" i="7" s="1"/>
  <c r="S198" i="7"/>
  <c r="T198" i="7" s="1"/>
  <c r="S199" i="7"/>
  <c r="T199" i="7" s="1"/>
  <c r="S200" i="7"/>
  <c r="T200" i="7" s="1"/>
  <c r="S201" i="7"/>
  <c r="T201" i="7" s="1"/>
  <c r="S202" i="7"/>
  <c r="T202" i="7" s="1"/>
  <c r="S203" i="7"/>
  <c r="T203" i="7" s="1"/>
  <c r="S204" i="7"/>
  <c r="T204" i="7" s="1"/>
  <c r="S205" i="7"/>
  <c r="T205" i="7" s="1"/>
  <c r="S206" i="7"/>
  <c r="T206" i="7" s="1"/>
  <c r="S207" i="7"/>
  <c r="T207" i="7" s="1"/>
  <c r="S208" i="7"/>
  <c r="T208" i="7" s="1"/>
  <c r="S209" i="7"/>
  <c r="T209" i="7" s="1"/>
  <c r="S210" i="7"/>
  <c r="T210" i="7" s="1"/>
  <c r="S211" i="7"/>
  <c r="T211" i="7" s="1"/>
  <c r="S212" i="7"/>
  <c r="T212" i="7" s="1"/>
  <c r="S213" i="7"/>
  <c r="T213" i="7" s="1"/>
  <c r="S214" i="7"/>
  <c r="T214" i="7" s="1"/>
  <c r="S215" i="7"/>
  <c r="T215" i="7" s="1"/>
  <c r="S216" i="7"/>
  <c r="T216" i="7" s="1"/>
  <c r="S217" i="7"/>
  <c r="T217" i="7" s="1"/>
  <c r="S218" i="7"/>
  <c r="T218" i="7" s="1"/>
  <c r="S219" i="7"/>
  <c r="T219" i="7" s="1"/>
  <c r="S220" i="7"/>
  <c r="T220" i="7" s="1"/>
  <c r="S221" i="7"/>
  <c r="T221" i="7" s="1"/>
  <c r="S222" i="7"/>
  <c r="T222" i="7" s="1"/>
  <c r="S223" i="7"/>
  <c r="T223" i="7" s="1"/>
  <c r="S224" i="7"/>
  <c r="T224" i="7" s="1"/>
  <c r="S225" i="7"/>
  <c r="T225" i="7" s="1"/>
  <c r="S226" i="7"/>
  <c r="T226" i="7" s="1"/>
  <c r="S227" i="7"/>
  <c r="T227" i="7" s="1"/>
  <c r="S228" i="7"/>
  <c r="T228" i="7" s="1"/>
  <c r="S229" i="7"/>
  <c r="T229" i="7" s="1"/>
  <c r="S230" i="7"/>
  <c r="T230" i="7" s="1"/>
  <c r="S231" i="7"/>
  <c r="T231" i="7" s="1"/>
  <c r="S232" i="7"/>
  <c r="T232" i="7" s="1"/>
  <c r="S233" i="7"/>
  <c r="T233" i="7" s="1"/>
  <c r="S234" i="7"/>
  <c r="T234" i="7" s="1"/>
  <c r="S235" i="7"/>
  <c r="T235" i="7" s="1"/>
  <c r="S236" i="7"/>
  <c r="T236" i="7" s="1"/>
  <c r="S237" i="7"/>
  <c r="T237" i="7" s="1"/>
  <c r="S238" i="7"/>
  <c r="T238" i="7" s="1"/>
  <c r="S239" i="7"/>
  <c r="T239" i="7" s="1"/>
  <c r="S240" i="7"/>
  <c r="T240" i="7" s="1"/>
  <c r="S241" i="7"/>
  <c r="T241" i="7" s="1"/>
  <c r="S242" i="7"/>
  <c r="T242" i="7" s="1"/>
  <c r="S243" i="7"/>
  <c r="T243" i="7" s="1"/>
  <c r="S244" i="7"/>
  <c r="T244" i="7" s="1"/>
  <c r="S245" i="7"/>
  <c r="T245" i="7" s="1"/>
  <c r="S246" i="7"/>
  <c r="T246" i="7" s="1"/>
  <c r="S247" i="7"/>
  <c r="T247" i="7" s="1"/>
  <c r="S248" i="7"/>
  <c r="T248" i="7" s="1"/>
  <c r="S249" i="7"/>
  <c r="T249" i="7" s="1"/>
  <c r="S250" i="7"/>
  <c r="T250" i="7" s="1"/>
  <c r="S251" i="7"/>
  <c r="T251" i="7" s="1"/>
  <c r="S252" i="7"/>
  <c r="T252" i="7" s="1"/>
  <c r="S253" i="7"/>
  <c r="T253" i="7" s="1"/>
  <c r="S254" i="7"/>
  <c r="T254" i="7" s="1"/>
  <c r="S255" i="7"/>
  <c r="T255" i="7" s="1"/>
  <c r="S256" i="7"/>
  <c r="T256" i="7" s="1"/>
  <c r="S257" i="7"/>
  <c r="T257" i="7" s="1"/>
  <c r="S258" i="7"/>
  <c r="T258" i="7" s="1"/>
  <c r="S259" i="7"/>
  <c r="T259" i="7" s="1"/>
  <c r="S260" i="7"/>
  <c r="T260" i="7" s="1"/>
  <c r="S261" i="7"/>
  <c r="T261" i="7" s="1"/>
  <c r="S262" i="7"/>
  <c r="T262" i="7" s="1"/>
  <c r="S263" i="7"/>
  <c r="T263" i="7" s="1"/>
  <c r="S264" i="7"/>
  <c r="T264" i="7" s="1"/>
  <c r="S265" i="7"/>
  <c r="T265" i="7" s="1"/>
  <c r="S266" i="7"/>
  <c r="T266" i="7" s="1"/>
  <c r="S267" i="7"/>
  <c r="T267" i="7" s="1"/>
  <c r="S268" i="7"/>
  <c r="T268" i="7" s="1"/>
  <c r="S269" i="7"/>
  <c r="T269" i="7" s="1"/>
  <c r="S270" i="7"/>
  <c r="T270" i="7" s="1"/>
  <c r="S271" i="7"/>
  <c r="T271" i="7" s="1"/>
  <c r="S272" i="7"/>
  <c r="T272" i="7" s="1"/>
  <c r="S273" i="7"/>
  <c r="T273" i="7" s="1"/>
  <c r="S274" i="7"/>
  <c r="T274" i="7" s="1"/>
  <c r="S275" i="7"/>
  <c r="T275" i="7" s="1"/>
  <c r="S276" i="7"/>
  <c r="T276" i="7" s="1"/>
  <c r="S277" i="7"/>
  <c r="T277" i="7" s="1"/>
  <c r="S278" i="7"/>
  <c r="T278" i="7" s="1"/>
  <c r="S279" i="7"/>
  <c r="T279" i="7" s="1"/>
  <c r="S280" i="7"/>
  <c r="T280" i="7" s="1"/>
  <c r="S281" i="7"/>
  <c r="T281" i="7" s="1"/>
  <c r="S282" i="7"/>
  <c r="T282" i="7" s="1"/>
  <c r="S283" i="7"/>
  <c r="T283" i="7" s="1"/>
  <c r="S284" i="7"/>
  <c r="T284" i="7" s="1"/>
  <c r="S285" i="7"/>
  <c r="T285" i="7" s="1"/>
  <c r="S286" i="7"/>
  <c r="T286" i="7" s="1"/>
  <c r="S287" i="7"/>
  <c r="T287" i="7" s="1"/>
  <c r="S288" i="7"/>
  <c r="T288" i="7" s="1"/>
  <c r="S289" i="7"/>
  <c r="T289" i="7" s="1"/>
  <c r="S290" i="7"/>
  <c r="T290" i="7" s="1"/>
  <c r="S291" i="7"/>
  <c r="T291" i="7" s="1"/>
  <c r="S292" i="7"/>
  <c r="T292" i="7" s="1"/>
  <c r="S293" i="7"/>
  <c r="T293" i="7" s="1"/>
  <c r="S294" i="7"/>
  <c r="T294" i="7" s="1"/>
  <c r="S295" i="7"/>
  <c r="T295" i="7" s="1"/>
  <c r="S296" i="7"/>
  <c r="T296" i="7" s="1"/>
  <c r="S297" i="7"/>
  <c r="T297" i="7" s="1"/>
  <c r="S298" i="7"/>
  <c r="T298" i="7" s="1"/>
  <c r="S299" i="7"/>
  <c r="T299" i="7" s="1"/>
  <c r="S300" i="7"/>
  <c r="T300" i="7" s="1"/>
  <c r="S301" i="7"/>
  <c r="T301" i="7" s="1"/>
  <c r="S302" i="7"/>
  <c r="T302" i="7" s="1"/>
  <c r="S303" i="7"/>
  <c r="T303" i="7" s="1"/>
  <c r="S304" i="7"/>
  <c r="T304" i="7" s="1"/>
  <c r="S305" i="7"/>
  <c r="T305" i="7" s="1"/>
  <c r="S306" i="7"/>
  <c r="T306" i="7" s="1"/>
  <c r="S307" i="7"/>
  <c r="T307" i="7" s="1"/>
  <c r="S308" i="7"/>
  <c r="T308" i="7" s="1"/>
  <c r="S309" i="7"/>
  <c r="T309" i="7" s="1"/>
  <c r="S310" i="7"/>
  <c r="T310" i="7" s="1"/>
  <c r="S311" i="7"/>
  <c r="T311" i="7" s="1"/>
  <c r="S312" i="7"/>
  <c r="T312" i="7" s="1"/>
  <c r="S313" i="7"/>
  <c r="T313" i="7" s="1"/>
  <c r="S314" i="7"/>
  <c r="T314" i="7" s="1"/>
  <c r="S315" i="7"/>
  <c r="T315" i="7" s="1"/>
  <c r="S316" i="7"/>
  <c r="T316" i="7" s="1"/>
  <c r="S317" i="7"/>
  <c r="T317" i="7" s="1"/>
  <c r="S318" i="7"/>
  <c r="T318" i="7" s="1"/>
  <c r="S319" i="7"/>
  <c r="T319" i="7" s="1"/>
  <c r="S320" i="7"/>
  <c r="T320" i="7" s="1"/>
  <c r="S321" i="7"/>
  <c r="T321" i="7" s="1"/>
  <c r="S322" i="7"/>
  <c r="T322" i="7" s="1"/>
  <c r="S323" i="7"/>
  <c r="T323" i="7" s="1"/>
  <c r="S324" i="7"/>
  <c r="T324" i="7" s="1"/>
  <c r="S325" i="7"/>
  <c r="T325" i="7" s="1"/>
  <c r="S326" i="7"/>
  <c r="T326" i="7" s="1"/>
  <c r="S327" i="7"/>
  <c r="T327" i="7" s="1"/>
  <c r="S328" i="7"/>
  <c r="T328" i="7" s="1"/>
  <c r="S329" i="7"/>
  <c r="T329" i="7" s="1"/>
  <c r="S330" i="7"/>
  <c r="T330" i="7" s="1"/>
  <c r="S331" i="7"/>
  <c r="T331" i="7" s="1"/>
  <c r="S332" i="7"/>
  <c r="T332" i="7" s="1"/>
  <c r="S333" i="7"/>
  <c r="T333" i="7" s="1"/>
  <c r="S334" i="7"/>
  <c r="T334" i="7" s="1"/>
  <c r="S335" i="7"/>
  <c r="T335" i="7" s="1"/>
  <c r="S336" i="7"/>
  <c r="T336" i="7" s="1"/>
  <c r="S337" i="7"/>
  <c r="T337" i="7" s="1"/>
  <c r="S338" i="7"/>
  <c r="T338" i="7" s="1"/>
  <c r="S339" i="7"/>
  <c r="T339" i="7" s="1"/>
  <c r="S340" i="7"/>
  <c r="T340" i="7" s="1"/>
  <c r="S341" i="7"/>
  <c r="T341" i="7" s="1"/>
  <c r="S342" i="7"/>
  <c r="T342" i="7" s="1"/>
  <c r="S343" i="7"/>
  <c r="T343" i="7" s="1"/>
  <c r="S344" i="7"/>
  <c r="T344" i="7" s="1"/>
  <c r="S345" i="7"/>
  <c r="T345" i="7" s="1"/>
  <c r="S346" i="7"/>
  <c r="T346" i="7" s="1"/>
  <c r="S347" i="7"/>
  <c r="T347" i="7" s="1"/>
  <c r="S348" i="7"/>
  <c r="T348" i="7" s="1"/>
  <c r="S349" i="7"/>
  <c r="T349" i="7" s="1"/>
  <c r="S350" i="7"/>
  <c r="T350" i="7" s="1"/>
  <c r="S351" i="7"/>
  <c r="T351" i="7" s="1"/>
  <c r="S352" i="7"/>
  <c r="T352" i="7" s="1"/>
  <c r="S353" i="7"/>
  <c r="T353" i="7" s="1"/>
  <c r="S354" i="7"/>
  <c r="T354" i="7" s="1"/>
  <c r="S355" i="7"/>
  <c r="T355" i="7" s="1"/>
  <c r="S356" i="7"/>
  <c r="T356" i="7" s="1"/>
  <c r="S357" i="7"/>
  <c r="T357" i="7" s="1"/>
  <c r="S358" i="7"/>
  <c r="T358" i="7" s="1"/>
  <c r="S359" i="7"/>
  <c r="T359" i="7" s="1"/>
  <c r="S360" i="7"/>
  <c r="T360" i="7" s="1"/>
  <c r="S361" i="7"/>
  <c r="T361" i="7" s="1"/>
  <c r="S362" i="7"/>
  <c r="T362" i="7" s="1"/>
  <c r="S363" i="7"/>
  <c r="T363" i="7" s="1"/>
  <c r="S364" i="7"/>
  <c r="T364" i="7" s="1"/>
  <c r="S365" i="7"/>
  <c r="T365" i="7" s="1"/>
  <c r="S366" i="7"/>
  <c r="T366" i="7" s="1"/>
  <c r="S367" i="7"/>
  <c r="T367" i="7" s="1"/>
  <c r="S368" i="7"/>
  <c r="T368" i="7" s="1"/>
  <c r="S369" i="7"/>
  <c r="T369" i="7" s="1"/>
  <c r="S370" i="7"/>
  <c r="T370" i="7" s="1"/>
  <c r="S371" i="7"/>
  <c r="T371" i="7" s="1"/>
  <c r="S372" i="7"/>
  <c r="T372" i="7" s="1"/>
  <c r="S373" i="7"/>
  <c r="T373" i="7" s="1"/>
  <c r="S374" i="7"/>
  <c r="T374" i="7" s="1"/>
  <c r="S375" i="7"/>
  <c r="T375" i="7" s="1"/>
  <c r="S376" i="7"/>
  <c r="T376" i="7" s="1"/>
  <c r="S377" i="7"/>
  <c r="T377" i="7" s="1"/>
  <c r="S378" i="7"/>
  <c r="T378" i="7" s="1"/>
  <c r="S379" i="7"/>
  <c r="T379" i="7" s="1"/>
  <c r="S380" i="7"/>
  <c r="T380" i="7" s="1"/>
  <c r="S381" i="7"/>
  <c r="T381" i="7" s="1"/>
  <c r="S382" i="7"/>
  <c r="T382" i="7" s="1"/>
  <c r="S383" i="7"/>
  <c r="T383" i="7" s="1"/>
  <c r="S384" i="7"/>
  <c r="T384" i="7" s="1"/>
  <c r="S385" i="7"/>
  <c r="T385" i="7" s="1"/>
  <c r="S386" i="7"/>
  <c r="T386" i="7" s="1"/>
  <c r="S387" i="7"/>
  <c r="T387" i="7" s="1"/>
  <c r="S388" i="7"/>
  <c r="T388" i="7" s="1"/>
  <c r="S389" i="7"/>
  <c r="T389" i="7" s="1"/>
  <c r="S390" i="7"/>
  <c r="T390" i="7" s="1"/>
  <c r="S391" i="7"/>
  <c r="T391" i="7" s="1"/>
  <c r="S392" i="7"/>
  <c r="T392" i="7" s="1"/>
  <c r="S393" i="7"/>
  <c r="T393" i="7" s="1"/>
  <c r="S394" i="7"/>
  <c r="T394" i="7" s="1"/>
  <c r="S395" i="7"/>
  <c r="T395" i="7" s="1"/>
  <c r="S396" i="7"/>
  <c r="T396" i="7" s="1"/>
  <c r="S397" i="7"/>
  <c r="T397" i="7" s="1"/>
  <c r="S398" i="7"/>
  <c r="T398" i="7" s="1"/>
  <c r="S399" i="7"/>
  <c r="T399" i="7" s="1"/>
  <c r="S400" i="7"/>
  <c r="T400" i="7" s="1"/>
  <c r="S401" i="7"/>
  <c r="T401" i="7" s="1"/>
  <c r="S402" i="7"/>
  <c r="T402" i="7" s="1"/>
  <c r="S403" i="7"/>
  <c r="T403" i="7" s="1"/>
  <c r="S404" i="7"/>
  <c r="T404" i="7" s="1"/>
  <c r="S405" i="7"/>
  <c r="T405" i="7" s="1"/>
  <c r="S406" i="7"/>
  <c r="T406" i="7" s="1"/>
  <c r="S407" i="7"/>
  <c r="T407" i="7" s="1"/>
  <c r="S408" i="7"/>
  <c r="T408" i="7" s="1"/>
  <c r="S409" i="7"/>
  <c r="T409" i="7" s="1"/>
  <c r="S410" i="7"/>
  <c r="T410" i="7" s="1"/>
  <c r="S411" i="7"/>
  <c r="T411" i="7" s="1"/>
  <c r="S412" i="7"/>
  <c r="T412" i="7" s="1"/>
  <c r="S413" i="7"/>
  <c r="T413" i="7" s="1"/>
  <c r="S414" i="7"/>
  <c r="T414" i="7" s="1"/>
  <c r="S415" i="7"/>
  <c r="T415" i="7" s="1"/>
  <c r="S416" i="7"/>
  <c r="T416" i="7" s="1"/>
  <c r="S417" i="7"/>
  <c r="T417" i="7" s="1"/>
  <c r="S418" i="7"/>
  <c r="T418" i="7" s="1"/>
  <c r="S419" i="7"/>
  <c r="T419" i="7" s="1"/>
  <c r="S420" i="7"/>
  <c r="T420" i="7" s="1"/>
  <c r="S421" i="7"/>
  <c r="T421" i="7" s="1"/>
  <c r="S422" i="7"/>
  <c r="T422" i="7" s="1"/>
  <c r="S423" i="7"/>
  <c r="T423" i="7" s="1"/>
  <c r="S424" i="7"/>
  <c r="T424" i="7" s="1"/>
  <c r="S425" i="7"/>
  <c r="T425" i="7" s="1"/>
  <c r="S426" i="7"/>
  <c r="T426" i="7" s="1"/>
  <c r="S427" i="7"/>
  <c r="T427" i="7" s="1"/>
  <c r="S428" i="7"/>
  <c r="T428" i="7" s="1"/>
  <c r="S429" i="7"/>
  <c r="T429" i="7" s="1"/>
  <c r="S430" i="7"/>
  <c r="T430" i="7" s="1"/>
  <c r="S431" i="7"/>
  <c r="T431" i="7" s="1"/>
  <c r="S432" i="7"/>
  <c r="T432" i="7" s="1"/>
  <c r="S433" i="7"/>
  <c r="T433" i="7" s="1"/>
  <c r="S434" i="7"/>
  <c r="T434" i="7" s="1"/>
  <c r="S435" i="7"/>
  <c r="T435" i="7" s="1"/>
  <c r="S436" i="7"/>
  <c r="T436" i="7" s="1"/>
  <c r="S437" i="7"/>
  <c r="T437" i="7" s="1"/>
  <c r="S438" i="7"/>
  <c r="T438" i="7" s="1"/>
  <c r="S439" i="7"/>
  <c r="T439" i="7" s="1"/>
  <c r="S440" i="7"/>
  <c r="T440" i="7" s="1"/>
  <c r="S441" i="7"/>
  <c r="T441" i="7" s="1"/>
  <c r="S442" i="7"/>
  <c r="T442" i="7" s="1"/>
  <c r="S443" i="7"/>
  <c r="T443" i="7" s="1"/>
  <c r="S444" i="7"/>
  <c r="T444" i="7" s="1"/>
  <c r="S445" i="7"/>
  <c r="T445" i="7" s="1"/>
  <c r="S446" i="7"/>
  <c r="T446" i="7" s="1"/>
  <c r="S447" i="7"/>
  <c r="T447" i="7" s="1"/>
  <c r="S448" i="7"/>
  <c r="T448" i="7" s="1"/>
  <c r="S449" i="7"/>
  <c r="T449" i="7" s="1"/>
  <c r="S450" i="7"/>
  <c r="T450" i="7" s="1"/>
  <c r="S451" i="7"/>
  <c r="T451" i="7" s="1"/>
  <c r="S452" i="7"/>
  <c r="T452" i="7" s="1"/>
  <c r="S453" i="7"/>
  <c r="T453" i="7" s="1"/>
  <c r="S454" i="7"/>
  <c r="T454" i="7" s="1"/>
  <c r="S455" i="7"/>
  <c r="T455" i="7" s="1"/>
  <c r="S456" i="7"/>
  <c r="T456" i="7" s="1"/>
  <c r="S457" i="7"/>
  <c r="T457" i="7" s="1"/>
  <c r="S458" i="7"/>
  <c r="T458" i="7" s="1"/>
  <c r="S459" i="7"/>
  <c r="T459" i="7" s="1"/>
  <c r="S460" i="7"/>
  <c r="T460" i="7" s="1"/>
  <c r="S461" i="7"/>
  <c r="T461" i="7" s="1"/>
  <c r="S462" i="7"/>
  <c r="T462" i="7" s="1"/>
  <c r="S463" i="7"/>
  <c r="T463" i="7" s="1"/>
  <c r="S464" i="7"/>
  <c r="T464" i="7" s="1"/>
  <c r="S465" i="7"/>
  <c r="T465" i="7" s="1"/>
  <c r="S466" i="7"/>
  <c r="T466" i="7" s="1"/>
  <c r="S467" i="7"/>
  <c r="T467" i="7" s="1"/>
  <c r="S468" i="7"/>
  <c r="T468" i="7" s="1"/>
  <c r="S469" i="7"/>
  <c r="T469" i="7" s="1"/>
  <c r="S470" i="7"/>
  <c r="T470" i="7" s="1"/>
  <c r="S471" i="7"/>
  <c r="T471" i="7" s="1"/>
  <c r="S472" i="7"/>
  <c r="T472" i="7" s="1"/>
  <c r="S473" i="7"/>
  <c r="T473" i="7" s="1"/>
  <c r="S474" i="7"/>
  <c r="T474" i="7" s="1"/>
  <c r="S475" i="7"/>
  <c r="T475" i="7" s="1"/>
  <c r="S476" i="7"/>
  <c r="T476" i="7" s="1"/>
  <c r="S477" i="7"/>
  <c r="T477" i="7" s="1"/>
  <c r="S478" i="7"/>
  <c r="T478" i="7" s="1"/>
  <c r="S479" i="7"/>
  <c r="T479" i="7" s="1"/>
  <c r="S480" i="7"/>
  <c r="T480" i="7" s="1"/>
  <c r="S481" i="7"/>
  <c r="T481" i="7" s="1"/>
  <c r="S482" i="7"/>
  <c r="T482" i="7" s="1"/>
  <c r="S483" i="7"/>
  <c r="T483" i="7" s="1"/>
  <c r="S484" i="7"/>
  <c r="T484" i="7" s="1"/>
  <c r="S485" i="7"/>
  <c r="T485" i="7" s="1"/>
  <c r="S486" i="7"/>
  <c r="T486" i="7" s="1"/>
  <c r="S487" i="7"/>
  <c r="T487" i="7" s="1"/>
  <c r="S488" i="7"/>
  <c r="T488" i="7" s="1"/>
  <c r="S489" i="7"/>
  <c r="T489" i="7" s="1"/>
  <c r="S490" i="7"/>
  <c r="T490" i="7" s="1"/>
  <c r="S491" i="7"/>
  <c r="T491" i="7" s="1"/>
  <c r="S492" i="7"/>
  <c r="T492" i="7" s="1"/>
  <c r="S493" i="7"/>
  <c r="T493" i="7" s="1"/>
  <c r="S494" i="7"/>
  <c r="T494" i="7" s="1"/>
  <c r="S495" i="7"/>
  <c r="T495" i="7" s="1"/>
  <c r="S496" i="7"/>
  <c r="T496" i="7" s="1"/>
  <c r="S497" i="7"/>
  <c r="T497" i="7" s="1"/>
  <c r="S498" i="7"/>
  <c r="T498" i="7" s="1"/>
  <c r="S499" i="7"/>
  <c r="T499" i="7" s="1"/>
  <c r="S500" i="7"/>
  <c r="T500" i="7" s="1"/>
  <c r="S501" i="7"/>
  <c r="T501" i="7" s="1"/>
  <c r="S502" i="7"/>
  <c r="T502" i="7" s="1"/>
  <c r="S503" i="7"/>
  <c r="T503" i="7" s="1"/>
  <c r="S504" i="7"/>
  <c r="T504" i="7" s="1"/>
  <c r="S505" i="7"/>
  <c r="T505" i="7" s="1"/>
  <c r="S506" i="7"/>
  <c r="T506" i="7" s="1"/>
  <c r="S507" i="7"/>
  <c r="T507" i="7" s="1"/>
  <c r="S508" i="7"/>
  <c r="T508" i="7" s="1"/>
  <c r="S509" i="7"/>
  <c r="T509" i="7" s="1"/>
  <c r="S510" i="7"/>
  <c r="T510" i="7" s="1"/>
  <c r="S511" i="7"/>
  <c r="T511" i="7" s="1"/>
  <c r="S512" i="7"/>
  <c r="T512" i="7" s="1"/>
  <c r="S513" i="7"/>
  <c r="T513" i="7" s="1"/>
  <c r="S514" i="7"/>
  <c r="T514" i="7" s="1"/>
  <c r="S515" i="7"/>
  <c r="T515" i="7" s="1"/>
  <c r="S516" i="7"/>
  <c r="T516" i="7" s="1"/>
  <c r="S517" i="7"/>
  <c r="T517" i="7" s="1"/>
  <c r="S518" i="7"/>
  <c r="T518" i="7" s="1"/>
  <c r="S519" i="7"/>
  <c r="S520" i="7"/>
  <c r="T520" i="7" s="1"/>
  <c r="S521" i="7"/>
  <c r="T521" i="7" s="1"/>
  <c r="S522" i="7"/>
  <c r="T522" i="7" s="1"/>
  <c r="S523" i="7"/>
  <c r="T523" i="7" s="1"/>
  <c r="S524" i="7"/>
  <c r="T524" i="7" s="1"/>
  <c r="S525" i="7"/>
  <c r="T525" i="7" s="1"/>
  <c r="S526" i="7"/>
  <c r="T526" i="7" s="1"/>
  <c r="S527" i="7"/>
  <c r="T527" i="7" s="1"/>
  <c r="S528" i="7"/>
  <c r="T528" i="7" s="1"/>
  <c r="S529" i="7"/>
  <c r="T529" i="7" s="1"/>
  <c r="S530" i="7"/>
  <c r="T530" i="7" s="1"/>
  <c r="S531" i="7"/>
  <c r="T531" i="7" s="1"/>
  <c r="S532" i="7"/>
  <c r="T532" i="7" s="1"/>
  <c r="S533" i="7"/>
  <c r="T533" i="7" s="1"/>
  <c r="S534" i="7"/>
  <c r="T534" i="7" s="1"/>
  <c r="S535" i="7"/>
  <c r="T535" i="7" s="1"/>
  <c r="S536" i="7"/>
  <c r="T536" i="7" s="1"/>
  <c r="S537" i="7"/>
  <c r="T537" i="7" s="1"/>
  <c r="S538" i="7"/>
  <c r="T538" i="7" s="1"/>
  <c r="S539" i="7"/>
  <c r="T539" i="7" s="1"/>
  <c r="S540" i="7"/>
  <c r="T540" i="7" s="1"/>
  <c r="S541" i="7"/>
  <c r="T541" i="7" s="1"/>
  <c r="S542" i="7"/>
  <c r="T542" i="7" s="1"/>
  <c r="S543" i="7"/>
  <c r="T543" i="7" s="1"/>
  <c r="S544" i="7"/>
  <c r="T544" i="7" s="1"/>
  <c r="S545" i="7"/>
  <c r="T545" i="7" s="1"/>
  <c r="S546" i="7"/>
  <c r="T546" i="7" s="1"/>
  <c r="S547" i="7"/>
  <c r="T547" i="7" s="1"/>
  <c r="S548" i="7"/>
  <c r="T548" i="7" s="1"/>
  <c r="T519" i="7"/>
  <c r="Q2" i="7"/>
  <c r="R2" i="7" s="1"/>
  <c r="Q3" i="7"/>
  <c r="R3" i="7" s="1"/>
  <c r="Q4" i="7"/>
  <c r="R4" i="7" s="1"/>
  <c r="Q5" i="7"/>
  <c r="Q6" i="7"/>
  <c r="R6" i="7" s="1"/>
  <c r="Q7" i="7"/>
  <c r="R7" i="7" s="1"/>
  <c r="Q8" i="7"/>
  <c r="R8" i="7" s="1"/>
  <c r="Q9" i="7"/>
  <c r="R9" i="7" s="1"/>
  <c r="Q10" i="7"/>
  <c r="R10" i="7" s="1"/>
  <c r="Q11" i="7"/>
  <c r="R11" i="7" s="1"/>
  <c r="Q12" i="7"/>
  <c r="R12" i="7" s="1"/>
  <c r="Q13" i="7"/>
  <c r="R13" i="7" s="1"/>
  <c r="Q14" i="7"/>
  <c r="R14" i="7" s="1"/>
  <c r="Q15" i="7"/>
  <c r="R15" i="7" s="1"/>
  <c r="Q16" i="7"/>
  <c r="R16" i="7" s="1"/>
  <c r="Q17" i="7"/>
  <c r="R17" i="7" s="1"/>
  <c r="Q18" i="7"/>
  <c r="R18" i="7" s="1"/>
  <c r="Q19" i="7"/>
  <c r="R19" i="7" s="1"/>
  <c r="Q20" i="7"/>
  <c r="R20" i="7" s="1"/>
  <c r="Q21" i="7"/>
  <c r="R21" i="7" s="1"/>
  <c r="Q22" i="7"/>
  <c r="R22" i="7" s="1"/>
  <c r="Q23" i="7"/>
  <c r="R23" i="7" s="1"/>
  <c r="Q24" i="7"/>
  <c r="R24" i="7" s="1"/>
  <c r="Q25" i="7"/>
  <c r="R25" i="7" s="1"/>
  <c r="Q26" i="7"/>
  <c r="R26" i="7" s="1"/>
  <c r="Q27" i="7"/>
  <c r="R27" i="7" s="1"/>
  <c r="Q28" i="7"/>
  <c r="R28" i="7" s="1"/>
  <c r="Q29" i="7"/>
  <c r="R29" i="7" s="1"/>
  <c r="Q30" i="7"/>
  <c r="R30" i="7" s="1"/>
  <c r="Q31" i="7"/>
  <c r="R31" i="7" s="1"/>
  <c r="Q32" i="7"/>
  <c r="R32" i="7" s="1"/>
  <c r="Q33" i="7"/>
  <c r="R33" i="7" s="1"/>
  <c r="Q34" i="7"/>
  <c r="R34" i="7" s="1"/>
  <c r="Q35" i="7"/>
  <c r="R35" i="7" s="1"/>
  <c r="Q36" i="7"/>
  <c r="R36" i="7" s="1"/>
  <c r="Q37" i="7"/>
  <c r="R37" i="7" s="1"/>
  <c r="Q38" i="7"/>
  <c r="R38" i="7" s="1"/>
  <c r="Q39" i="7"/>
  <c r="R39" i="7" s="1"/>
  <c r="Q40" i="7"/>
  <c r="R40" i="7" s="1"/>
  <c r="Q41" i="7"/>
  <c r="R41" i="7" s="1"/>
  <c r="Q42" i="7"/>
  <c r="R42" i="7" s="1"/>
  <c r="Q43" i="7"/>
  <c r="R43" i="7" s="1"/>
  <c r="Q44" i="7"/>
  <c r="R44" i="7" s="1"/>
  <c r="Q45" i="7"/>
  <c r="R45" i="7" s="1"/>
  <c r="Q46" i="7"/>
  <c r="R46" i="7" s="1"/>
  <c r="Q47" i="7"/>
  <c r="R47" i="7" s="1"/>
  <c r="Q48" i="7"/>
  <c r="R48" i="7" s="1"/>
  <c r="Q49" i="7"/>
  <c r="R49" i="7" s="1"/>
  <c r="Q50" i="7"/>
  <c r="R50" i="7" s="1"/>
  <c r="Q51" i="7"/>
  <c r="R51" i="7" s="1"/>
  <c r="Q52" i="7"/>
  <c r="R52" i="7" s="1"/>
  <c r="Q53" i="7"/>
  <c r="R53" i="7" s="1"/>
  <c r="Q54" i="7"/>
  <c r="R54" i="7" s="1"/>
  <c r="Q55" i="7"/>
  <c r="R55" i="7" s="1"/>
  <c r="Q56" i="7"/>
  <c r="R56" i="7" s="1"/>
  <c r="Q57" i="7"/>
  <c r="R57" i="7" s="1"/>
  <c r="Q58" i="7"/>
  <c r="R58" i="7" s="1"/>
  <c r="Q59" i="7"/>
  <c r="R59" i="7" s="1"/>
  <c r="Q60" i="7"/>
  <c r="R60" i="7" s="1"/>
  <c r="Q61" i="7"/>
  <c r="R61" i="7" s="1"/>
  <c r="Q62" i="7"/>
  <c r="R62" i="7" s="1"/>
  <c r="Q63" i="7"/>
  <c r="R63" i="7" s="1"/>
  <c r="Q64" i="7"/>
  <c r="R64" i="7" s="1"/>
  <c r="Q65" i="7"/>
  <c r="R65" i="7" s="1"/>
  <c r="Q66" i="7"/>
  <c r="R66" i="7" s="1"/>
  <c r="Q67" i="7"/>
  <c r="R67" i="7" s="1"/>
  <c r="Q68" i="7"/>
  <c r="R68" i="7" s="1"/>
  <c r="Q69" i="7"/>
  <c r="R69" i="7" s="1"/>
  <c r="Q70" i="7"/>
  <c r="R70" i="7" s="1"/>
  <c r="Q71" i="7"/>
  <c r="R71" i="7" s="1"/>
  <c r="Q72" i="7"/>
  <c r="R72" i="7" s="1"/>
  <c r="Q73" i="7"/>
  <c r="R73" i="7" s="1"/>
  <c r="Q74" i="7"/>
  <c r="R74" i="7" s="1"/>
  <c r="Q75" i="7"/>
  <c r="R75" i="7" s="1"/>
  <c r="Q76" i="7"/>
  <c r="R76" i="7" s="1"/>
  <c r="Q77" i="7"/>
  <c r="R77" i="7" s="1"/>
  <c r="Q78" i="7"/>
  <c r="R78" i="7" s="1"/>
  <c r="Q79" i="7"/>
  <c r="R79" i="7" s="1"/>
  <c r="Q80" i="7"/>
  <c r="R80" i="7" s="1"/>
  <c r="Q81" i="7"/>
  <c r="R81" i="7" s="1"/>
  <c r="Q82" i="7"/>
  <c r="R82" i="7" s="1"/>
  <c r="Q83" i="7"/>
  <c r="R83" i="7" s="1"/>
  <c r="Q84" i="7"/>
  <c r="R84" i="7" s="1"/>
  <c r="Q85" i="7"/>
  <c r="R85" i="7" s="1"/>
  <c r="Q86" i="7"/>
  <c r="R86" i="7" s="1"/>
  <c r="Q87" i="7"/>
  <c r="R87" i="7" s="1"/>
  <c r="Q88" i="7"/>
  <c r="R88" i="7" s="1"/>
  <c r="Q89" i="7"/>
  <c r="R89" i="7" s="1"/>
  <c r="Q90" i="7"/>
  <c r="R90" i="7" s="1"/>
  <c r="Q91" i="7"/>
  <c r="R91" i="7" s="1"/>
  <c r="Q92" i="7"/>
  <c r="R92" i="7" s="1"/>
  <c r="Q93" i="7"/>
  <c r="R93" i="7" s="1"/>
  <c r="Q94" i="7"/>
  <c r="R94" i="7" s="1"/>
  <c r="Q95" i="7"/>
  <c r="R95" i="7" s="1"/>
  <c r="Q96" i="7"/>
  <c r="R96" i="7" s="1"/>
  <c r="Q97" i="7"/>
  <c r="R97" i="7" s="1"/>
  <c r="Q98" i="7"/>
  <c r="R98" i="7" s="1"/>
  <c r="Q99" i="7"/>
  <c r="R99" i="7" s="1"/>
  <c r="Q100" i="7"/>
  <c r="R100" i="7" s="1"/>
  <c r="Q101" i="7"/>
  <c r="R101" i="7" s="1"/>
  <c r="Q102" i="7"/>
  <c r="R102" i="7" s="1"/>
  <c r="Q103" i="7"/>
  <c r="R103" i="7" s="1"/>
  <c r="Q104" i="7"/>
  <c r="R104" i="7" s="1"/>
  <c r="Q105" i="7"/>
  <c r="R105" i="7" s="1"/>
  <c r="Q106" i="7"/>
  <c r="R106" i="7" s="1"/>
  <c r="Q107" i="7"/>
  <c r="R107" i="7" s="1"/>
  <c r="Q108" i="7"/>
  <c r="R108" i="7" s="1"/>
  <c r="Q109" i="7"/>
  <c r="R109" i="7" s="1"/>
  <c r="Q110" i="7"/>
  <c r="R110" i="7" s="1"/>
  <c r="Q111" i="7"/>
  <c r="R111" i="7" s="1"/>
  <c r="Q112" i="7"/>
  <c r="R112" i="7" s="1"/>
  <c r="Q113" i="7"/>
  <c r="R113" i="7" s="1"/>
  <c r="Q114" i="7"/>
  <c r="R114" i="7" s="1"/>
  <c r="Q115" i="7"/>
  <c r="R115" i="7" s="1"/>
  <c r="Q116" i="7"/>
  <c r="R116" i="7" s="1"/>
  <c r="Q117" i="7"/>
  <c r="R117" i="7" s="1"/>
  <c r="Q118" i="7"/>
  <c r="R118" i="7" s="1"/>
  <c r="Q119" i="7"/>
  <c r="R119" i="7" s="1"/>
  <c r="Q120" i="7"/>
  <c r="R120" i="7" s="1"/>
  <c r="Q121" i="7"/>
  <c r="R121" i="7" s="1"/>
  <c r="Q122" i="7"/>
  <c r="R122" i="7" s="1"/>
  <c r="Q123" i="7"/>
  <c r="R123" i="7" s="1"/>
  <c r="Q124" i="7"/>
  <c r="R124" i="7" s="1"/>
  <c r="Q125" i="7"/>
  <c r="R125" i="7" s="1"/>
  <c r="Q126" i="7"/>
  <c r="R126" i="7" s="1"/>
  <c r="Q127" i="7"/>
  <c r="R127" i="7" s="1"/>
  <c r="Q128" i="7"/>
  <c r="R128" i="7" s="1"/>
  <c r="Q129" i="7"/>
  <c r="R129" i="7" s="1"/>
  <c r="Q130" i="7"/>
  <c r="R130" i="7" s="1"/>
  <c r="Q131" i="7"/>
  <c r="R131" i="7" s="1"/>
  <c r="Q132" i="7"/>
  <c r="R132" i="7" s="1"/>
  <c r="Q133" i="7"/>
  <c r="R133" i="7" s="1"/>
  <c r="Q134" i="7"/>
  <c r="R134" i="7" s="1"/>
  <c r="Q135" i="7"/>
  <c r="R135" i="7" s="1"/>
  <c r="Q136" i="7"/>
  <c r="R136" i="7" s="1"/>
  <c r="Q137" i="7"/>
  <c r="R137" i="7" s="1"/>
  <c r="Q138" i="7"/>
  <c r="R138" i="7" s="1"/>
  <c r="Q139" i="7"/>
  <c r="R139" i="7" s="1"/>
  <c r="Q140" i="7"/>
  <c r="R140" i="7" s="1"/>
  <c r="Q141" i="7"/>
  <c r="R141" i="7" s="1"/>
  <c r="Q142" i="7"/>
  <c r="R142" i="7" s="1"/>
  <c r="Q143" i="7"/>
  <c r="R143" i="7" s="1"/>
  <c r="Q144" i="7"/>
  <c r="R144" i="7" s="1"/>
  <c r="Q145" i="7"/>
  <c r="R145" i="7" s="1"/>
  <c r="Q146" i="7"/>
  <c r="R146" i="7" s="1"/>
  <c r="Q147" i="7"/>
  <c r="R147" i="7" s="1"/>
  <c r="Q148" i="7"/>
  <c r="R148" i="7" s="1"/>
  <c r="Q149" i="7"/>
  <c r="R149" i="7" s="1"/>
  <c r="Q150" i="7"/>
  <c r="R150" i="7" s="1"/>
  <c r="Q151" i="7"/>
  <c r="R151" i="7" s="1"/>
  <c r="Q152" i="7"/>
  <c r="R152" i="7" s="1"/>
  <c r="Q153" i="7"/>
  <c r="R153" i="7" s="1"/>
  <c r="Q154" i="7"/>
  <c r="R154" i="7" s="1"/>
  <c r="Q155" i="7"/>
  <c r="R155" i="7" s="1"/>
  <c r="Q156" i="7"/>
  <c r="R156" i="7" s="1"/>
  <c r="Q157" i="7"/>
  <c r="R157" i="7" s="1"/>
  <c r="Q158" i="7"/>
  <c r="R158" i="7" s="1"/>
  <c r="Q159" i="7"/>
  <c r="R159" i="7" s="1"/>
  <c r="Q160" i="7"/>
  <c r="R160" i="7" s="1"/>
  <c r="Q161" i="7"/>
  <c r="R161" i="7" s="1"/>
  <c r="Q162" i="7"/>
  <c r="R162" i="7" s="1"/>
  <c r="Q163" i="7"/>
  <c r="R163" i="7" s="1"/>
  <c r="Q164" i="7"/>
  <c r="R164" i="7" s="1"/>
  <c r="Q165" i="7"/>
  <c r="R165" i="7" s="1"/>
  <c r="Q166" i="7"/>
  <c r="R166" i="7" s="1"/>
  <c r="Q167" i="7"/>
  <c r="R167" i="7" s="1"/>
  <c r="Q168" i="7"/>
  <c r="R168" i="7" s="1"/>
  <c r="Q169" i="7"/>
  <c r="R169" i="7" s="1"/>
  <c r="Q170" i="7"/>
  <c r="R170" i="7" s="1"/>
  <c r="Q171" i="7"/>
  <c r="R171" i="7" s="1"/>
  <c r="Q172" i="7"/>
  <c r="R172" i="7" s="1"/>
  <c r="Q173" i="7"/>
  <c r="R173" i="7" s="1"/>
  <c r="Q174" i="7"/>
  <c r="R174" i="7" s="1"/>
  <c r="Q175" i="7"/>
  <c r="R175" i="7" s="1"/>
  <c r="Q176" i="7"/>
  <c r="R176" i="7" s="1"/>
  <c r="Q177" i="7"/>
  <c r="R177" i="7" s="1"/>
  <c r="Q178" i="7"/>
  <c r="R178" i="7" s="1"/>
  <c r="Q179" i="7"/>
  <c r="R179" i="7" s="1"/>
  <c r="Q180" i="7"/>
  <c r="R180" i="7" s="1"/>
  <c r="Q181" i="7"/>
  <c r="R181" i="7" s="1"/>
  <c r="Q182" i="7"/>
  <c r="R182" i="7" s="1"/>
  <c r="Q183" i="7"/>
  <c r="R183" i="7" s="1"/>
  <c r="Q184" i="7"/>
  <c r="R184" i="7" s="1"/>
  <c r="Q185" i="7"/>
  <c r="R185" i="7" s="1"/>
  <c r="Q186" i="7"/>
  <c r="R186" i="7" s="1"/>
  <c r="Q187" i="7"/>
  <c r="R187" i="7" s="1"/>
  <c r="Q188" i="7"/>
  <c r="R188" i="7" s="1"/>
  <c r="Q189" i="7"/>
  <c r="R189" i="7" s="1"/>
  <c r="Q190" i="7"/>
  <c r="R190" i="7" s="1"/>
  <c r="Q191" i="7"/>
  <c r="R191" i="7" s="1"/>
  <c r="Q192" i="7"/>
  <c r="R192" i="7" s="1"/>
  <c r="Q193" i="7"/>
  <c r="R193" i="7" s="1"/>
  <c r="Q194" i="7"/>
  <c r="R194" i="7" s="1"/>
  <c r="Q195" i="7"/>
  <c r="R195" i="7" s="1"/>
  <c r="Q196" i="7"/>
  <c r="R196" i="7" s="1"/>
  <c r="Q197" i="7"/>
  <c r="R197" i="7" s="1"/>
  <c r="Q198" i="7"/>
  <c r="R198" i="7" s="1"/>
  <c r="Q199" i="7"/>
  <c r="R199" i="7" s="1"/>
  <c r="Q200" i="7"/>
  <c r="R200" i="7" s="1"/>
  <c r="Q201" i="7"/>
  <c r="R201" i="7" s="1"/>
  <c r="Q202" i="7"/>
  <c r="R202" i="7" s="1"/>
  <c r="Q203" i="7"/>
  <c r="R203" i="7" s="1"/>
  <c r="Q204" i="7"/>
  <c r="R204" i="7" s="1"/>
  <c r="Q205" i="7"/>
  <c r="R205" i="7" s="1"/>
  <c r="Q206" i="7"/>
  <c r="R206" i="7" s="1"/>
  <c r="Q207" i="7"/>
  <c r="R207" i="7" s="1"/>
  <c r="Q208" i="7"/>
  <c r="R208" i="7" s="1"/>
  <c r="Q209" i="7"/>
  <c r="R209" i="7" s="1"/>
  <c r="Q210" i="7"/>
  <c r="R210" i="7" s="1"/>
  <c r="Q211" i="7"/>
  <c r="R211" i="7" s="1"/>
  <c r="Q212" i="7"/>
  <c r="R212" i="7" s="1"/>
  <c r="Q213" i="7"/>
  <c r="R213" i="7" s="1"/>
  <c r="Q214" i="7"/>
  <c r="R214" i="7" s="1"/>
  <c r="Q215" i="7"/>
  <c r="R215" i="7" s="1"/>
  <c r="Q216" i="7"/>
  <c r="R216" i="7" s="1"/>
  <c r="Q217" i="7"/>
  <c r="R217" i="7" s="1"/>
  <c r="Q218" i="7"/>
  <c r="R218" i="7" s="1"/>
  <c r="Q219" i="7"/>
  <c r="R219" i="7" s="1"/>
  <c r="Q220" i="7"/>
  <c r="R220" i="7" s="1"/>
  <c r="Q221" i="7"/>
  <c r="R221" i="7" s="1"/>
  <c r="Q222" i="7"/>
  <c r="R222" i="7" s="1"/>
  <c r="Q223" i="7"/>
  <c r="R223" i="7" s="1"/>
  <c r="Q224" i="7"/>
  <c r="R224" i="7" s="1"/>
  <c r="Q225" i="7"/>
  <c r="R225" i="7" s="1"/>
  <c r="Q226" i="7"/>
  <c r="R226" i="7" s="1"/>
  <c r="Q227" i="7"/>
  <c r="R227" i="7" s="1"/>
  <c r="Q228" i="7"/>
  <c r="R228" i="7" s="1"/>
  <c r="Q229" i="7"/>
  <c r="R229" i="7" s="1"/>
  <c r="Q230" i="7"/>
  <c r="R230" i="7" s="1"/>
  <c r="Q231" i="7"/>
  <c r="R231" i="7" s="1"/>
  <c r="Q232" i="7"/>
  <c r="R232" i="7" s="1"/>
  <c r="Q233" i="7"/>
  <c r="R233" i="7" s="1"/>
  <c r="Q234" i="7"/>
  <c r="R234" i="7" s="1"/>
  <c r="Q235" i="7"/>
  <c r="R235" i="7" s="1"/>
  <c r="Q236" i="7"/>
  <c r="R236" i="7" s="1"/>
  <c r="Q237" i="7"/>
  <c r="R237" i="7" s="1"/>
  <c r="Q238" i="7"/>
  <c r="R238" i="7" s="1"/>
  <c r="Q239" i="7"/>
  <c r="R239" i="7" s="1"/>
  <c r="Q240" i="7"/>
  <c r="R240" i="7" s="1"/>
  <c r="Q241" i="7"/>
  <c r="R241" i="7" s="1"/>
  <c r="Q242" i="7"/>
  <c r="R242" i="7" s="1"/>
  <c r="Q243" i="7"/>
  <c r="R243" i="7" s="1"/>
  <c r="Q244" i="7"/>
  <c r="R244" i="7" s="1"/>
  <c r="Q245" i="7"/>
  <c r="R245" i="7" s="1"/>
  <c r="Q246" i="7"/>
  <c r="R246" i="7" s="1"/>
  <c r="Q247" i="7"/>
  <c r="R247" i="7" s="1"/>
  <c r="Q248" i="7"/>
  <c r="R248" i="7" s="1"/>
  <c r="Q249" i="7"/>
  <c r="R249" i="7" s="1"/>
  <c r="Q250" i="7"/>
  <c r="R250" i="7" s="1"/>
  <c r="Q251" i="7"/>
  <c r="R251" i="7" s="1"/>
  <c r="Q252" i="7"/>
  <c r="R252" i="7" s="1"/>
  <c r="Q253" i="7"/>
  <c r="R253" i="7" s="1"/>
  <c r="Q254" i="7"/>
  <c r="R254" i="7" s="1"/>
  <c r="Q255" i="7"/>
  <c r="R255" i="7" s="1"/>
  <c r="Q256" i="7"/>
  <c r="R256" i="7" s="1"/>
  <c r="Q257" i="7"/>
  <c r="R257" i="7" s="1"/>
  <c r="Q258" i="7"/>
  <c r="R258" i="7" s="1"/>
  <c r="Q259" i="7"/>
  <c r="R259" i="7" s="1"/>
  <c r="Q260" i="7"/>
  <c r="R260" i="7" s="1"/>
  <c r="Q261" i="7"/>
  <c r="R261" i="7" s="1"/>
  <c r="Q262" i="7"/>
  <c r="R262" i="7" s="1"/>
  <c r="Q263" i="7"/>
  <c r="R263" i="7" s="1"/>
  <c r="Q264" i="7"/>
  <c r="R264" i="7" s="1"/>
  <c r="Q265" i="7"/>
  <c r="R265" i="7" s="1"/>
  <c r="Q266" i="7"/>
  <c r="R266" i="7" s="1"/>
  <c r="Q267" i="7"/>
  <c r="R267" i="7" s="1"/>
  <c r="Q268" i="7"/>
  <c r="R268" i="7" s="1"/>
  <c r="Q269" i="7"/>
  <c r="R269" i="7" s="1"/>
  <c r="Q270" i="7"/>
  <c r="R270" i="7" s="1"/>
  <c r="Q271" i="7"/>
  <c r="R271" i="7" s="1"/>
  <c r="Q272" i="7"/>
  <c r="R272" i="7" s="1"/>
  <c r="Q273" i="7"/>
  <c r="R273" i="7" s="1"/>
  <c r="Q274" i="7"/>
  <c r="R274" i="7" s="1"/>
  <c r="Q275" i="7"/>
  <c r="R275" i="7" s="1"/>
  <c r="Q276" i="7"/>
  <c r="R276" i="7" s="1"/>
  <c r="Q277" i="7"/>
  <c r="R277" i="7" s="1"/>
  <c r="Q278" i="7"/>
  <c r="R278" i="7" s="1"/>
  <c r="Q279" i="7"/>
  <c r="R279" i="7" s="1"/>
  <c r="Q280" i="7"/>
  <c r="R280" i="7" s="1"/>
  <c r="Q281" i="7"/>
  <c r="R281" i="7" s="1"/>
  <c r="Q282" i="7"/>
  <c r="R282" i="7" s="1"/>
  <c r="Q283" i="7"/>
  <c r="R283" i="7" s="1"/>
  <c r="Q284" i="7"/>
  <c r="R284" i="7" s="1"/>
  <c r="Q285" i="7"/>
  <c r="R285" i="7" s="1"/>
  <c r="Q286" i="7"/>
  <c r="Q287" i="7"/>
  <c r="R287" i="7" s="1"/>
  <c r="Q288" i="7"/>
  <c r="R288" i="7" s="1"/>
  <c r="Q289" i="7"/>
  <c r="R289" i="7" s="1"/>
  <c r="Q290" i="7"/>
  <c r="R290" i="7" s="1"/>
  <c r="Q291" i="7"/>
  <c r="R291" i="7" s="1"/>
  <c r="Q292" i="7"/>
  <c r="R292" i="7" s="1"/>
  <c r="Q293" i="7"/>
  <c r="R293" i="7" s="1"/>
  <c r="Q294" i="7"/>
  <c r="R294" i="7" s="1"/>
  <c r="Q295" i="7"/>
  <c r="R295" i="7" s="1"/>
  <c r="Q296" i="7"/>
  <c r="R296" i="7" s="1"/>
  <c r="Q297" i="7"/>
  <c r="R297" i="7" s="1"/>
  <c r="Q298" i="7"/>
  <c r="R298" i="7" s="1"/>
  <c r="Q299" i="7"/>
  <c r="R299" i="7" s="1"/>
  <c r="Q300" i="7"/>
  <c r="R300" i="7" s="1"/>
  <c r="Q301" i="7"/>
  <c r="R301" i="7" s="1"/>
  <c r="Q302" i="7"/>
  <c r="R302" i="7" s="1"/>
  <c r="Q303" i="7"/>
  <c r="R303" i="7" s="1"/>
  <c r="Q304" i="7"/>
  <c r="R304" i="7" s="1"/>
  <c r="Q305" i="7"/>
  <c r="R305" i="7" s="1"/>
  <c r="Q306" i="7"/>
  <c r="R306" i="7" s="1"/>
  <c r="Q307" i="7"/>
  <c r="R307" i="7" s="1"/>
  <c r="Q308" i="7"/>
  <c r="R308" i="7" s="1"/>
  <c r="Q309" i="7"/>
  <c r="R309" i="7" s="1"/>
  <c r="Q310" i="7"/>
  <c r="R310" i="7" s="1"/>
  <c r="Q311" i="7"/>
  <c r="R311" i="7" s="1"/>
  <c r="Q312" i="7"/>
  <c r="R312" i="7" s="1"/>
  <c r="Q313" i="7"/>
  <c r="R313" i="7" s="1"/>
  <c r="Q314" i="7"/>
  <c r="R314" i="7" s="1"/>
  <c r="Q315" i="7"/>
  <c r="R315" i="7" s="1"/>
  <c r="Q316" i="7"/>
  <c r="R316" i="7" s="1"/>
  <c r="Q317" i="7"/>
  <c r="R317" i="7" s="1"/>
  <c r="Q318" i="7"/>
  <c r="R318" i="7" s="1"/>
  <c r="Q319" i="7"/>
  <c r="R319" i="7" s="1"/>
  <c r="Q320" i="7"/>
  <c r="R320" i="7" s="1"/>
  <c r="Q321" i="7"/>
  <c r="R321" i="7" s="1"/>
  <c r="Q322" i="7"/>
  <c r="R322" i="7" s="1"/>
  <c r="Q323" i="7"/>
  <c r="R323" i="7" s="1"/>
  <c r="Q324" i="7"/>
  <c r="R324" i="7" s="1"/>
  <c r="Q325" i="7"/>
  <c r="R325" i="7" s="1"/>
  <c r="Q326" i="7"/>
  <c r="R326" i="7" s="1"/>
  <c r="Q327" i="7"/>
  <c r="R327" i="7" s="1"/>
  <c r="Q328" i="7"/>
  <c r="R328" i="7" s="1"/>
  <c r="Q329" i="7"/>
  <c r="R329" i="7" s="1"/>
  <c r="Q330" i="7"/>
  <c r="R330" i="7" s="1"/>
  <c r="Q331" i="7"/>
  <c r="R331" i="7" s="1"/>
  <c r="Q332" i="7"/>
  <c r="R332" i="7" s="1"/>
  <c r="Q333" i="7"/>
  <c r="R333" i="7" s="1"/>
  <c r="Q334" i="7"/>
  <c r="R334" i="7" s="1"/>
  <c r="Q335" i="7"/>
  <c r="R335" i="7" s="1"/>
  <c r="Q336" i="7"/>
  <c r="R336" i="7" s="1"/>
  <c r="Q337" i="7"/>
  <c r="R337" i="7" s="1"/>
  <c r="Q338" i="7"/>
  <c r="R338" i="7" s="1"/>
  <c r="Q339" i="7"/>
  <c r="R339" i="7" s="1"/>
  <c r="Q340" i="7"/>
  <c r="R340" i="7" s="1"/>
  <c r="Q341" i="7"/>
  <c r="R341" i="7" s="1"/>
  <c r="Q342" i="7"/>
  <c r="R342" i="7" s="1"/>
  <c r="Q343" i="7"/>
  <c r="R343" i="7" s="1"/>
  <c r="Q344" i="7"/>
  <c r="R344" i="7" s="1"/>
  <c r="Q345" i="7"/>
  <c r="R345" i="7" s="1"/>
  <c r="Q346" i="7"/>
  <c r="R346" i="7" s="1"/>
  <c r="Q347" i="7"/>
  <c r="R347" i="7" s="1"/>
  <c r="Q348" i="7"/>
  <c r="R348" i="7" s="1"/>
  <c r="Q349" i="7"/>
  <c r="R349" i="7" s="1"/>
  <c r="Q350" i="7"/>
  <c r="R350" i="7" s="1"/>
  <c r="Q351" i="7"/>
  <c r="R351" i="7" s="1"/>
  <c r="Q352" i="7"/>
  <c r="R352" i="7" s="1"/>
  <c r="Q353" i="7"/>
  <c r="R353" i="7" s="1"/>
  <c r="Q354" i="7"/>
  <c r="R354" i="7" s="1"/>
  <c r="Q355" i="7"/>
  <c r="R355" i="7" s="1"/>
  <c r="Q356" i="7"/>
  <c r="R356" i="7" s="1"/>
  <c r="Q357" i="7"/>
  <c r="R357" i="7" s="1"/>
  <c r="Q358" i="7"/>
  <c r="R358" i="7" s="1"/>
  <c r="Q359" i="7"/>
  <c r="R359" i="7" s="1"/>
  <c r="Q360" i="7"/>
  <c r="R360" i="7" s="1"/>
  <c r="Q361" i="7"/>
  <c r="R361" i="7" s="1"/>
  <c r="Q362" i="7"/>
  <c r="R362" i="7" s="1"/>
  <c r="Q363" i="7"/>
  <c r="R363" i="7" s="1"/>
  <c r="Q364" i="7"/>
  <c r="R364" i="7" s="1"/>
  <c r="Q365" i="7"/>
  <c r="R365" i="7" s="1"/>
  <c r="Q366" i="7"/>
  <c r="R366" i="7" s="1"/>
  <c r="Q367" i="7"/>
  <c r="R367" i="7" s="1"/>
  <c r="Q368" i="7"/>
  <c r="R368" i="7" s="1"/>
  <c r="Q369" i="7"/>
  <c r="R369" i="7" s="1"/>
  <c r="Q370" i="7"/>
  <c r="R370" i="7" s="1"/>
  <c r="Q371" i="7"/>
  <c r="R371" i="7" s="1"/>
  <c r="Q372" i="7"/>
  <c r="R372" i="7" s="1"/>
  <c r="Q373" i="7"/>
  <c r="R373" i="7" s="1"/>
  <c r="Q374" i="7"/>
  <c r="R374" i="7" s="1"/>
  <c r="Q375" i="7"/>
  <c r="R375" i="7" s="1"/>
  <c r="Q376" i="7"/>
  <c r="R376" i="7" s="1"/>
  <c r="Q377" i="7"/>
  <c r="R377" i="7" s="1"/>
  <c r="Q378" i="7"/>
  <c r="R378" i="7" s="1"/>
  <c r="Q379" i="7"/>
  <c r="R379" i="7" s="1"/>
  <c r="Q380" i="7"/>
  <c r="R380" i="7" s="1"/>
  <c r="Q381" i="7"/>
  <c r="R381" i="7" s="1"/>
  <c r="Q382" i="7"/>
  <c r="R382" i="7" s="1"/>
  <c r="Q383" i="7"/>
  <c r="R383" i="7" s="1"/>
  <c r="Q384" i="7"/>
  <c r="R384" i="7" s="1"/>
  <c r="Q385" i="7"/>
  <c r="R385" i="7" s="1"/>
  <c r="Q386" i="7"/>
  <c r="R386" i="7" s="1"/>
  <c r="Q387" i="7"/>
  <c r="R387" i="7" s="1"/>
  <c r="Q388" i="7"/>
  <c r="R388" i="7" s="1"/>
  <c r="Q389" i="7"/>
  <c r="R389" i="7" s="1"/>
  <c r="Q390" i="7"/>
  <c r="R390" i="7" s="1"/>
  <c r="Q391" i="7"/>
  <c r="R391" i="7" s="1"/>
  <c r="Q392" i="7"/>
  <c r="R392" i="7" s="1"/>
  <c r="Q393" i="7"/>
  <c r="R393" i="7" s="1"/>
  <c r="Q394" i="7"/>
  <c r="R394" i="7" s="1"/>
  <c r="Q395" i="7"/>
  <c r="R395" i="7" s="1"/>
  <c r="Q396" i="7"/>
  <c r="R396" i="7" s="1"/>
  <c r="Q397" i="7"/>
  <c r="R397" i="7" s="1"/>
  <c r="Q398" i="7"/>
  <c r="R398" i="7" s="1"/>
  <c r="Q399" i="7"/>
  <c r="R399" i="7" s="1"/>
  <c r="Q400" i="7"/>
  <c r="R400" i="7" s="1"/>
  <c r="Q401" i="7"/>
  <c r="R401" i="7" s="1"/>
  <c r="Q402" i="7"/>
  <c r="R402" i="7" s="1"/>
  <c r="Q403" i="7"/>
  <c r="R403" i="7" s="1"/>
  <c r="Q404" i="7"/>
  <c r="R404" i="7" s="1"/>
  <c r="Q405" i="7"/>
  <c r="R405" i="7" s="1"/>
  <c r="Q406" i="7"/>
  <c r="R406" i="7" s="1"/>
  <c r="Q407" i="7"/>
  <c r="R407" i="7" s="1"/>
  <c r="Q408" i="7"/>
  <c r="R408" i="7" s="1"/>
  <c r="Q409" i="7"/>
  <c r="R409" i="7" s="1"/>
  <c r="Q410" i="7"/>
  <c r="R410" i="7" s="1"/>
  <c r="Q411" i="7"/>
  <c r="R411" i="7" s="1"/>
  <c r="Q412" i="7"/>
  <c r="R412" i="7" s="1"/>
  <c r="Q413" i="7"/>
  <c r="R413" i="7" s="1"/>
  <c r="Q414" i="7"/>
  <c r="R414" i="7" s="1"/>
  <c r="Q415" i="7"/>
  <c r="R415" i="7" s="1"/>
  <c r="Q416" i="7"/>
  <c r="R416" i="7" s="1"/>
  <c r="Q417" i="7"/>
  <c r="R417" i="7" s="1"/>
  <c r="Q418" i="7"/>
  <c r="R418" i="7" s="1"/>
  <c r="Q419" i="7"/>
  <c r="R419" i="7" s="1"/>
  <c r="Q420" i="7"/>
  <c r="R420" i="7" s="1"/>
  <c r="Q421" i="7"/>
  <c r="R421" i="7" s="1"/>
  <c r="Q422" i="7"/>
  <c r="R422" i="7" s="1"/>
  <c r="Q423" i="7"/>
  <c r="R423" i="7" s="1"/>
  <c r="Q424" i="7"/>
  <c r="R424" i="7" s="1"/>
  <c r="Q425" i="7"/>
  <c r="R425" i="7" s="1"/>
  <c r="Q426" i="7"/>
  <c r="R426" i="7" s="1"/>
  <c r="Q427" i="7"/>
  <c r="R427" i="7" s="1"/>
  <c r="Q428" i="7"/>
  <c r="R428" i="7" s="1"/>
  <c r="Q429" i="7"/>
  <c r="R429" i="7" s="1"/>
  <c r="Q430" i="7"/>
  <c r="R430" i="7" s="1"/>
  <c r="Q431" i="7"/>
  <c r="R431" i="7" s="1"/>
  <c r="Q432" i="7"/>
  <c r="R432" i="7" s="1"/>
  <c r="Q433" i="7"/>
  <c r="R433" i="7" s="1"/>
  <c r="Q434" i="7"/>
  <c r="R434" i="7" s="1"/>
  <c r="Q435" i="7"/>
  <c r="R435" i="7" s="1"/>
  <c r="Q436" i="7"/>
  <c r="R436" i="7" s="1"/>
  <c r="Q437" i="7"/>
  <c r="R437" i="7" s="1"/>
  <c r="Q438" i="7"/>
  <c r="R438" i="7" s="1"/>
  <c r="Q439" i="7"/>
  <c r="R439" i="7" s="1"/>
  <c r="Q440" i="7"/>
  <c r="R440" i="7" s="1"/>
  <c r="Q441" i="7"/>
  <c r="R441" i="7" s="1"/>
  <c r="Q442" i="7"/>
  <c r="R442" i="7" s="1"/>
  <c r="Q443" i="7"/>
  <c r="R443" i="7" s="1"/>
  <c r="Q444" i="7"/>
  <c r="R444" i="7" s="1"/>
  <c r="Q445" i="7"/>
  <c r="R445" i="7" s="1"/>
  <c r="Q446" i="7"/>
  <c r="R446" i="7" s="1"/>
  <c r="Q447" i="7"/>
  <c r="R447" i="7" s="1"/>
  <c r="Q448" i="7"/>
  <c r="R448" i="7" s="1"/>
  <c r="Q449" i="7"/>
  <c r="R449" i="7" s="1"/>
  <c r="Q450" i="7"/>
  <c r="R450" i="7" s="1"/>
  <c r="Q451" i="7"/>
  <c r="R451" i="7" s="1"/>
  <c r="Q452" i="7"/>
  <c r="R452" i="7" s="1"/>
  <c r="Q453" i="7"/>
  <c r="R453" i="7" s="1"/>
  <c r="Q454" i="7"/>
  <c r="R454" i="7" s="1"/>
  <c r="Q455" i="7"/>
  <c r="R455" i="7" s="1"/>
  <c r="Q456" i="7"/>
  <c r="R456" i="7" s="1"/>
  <c r="Q457" i="7"/>
  <c r="R457" i="7" s="1"/>
  <c r="Q458" i="7"/>
  <c r="R458" i="7" s="1"/>
  <c r="Q459" i="7"/>
  <c r="R459" i="7" s="1"/>
  <c r="Q460" i="7"/>
  <c r="R460" i="7" s="1"/>
  <c r="Q461" i="7"/>
  <c r="R461" i="7" s="1"/>
  <c r="Q462" i="7"/>
  <c r="R462" i="7" s="1"/>
  <c r="Q463" i="7"/>
  <c r="R463" i="7" s="1"/>
  <c r="Q464" i="7"/>
  <c r="R464" i="7" s="1"/>
  <c r="Q465" i="7"/>
  <c r="R465" i="7" s="1"/>
  <c r="Q466" i="7"/>
  <c r="R466" i="7" s="1"/>
  <c r="Q467" i="7"/>
  <c r="R467" i="7" s="1"/>
  <c r="Q468" i="7"/>
  <c r="R468" i="7" s="1"/>
  <c r="Q469" i="7"/>
  <c r="R469" i="7" s="1"/>
  <c r="Q470" i="7"/>
  <c r="R470" i="7" s="1"/>
  <c r="Q471" i="7"/>
  <c r="R471" i="7" s="1"/>
  <c r="Q472" i="7"/>
  <c r="R472" i="7" s="1"/>
  <c r="Q473" i="7"/>
  <c r="R473" i="7" s="1"/>
  <c r="Q474" i="7"/>
  <c r="R474" i="7" s="1"/>
  <c r="Q475" i="7"/>
  <c r="R475" i="7" s="1"/>
  <c r="Q476" i="7"/>
  <c r="R476" i="7" s="1"/>
  <c r="Q477" i="7"/>
  <c r="R477" i="7" s="1"/>
  <c r="Q478" i="7"/>
  <c r="R478" i="7" s="1"/>
  <c r="Q479" i="7"/>
  <c r="R479" i="7" s="1"/>
  <c r="Q480" i="7"/>
  <c r="R480" i="7" s="1"/>
  <c r="Q481" i="7"/>
  <c r="R481" i="7" s="1"/>
  <c r="Q482" i="7"/>
  <c r="R482" i="7" s="1"/>
  <c r="Q483" i="7"/>
  <c r="R483" i="7" s="1"/>
  <c r="Q484" i="7"/>
  <c r="R484" i="7" s="1"/>
  <c r="Q485" i="7"/>
  <c r="R485" i="7" s="1"/>
  <c r="Q486" i="7"/>
  <c r="R486" i="7" s="1"/>
  <c r="Q487" i="7"/>
  <c r="R487" i="7" s="1"/>
  <c r="Q488" i="7"/>
  <c r="R488" i="7" s="1"/>
  <c r="Q489" i="7"/>
  <c r="R489" i="7" s="1"/>
  <c r="Q490" i="7"/>
  <c r="R490" i="7" s="1"/>
  <c r="Q491" i="7"/>
  <c r="R491" i="7" s="1"/>
  <c r="Q492" i="7"/>
  <c r="R492" i="7" s="1"/>
  <c r="Q493" i="7"/>
  <c r="R493" i="7" s="1"/>
  <c r="Q494" i="7"/>
  <c r="R494" i="7" s="1"/>
  <c r="Q495" i="7"/>
  <c r="R495" i="7" s="1"/>
  <c r="Q496" i="7"/>
  <c r="R496" i="7" s="1"/>
  <c r="Q497" i="7"/>
  <c r="R497" i="7" s="1"/>
  <c r="Q498" i="7"/>
  <c r="R498" i="7" s="1"/>
  <c r="Q499" i="7"/>
  <c r="R499" i="7" s="1"/>
  <c r="Q500" i="7"/>
  <c r="R500" i="7" s="1"/>
  <c r="Q501" i="7"/>
  <c r="R501" i="7" s="1"/>
  <c r="Q502" i="7"/>
  <c r="R502" i="7" s="1"/>
  <c r="Q503" i="7"/>
  <c r="R503" i="7" s="1"/>
  <c r="Q504" i="7"/>
  <c r="R504" i="7" s="1"/>
  <c r="Q505" i="7"/>
  <c r="R505" i="7" s="1"/>
  <c r="Q506" i="7"/>
  <c r="R506" i="7" s="1"/>
  <c r="Q507" i="7"/>
  <c r="R507" i="7" s="1"/>
  <c r="Q508" i="7"/>
  <c r="R508" i="7" s="1"/>
  <c r="Q509" i="7"/>
  <c r="R509" i="7" s="1"/>
  <c r="Q510" i="7"/>
  <c r="R510" i="7" s="1"/>
  <c r="Q511" i="7"/>
  <c r="R511" i="7" s="1"/>
  <c r="Q512" i="7"/>
  <c r="R512" i="7" s="1"/>
  <c r="Q513" i="7"/>
  <c r="R513" i="7" s="1"/>
  <c r="Q514" i="7"/>
  <c r="R514" i="7" s="1"/>
  <c r="Q515" i="7"/>
  <c r="R515" i="7" s="1"/>
  <c r="Q516" i="7"/>
  <c r="R516" i="7" s="1"/>
  <c r="Q517" i="7"/>
  <c r="R517" i="7" s="1"/>
  <c r="Q518" i="7"/>
  <c r="R518" i="7" s="1"/>
  <c r="Q519" i="7"/>
  <c r="R519" i="7" s="1"/>
  <c r="Q520" i="7"/>
  <c r="R520" i="7" s="1"/>
  <c r="Q521" i="7"/>
  <c r="R521" i="7" s="1"/>
  <c r="Q522" i="7"/>
  <c r="R522" i="7" s="1"/>
  <c r="Q523" i="7"/>
  <c r="R523" i="7" s="1"/>
  <c r="Q524" i="7"/>
  <c r="R524" i="7" s="1"/>
  <c r="Q525" i="7"/>
  <c r="R525" i="7" s="1"/>
  <c r="Q526" i="7"/>
  <c r="R526" i="7" s="1"/>
  <c r="Q527" i="7"/>
  <c r="R527" i="7" s="1"/>
  <c r="Q528" i="7"/>
  <c r="R528" i="7" s="1"/>
  <c r="Q529" i="7"/>
  <c r="R529" i="7" s="1"/>
  <c r="Q530" i="7"/>
  <c r="R530" i="7" s="1"/>
  <c r="Q531" i="7"/>
  <c r="R531" i="7" s="1"/>
  <c r="Q532" i="7"/>
  <c r="R532" i="7" s="1"/>
  <c r="Q533" i="7"/>
  <c r="R533" i="7" s="1"/>
  <c r="Q534" i="7"/>
  <c r="R534" i="7" s="1"/>
  <c r="Q535" i="7"/>
  <c r="R535" i="7" s="1"/>
  <c r="Q536" i="7"/>
  <c r="R536" i="7" s="1"/>
  <c r="Q537" i="7"/>
  <c r="R537" i="7" s="1"/>
  <c r="Q538" i="7"/>
  <c r="R538" i="7" s="1"/>
  <c r="Q539" i="7"/>
  <c r="R539" i="7" s="1"/>
  <c r="Q540" i="7"/>
  <c r="R540" i="7" s="1"/>
  <c r="Q541" i="7"/>
  <c r="R541" i="7" s="1"/>
  <c r="Q542" i="7"/>
  <c r="R542" i="7" s="1"/>
  <c r="Q543" i="7"/>
  <c r="R543" i="7" s="1"/>
  <c r="Q544" i="7"/>
  <c r="R544" i="7" s="1"/>
  <c r="Q545" i="7"/>
  <c r="R545" i="7" s="1"/>
  <c r="Q546" i="7"/>
  <c r="R546" i="7" s="1"/>
  <c r="Q547" i="7"/>
  <c r="R547" i="7" s="1"/>
  <c r="Q548" i="7"/>
  <c r="R548" i="7" s="1"/>
  <c r="R5" i="7"/>
  <c r="R286" i="7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F2" i="5"/>
  <c r="K2" i="5" s="1"/>
  <c r="F3" i="5"/>
  <c r="K3" i="5" s="1"/>
  <c r="F4" i="5"/>
  <c r="K4" i="5" s="1"/>
  <c r="F5" i="5"/>
  <c r="K5" i="5" s="1"/>
  <c r="F6" i="5"/>
  <c r="K6" i="5" s="1"/>
  <c r="F7" i="5"/>
  <c r="K7" i="5" s="1"/>
  <c r="F8" i="5"/>
  <c r="K8" i="5" s="1"/>
  <c r="F9" i="5"/>
  <c r="K9" i="5" s="1"/>
  <c r="F10" i="5"/>
  <c r="K10" i="5" s="1"/>
  <c r="F11" i="5"/>
  <c r="K11" i="5" s="1"/>
  <c r="F12" i="5"/>
  <c r="K12" i="5" s="1"/>
  <c r="F13" i="5"/>
  <c r="K13" i="5" s="1"/>
  <c r="F14" i="5"/>
  <c r="K14" i="5" s="1"/>
  <c r="F15" i="5"/>
  <c r="K15" i="5" s="1"/>
  <c r="F16" i="5"/>
  <c r="K16" i="5" s="1"/>
  <c r="F17" i="5"/>
  <c r="K17" i="5" s="1"/>
  <c r="F18" i="5"/>
  <c r="K18" i="5" s="1"/>
  <c r="F19" i="5"/>
  <c r="K19" i="5" s="1"/>
  <c r="F20" i="5"/>
  <c r="K20" i="5" s="1"/>
  <c r="F21" i="5"/>
  <c r="K21" i="5" s="1"/>
  <c r="F22" i="5"/>
  <c r="K22" i="5" s="1"/>
  <c r="F23" i="5"/>
  <c r="K23" i="5" s="1"/>
  <c r="F24" i="5"/>
  <c r="K24" i="5" s="1"/>
  <c r="F25" i="5"/>
  <c r="K25" i="5" s="1"/>
  <c r="F26" i="5"/>
  <c r="K26" i="5" s="1"/>
  <c r="F27" i="5"/>
  <c r="K27" i="5" s="1"/>
  <c r="F28" i="5"/>
  <c r="K28" i="5" s="1"/>
  <c r="F29" i="5"/>
  <c r="K29" i="5" s="1"/>
  <c r="F30" i="5"/>
  <c r="K30" i="5" s="1"/>
  <c r="F31" i="5"/>
  <c r="K31" i="5" s="1"/>
  <c r="F32" i="5"/>
  <c r="K32" i="5" s="1"/>
  <c r="F33" i="5"/>
  <c r="K33" i="5" s="1"/>
  <c r="F34" i="5"/>
  <c r="K34" i="5" s="1"/>
  <c r="F35" i="5"/>
  <c r="K35" i="5" s="1"/>
  <c r="F36" i="5"/>
  <c r="K36" i="5" s="1"/>
  <c r="F37" i="5"/>
  <c r="K37" i="5" s="1"/>
  <c r="F38" i="5"/>
  <c r="K38" i="5" s="1"/>
  <c r="F39" i="5"/>
  <c r="K39" i="5" s="1"/>
  <c r="F40" i="5"/>
  <c r="K40" i="5" s="1"/>
  <c r="F41" i="5"/>
  <c r="K41" i="5" s="1"/>
  <c r="F42" i="5"/>
  <c r="K42" i="5" s="1"/>
  <c r="F43" i="5"/>
  <c r="K43" i="5" s="1"/>
  <c r="F44" i="5"/>
  <c r="K44" i="5" s="1"/>
  <c r="F45" i="5"/>
  <c r="K45" i="5" s="1"/>
  <c r="F46" i="5"/>
  <c r="K46" i="5" s="1"/>
  <c r="F47" i="5"/>
  <c r="K47" i="5" s="1"/>
  <c r="F48" i="5"/>
  <c r="K48" i="5" s="1"/>
  <c r="F49" i="5"/>
  <c r="K49" i="5" s="1"/>
  <c r="F50" i="5"/>
  <c r="K50" i="5" s="1"/>
  <c r="F51" i="5"/>
  <c r="K51" i="5" s="1"/>
  <c r="F52" i="5"/>
  <c r="K52" i="5" s="1"/>
  <c r="F53" i="5"/>
  <c r="K53" i="5" s="1"/>
  <c r="F54" i="5"/>
  <c r="K54" i="5" s="1"/>
  <c r="F55" i="5"/>
  <c r="K55" i="5" s="1"/>
  <c r="F56" i="5"/>
  <c r="K56" i="5" s="1"/>
  <c r="F57" i="5"/>
  <c r="K57" i="5" s="1"/>
  <c r="F58" i="5"/>
  <c r="K58" i="5" s="1"/>
  <c r="F59" i="5"/>
  <c r="K59" i="5" s="1"/>
  <c r="F60" i="5"/>
  <c r="K60" i="5" s="1"/>
  <c r="F61" i="5"/>
  <c r="K61" i="5" s="1"/>
  <c r="F62" i="5"/>
  <c r="K62" i="5" s="1"/>
  <c r="F63" i="5"/>
  <c r="K63" i="5" s="1"/>
  <c r="F64" i="5"/>
  <c r="K64" i="5" s="1"/>
  <c r="F65" i="5"/>
  <c r="K65" i="5" s="1"/>
  <c r="F66" i="5"/>
  <c r="K66" i="5" s="1"/>
  <c r="F67" i="5"/>
  <c r="K67" i="5" s="1"/>
  <c r="F68" i="5"/>
  <c r="K68" i="5" s="1"/>
  <c r="F69" i="5"/>
  <c r="K69" i="5" s="1"/>
  <c r="F70" i="5"/>
  <c r="K70" i="5" s="1"/>
  <c r="F71" i="5"/>
  <c r="K71" i="5" s="1"/>
  <c r="F72" i="5"/>
  <c r="K72" i="5" s="1"/>
  <c r="F73" i="5"/>
  <c r="K73" i="5" s="1"/>
  <c r="F74" i="5"/>
  <c r="K74" i="5" s="1"/>
  <c r="F75" i="5"/>
  <c r="K75" i="5" s="1"/>
  <c r="F76" i="5"/>
  <c r="K76" i="5" s="1"/>
  <c r="F77" i="5"/>
  <c r="K77" i="5" s="1"/>
  <c r="F78" i="5"/>
  <c r="K78" i="5" s="1"/>
  <c r="F79" i="5"/>
  <c r="K79" i="5" s="1"/>
  <c r="F80" i="5"/>
  <c r="K80" i="5" s="1"/>
  <c r="F81" i="5"/>
  <c r="K81" i="5" s="1"/>
  <c r="F82" i="5"/>
  <c r="K82" i="5" s="1"/>
  <c r="F83" i="5"/>
  <c r="K83" i="5" s="1"/>
  <c r="F84" i="5"/>
  <c r="K84" i="5" s="1"/>
  <c r="F85" i="5"/>
  <c r="K85" i="5" s="1"/>
  <c r="F86" i="5"/>
  <c r="K86" i="5" s="1"/>
  <c r="F87" i="5"/>
  <c r="K87" i="5" s="1"/>
  <c r="F88" i="5"/>
  <c r="K88" i="5" s="1"/>
  <c r="F89" i="5"/>
  <c r="K89" i="5" s="1"/>
  <c r="F90" i="5"/>
  <c r="K90" i="5" s="1"/>
  <c r="F91" i="5"/>
  <c r="K91" i="5" s="1"/>
  <c r="F92" i="5"/>
  <c r="K92" i="5" s="1"/>
  <c r="F93" i="5"/>
  <c r="K93" i="5" s="1"/>
  <c r="F94" i="5"/>
  <c r="K94" i="5" s="1"/>
  <c r="F95" i="5"/>
  <c r="K95" i="5" s="1"/>
  <c r="F96" i="5"/>
  <c r="K96" i="5" s="1"/>
  <c r="F97" i="5"/>
  <c r="K97" i="5" s="1"/>
  <c r="F98" i="5"/>
  <c r="K98" i="5" s="1"/>
  <c r="F99" i="5"/>
  <c r="K99" i="5" s="1"/>
  <c r="F100" i="5"/>
  <c r="K100" i="5" s="1"/>
  <c r="F101" i="5"/>
  <c r="K101" i="5" s="1"/>
  <c r="F102" i="5"/>
  <c r="K102" i="5" s="1"/>
  <c r="F103" i="5"/>
  <c r="K103" i="5" s="1"/>
  <c r="F104" i="5"/>
  <c r="K104" i="5" s="1"/>
  <c r="F105" i="5"/>
  <c r="K105" i="5" s="1"/>
  <c r="F106" i="5"/>
  <c r="K106" i="5" s="1"/>
  <c r="F107" i="5"/>
  <c r="K107" i="5" s="1"/>
  <c r="F108" i="5"/>
  <c r="K108" i="5" s="1"/>
  <c r="F109" i="5"/>
  <c r="K109" i="5" s="1"/>
  <c r="F110" i="5"/>
  <c r="K110" i="5" s="1"/>
  <c r="F111" i="5"/>
  <c r="K111" i="5" s="1"/>
  <c r="F112" i="5"/>
  <c r="K112" i="5" s="1"/>
  <c r="F113" i="5"/>
  <c r="K113" i="5" s="1"/>
  <c r="F114" i="5"/>
  <c r="K114" i="5" s="1"/>
  <c r="F115" i="5"/>
  <c r="K115" i="5" s="1"/>
  <c r="F116" i="5"/>
  <c r="K116" i="5" s="1"/>
  <c r="F117" i="5"/>
  <c r="K117" i="5" s="1"/>
  <c r="F118" i="5"/>
  <c r="K118" i="5" s="1"/>
  <c r="F119" i="5"/>
  <c r="K119" i="5" s="1"/>
  <c r="F120" i="5"/>
  <c r="K120" i="5" s="1"/>
  <c r="F121" i="5"/>
  <c r="K121" i="5" s="1"/>
  <c r="F122" i="5"/>
  <c r="K122" i="5" s="1"/>
  <c r="F123" i="5"/>
  <c r="K123" i="5" s="1"/>
  <c r="F124" i="5"/>
  <c r="K124" i="5" s="1"/>
  <c r="F125" i="5"/>
  <c r="K125" i="5" s="1"/>
  <c r="F126" i="5"/>
  <c r="K126" i="5" s="1"/>
  <c r="F127" i="5"/>
  <c r="K127" i="5" s="1"/>
  <c r="F128" i="5"/>
  <c r="K128" i="5" s="1"/>
  <c r="F129" i="5"/>
  <c r="K129" i="5" s="1"/>
  <c r="F130" i="5"/>
  <c r="K130" i="5" s="1"/>
  <c r="F131" i="5"/>
  <c r="K131" i="5" s="1"/>
  <c r="F132" i="5"/>
  <c r="K132" i="5" s="1"/>
  <c r="F133" i="5"/>
  <c r="K133" i="5" s="1"/>
  <c r="F134" i="5"/>
  <c r="K134" i="5" s="1"/>
  <c r="F135" i="5"/>
  <c r="K135" i="5" s="1"/>
  <c r="F136" i="5"/>
  <c r="K136" i="5" s="1"/>
  <c r="F137" i="5"/>
  <c r="K137" i="5" s="1"/>
  <c r="F138" i="5"/>
  <c r="K138" i="5" s="1"/>
  <c r="F139" i="5"/>
  <c r="K139" i="5" s="1"/>
  <c r="F140" i="5"/>
  <c r="K140" i="5" s="1"/>
  <c r="F141" i="5"/>
  <c r="K141" i="5" s="1"/>
  <c r="F142" i="5"/>
  <c r="K142" i="5" s="1"/>
  <c r="F143" i="5"/>
  <c r="K143" i="5" s="1"/>
  <c r="F144" i="5"/>
  <c r="K144" i="5" s="1"/>
  <c r="F145" i="5"/>
  <c r="K145" i="5" s="1"/>
  <c r="F146" i="5"/>
  <c r="K146" i="5" s="1"/>
  <c r="F147" i="5"/>
  <c r="K147" i="5" s="1"/>
  <c r="F148" i="5"/>
  <c r="K148" i="5" s="1"/>
  <c r="F149" i="5"/>
  <c r="K149" i="5" s="1"/>
  <c r="F150" i="5"/>
  <c r="K150" i="5" s="1"/>
  <c r="F151" i="5"/>
  <c r="K151" i="5" s="1"/>
  <c r="F152" i="5"/>
  <c r="K152" i="5" s="1"/>
  <c r="F153" i="5"/>
  <c r="K153" i="5" s="1"/>
  <c r="F154" i="5"/>
  <c r="K154" i="5" s="1"/>
  <c r="F155" i="5"/>
  <c r="K155" i="5" s="1"/>
  <c r="F156" i="5"/>
  <c r="K156" i="5" s="1"/>
  <c r="F157" i="5"/>
  <c r="K157" i="5" s="1"/>
  <c r="F158" i="5"/>
  <c r="K158" i="5" s="1"/>
  <c r="F159" i="5"/>
  <c r="K159" i="5" s="1"/>
  <c r="F160" i="5"/>
  <c r="K160" i="5" s="1"/>
  <c r="F161" i="5"/>
  <c r="K161" i="5" s="1"/>
  <c r="F162" i="5"/>
  <c r="K162" i="5" s="1"/>
  <c r="F163" i="5"/>
  <c r="K163" i="5" s="1"/>
  <c r="F164" i="5"/>
  <c r="K164" i="5" s="1"/>
  <c r="F165" i="5"/>
  <c r="K165" i="5" s="1"/>
  <c r="F166" i="5"/>
  <c r="K166" i="5" s="1"/>
  <c r="F167" i="5"/>
  <c r="K167" i="5" s="1"/>
  <c r="F168" i="5"/>
  <c r="K168" i="5" s="1"/>
  <c r="F169" i="5"/>
  <c r="K169" i="5" s="1"/>
  <c r="F170" i="5"/>
  <c r="K170" i="5" s="1"/>
  <c r="F171" i="5"/>
  <c r="K171" i="5" s="1"/>
  <c r="F172" i="5"/>
  <c r="K172" i="5" s="1"/>
  <c r="F173" i="5"/>
  <c r="K173" i="5" s="1"/>
  <c r="F174" i="5"/>
  <c r="K174" i="5" s="1"/>
  <c r="F175" i="5"/>
  <c r="K175" i="5" s="1"/>
  <c r="F176" i="5"/>
  <c r="K176" i="5" s="1"/>
  <c r="F177" i="5"/>
  <c r="K177" i="5" s="1"/>
  <c r="F178" i="5"/>
  <c r="K178" i="5" s="1"/>
  <c r="F179" i="5"/>
  <c r="K179" i="5" s="1"/>
  <c r="F180" i="5"/>
  <c r="K180" i="5" s="1"/>
  <c r="F181" i="5"/>
  <c r="K181" i="5" s="1"/>
  <c r="F182" i="5"/>
  <c r="K182" i="5" s="1"/>
  <c r="F183" i="5"/>
  <c r="K183" i="5" s="1"/>
  <c r="F184" i="5"/>
  <c r="K184" i="5" s="1"/>
  <c r="F185" i="5"/>
  <c r="K185" i="5" s="1"/>
  <c r="F186" i="5"/>
  <c r="K186" i="5" s="1"/>
  <c r="F187" i="5"/>
  <c r="K187" i="5" s="1"/>
  <c r="F188" i="5"/>
  <c r="K188" i="5" s="1"/>
  <c r="F189" i="5"/>
  <c r="K189" i="5" s="1"/>
  <c r="F190" i="5"/>
  <c r="K190" i="5" s="1"/>
  <c r="F191" i="5"/>
  <c r="K191" i="5" s="1"/>
  <c r="F192" i="5"/>
  <c r="K192" i="5" s="1"/>
  <c r="F193" i="5"/>
  <c r="K193" i="5" s="1"/>
  <c r="F194" i="5"/>
  <c r="K194" i="5" s="1"/>
  <c r="F195" i="5"/>
  <c r="K195" i="5" s="1"/>
  <c r="F196" i="5"/>
  <c r="K196" i="5" s="1"/>
  <c r="F197" i="5"/>
  <c r="K197" i="5" s="1"/>
  <c r="F198" i="5"/>
  <c r="K198" i="5" s="1"/>
  <c r="F199" i="5"/>
  <c r="K199" i="5" s="1"/>
  <c r="F200" i="5"/>
  <c r="K200" i="5" s="1"/>
  <c r="F201" i="5"/>
  <c r="K201" i="5" s="1"/>
  <c r="F202" i="5"/>
  <c r="K202" i="5" s="1"/>
  <c r="F203" i="5"/>
  <c r="K203" i="5" s="1"/>
  <c r="F204" i="5"/>
  <c r="K204" i="5" s="1"/>
  <c r="F205" i="5"/>
  <c r="K205" i="5" s="1"/>
  <c r="F206" i="5"/>
  <c r="K206" i="5" s="1"/>
  <c r="F207" i="5"/>
  <c r="K207" i="5" s="1"/>
  <c r="F208" i="5"/>
  <c r="K208" i="5" s="1"/>
  <c r="F209" i="5"/>
  <c r="K209" i="5" s="1"/>
  <c r="F210" i="5"/>
  <c r="K210" i="5" s="1"/>
  <c r="F211" i="5"/>
  <c r="K211" i="5" s="1"/>
  <c r="F212" i="5"/>
  <c r="K212" i="5" s="1"/>
  <c r="F213" i="5"/>
  <c r="K213" i="5" s="1"/>
  <c r="F214" i="5"/>
  <c r="K214" i="5" s="1"/>
  <c r="F215" i="5"/>
  <c r="K215" i="5" s="1"/>
  <c r="F216" i="5"/>
  <c r="K216" i="5" s="1"/>
  <c r="F217" i="5"/>
  <c r="K217" i="5" s="1"/>
  <c r="F218" i="5"/>
  <c r="K218" i="5" s="1"/>
  <c r="F219" i="5"/>
  <c r="K219" i="5" s="1"/>
  <c r="F220" i="5"/>
  <c r="K220" i="5" s="1"/>
  <c r="F221" i="5"/>
  <c r="K221" i="5" s="1"/>
  <c r="F222" i="5"/>
  <c r="K222" i="5" s="1"/>
  <c r="F223" i="5"/>
  <c r="K223" i="5" s="1"/>
  <c r="F224" i="5"/>
  <c r="K224" i="5" s="1"/>
  <c r="F225" i="5"/>
  <c r="K225" i="5" s="1"/>
  <c r="F226" i="5"/>
  <c r="K226" i="5" s="1"/>
  <c r="F227" i="5"/>
  <c r="K227" i="5" s="1"/>
  <c r="F228" i="5"/>
  <c r="K228" i="5" s="1"/>
  <c r="F229" i="5"/>
  <c r="K229" i="5" s="1"/>
  <c r="F230" i="5"/>
  <c r="K230" i="5" s="1"/>
  <c r="F231" i="5"/>
  <c r="K231" i="5" s="1"/>
  <c r="F232" i="5"/>
  <c r="K232" i="5" s="1"/>
  <c r="F233" i="5"/>
  <c r="K233" i="5" s="1"/>
  <c r="F234" i="5"/>
  <c r="K234" i="5" s="1"/>
  <c r="F235" i="5"/>
  <c r="K235" i="5" s="1"/>
  <c r="F236" i="5"/>
  <c r="K236" i="5" s="1"/>
  <c r="F237" i="5"/>
  <c r="K237" i="5" s="1"/>
  <c r="F238" i="5"/>
  <c r="K238" i="5" s="1"/>
  <c r="F239" i="5"/>
  <c r="K239" i="5" s="1"/>
  <c r="F240" i="5"/>
  <c r="K240" i="5" s="1"/>
  <c r="F241" i="5"/>
  <c r="K241" i="5" s="1"/>
  <c r="F242" i="5"/>
  <c r="K242" i="5" s="1"/>
  <c r="F243" i="5"/>
  <c r="K243" i="5" s="1"/>
  <c r="F244" i="5"/>
  <c r="K244" i="5" s="1"/>
  <c r="F245" i="5"/>
  <c r="K245" i="5" s="1"/>
  <c r="F246" i="5"/>
  <c r="K246" i="5" s="1"/>
  <c r="F247" i="5"/>
  <c r="K247" i="5" s="1"/>
  <c r="F248" i="5"/>
  <c r="K248" i="5" s="1"/>
  <c r="F249" i="5"/>
  <c r="K249" i="5" s="1"/>
  <c r="F250" i="5"/>
  <c r="K250" i="5" s="1"/>
  <c r="F251" i="5"/>
  <c r="K251" i="5" s="1"/>
  <c r="F252" i="5"/>
  <c r="K252" i="5" s="1"/>
  <c r="F253" i="5"/>
  <c r="K253" i="5" s="1"/>
  <c r="F254" i="5"/>
  <c r="K254" i="5" s="1"/>
  <c r="F255" i="5"/>
  <c r="K255" i="5" s="1"/>
  <c r="F256" i="5"/>
  <c r="K256" i="5" s="1"/>
  <c r="F257" i="5"/>
  <c r="K257" i="5" s="1"/>
  <c r="F258" i="5"/>
  <c r="K258" i="5" s="1"/>
  <c r="F259" i="5"/>
  <c r="K259" i="5" s="1"/>
  <c r="F260" i="5"/>
  <c r="K260" i="5" s="1"/>
  <c r="F261" i="5"/>
  <c r="K261" i="5" s="1"/>
  <c r="F262" i="5"/>
  <c r="K262" i="5" s="1"/>
  <c r="F263" i="5"/>
  <c r="K263" i="5" s="1"/>
  <c r="F264" i="5"/>
  <c r="K264" i="5" s="1"/>
  <c r="F265" i="5"/>
  <c r="K265" i="5" s="1"/>
  <c r="F266" i="5"/>
  <c r="K266" i="5" s="1"/>
  <c r="F267" i="5"/>
  <c r="K267" i="5" s="1"/>
  <c r="F268" i="5"/>
  <c r="K268" i="5" s="1"/>
  <c r="F269" i="5"/>
  <c r="K269" i="5" s="1"/>
  <c r="F270" i="5"/>
  <c r="K270" i="5" s="1"/>
  <c r="F271" i="5"/>
  <c r="K271" i="5" s="1"/>
  <c r="F272" i="5"/>
  <c r="K272" i="5" s="1"/>
  <c r="F273" i="5"/>
  <c r="K273" i="5" s="1"/>
  <c r="F274" i="5"/>
  <c r="K274" i="5" s="1"/>
  <c r="F275" i="5"/>
  <c r="K275" i="5" s="1"/>
  <c r="F276" i="5"/>
  <c r="K276" i="5" s="1"/>
  <c r="F277" i="5"/>
  <c r="K277" i="5" s="1"/>
  <c r="F278" i="5"/>
  <c r="K278" i="5" s="1"/>
  <c r="F279" i="5"/>
  <c r="K279" i="5" s="1"/>
  <c r="F280" i="5"/>
  <c r="K280" i="5" s="1"/>
  <c r="F281" i="5"/>
  <c r="K281" i="5" s="1"/>
  <c r="F282" i="5"/>
  <c r="K282" i="5" s="1"/>
  <c r="F283" i="5"/>
  <c r="K283" i="5" s="1"/>
  <c r="F284" i="5"/>
  <c r="K284" i="5" s="1"/>
  <c r="F285" i="5"/>
  <c r="K285" i="5" s="1"/>
  <c r="F286" i="5"/>
  <c r="K286" i="5" s="1"/>
  <c r="F287" i="5"/>
  <c r="K287" i="5" s="1"/>
  <c r="F288" i="5"/>
  <c r="K288" i="5" s="1"/>
  <c r="F289" i="5"/>
  <c r="K289" i="5" s="1"/>
  <c r="F290" i="5"/>
  <c r="K290" i="5" s="1"/>
  <c r="F291" i="5"/>
  <c r="K291" i="5" s="1"/>
  <c r="F292" i="5"/>
  <c r="K292" i="5" s="1"/>
  <c r="F293" i="5"/>
  <c r="K293" i="5" s="1"/>
  <c r="F294" i="5"/>
  <c r="K294" i="5" s="1"/>
  <c r="F295" i="5"/>
  <c r="K295" i="5" s="1"/>
  <c r="F296" i="5"/>
  <c r="K296" i="5" s="1"/>
  <c r="F297" i="5"/>
  <c r="K297" i="5" s="1"/>
  <c r="F298" i="5"/>
  <c r="K298" i="5" s="1"/>
  <c r="F299" i="5"/>
  <c r="K299" i="5" s="1"/>
  <c r="F300" i="5"/>
  <c r="K300" i="5" s="1"/>
  <c r="F301" i="5"/>
  <c r="K301" i="5" s="1"/>
  <c r="F302" i="5"/>
  <c r="K302" i="5" s="1"/>
  <c r="F303" i="5"/>
  <c r="K303" i="5" s="1"/>
  <c r="F304" i="5"/>
  <c r="K304" i="5" s="1"/>
  <c r="F305" i="5"/>
  <c r="K305" i="5" s="1"/>
  <c r="F306" i="5"/>
  <c r="K306" i="5" s="1"/>
  <c r="F307" i="5"/>
  <c r="K307" i="5" s="1"/>
  <c r="F308" i="5"/>
  <c r="K308" i="5" s="1"/>
  <c r="F309" i="5"/>
  <c r="K309" i="5" s="1"/>
  <c r="F310" i="5"/>
  <c r="K310" i="5" s="1"/>
  <c r="F311" i="5"/>
  <c r="K311" i="5" s="1"/>
  <c r="F312" i="5"/>
  <c r="K312" i="5" s="1"/>
  <c r="F313" i="5"/>
  <c r="K313" i="5" s="1"/>
  <c r="F314" i="5"/>
  <c r="K314" i="5" s="1"/>
  <c r="F315" i="5"/>
  <c r="K315" i="5" s="1"/>
  <c r="F316" i="5"/>
  <c r="K316" i="5" s="1"/>
  <c r="F317" i="5"/>
  <c r="K317" i="5" s="1"/>
  <c r="F318" i="5"/>
  <c r="K318" i="5" s="1"/>
  <c r="F319" i="5"/>
  <c r="K319" i="5" s="1"/>
  <c r="F320" i="5"/>
  <c r="K320" i="5" s="1"/>
  <c r="F321" i="5"/>
  <c r="K321" i="5" s="1"/>
  <c r="F322" i="5"/>
  <c r="K322" i="5" s="1"/>
  <c r="F323" i="5"/>
  <c r="K323" i="5" s="1"/>
  <c r="F324" i="5"/>
  <c r="K324" i="5" s="1"/>
  <c r="F325" i="5"/>
  <c r="K325" i="5" s="1"/>
  <c r="F326" i="5"/>
  <c r="K326" i="5" s="1"/>
  <c r="F327" i="5"/>
  <c r="K327" i="5" s="1"/>
  <c r="F328" i="5"/>
  <c r="K328" i="5" s="1"/>
  <c r="F329" i="5"/>
  <c r="K329" i="5" s="1"/>
  <c r="F330" i="5"/>
  <c r="K330" i="5" s="1"/>
  <c r="F331" i="5"/>
  <c r="K331" i="5" s="1"/>
  <c r="F332" i="5"/>
  <c r="K332" i="5" s="1"/>
  <c r="F333" i="5"/>
  <c r="K333" i="5" s="1"/>
  <c r="F334" i="5"/>
  <c r="K334" i="5" s="1"/>
  <c r="F335" i="5"/>
  <c r="K335" i="5" s="1"/>
  <c r="F336" i="5"/>
  <c r="K336" i="5" s="1"/>
  <c r="F337" i="5"/>
  <c r="K337" i="5" s="1"/>
  <c r="F338" i="5"/>
  <c r="K338" i="5" s="1"/>
  <c r="F339" i="5"/>
  <c r="K339" i="5" s="1"/>
  <c r="F340" i="5"/>
  <c r="K340" i="5" s="1"/>
  <c r="F341" i="5"/>
  <c r="K341" i="5" s="1"/>
  <c r="F342" i="5"/>
  <c r="K342" i="5" s="1"/>
  <c r="F343" i="5"/>
  <c r="K343" i="5" s="1"/>
  <c r="F344" i="5"/>
  <c r="K344" i="5" s="1"/>
  <c r="F345" i="5"/>
  <c r="K345" i="5" s="1"/>
  <c r="F346" i="5"/>
  <c r="K346" i="5" s="1"/>
  <c r="F347" i="5"/>
  <c r="K347" i="5" s="1"/>
  <c r="F348" i="5"/>
  <c r="K348" i="5" s="1"/>
  <c r="F349" i="5"/>
  <c r="K349" i="5" s="1"/>
  <c r="F350" i="5"/>
  <c r="K350" i="5" s="1"/>
  <c r="F351" i="5"/>
  <c r="K351" i="5" s="1"/>
  <c r="F352" i="5"/>
  <c r="K352" i="5" s="1"/>
  <c r="F353" i="5"/>
  <c r="K353" i="5" s="1"/>
  <c r="F354" i="5"/>
  <c r="K354" i="5" s="1"/>
  <c r="F355" i="5"/>
  <c r="K355" i="5" s="1"/>
  <c r="F356" i="5"/>
  <c r="K356" i="5" s="1"/>
  <c r="F357" i="5"/>
  <c r="K357" i="5" s="1"/>
  <c r="F358" i="5"/>
  <c r="K358" i="5" s="1"/>
  <c r="F359" i="5"/>
  <c r="K359" i="5" s="1"/>
  <c r="F360" i="5"/>
  <c r="K360" i="5" s="1"/>
  <c r="F361" i="5"/>
  <c r="K361" i="5" s="1"/>
  <c r="F362" i="5"/>
  <c r="K362" i="5" s="1"/>
  <c r="F363" i="5"/>
  <c r="K363" i="5" s="1"/>
  <c r="F364" i="5"/>
  <c r="K364" i="5" s="1"/>
  <c r="F365" i="5"/>
  <c r="K365" i="5" s="1"/>
  <c r="F366" i="5"/>
  <c r="K366" i="5" s="1"/>
  <c r="F367" i="5"/>
  <c r="K367" i="5" s="1"/>
  <c r="F368" i="5"/>
  <c r="K368" i="5" s="1"/>
  <c r="F369" i="5"/>
  <c r="K369" i="5" s="1"/>
  <c r="F370" i="5"/>
  <c r="K370" i="5" s="1"/>
  <c r="F371" i="5"/>
  <c r="K371" i="5" s="1"/>
  <c r="F372" i="5"/>
  <c r="K372" i="5" s="1"/>
  <c r="F373" i="5"/>
  <c r="K373" i="5" s="1"/>
  <c r="F374" i="5"/>
  <c r="K374" i="5" s="1"/>
  <c r="F375" i="5"/>
  <c r="K375" i="5" s="1"/>
  <c r="F376" i="5"/>
  <c r="K376" i="5" s="1"/>
  <c r="F377" i="5"/>
  <c r="K377" i="5" s="1"/>
  <c r="F378" i="5"/>
  <c r="K378" i="5" s="1"/>
  <c r="F379" i="5"/>
  <c r="K379" i="5" s="1"/>
  <c r="F380" i="5"/>
  <c r="K380" i="5" s="1"/>
  <c r="F381" i="5"/>
  <c r="K381" i="5" s="1"/>
  <c r="F382" i="5"/>
  <c r="K382" i="5" s="1"/>
  <c r="F383" i="5"/>
  <c r="K383" i="5" s="1"/>
  <c r="F384" i="5"/>
  <c r="K384" i="5" s="1"/>
  <c r="F385" i="5"/>
  <c r="K385" i="5" s="1"/>
  <c r="F386" i="5"/>
  <c r="K386" i="5" s="1"/>
  <c r="F387" i="5"/>
  <c r="K387" i="5" s="1"/>
  <c r="F388" i="5"/>
  <c r="K388" i="5" s="1"/>
  <c r="F389" i="5"/>
  <c r="K389" i="5" s="1"/>
  <c r="F390" i="5"/>
  <c r="K390" i="5" s="1"/>
  <c r="F391" i="5"/>
  <c r="K391" i="5" s="1"/>
  <c r="F392" i="5"/>
  <c r="K392" i="5" s="1"/>
  <c r="F393" i="5"/>
  <c r="K393" i="5" s="1"/>
  <c r="F394" i="5"/>
  <c r="K394" i="5" s="1"/>
  <c r="F395" i="5"/>
  <c r="K395" i="5" s="1"/>
  <c r="F396" i="5"/>
  <c r="K396" i="5" s="1"/>
  <c r="F397" i="5"/>
  <c r="K397" i="5" s="1"/>
  <c r="F398" i="5"/>
  <c r="K398" i="5" s="1"/>
  <c r="F399" i="5"/>
  <c r="K399" i="5" s="1"/>
  <c r="F400" i="5"/>
  <c r="K400" i="5" s="1"/>
  <c r="F401" i="5"/>
  <c r="K401" i="5" s="1"/>
  <c r="F402" i="5"/>
  <c r="K402" i="5" s="1"/>
  <c r="F403" i="5"/>
  <c r="K403" i="5" s="1"/>
  <c r="F404" i="5"/>
  <c r="K404" i="5" s="1"/>
  <c r="F405" i="5"/>
  <c r="K405" i="5" s="1"/>
  <c r="F406" i="5"/>
  <c r="K406" i="5" s="1"/>
  <c r="F407" i="5"/>
  <c r="K407" i="5" s="1"/>
  <c r="F408" i="5"/>
  <c r="K408" i="5" s="1"/>
  <c r="F409" i="5"/>
  <c r="K409" i="5" s="1"/>
  <c r="F410" i="5"/>
  <c r="K410" i="5" s="1"/>
  <c r="F411" i="5"/>
  <c r="K411" i="5" s="1"/>
  <c r="F412" i="5"/>
  <c r="K412" i="5" s="1"/>
  <c r="F413" i="5"/>
  <c r="K413" i="5" s="1"/>
  <c r="F414" i="5"/>
  <c r="K414" i="5" s="1"/>
  <c r="F415" i="5"/>
  <c r="K415" i="5" s="1"/>
  <c r="F416" i="5"/>
  <c r="K416" i="5" s="1"/>
  <c r="F417" i="5"/>
  <c r="K417" i="5" s="1"/>
  <c r="F418" i="5"/>
  <c r="K418" i="5" s="1"/>
  <c r="F419" i="5"/>
  <c r="K419" i="5" s="1"/>
  <c r="F420" i="5"/>
  <c r="K420" i="5" s="1"/>
  <c r="F421" i="5"/>
  <c r="K421" i="5" s="1"/>
  <c r="F422" i="5"/>
  <c r="K422" i="5" s="1"/>
  <c r="F423" i="5"/>
  <c r="K423" i="5" s="1"/>
  <c r="F424" i="5"/>
  <c r="K424" i="5" s="1"/>
  <c r="F425" i="5"/>
  <c r="K425" i="5" s="1"/>
  <c r="F426" i="5"/>
  <c r="K426" i="5" s="1"/>
  <c r="F427" i="5"/>
  <c r="K427" i="5" s="1"/>
  <c r="F428" i="5"/>
  <c r="K428" i="5" s="1"/>
  <c r="F429" i="5"/>
  <c r="K429" i="5" s="1"/>
  <c r="F430" i="5"/>
  <c r="K430" i="5" s="1"/>
  <c r="F431" i="5"/>
  <c r="K431" i="5" s="1"/>
  <c r="F432" i="5"/>
  <c r="K432" i="5" s="1"/>
  <c r="F433" i="5"/>
  <c r="K433" i="5" s="1"/>
  <c r="F434" i="5"/>
  <c r="K434" i="5" s="1"/>
  <c r="F435" i="5"/>
  <c r="K435" i="5" s="1"/>
  <c r="F436" i="5"/>
  <c r="K436" i="5" s="1"/>
  <c r="F437" i="5"/>
  <c r="K437" i="5" s="1"/>
  <c r="F438" i="5"/>
  <c r="K438" i="5" s="1"/>
  <c r="F439" i="5"/>
  <c r="K439" i="5" s="1"/>
  <c r="F440" i="5"/>
  <c r="K440" i="5" s="1"/>
  <c r="F441" i="5"/>
  <c r="K441" i="5" s="1"/>
  <c r="F442" i="5"/>
  <c r="K442" i="5" s="1"/>
  <c r="F443" i="5"/>
  <c r="K443" i="5" s="1"/>
  <c r="F444" i="5"/>
  <c r="K444" i="5" s="1"/>
  <c r="F445" i="5"/>
  <c r="K445" i="5" s="1"/>
  <c r="F446" i="5"/>
  <c r="K446" i="5" s="1"/>
  <c r="F447" i="5"/>
  <c r="K447" i="5" s="1"/>
  <c r="F448" i="5"/>
  <c r="K448" i="5" s="1"/>
  <c r="F449" i="5"/>
  <c r="K449" i="5" s="1"/>
  <c r="F450" i="5"/>
  <c r="K450" i="5" s="1"/>
  <c r="F451" i="5"/>
  <c r="K451" i="5" s="1"/>
  <c r="F452" i="5"/>
  <c r="K452" i="5" s="1"/>
  <c r="F453" i="5"/>
  <c r="K453" i="5" s="1"/>
  <c r="F454" i="5"/>
  <c r="K454" i="5" s="1"/>
  <c r="F455" i="5"/>
  <c r="K455" i="5" s="1"/>
  <c r="F456" i="5"/>
  <c r="K456" i="5" s="1"/>
  <c r="F457" i="5"/>
  <c r="K457" i="5" s="1"/>
  <c r="F458" i="5"/>
  <c r="K458" i="5" s="1"/>
  <c r="F459" i="5"/>
  <c r="K459" i="5" s="1"/>
  <c r="F460" i="5"/>
  <c r="K460" i="5" s="1"/>
  <c r="F461" i="5"/>
  <c r="K461" i="5" s="1"/>
  <c r="F462" i="5"/>
  <c r="K462" i="5" s="1"/>
  <c r="F463" i="5"/>
  <c r="K463" i="5" s="1"/>
  <c r="F464" i="5"/>
  <c r="K464" i="5" s="1"/>
  <c r="F465" i="5"/>
  <c r="K465" i="5" s="1"/>
  <c r="F466" i="5"/>
  <c r="K466" i="5" s="1"/>
  <c r="F467" i="5"/>
  <c r="K467" i="5" s="1"/>
  <c r="F468" i="5"/>
  <c r="K468" i="5" s="1"/>
  <c r="F469" i="5"/>
  <c r="K469" i="5" s="1"/>
  <c r="F470" i="5"/>
  <c r="K470" i="5" s="1"/>
  <c r="F471" i="5"/>
  <c r="K471" i="5" s="1"/>
  <c r="F472" i="5"/>
  <c r="K472" i="5" s="1"/>
  <c r="F473" i="5"/>
  <c r="K473" i="5" s="1"/>
  <c r="F474" i="5"/>
  <c r="K474" i="5" s="1"/>
  <c r="F475" i="5"/>
  <c r="K475" i="5" s="1"/>
  <c r="F476" i="5"/>
  <c r="K476" i="5" s="1"/>
  <c r="F477" i="5"/>
  <c r="K477" i="5" s="1"/>
  <c r="F478" i="5"/>
  <c r="K478" i="5" s="1"/>
  <c r="F479" i="5"/>
  <c r="K479" i="5" s="1"/>
  <c r="F480" i="5"/>
  <c r="K480" i="5" s="1"/>
  <c r="F481" i="5"/>
  <c r="K481" i="5" s="1"/>
  <c r="F482" i="5"/>
  <c r="K482" i="5" s="1"/>
  <c r="F483" i="5"/>
  <c r="K483" i="5" s="1"/>
  <c r="F484" i="5"/>
  <c r="K484" i="5" s="1"/>
  <c r="F485" i="5"/>
  <c r="K485" i="5" s="1"/>
  <c r="F486" i="5"/>
  <c r="K486" i="5" s="1"/>
  <c r="F487" i="5"/>
  <c r="K487" i="5" s="1"/>
  <c r="F488" i="5"/>
  <c r="K488" i="5" s="1"/>
  <c r="F489" i="5"/>
  <c r="K489" i="5" s="1"/>
  <c r="F490" i="5"/>
  <c r="K490" i="5" s="1"/>
  <c r="F491" i="5"/>
  <c r="K491" i="5" s="1"/>
  <c r="F492" i="5"/>
  <c r="K492" i="5" s="1"/>
  <c r="F493" i="5"/>
  <c r="K493" i="5" s="1"/>
  <c r="F494" i="5"/>
  <c r="K494" i="5" s="1"/>
  <c r="F495" i="5"/>
  <c r="K495" i="5" s="1"/>
  <c r="F496" i="5"/>
  <c r="K496" i="5" s="1"/>
  <c r="F497" i="5"/>
  <c r="K497" i="5" s="1"/>
  <c r="F498" i="5"/>
  <c r="K498" i="5" s="1"/>
  <c r="F499" i="5"/>
  <c r="K499" i="5" s="1"/>
  <c r="F500" i="5"/>
  <c r="K500" i="5" s="1"/>
  <c r="F501" i="5"/>
  <c r="K501" i="5" s="1"/>
  <c r="F502" i="5"/>
  <c r="K502" i="5" s="1"/>
  <c r="F503" i="5"/>
  <c r="K503" i="5" s="1"/>
  <c r="F504" i="5"/>
  <c r="K504" i="5" s="1"/>
  <c r="F505" i="5"/>
  <c r="K505" i="5" s="1"/>
  <c r="F506" i="5"/>
  <c r="K506" i="5" s="1"/>
  <c r="F507" i="5"/>
  <c r="K507" i="5" s="1"/>
  <c r="F508" i="5"/>
  <c r="K508" i="5" s="1"/>
  <c r="F509" i="5"/>
  <c r="K509" i="5" s="1"/>
  <c r="F510" i="5"/>
  <c r="K510" i="5" s="1"/>
  <c r="F511" i="5"/>
  <c r="K511" i="5" s="1"/>
  <c r="F512" i="5"/>
  <c r="K512" i="5" s="1"/>
  <c r="F513" i="5"/>
  <c r="K513" i="5" s="1"/>
  <c r="F514" i="5"/>
  <c r="K514" i="5" s="1"/>
  <c r="F515" i="5"/>
  <c r="K515" i="5" s="1"/>
  <c r="F516" i="5"/>
  <c r="K516" i="5" s="1"/>
  <c r="F517" i="5"/>
  <c r="K517" i="5" s="1"/>
  <c r="F518" i="5"/>
  <c r="K518" i="5" s="1"/>
  <c r="F519" i="5"/>
  <c r="K519" i="5" s="1"/>
  <c r="F520" i="5"/>
  <c r="K520" i="5" s="1"/>
  <c r="F521" i="5"/>
  <c r="K521" i="5" s="1"/>
  <c r="F522" i="5"/>
  <c r="K522" i="5" s="1"/>
  <c r="F523" i="5"/>
  <c r="K523" i="5" s="1"/>
  <c r="F524" i="5"/>
  <c r="K524" i="5" s="1"/>
  <c r="F525" i="5"/>
  <c r="K525" i="5" s="1"/>
  <c r="F526" i="5"/>
  <c r="K526" i="5" s="1"/>
  <c r="F527" i="5"/>
  <c r="K527" i="5" s="1"/>
  <c r="F528" i="5"/>
  <c r="K528" i="5" s="1"/>
  <c r="F529" i="5"/>
  <c r="K529" i="5" s="1"/>
  <c r="F530" i="5"/>
  <c r="K530" i="5" s="1"/>
  <c r="F531" i="5"/>
  <c r="K531" i="5" s="1"/>
  <c r="F532" i="5"/>
  <c r="K532" i="5" s="1"/>
  <c r="F533" i="5"/>
  <c r="K533" i="5" s="1"/>
  <c r="F534" i="5"/>
  <c r="K534" i="5" s="1"/>
  <c r="F535" i="5"/>
  <c r="K535" i="5" s="1"/>
  <c r="F536" i="5"/>
  <c r="K536" i="5" s="1"/>
  <c r="F537" i="5"/>
  <c r="K537" i="5" s="1"/>
  <c r="F538" i="5"/>
  <c r="K538" i="5" s="1"/>
  <c r="F539" i="5"/>
  <c r="K539" i="5" s="1"/>
  <c r="F540" i="5"/>
  <c r="K540" i="5" s="1"/>
  <c r="F541" i="5"/>
  <c r="K541" i="5" s="1"/>
  <c r="F542" i="5"/>
  <c r="K542" i="5" s="1"/>
  <c r="F543" i="5"/>
  <c r="K543" i="5" s="1"/>
  <c r="F544" i="5"/>
  <c r="K544" i="5" s="1"/>
  <c r="F545" i="5"/>
  <c r="K545" i="5" s="1"/>
  <c r="F546" i="5"/>
  <c r="K546" i="5" s="1"/>
  <c r="F547" i="5"/>
  <c r="K547" i="5" s="1"/>
  <c r="F548" i="5"/>
  <c r="K548" i="5" s="1"/>
  <c r="F549" i="5"/>
  <c r="K549" i="5" s="1"/>
  <c r="F550" i="5"/>
  <c r="K550" i="5" s="1"/>
  <c r="F551" i="5"/>
  <c r="K551" i="5" s="1"/>
  <c r="F552" i="5"/>
  <c r="K552" i="5" s="1"/>
  <c r="F553" i="5"/>
  <c r="K553" i="5" s="1"/>
  <c r="F554" i="5"/>
  <c r="K554" i="5" s="1"/>
  <c r="F555" i="5"/>
  <c r="K555" i="5" s="1"/>
  <c r="F556" i="5"/>
  <c r="K556" i="5" s="1"/>
  <c r="F557" i="5"/>
  <c r="K557" i="5" s="1"/>
  <c r="F558" i="5"/>
  <c r="K558" i="5" s="1"/>
  <c r="F559" i="5"/>
  <c r="K559" i="5" s="1"/>
  <c r="F560" i="5"/>
  <c r="K560" i="5" s="1"/>
  <c r="F561" i="5"/>
  <c r="K561" i="5" s="1"/>
  <c r="F562" i="5"/>
  <c r="K562" i="5" s="1"/>
  <c r="F563" i="5"/>
  <c r="K563" i="5" s="1"/>
  <c r="F564" i="5"/>
  <c r="K564" i="5" s="1"/>
  <c r="F565" i="5"/>
  <c r="K565" i="5" s="1"/>
  <c r="F566" i="5"/>
  <c r="K566" i="5" s="1"/>
  <c r="F567" i="5"/>
  <c r="K567" i="5" s="1"/>
  <c r="F568" i="5"/>
  <c r="K568" i="5" s="1"/>
  <c r="F569" i="5"/>
  <c r="K569" i="5" s="1"/>
  <c r="F570" i="5"/>
  <c r="K570" i="5" s="1"/>
  <c r="F571" i="5"/>
  <c r="K571" i="5" s="1"/>
  <c r="F572" i="5"/>
  <c r="K572" i="5" s="1"/>
  <c r="F573" i="5"/>
  <c r="K573" i="5" s="1"/>
  <c r="F574" i="5"/>
  <c r="K574" i="5" s="1"/>
  <c r="F575" i="5"/>
  <c r="K575" i="5" s="1"/>
  <c r="F576" i="5"/>
  <c r="K576" i="5" s="1"/>
  <c r="F577" i="5"/>
  <c r="K577" i="5" s="1"/>
  <c r="F578" i="5"/>
  <c r="K578" i="5" s="1"/>
  <c r="F579" i="5"/>
  <c r="K579" i="5" s="1"/>
  <c r="F580" i="5"/>
  <c r="K580" i="5" s="1"/>
  <c r="F581" i="5"/>
  <c r="K581" i="5" s="1"/>
  <c r="F582" i="5"/>
  <c r="K582" i="5" s="1"/>
  <c r="F583" i="5"/>
  <c r="K583" i="5" s="1"/>
  <c r="F584" i="5"/>
  <c r="K584" i="5" s="1"/>
  <c r="F585" i="5"/>
  <c r="K585" i="5" s="1"/>
  <c r="F586" i="5"/>
  <c r="K586" i="5" s="1"/>
  <c r="F587" i="5"/>
  <c r="K587" i="5" s="1"/>
  <c r="F588" i="5"/>
  <c r="K588" i="5" s="1"/>
  <c r="F589" i="5"/>
  <c r="K589" i="5" s="1"/>
  <c r="F590" i="5"/>
  <c r="K590" i="5" s="1"/>
  <c r="F591" i="5"/>
  <c r="K591" i="5" s="1"/>
  <c r="F592" i="5"/>
  <c r="K592" i="5" s="1"/>
  <c r="F593" i="5"/>
  <c r="K593" i="5" s="1"/>
  <c r="F594" i="5"/>
  <c r="K594" i="5" s="1"/>
  <c r="F595" i="5"/>
  <c r="K595" i="5" s="1"/>
  <c r="F596" i="5"/>
  <c r="K596" i="5" s="1"/>
  <c r="F597" i="5"/>
  <c r="K597" i="5" s="1"/>
  <c r="F598" i="5"/>
  <c r="K598" i="5" s="1"/>
  <c r="F599" i="5"/>
  <c r="K599" i="5" s="1"/>
  <c r="F600" i="5"/>
  <c r="K600" i="5" s="1"/>
  <c r="F601" i="5"/>
  <c r="K601" i="5" s="1"/>
  <c r="F602" i="5"/>
  <c r="K602" i="5" s="1"/>
  <c r="F603" i="5"/>
  <c r="K603" i="5" s="1"/>
  <c r="F604" i="5"/>
  <c r="K604" i="5" s="1"/>
  <c r="F605" i="5"/>
  <c r="K605" i="5" s="1"/>
  <c r="F606" i="5"/>
  <c r="K606" i="5" s="1"/>
  <c r="F607" i="5"/>
  <c r="K607" i="5" s="1"/>
  <c r="F608" i="5"/>
  <c r="K608" i="5" s="1"/>
  <c r="F609" i="5"/>
  <c r="K609" i="5" s="1"/>
  <c r="F610" i="5"/>
  <c r="K610" i="5" s="1"/>
  <c r="F611" i="5"/>
  <c r="K611" i="5" s="1"/>
  <c r="F612" i="5"/>
  <c r="K612" i="5" s="1"/>
  <c r="F613" i="5"/>
  <c r="K613" i="5" s="1"/>
  <c r="F614" i="5"/>
  <c r="K614" i="5" s="1"/>
  <c r="F615" i="5"/>
  <c r="K615" i="5" s="1"/>
  <c r="F616" i="5"/>
  <c r="K616" i="5" s="1"/>
  <c r="F617" i="5"/>
  <c r="K617" i="5" s="1"/>
  <c r="F618" i="5"/>
  <c r="K618" i="5" s="1"/>
  <c r="F619" i="5"/>
  <c r="K619" i="5" s="1"/>
  <c r="F620" i="5"/>
  <c r="K620" i="5" s="1"/>
  <c r="F621" i="5"/>
  <c r="K621" i="5" s="1"/>
  <c r="F622" i="5"/>
  <c r="K622" i="5" s="1"/>
  <c r="F623" i="5"/>
  <c r="K623" i="5" s="1"/>
  <c r="F624" i="5"/>
  <c r="K624" i="5" s="1"/>
  <c r="F625" i="5"/>
  <c r="K625" i="5" s="1"/>
  <c r="F626" i="5"/>
  <c r="K626" i="5" s="1"/>
  <c r="F627" i="5"/>
  <c r="K627" i="5" s="1"/>
  <c r="F628" i="5"/>
  <c r="K628" i="5" s="1"/>
  <c r="F629" i="5"/>
  <c r="K629" i="5" s="1"/>
  <c r="F630" i="5"/>
  <c r="K630" i="5" s="1"/>
  <c r="F631" i="5"/>
  <c r="K631" i="5" s="1"/>
  <c r="F632" i="5"/>
  <c r="K632" i="5" s="1"/>
  <c r="F633" i="5"/>
  <c r="K633" i="5" s="1"/>
  <c r="F634" i="5"/>
  <c r="K634" i="5" s="1"/>
  <c r="F635" i="5"/>
  <c r="K635" i="5" s="1"/>
  <c r="F636" i="5"/>
  <c r="K636" i="5" s="1"/>
  <c r="F637" i="5"/>
  <c r="K637" i="5" s="1"/>
  <c r="F638" i="5"/>
  <c r="K638" i="5" s="1"/>
  <c r="F639" i="5"/>
  <c r="K639" i="5" s="1"/>
  <c r="F640" i="5"/>
  <c r="K640" i="5" s="1"/>
  <c r="F641" i="5"/>
  <c r="K641" i="5" s="1"/>
  <c r="F642" i="5"/>
  <c r="K642" i="5" s="1"/>
  <c r="F643" i="5"/>
  <c r="K643" i="5" s="1"/>
  <c r="F644" i="5"/>
  <c r="K644" i="5" s="1"/>
  <c r="F645" i="5"/>
  <c r="K645" i="5" s="1"/>
  <c r="F646" i="5"/>
  <c r="K646" i="5" s="1"/>
  <c r="F647" i="5"/>
  <c r="K647" i="5" s="1"/>
  <c r="F648" i="5"/>
  <c r="K648" i="5" s="1"/>
  <c r="F649" i="5"/>
  <c r="K649" i="5" s="1"/>
  <c r="F650" i="5"/>
  <c r="K650" i="5" s="1"/>
  <c r="F651" i="5"/>
  <c r="K651" i="5" s="1"/>
  <c r="F652" i="5"/>
  <c r="K652" i="5" s="1"/>
  <c r="F653" i="5"/>
  <c r="K653" i="5" s="1"/>
  <c r="F654" i="5"/>
  <c r="K654" i="5" s="1"/>
  <c r="F655" i="5"/>
  <c r="K655" i="5" s="1"/>
  <c r="F656" i="5"/>
  <c r="K656" i="5" s="1"/>
  <c r="F657" i="5"/>
  <c r="K657" i="5" s="1"/>
  <c r="F658" i="5"/>
  <c r="K658" i="5" s="1"/>
  <c r="F659" i="5"/>
  <c r="K659" i="5" s="1"/>
  <c r="F660" i="5"/>
  <c r="K660" i="5" s="1"/>
  <c r="F661" i="5"/>
  <c r="K661" i="5" s="1"/>
  <c r="F662" i="5"/>
  <c r="K662" i="5" s="1"/>
  <c r="F663" i="5"/>
  <c r="K663" i="5" s="1"/>
  <c r="F664" i="5"/>
  <c r="K664" i="5" s="1"/>
  <c r="F665" i="5"/>
  <c r="K665" i="5" s="1"/>
  <c r="F666" i="5"/>
  <c r="K666" i="5" s="1"/>
  <c r="F667" i="5"/>
  <c r="K667" i="5" s="1"/>
  <c r="F668" i="5"/>
  <c r="K668" i="5" s="1"/>
  <c r="F669" i="5"/>
  <c r="K669" i="5" s="1"/>
  <c r="F670" i="5"/>
  <c r="K670" i="5" s="1"/>
  <c r="F671" i="5"/>
  <c r="K671" i="5" s="1"/>
  <c r="F672" i="5"/>
  <c r="K672" i="5" s="1"/>
  <c r="F673" i="5"/>
  <c r="K673" i="5" s="1"/>
  <c r="F674" i="5"/>
  <c r="K674" i="5" s="1"/>
  <c r="F675" i="5"/>
  <c r="K675" i="5" s="1"/>
  <c r="F676" i="5"/>
  <c r="K676" i="5" s="1"/>
  <c r="F677" i="5"/>
  <c r="K677" i="5" s="1"/>
  <c r="F678" i="5"/>
  <c r="K678" i="5" s="1"/>
  <c r="F679" i="5"/>
  <c r="K679" i="5" s="1"/>
  <c r="F680" i="5"/>
  <c r="K680" i="5" s="1"/>
  <c r="F681" i="5"/>
  <c r="K681" i="5" s="1"/>
  <c r="F682" i="5"/>
  <c r="K682" i="5" s="1"/>
  <c r="F683" i="5"/>
  <c r="K683" i="5" s="1"/>
  <c r="F684" i="5"/>
  <c r="K684" i="5" s="1"/>
  <c r="F685" i="5"/>
  <c r="K685" i="5" s="1"/>
  <c r="F686" i="5"/>
  <c r="K686" i="5" s="1"/>
  <c r="F687" i="5"/>
  <c r="K687" i="5" s="1"/>
  <c r="F688" i="5"/>
  <c r="K688" i="5" s="1"/>
  <c r="F689" i="5"/>
  <c r="K689" i="5" s="1"/>
  <c r="F690" i="5"/>
  <c r="K690" i="5" s="1"/>
  <c r="F691" i="5"/>
  <c r="K691" i="5" s="1"/>
  <c r="F692" i="5"/>
  <c r="K692" i="5" s="1"/>
  <c r="F693" i="5"/>
  <c r="K693" i="5" s="1"/>
  <c r="F694" i="5"/>
  <c r="K694" i="5" s="1"/>
  <c r="F695" i="5"/>
  <c r="K695" i="5" s="1"/>
  <c r="F696" i="5"/>
  <c r="K696" i="5" s="1"/>
  <c r="F697" i="5"/>
  <c r="K697" i="5" s="1"/>
  <c r="F698" i="5"/>
  <c r="K698" i="5" s="1"/>
  <c r="F699" i="5"/>
  <c r="K699" i="5" s="1"/>
  <c r="F700" i="5"/>
  <c r="K700" i="5" s="1"/>
  <c r="F701" i="5"/>
  <c r="K701" i="5" s="1"/>
  <c r="F702" i="5"/>
  <c r="K702" i="5" s="1"/>
  <c r="F703" i="5"/>
  <c r="K703" i="5" s="1"/>
  <c r="F704" i="5"/>
  <c r="K704" i="5" s="1"/>
  <c r="F705" i="5"/>
  <c r="K705" i="5" s="1"/>
  <c r="F706" i="5"/>
  <c r="K706" i="5" s="1"/>
  <c r="F707" i="5"/>
  <c r="K707" i="5" s="1"/>
  <c r="F708" i="5"/>
  <c r="K708" i="5" s="1"/>
  <c r="F709" i="5"/>
  <c r="K709" i="5" s="1"/>
  <c r="F710" i="5"/>
  <c r="K710" i="5" s="1"/>
  <c r="F711" i="5"/>
  <c r="K711" i="5" s="1"/>
  <c r="F712" i="5"/>
  <c r="K712" i="5" s="1"/>
  <c r="F713" i="5"/>
  <c r="K713" i="5" s="1"/>
  <c r="F714" i="5"/>
  <c r="K714" i="5" s="1"/>
  <c r="F715" i="5"/>
  <c r="K715" i="5" s="1"/>
  <c r="F716" i="5"/>
  <c r="K716" i="5" s="1"/>
  <c r="F717" i="5"/>
  <c r="K717" i="5" s="1"/>
  <c r="F718" i="5"/>
  <c r="K718" i="5" s="1"/>
  <c r="F719" i="5"/>
  <c r="K719" i="5" s="1"/>
  <c r="F720" i="5"/>
  <c r="K720" i="5" s="1"/>
  <c r="F721" i="5"/>
  <c r="K721" i="5" s="1"/>
  <c r="F722" i="5"/>
  <c r="K722" i="5" s="1"/>
  <c r="F723" i="5"/>
  <c r="K723" i="5" s="1"/>
  <c r="F724" i="5"/>
  <c r="K724" i="5" s="1"/>
  <c r="F725" i="5"/>
  <c r="K725" i="5" s="1"/>
  <c r="F726" i="5"/>
  <c r="K726" i="5" s="1"/>
  <c r="F727" i="5"/>
  <c r="K727" i="5" s="1"/>
  <c r="F728" i="5"/>
  <c r="K728" i="5" s="1"/>
  <c r="F729" i="5"/>
  <c r="K729" i="5" s="1"/>
  <c r="F730" i="5"/>
  <c r="K730" i="5" s="1"/>
  <c r="F731" i="5"/>
  <c r="K731" i="5" s="1"/>
  <c r="F732" i="5"/>
  <c r="K732" i="5" s="1"/>
  <c r="F733" i="5"/>
  <c r="K733" i="5" s="1"/>
  <c r="F734" i="5"/>
  <c r="K734" i="5" s="1"/>
  <c r="F735" i="5"/>
  <c r="K735" i="5" s="1"/>
  <c r="F736" i="5"/>
  <c r="K736" i="5" s="1"/>
  <c r="F737" i="5"/>
  <c r="K737" i="5" s="1"/>
  <c r="F738" i="5"/>
  <c r="K738" i="5" s="1"/>
  <c r="F739" i="5"/>
  <c r="K739" i="5" s="1"/>
  <c r="F740" i="5"/>
  <c r="K740" i="5" s="1"/>
  <c r="F741" i="5"/>
  <c r="K741" i="5" s="1"/>
  <c r="F742" i="5"/>
  <c r="K742" i="5" s="1"/>
  <c r="F743" i="5"/>
  <c r="K743" i="5" s="1"/>
  <c r="F744" i="5"/>
  <c r="K744" i="5" s="1"/>
  <c r="F745" i="5"/>
  <c r="K745" i="5" s="1"/>
  <c r="F746" i="5"/>
  <c r="K746" i="5" s="1"/>
  <c r="F747" i="5"/>
  <c r="K747" i="5" s="1"/>
  <c r="F748" i="5"/>
  <c r="K748" i="5" s="1"/>
  <c r="F749" i="5"/>
  <c r="K749" i="5" s="1"/>
  <c r="F750" i="5"/>
  <c r="K750" i="5" s="1"/>
  <c r="F751" i="5"/>
  <c r="K751" i="5" s="1"/>
  <c r="F752" i="5"/>
  <c r="K752" i="5" s="1"/>
  <c r="F753" i="5"/>
  <c r="K753" i="5" s="1"/>
  <c r="F754" i="5"/>
  <c r="K754" i="5" s="1"/>
  <c r="F755" i="5"/>
  <c r="K755" i="5" s="1"/>
  <c r="F756" i="5"/>
  <c r="K756" i="5" s="1"/>
  <c r="F757" i="5"/>
  <c r="K757" i="5" s="1"/>
  <c r="F758" i="5"/>
  <c r="K758" i="5" s="1"/>
  <c r="F759" i="5"/>
  <c r="K759" i="5" s="1"/>
  <c r="F760" i="5"/>
  <c r="K760" i="5" s="1"/>
  <c r="F761" i="5"/>
  <c r="K761" i="5" s="1"/>
  <c r="F762" i="5"/>
  <c r="K762" i="5" s="1"/>
  <c r="F763" i="5"/>
  <c r="K763" i="5" s="1"/>
  <c r="F764" i="5"/>
  <c r="K764" i="5" s="1"/>
  <c r="F765" i="5"/>
  <c r="K765" i="5" s="1"/>
  <c r="F766" i="5"/>
  <c r="K766" i="5" s="1"/>
  <c r="F767" i="5"/>
  <c r="K767" i="5" s="1"/>
  <c r="F768" i="5"/>
  <c r="K768" i="5" s="1"/>
  <c r="F769" i="5"/>
  <c r="K769" i="5" s="1"/>
  <c r="F770" i="5"/>
  <c r="K770" i="5" s="1"/>
  <c r="F771" i="5"/>
  <c r="K771" i="5" s="1"/>
  <c r="F772" i="5"/>
  <c r="K772" i="5" s="1"/>
  <c r="F773" i="5"/>
  <c r="K773" i="5" s="1"/>
  <c r="F774" i="5"/>
  <c r="K774" i="5" s="1"/>
  <c r="F775" i="5"/>
  <c r="K775" i="5" s="1"/>
  <c r="F776" i="5"/>
  <c r="K776" i="5" s="1"/>
  <c r="F777" i="5"/>
  <c r="K777" i="5" s="1"/>
  <c r="F778" i="5"/>
  <c r="K778" i="5" s="1"/>
  <c r="F779" i="5"/>
  <c r="K779" i="5" s="1"/>
  <c r="F780" i="5"/>
  <c r="K780" i="5" s="1"/>
  <c r="F781" i="5"/>
  <c r="K781" i="5" s="1"/>
  <c r="F782" i="5"/>
  <c r="F783" i="5"/>
  <c r="K783" i="5" s="1"/>
  <c r="F784" i="5"/>
  <c r="K784" i="5" s="1"/>
  <c r="F785" i="5"/>
  <c r="K785" i="5" s="1"/>
  <c r="F786" i="5"/>
  <c r="F787" i="5"/>
  <c r="K787" i="5" s="1"/>
  <c r="F788" i="5"/>
  <c r="K788" i="5" s="1"/>
  <c r="F789" i="5"/>
  <c r="K789" i="5" s="1"/>
  <c r="F790" i="5"/>
  <c r="F791" i="5"/>
  <c r="K791" i="5" s="1"/>
  <c r="F792" i="5"/>
  <c r="K792" i="5" s="1"/>
  <c r="F793" i="5"/>
  <c r="K793" i="5" s="1"/>
  <c r="F794" i="5"/>
  <c r="F795" i="5"/>
  <c r="K795" i="5" s="1"/>
  <c r="F796" i="5"/>
  <c r="K796" i="5" s="1"/>
  <c r="F797" i="5"/>
  <c r="K797" i="5" s="1"/>
  <c r="F798" i="5"/>
  <c r="F799" i="5"/>
  <c r="K799" i="5" s="1"/>
  <c r="F800" i="5"/>
  <c r="K800" i="5" s="1"/>
  <c r="F801" i="5"/>
  <c r="K801" i="5" s="1"/>
  <c r="F802" i="5"/>
  <c r="F803" i="5"/>
  <c r="K803" i="5" s="1"/>
  <c r="F804" i="5"/>
  <c r="K804" i="5" s="1"/>
  <c r="F805" i="5"/>
  <c r="K805" i="5" s="1"/>
  <c r="F806" i="5"/>
  <c r="F807" i="5"/>
  <c r="K807" i="5" s="1"/>
  <c r="F808" i="5"/>
  <c r="K808" i="5" s="1"/>
  <c r="F809" i="5"/>
  <c r="K809" i="5" s="1"/>
  <c r="F810" i="5"/>
  <c r="F811" i="5"/>
  <c r="K811" i="5" s="1"/>
  <c r="F812" i="5"/>
  <c r="K812" i="5" s="1"/>
  <c r="F813" i="5"/>
  <c r="K813" i="5" s="1"/>
  <c r="F814" i="5"/>
  <c r="F815" i="5"/>
  <c r="K815" i="5" s="1"/>
  <c r="F816" i="5"/>
  <c r="K816" i="5" s="1"/>
  <c r="F817" i="5"/>
  <c r="K817" i="5" s="1"/>
  <c r="F818" i="5"/>
  <c r="F819" i="5"/>
  <c r="K819" i="5" s="1"/>
  <c r="F820" i="5"/>
  <c r="K820" i="5" s="1"/>
  <c r="F821" i="5"/>
  <c r="K821" i="5" s="1"/>
  <c r="F822" i="5"/>
  <c r="F823" i="5"/>
  <c r="K823" i="5" s="1"/>
  <c r="F824" i="5"/>
  <c r="K824" i="5" s="1"/>
  <c r="F825" i="5"/>
  <c r="K825" i="5" s="1"/>
  <c r="F826" i="5"/>
  <c r="F827" i="5"/>
  <c r="K827" i="5" s="1"/>
  <c r="F828" i="5"/>
  <c r="K828" i="5" s="1"/>
  <c r="F829" i="5"/>
  <c r="K829" i="5" s="1"/>
  <c r="F830" i="5"/>
  <c r="F831" i="5"/>
  <c r="K831" i="5" s="1"/>
  <c r="F832" i="5"/>
  <c r="K832" i="5" s="1"/>
  <c r="F833" i="5"/>
  <c r="K833" i="5" s="1"/>
  <c r="F834" i="5"/>
  <c r="F835" i="5"/>
  <c r="K835" i="5" s="1"/>
  <c r="F836" i="5"/>
  <c r="K836" i="5" s="1"/>
  <c r="F837" i="5"/>
  <c r="K837" i="5" s="1"/>
  <c r="F838" i="5"/>
  <c r="F839" i="5"/>
  <c r="K839" i="5" s="1"/>
  <c r="F840" i="5"/>
  <c r="K840" i="5" s="1"/>
  <c r="F841" i="5"/>
  <c r="K841" i="5" s="1"/>
  <c r="F842" i="5"/>
  <c r="F843" i="5"/>
  <c r="K843" i="5" s="1"/>
  <c r="F844" i="5"/>
  <c r="K844" i="5" s="1"/>
  <c r="F845" i="5"/>
  <c r="K845" i="5" s="1"/>
  <c r="F846" i="5"/>
  <c r="F847" i="5"/>
  <c r="K847" i="5" s="1"/>
  <c r="F848" i="5"/>
  <c r="K848" i="5" s="1"/>
  <c r="F849" i="5"/>
  <c r="K849" i="5" s="1"/>
  <c r="F850" i="5"/>
  <c r="F851" i="5"/>
  <c r="K851" i="5" s="1"/>
  <c r="F852" i="5"/>
  <c r="K852" i="5" s="1"/>
  <c r="F853" i="5"/>
  <c r="K853" i="5" s="1"/>
  <c r="F854" i="5"/>
  <c r="F855" i="5"/>
  <c r="K855" i="5" s="1"/>
  <c r="F856" i="5"/>
  <c r="K856" i="5" s="1"/>
  <c r="F857" i="5"/>
  <c r="K857" i="5" s="1"/>
  <c r="F858" i="5"/>
  <c r="F859" i="5"/>
  <c r="K859" i="5" s="1"/>
  <c r="F860" i="5"/>
  <c r="K860" i="5" s="1"/>
  <c r="F861" i="5"/>
  <c r="K861" i="5" s="1"/>
  <c r="F862" i="5"/>
  <c r="F863" i="5"/>
  <c r="K863" i="5" s="1"/>
  <c r="F864" i="5"/>
  <c r="K864" i="5" s="1"/>
  <c r="F865" i="5"/>
  <c r="K865" i="5" s="1"/>
  <c r="F866" i="5"/>
  <c r="F867" i="5"/>
  <c r="K867" i="5" s="1"/>
  <c r="F868" i="5"/>
  <c r="K868" i="5" s="1"/>
  <c r="F869" i="5"/>
  <c r="K869" i="5" s="1"/>
  <c r="F870" i="5"/>
  <c r="F871" i="5"/>
  <c r="K871" i="5" s="1"/>
  <c r="F872" i="5"/>
  <c r="K872" i="5" s="1"/>
  <c r="F873" i="5"/>
  <c r="K873" i="5" s="1"/>
  <c r="F874" i="5"/>
  <c r="F875" i="5"/>
  <c r="K875" i="5" s="1"/>
  <c r="F876" i="5"/>
  <c r="K876" i="5" s="1"/>
  <c r="F877" i="5"/>
  <c r="K877" i="5" s="1"/>
  <c r="F878" i="5"/>
  <c r="F879" i="5"/>
  <c r="K879" i="5" s="1"/>
  <c r="F880" i="5"/>
  <c r="K880" i="5" s="1"/>
  <c r="F881" i="5"/>
  <c r="K881" i="5" s="1"/>
  <c r="F882" i="5"/>
  <c r="F883" i="5"/>
  <c r="K883" i="5" s="1"/>
  <c r="F884" i="5"/>
  <c r="K884" i="5" s="1"/>
  <c r="F885" i="5"/>
  <c r="K885" i="5" s="1"/>
  <c r="F886" i="5"/>
  <c r="F887" i="5"/>
  <c r="K887" i="5" s="1"/>
  <c r="F888" i="5"/>
  <c r="K888" i="5" s="1"/>
  <c r="F889" i="5"/>
  <c r="K889" i="5" s="1"/>
  <c r="F890" i="5"/>
  <c r="F891" i="5"/>
  <c r="K891" i="5" s="1"/>
  <c r="F892" i="5"/>
  <c r="K892" i="5" s="1"/>
  <c r="F893" i="5"/>
  <c r="K893" i="5" s="1"/>
  <c r="F894" i="5"/>
  <c r="F895" i="5"/>
  <c r="K895" i="5" s="1"/>
  <c r="F896" i="5"/>
  <c r="K896" i="5" s="1"/>
  <c r="F897" i="5"/>
  <c r="K897" i="5" s="1"/>
  <c r="F898" i="5"/>
  <c r="F899" i="5"/>
  <c r="K899" i="5" s="1"/>
  <c r="F900" i="5"/>
  <c r="K900" i="5" s="1"/>
  <c r="F901" i="5"/>
  <c r="K901" i="5" s="1"/>
  <c r="F902" i="5"/>
  <c r="F903" i="5"/>
  <c r="K903" i="5" s="1"/>
  <c r="F904" i="5"/>
  <c r="K904" i="5" s="1"/>
  <c r="F905" i="5"/>
  <c r="K905" i="5" s="1"/>
  <c r="F906" i="5"/>
  <c r="F907" i="5"/>
  <c r="K907" i="5" s="1"/>
  <c r="F908" i="5"/>
  <c r="K908" i="5" s="1"/>
  <c r="F909" i="5"/>
  <c r="K909" i="5" s="1"/>
  <c r="F910" i="5"/>
  <c r="F911" i="5"/>
  <c r="K911" i="5" s="1"/>
  <c r="F912" i="5"/>
  <c r="K912" i="5" s="1"/>
  <c r="F913" i="5"/>
  <c r="K913" i="5" s="1"/>
  <c r="F914" i="5"/>
  <c r="F915" i="5"/>
  <c r="K915" i="5" s="1"/>
  <c r="F916" i="5"/>
  <c r="K916" i="5" s="1"/>
  <c r="F917" i="5"/>
  <c r="K917" i="5" s="1"/>
  <c r="F918" i="5"/>
  <c r="F919" i="5"/>
  <c r="K919" i="5" s="1"/>
  <c r="F920" i="5"/>
  <c r="K920" i="5" s="1"/>
  <c r="F921" i="5"/>
  <c r="K921" i="5" s="1"/>
  <c r="F922" i="5"/>
  <c r="F923" i="5"/>
  <c r="K923" i="5" s="1"/>
  <c r="F924" i="5"/>
  <c r="K924" i="5" s="1"/>
  <c r="F925" i="5"/>
  <c r="K925" i="5" s="1"/>
  <c r="F926" i="5"/>
  <c r="F927" i="5"/>
  <c r="K927" i="5" s="1"/>
  <c r="F928" i="5"/>
  <c r="K928" i="5" s="1"/>
  <c r="F929" i="5"/>
  <c r="K929" i="5" s="1"/>
  <c r="F930" i="5"/>
  <c r="F931" i="5"/>
  <c r="K931" i="5" s="1"/>
  <c r="F932" i="5"/>
  <c r="K932" i="5" s="1"/>
  <c r="F933" i="5"/>
  <c r="K933" i="5" s="1"/>
  <c r="F934" i="5"/>
  <c r="F935" i="5"/>
  <c r="K935" i="5" s="1"/>
  <c r="F936" i="5"/>
  <c r="K936" i="5" s="1"/>
  <c r="F937" i="5"/>
  <c r="K937" i="5" s="1"/>
  <c r="F938" i="5"/>
  <c r="F939" i="5"/>
  <c r="K939" i="5" s="1"/>
  <c r="F940" i="5"/>
  <c r="K940" i="5" s="1"/>
  <c r="F941" i="5"/>
  <c r="K941" i="5" s="1"/>
  <c r="F942" i="5"/>
  <c r="F943" i="5"/>
  <c r="K943" i="5" s="1"/>
  <c r="F944" i="5"/>
  <c r="K944" i="5" s="1"/>
  <c r="F945" i="5"/>
  <c r="K945" i="5" s="1"/>
  <c r="F946" i="5"/>
  <c r="F947" i="5"/>
  <c r="K947" i="5" s="1"/>
  <c r="F948" i="5"/>
  <c r="K948" i="5" s="1"/>
  <c r="F949" i="5"/>
  <c r="K949" i="5" s="1"/>
  <c r="F950" i="5"/>
  <c r="K950" i="5" s="1"/>
  <c r="F951" i="5"/>
  <c r="K951" i="5" s="1"/>
  <c r="F952" i="5"/>
  <c r="K952" i="5" s="1"/>
  <c r="F953" i="5"/>
  <c r="K953" i="5" s="1"/>
  <c r="F954" i="5"/>
  <c r="K954" i="5" s="1"/>
  <c r="F955" i="5"/>
  <c r="K955" i="5" s="1"/>
  <c r="F956" i="5"/>
  <c r="K956" i="5" s="1"/>
  <c r="F957" i="5"/>
  <c r="K957" i="5" s="1"/>
  <c r="F958" i="5"/>
  <c r="K958" i="5" s="1"/>
  <c r="F959" i="5"/>
  <c r="K959" i="5" s="1"/>
  <c r="F960" i="5"/>
  <c r="K960" i="5" s="1"/>
  <c r="F961" i="5"/>
  <c r="K961" i="5" s="1"/>
  <c r="F962" i="5"/>
  <c r="K962" i="5" s="1"/>
  <c r="F963" i="5"/>
  <c r="K963" i="5" s="1"/>
  <c r="F964" i="5"/>
  <c r="K964" i="5" s="1"/>
  <c r="F965" i="5"/>
  <c r="K965" i="5" s="1"/>
  <c r="F966" i="5"/>
  <c r="K966" i="5" s="1"/>
  <c r="F967" i="5"/>
  <c r="K967" i="5" s="1"/>
  <c r="F968" i="5"/>
  <c r="K968" i="5" s="1"/>
  <c r="F969" i="5"/>
  <c r="K969" i="5" s="1"/>
  <c r="F970" i="5"/>
  <c r="K970" i="5" s="1"/>
  <c r="F971" i="5"/>
  <c r="K971" i="5" s="1"/>
  <c r="F972" i="5"/>
  <c r="K972" i="5" s="1"/>
  <c r="F973" i="5"/>
  <c r="K973" i="5" s="1"/>
  <c r="F974" i="5"/>
  <c r="K974" i="5" s="1"/>
  <c r="F975" i="5"/>
  <c r="K975" i="5" s="1"/>
  <c r="F976" i="5"/>
  <c r="K976" i="5" s="1"/>
  <c r="F977" i="5"/>
  <c r="K977" i="5" s="1"/>
  <c r="F978" i="5"/>
  <c r="K978" i="5" s="1"/>
  <c r="F979" i="5"/>
  <c r="K979" i="5" s="1"/>
  <c r="F980" i="5"/>
  <c r="K980" i="5" s="1"/>
  <c r="F981" i="5"/>
  <c r="K981" i="5" s="1"/>
  <c r="F982" i="5"/>
  <c r="K982" i="5" s="1"/>
  <c r="F983" i="5"/>
  <c r="K983" i="5" s="1"/>
  <c r="F984" i="5"/>
  <c r="K984" i="5" s="1"/>
  <c r="F985" i="5"/>
  <c r="K985" i="5" s="1"/>
  <c r="F986" i="5"/>
  <c r="K986" i="5" s="1"/>
  <c r="F987" i="5"/>
  <c r="K987" i="5" s="1"/>
  <c r="F988" i="5"/>
  <c r="K988" i="5" s="1"/>
  <c r="F989" i="5"/>
  <c r="K989" i="5" s="1"/>
  <c r="F990" i="5"/>
  <c r="K990" i="5" s="1"/>
  <c r="F991" i="5"/>
  <c r="K991" i="5" s="1"/>
  <c r="F992" i="5"/>
  <c r="K992" i="5" s="1"/>
  <c r="F993" i="5"/>
  <c r="K993" i="5" s="1"/>
  <c r="F994" i="5"/>
  <c r="F995" i="5"/>
  <c r="K995" i="5" s="1"/>
  <c r="F996" i="5"/>
  <c r="K996" i="5" s="1"/>
  <c r="F997" i="5"/>
  <c r="K997" i="5" s="1"/>
  <c r="F998" i="5"/>
  <c r="K998" i="5" s="1"/>
  <c r="F999" i="5"/>
  <c r="K999" i="5" s="1"/>
  <c r="F1000" i="5"/>
  <c r="K1000" i="5" s="1"/>
  <c r="F1001" i="5"/>
  <c r="K1001" i="5" s="1"/>
  <c r="F1002" i="5"/>
  <c r="K1002" i="5" s="1"/>
  <c r="F1003" i="5"/>
  <c r="K1003" i="5" s="1"/>
  <c r="F1004" i="5"/>
  <c r="K1004" i="5" s="1"/>
  <c r="F1005" i="5"/>
  <c r="K1005" i="5" s="1"/>
  <c r="F1006" i="5"/>
  <c r="K1006" i="5" s="1"/>
  <c r="F1007" i="5"/>
  <c r="K1007" i="5" s="1"/>
  <c r="F1008" i="5"/>
  <c r="K1008" i="5" s="1"/>
  <c r="F1009" i="5"/>
  <c r="K1009" i="5" s="1"/>
  <c r="F1010" i="5"/>
  <c r="F1011" i="5"/>
  <c r="K1011" i="5" s="1"/>
  <c r="F1012" i="5"/>
  <c r="K1012" i="5" s="1"/>
  <c r="F1013" i="5"/>
  <c r="K1013" i="5" s="1"/>
  <c r="F1014" i="5"/>
  <c r="K1014" i="5" s="1"/>
  <c r="F1015" i="5"/>
  <c r="K1015" i="5" s="1"/>
  <c r="F1016" i="5"/>
  <c r="K1016" i="5" s="1"/>
  <c r="F1017" i="5"/>
  <c r="K1017" i="5" s="1"/>
  <c r="F1018" i="5"/>
  <c r="K1018" i="5" s="1"/>
  <c r="F1019" i="5"/>
  <c r="K1019" i="5" s="1"/>
  <c r="F1020" i="5"/>
  <c r="K1020" i="5" s="1"/>
  <c r="F1021" i="5"/>
  <c r="K1021" i="5" s="1"/>
  <c r="F1022" i="5"/>
  <c r="K1022" i="5" s="1"/>
  <c r="F1023" i="5"/>
  <c r="K1023" i="5" s="1"/>
  <c r="F1024" i="5"/>
  <c r="K1024" i="5" s="1"/>
  <c r="F1025" i="5"/>
  <c r="K1025" i="5" s="1"/>
  <c r="F1026" i="5"/>
  <c r="F1027" i="5"/>
  <c r="K1027" i="5" s="1"/>
  <c r="F1028" i="5"/>
  <c r="K1028" i="5" s="1"/>
  <c r="F1029" i="5"/>
  <c r="K1029" i="5" s="1"/>
  <c r="F1030" i="5"/>
  <c r="F1031" i="5"/>
  <c r="K1031" i="5" s="1"/>
  <c r="F1032" i="5"/>
  <c r="K1032" i="5" s="1"/>
  <c r="F1033" i="5"/>
  <c r="K1033" i="5" s="1"/>
  <c r="F1034" i="5"/>
  <c r="K1034" i="5" s="1"/>
  <c r="F1035" i="5"/>
  <c r="K1035" i="5" s="1"/>
  <c r="F1036" i="5"/>
  <c r="K1036" i="5" s="1"/>
  <c r="F1037" i="5"/>
  <c r="K1037" i="5" s="1"/>
  <c r="F1038" i="5"/>
  <c r="K1038" i="5" s="1"/>
  <c r="F1039" i="5"/>
  <c r="K1039" i="5" s="1"/>
  <c r="F1040" i="5"/>
  <c r="K1040" i="5" s="1"/>
  <c r="F1041" i="5"/>
  <c r="K1041" i="5" s="1"/>
  <c r="F1042" i="5"/>
  <c r="F1043" i="5"/>
  <c r="K1043" i="5" s="1"/>
  <c r="F1044" i="5"/>
  <c r="K1044" i="5" s="1"/>
  <c r="F1045" i="5"/>
  <c r="K1045" i="5" s="1"/>
  <c r="F1046" i="5"/>
  <c r="F1047" i="5"/>
  <c r="K1047" i="5" s="1"/>
  <c r="F1048" i="5"/>
  <c r="K1048" i="5" s="1"/>
  <c r="F1049" i="5"/>
  <c r="K1049" i="5" s="1"/>
  <c r="F1050" i="5"/>
  <c r="F1051" i="5"/>
  <c r="K1051" i="5" s="1"/>
  <c r="F1052" i="5"/>
  <c r="K1052" i="5" s="1"/>
  <c r="F1053" i="5"/>
  <c r="K1053" i="5" s="1"/>
  <c r="F1054" i="5"/>
  <c r="F1055" i="5"/>
  <c r="K1055" i="5" s="1"/>
  <c r="F1056" i="5"/>
  <c r="K1056" i="5" s="1"/>
  <c r="F1057" i="5"/>
  <c r="K1057" i="5" s="1"/>
  <c r="F1058" i="5"/>
  <c r="F1059" i="5"/>
  <c r="K1059" i="5" s="1"/>
  <c r="F1060" i="5"/>
  <c r="K1060" i="5" s="1"/>
  <c r="F1061" i="5"/>
  <c r="K1061" i="5" s="1"/>
  <c r="F1062" i="5"/>
  <c r="F1063" i="5"/>
  <c r="K1063" i="5" s="1"/>
  <c r="F1064" i="5"/>
  <c r="K1064" i="5" s="1"/>
  <c r="F1065" i="5"/>
  <c r="K1065" i="5" s="1"/>
  <c r="F1066" i="5"/>
  <c r="F1067" i="5"/>
  <c r="K1067" i="5" s="1"/>
  <c r="F1068" i="5"/>
  <c r="K1068" i="5" s="1"/>
  <c r="F1069" i="5"/>
  <c r="K1069" i="5" s="1"/>
  <c r="F1070" i="5"/>
  <c r="F1071" i="5"/>
  <c r="K1071" i="5" s="1"/>
  <c r="F1072" i="5"/>
  <c r="K1072" i="5" s="1"/>
  <c r="F1073" i="5"/>
  <c r="K1073" i="5" s="1"/>
  <c r="F1074" i="5"/>
  <c r="F1075" i="5"/>
  <c r="K1075" i="5" s="1"/>
  <c r="U544" i="7" l="1"/>
  <c r="V544" i="7" s="1"/>
  <c r="W544" i="7" s="1"/>
  <c r="U540" i="7"/>
  <c r="V540" i="7" s="1"/>
  <c r="W540" i="7" s="1"/>
  <c r="U524" i="7"/>
  <c r="V524" i="7" s="1"/>
  <c r="W524" i="7" s="1"/>
  <c r="U516" i="7"/>
  <c r="V516" i="7" s="1"/>
  <c r="W516" i="7" s="1"/>
  <c r="U512" i="7"/>
  <c r="V512" i="7" s="1"/>
  <c r="W512" i="7" s="1"/>
  <c r="U508" i="7"/>
  <c r="V508" i="7" s="1"/>
  <c r="W508" i="7" s="1"/>
  <c r="U504" i="7"/>
  <c r="V504" i="7" s="1"/>
  <c r="W504" i="7" s="1"/>
  <c r="U500" i="7"/>
  <c r="V500" i="7" s="1"/>
  <c r="W500" i="7" s="1"/>
  <c r="U492" i="7"/>
  <c r="V492" i="7" s="1"/>
  <c r="W492" i="7" s="1"/>
  <c r="U488" i="7"/>
  <c r="V488" i="7" s="1"/>
  <c r="W488" i="7" s="1"/>
  <c r="U484" i="7"/>
  <c r="V484" i="7" s="1"/>
  <c r="W484" i="7" s="1"/>
  <c r="U464" i="7"/>
  <c r="V464" i="7" s="1"/>
  <c r="W464" i="7" s="1"/>
  <c r="U460" i="7"/>
  <c r="V460" i="7" s="1"/>
  <c r="W460" i="7" s="1"/>
  <c r="U452" i="7"/>
  <c r="V452" i="7" s="1"/>
  <c r="W452" i="7" s="1"/>
  <c r="U448" i="7"/>
  <c r="V448" i="7" s="1"/>
  <c r="W448" i="7" s="1"/>
  <c r="U440" i="7"/>
  <c r="V440" i="7" s="1"/>
  <c r="W440" i="7" s="1"/>
  <c r="U432" i="7"/>
  <c r="V432" i="7" s="1"/>
  <c r="W432" i="7" s="1"/>
  <c r="U428" i="7"/>
  <c r="V428" i="7" s="1"/>
  <c r="W428" i="7" s="1"/>
  <c r="U412" i="7"/>
  <c r="V412" i="7" s="1"/>
  <c r="W412" i="7" s="1"/>
  <c r="U408" i="7"/>
  <c r="V408" i="7" s="1"/>
  <c r="W408" i="7" s="1"/>
  <c r="U404" i="7"/>
  <c r="V404" i="7" s="1"/>
  <c r="W404" i="7" s="1"/>
  <c r="U400" i="7"/>
  <c r="V400" i="7" s="1"/>
  <c r="W400" i="7" s="1"/>
  <c r="U396" i="7"/>
  <c r="V396" i="7" s="1"/>
  <c r="W396" i="7" s="1"/>
  <c r="U388" i="7"/>
  <c r="V388" i="7" s="1"/>
  <c r="W388" i="7" s="1"/>
  <c r="U380" i="7"/>
  <c r="V380" i="7" s="1"/>
  <c r="W380" i="7" s="1"/>
  <c r="U372" i="7"/>
  <c r="V372" i="7" s="1"/>
  <c r="W372" i="7" s="1"/>
  <c r="U368" i="7"/>
  <c r="V368" i="7" s="1"/>
  <c r="W368" i="7" s="1"/>
  <c r="U364" i="7"/>
  <c r="V364" i="7" s="1"/>
  <c r="W364" i="7" s="1"/>
  <c r="U360" i="7"/>
  <c r="V360" i="7" s="1"/>
  <c r="W360" i="7" s="1"/>
  <c r="U356" i="7"/>
  <c r="V356" i="7" s="1"/>
  <c r="W356" i="7" s="1"/>
  <c r="U352" i="7"/>
  <c r="V352" i="7" s="1"/>
  <c r="W352" i="7" s="1"/>
  <c r="U336" i="7"/>
  <c r="V336" i="7" s="1"/>
  <c r="W336" i="7" s="1"/>
  <c r="U324" i="7"/>
  <c r="V324" i="7" s="1"/>
  <c r="W324" i="7" s="1"/>
  <c r="U320" i="7"/>
  <c r="V320" i="7" s="1"/>
  <c r="W320" i="7" s="1"/>
  <c r="U316" i="7"/>
  <c r="V316" i="7" s="1"/>
  <c r="W316" i="7" s="1"/>
  <c r="U304" i="7"/>
  <c r="V304" i="7" s="1"/>
  <c r="W304" i="7" s="1"/>
  <c r="U296" i="7"/>
  <c r="V296" i="7" s="1"/>
  <c r="W296" i="7" s="1"/>
  <c r="U288" i="7"/>
  <c r="V288" i="7" s="1"/>
  <c r="W288" i="7" s="1"/>
  <c r="U284" i="7"/>
  <c r="V284" i="7" s="1"/>
  <c r="W284" i="7" s="1"/>
  <c r="U272" i="7"/>
  <c r="V272" i="7" s="1"/>
  <c r="W272" i="7" s="1"/>
  <c r="U268" i="7"/>
  <c r="V268" i="7" s="1"/>
  <c r="W268" i="7" s="1"/>
  <c r="U256" i="7"/>
  <c r="V256" i="7" s="1"/>
  <c r="W256" i="7" s="1"/>
  <c r="U252" i="7"/>
  <c r="V252" i="7" s="1"/>
  <c r="W252" i="7" s="1"/>
  <c r="U248" i="7"/>
  <c r="V248" i="7" s="1"/>
  <c r="W248" i="7" s="1"/>
  <c r="U244" i="7"/>
  <c r="V244" i="7" s="1"/>
  <c r="W244" i="7" s="1"/>
  <c r="U236" i="7"/>
  <c r="V236" i="7" s="1"/>
  <c r="W236" i="7" s="1"/>
  <c r="U216" i="7"/>
  <c r="V216" i="7" s="1"/>
  <c r="W216" i="7" s="1"/>
  <c r="U212" i="7"/>
  <c r="V212" i="7" s="1"/>
  <c r="W212" i="7" s="1"/>
  <c r="U208" i="7"/>
  <c r="V208" i="7" s="1"/>
  <c r="W208" i="7" s="1"/>
  <c r="U204" i="7"/>
  <c r="V204" i="7" s="1"/>
  <c r="W204" i="7" s="1"/>
  <c r="U196" i="7"/>
  <c r="V196" i="7" s="1"/>
  <c r="W196" i="7" s="1"/>
  <c r="U192" i="7"/>
  <c r="V192" i="7" s="1"/>
  <c r="W192" i="7" s="1"/>
  <c r="U188" i="7"/>
  <c r="V188" i="7" s="1"/>
  <c r="W188" i="7" s="1"/>
  <c r="U184" i="7"/>
  <c r="V184" i="7" s="1"/>
  <c r="W184" i="7" s="1"/>
  <c r="U180" i="7"/>
  <c r="V180" i="7" s="1"/>
  <c r="W180" i="7" s="1"/>
  <c r="U172" i="7"/>
  <c r="V172" i="7" s="1"/>
  <c r="W172" i="7" s="1"/>
  <c r="U164" i="7"/>
  <c r="V164" i="7" s="1"/>
  <c r="W164" i="7" s="1"/>
  <c r="U160" i="7"/>
  <c r="V160" i="7" s="1"/>
  <c r="W160" i="7" s="1"/>
  <c r="U156" i="7"/>
  <c r="V156" i="7" s="1"/>
  <c r="W156" i="7" s="1"/>
  <c r="U152" i="7"/>
  <c r="V152" i="7" s="1"/>
  <c r="W152" i="7" s="1"/>
  <c r="U144" i="7"/>
  <c r="V144" i="7" s="1"/>
  <c r="W144" i="7" s="1"/>
  <c r="U140" i="7"/>
  <c r="V140" i="7" s="1"/>
  <c r="W140" i="7" s="1"/>
  <c r="U136" i="7"/>
  <c r="V136" i="7" s="1"/>
  <c r="W136" i="7" s="1"/>
  <c r="U120" i="7"/>
  <c r="V120" i="7" s="1"/>
  <c r="W120" i="7" s="1"/>
  <c r="U108" i="7"/>
  <c r="V108" i="7" s="1"/>
  <c r="W108" i="7" s="1"/>
  <c r="U104" i="7"/>
  <c r="V104" i="7" s="1"/>
  <c r="W104" i="7" s="1"/>
  <c r="U100" i="7"/>
  <c r="V100" i="7" s="1"/>
  <c r="W100" i="7" s="1"/>
  <c r="U88" i="7"/>
  <c r="V88" i="7" s="1"/>
  <c r="W88" i="7" s="1"/>
  <c r="U64" i="7"/>
  <c r="V64" i="7" s="1"/>
  <c r="W64" i="7" s="1"/>
  <c r="U52" i="7"/>
  <c r="V52" i="7" s="1"/>
  <c r="W52" i="7" s="1"/>
  <c r="U28" i="7"/>
  <c r="V28" i="7" s="1"/>
  <c r="W28" i="7" s="1"/>
  <c r="U24" i="7"/>
  <c r="V24" i="7" s="1"/>
  <c r="W24" i="7" s="1"/>
  <c r="U16" i="7"/>
  <c r="V16" i="7" s="1"/>
  <c r="W16" i="7" s="1"/>
  <c r="U8" i="7"/>
  <c r="V8" i="7" s="1"/>
  <c r="W8" i="7" s="1"/>
  <c r="U4" i="7"/>
  <c r="V4" i="7" s="1"/>
  <c r="W4" i="7" s="1"/>
  <c r="U547" i="7"/>
  <c r="V547" i="7" s="1"/>
  <c r="W547" i="7" s="1"/>
  <c r="U543" i="7"/>
  <c r="V543" i="7" s="1"/>
  <c r="W543" i="7" s="1"/>
  <c r="U539" i="7"/>
  <c r="V539" i="7" s="1"/>
  <c r="W539" i="7" s="1"/>
  <c r="U523" i="7"/>
  <c r="V523" i="7" s="1"/>
  <c r="W523" i="7" s="1"/>
  <c r="U519" i="7"/>
  <c r="V519" i="7" s="1"/>
  <c r="W519" i="7" s="1"/>
  <c r="U511" i="7"/>
  <c r="V511" i="7" s="1"/>
  <c r="W511" i="7" s="1"/>
  <c r="U503" i="7"/>
  <c r="V503" i="7" s="1"/>
  <c r="W503" i="7" s="1"/>
  <c r="U499" i="7"/>
  <c r="V499" i="7" s="1"/>
  <c r="W499" i="7" s="1"/>
  <c r="U495" i="7"/>
  <c r="V495" i="7" s="1"/>
  <c r="W495" i="7" s="1"/>
  <c r="U487" i="7"/>
  <c r="V487" i="7" s="1"/>
  <c r="W487" i="7" s="1"/>
  <c r="U483" i="7"/>
  <c r="V483" i="7" s="1"/>
  <c r="W483" i="7" s="1"/>
  <c r="U479" i="7"/>
  <c r="V479" i="7" s="1"/>
  <c r="W479" i="7" s="1"/>
  <c r="U463" i="7"/>
  <c r="V463" i="7" s="1"/>
  <c r="W463" i="7" s="1"/>
  <c r="U459" i="7"/>
  <c r="V459" i="7" s="1"/>
  <c r="W459" i="7" s="1"/>
  <c r="U455" i="7"/>
  <c r="V455" i="7" s="1"/>
  <c r="W455" i="7" s="1"/>
  <c r="U447" i="7"/>
  <c r="V447" i="7" s="1"/>
  <c r="W447" i="7" s="1"/>
  <c r="U435" i="7"/>
  <c r="V435" i="7" s="1"/>
  <c r="W435" i="7" s="1"/>
  <c r="U431" i="7"/>
  <c r="V431" i="7" s="1"/>
  <c r="W431" i="7" s="1"/>
  <c r="U427" i="7"/>
  <c r="V427" i="7" s="1"/>
  <c r="W427" i="7" s="1"/>
  <c r="U419" i="7"/>
  <c r="V419" i="7" s="1"/>
  <c r="W419" i="7" s="1"/>
  <c r="U411" i="7"/>
  <c r="V411" i="7" s="1"/>
  <c r="W411" i="7" s="1"/>
  <c r="U399" i="7"/>
  <c r="V399" i="7" s="1"/>
  <c r="W399" i="7" s="1"/>
  <c r="U391" i="7"/>
  <c r="V391" i="7" s="1"/>
  <c r="W391" i="7" s="1"/>
  <c r="U383" i="7"/>
  <c r="V383" i="7" s="1"/>
  <c r="W383" i="7" s="1"/>
  <c r="U375" i="7"/>
  <c r="V375" i="7" s="1"/>
  <c r="W375" i="7" s="1"/>
  <c r="U367" i="7"/>
  <c r="V367" i="7" s="1"/>
  <c r="W367" i="7" s="1"/>
  <c r="U363" i="7"/>
  <c r="V363" i="7" s="1"/>
  <c r="W363" i="7" s="1"/>
  <c r="U355" i="7"/>
  <c r="V355" i="7" s="1"/>
  <c r="W355" i="7" s="1"/>
  <c r="U351" i="7"/>
  <c r="V351" i="7" s="1"/>
  <c r="W351" i="7" s="1"/>
  <c r="U335" i="7"/>
  <c r="V335" i="7" s="1"/>
  <c r="W335" i="7" s="1"/>
  <c r="U327" i="7"/>
  <c r="V327" i="7" s="1"/>
  <c r="W327" i="7" s="1"/>
  <c r="U319" i="7"/>
  <c r="V319" i="7" s="1"/>
  <c r="W319" i="7" s="1"/>
  <c r="U315" i="7"/>
  <c r="V315" i="7" s="1"/>
  <c r="W315" i="7" s="1"/>
  <c r="U307" i="7"/>
  <c r="V307" i="7" s="1"/>
  <c r="W307" i="7" s="1"/>
  <c r="U299" i="7"/>
  <c r="V299" i="7" s="1"/>
  <c r="W299" i="7" s="1"/>
  <c r="U251" i="7"/>
  <c r="V251" i="7" s="1"/>
  <c r="W251" i="7" s="1"/>
  <c r="U239" i="7"/>
  <c r="V239" i="7" s="1"/>
  <c r="W239" i="7" s="1"/>
  <c r="U231" i="7"/>
  <c r="V231" i="7" s="1"/>
  <c r="W231" i="7" s="1"/>
  <c r="U227" i="7"/>
  <c r="V227" i="7" s="1"/>
  <c r="W227" i="7" s="1"/>
  <c r="U219" i="7"/>
  <c r="V219" i="7" s="1"/>
  <c r="W219" i="7" s="1"/>
  <c r="U211" i="7"/>
  <c r="V211" i="7" s="1"/>
  <c r="W211" i="7" s="1"/>
  <c r="U207" i="7"/>
  <c r="V207" i="7" s="1"/>
  <c r="W207" i="7" s="1"/>
  <c r="U203" i="7"/>
  <c r="V203" i="7" s="1"/>
  <c r="W203" i="7" s="1"/>
  <c r="U199" i="7"/>
  <c r="V199" i="7" s="1"/>
  <c r="W199" i="7" s="1"/>
  <c r="U195" i="7"/>
  <c r="V195" i="7" s="1"/>
  <c r="W195" i="7" s="1"/>
  <c r="U163" i="7"/>
  <c r="V163" i="7" s="1"/>
  <c r="W163" i="7" s="1"/>
  <c r="U151" i="7"/>
  <c r="V151" i="7" s="1"/>
  <c r="W151" i="7" s="1"/>
  <c r="U147" i="7"/>
  <c r="V147" i="7" s="1"/>
  <c r="W147" i="7" s="1"/>
  <c r="U135" i="7"/>
  <c r="V135" i="7" s="1"/>
  <c r="W135" i="7" s="1"/>
  <c r="U131" i="7"/>
  <c r="V131" i="7" s="1"/>
  <c r="W131" i="7" s="1"/>
  <c r="U127" i="7"/>
  <c r="V127" i="7" s="1"/>
  <c r="W127" i="7" s="1"/>
  <c r="U119" i="7"/>
  <c r="V119" i="7" s="1"/>
  <c r="W119" i="7" s="1"/>
  <c r="U115" i="7"/>
  <c r="V115" i="7" s="1"/>
  <c r="W115" i="7" s="1"/>
  <c r="U103" i="7"/>
  <c r="V103" i="7" s="1"/>
  <c r="W103" i="7" s="1"/>
  <c r="U95" i="7"/>
  <c r="V95" i="7" s="1"/>
  <c r="W95" i="7" s="1"/>
  <c r="U83" i="7"/>
  <c r="V83" i="7" s="1"/>
  <c r="W83" i="7" s="1"/>
  <c r="U79" i="7"/>
  <c r="V79" i="7" s="1"/>
  <c r="W79" i="7" s="1"/>
  <c r="U71" i="7"/>
  <c r="V71" i="7" s="1"/>
  <c r="W71" i="7" s="1"/>
  <c r="U39" i="7"/>
  <c r="V39" i="7" s="1"/>
  <c r="W39" i="7" s="1"/>
  <c r="U31" i="7"/>
  <c r="V31" i="7" s="1"/>
  <c r="W31" i="7" s="1"/>
  <c r="U23" i="7"/>
  <c r="V23" i="7" s="1"/>
  <c r="W23" i="7" s="1"/>
  <c r="U11" i="7"/>
  <c r="V11" i="7" s="1"/>
  <c r="W11" i="7" s="1"/>
  <c r="U7" i="7"/>
  <c r="V7" i="7" s="1"/>
  <c r="W7" i="7" s="1"/>
  <c r="U14" i="7"/>
  <c r="V14" i="7" s="1"/>
  <c r="W14" i="7" s="1"/>
  <c r="U15" i="7"/>
  <c r="V15" i="7" s="1"/>
  <c r="W15" i="7" s="1"/>
  <c r="U526" i="7"/>
  <c r="V526" i="7" s="1"/>
  <c r="W526" i="7" s="1"/>
  <c r="U486" i="7"/>
  <c r="V486" i="7" s="1"/>
  <c r="W486" i="7" s="1"/>
  <c r="U438" i="7"/>
  <c r="V438" i="7" s="1"/>
  <c r="W438" i="7" s="1"/>
  <c r="U430" i="7"/>
  <c r="V430" i="7" s="1"/>
  <c r="W430" i="7" s="1"/>
  <c r="U422" i="7"/>
  <c r="V422" i="7" s="1"/>
  <c r="W422" i="7" s="1"/>
  <c r="U354" i="7"/>
  <c r="V354" i="7" s="1"/>
  <c r="W354" i="7" s="1"/>
  <c r="U346" i="7"/>
  <c r="V346" i="7" s="1"/>
  <c r="W346" i="7" s="1"/>
  <c r="U342" i="7"/>
  <c r="V342" i="7" s="1"/>
  <c r="W342" i="7" s="1"/>
  <c r="U334" i="7"/>
  <c r="V334" i="7" s="1"/>
  <c r="W334" i="7" s="1"/>
  <c r="U330" i="7"/>
  <c r="V330" i="7" s="1"/>
  <c r="W330" i="7" s="1"/>
  <c r="U491" i="7"/>
  <c r="V491" i="7" s="1"/>
  <c r="W491" i="7" s="1"/>
  <c r="U379" i="7"/>
  <c r="V379" i="7" s="1"/>
  <c r="W379" i="7" s="1"/>
  <c r="U171" i="7"/>
  <c r="V171" i="7" s="1"/>
  <c r="W171" i="7" s="1"/>
  <c r="U545" i="7"/>
  <c r="V545" i="7" s="1"/>
  <c r="W545" i="7" s="1"/>
  <c r="U537" i="7"/>
  <c r="V537" i="7" s="1"/>
  <c r="W537" i="7" s="1"/>
  <c r="U529" i="7"/>
  <c r="V529" i="7" s="1"/>
  <c r="W529" i="7" s="1"/>
  <c r="U306" i="7"/>
  <c r="V306" i="7" s="1"/>
  <c r="W306" i="7" s="1"/>
  <c r="U238" i="7"/>
  <c r="V238" i="7" s="1"/>
  <c r="W238" i="7" s="1"/>
  <c r="U194" i="7"/>
  <c r="V194" i="7" s="1"/>
  <c r="W194" i="7" s="1"/>
  <c r="U178" i="7"/>
  <c r="V178" i="7" s="1"/>
  <c r="W178" i="7" s="1"/>
  <c r="U170" i="7"/>
  <c r="V170" i="7" s="1"/>
  <c r="W170" i="7" s="1"/>
  <c r="U162" i="7"/>
  <c r="V162" i="7" s="1"/>
  <c r="W162" i="7" s="1"/>
  <c r="U114" i="7"/>
  <c r="V114" i="7" s="1"/>
  <c r="W114" i="7" s="1"/>
  <c r="U110" i="7"/>
  <c r="V110" i="7" s="1"/>
  <c r="W110" i="7" s="1"/>
  <c r="U74" i="7"/>
  <c r="V74" i="7" s="1"/>
  <c r="W74" i="7" s="1"/>
  <c r="U66" i="7"/>
  <c r="V66" i="7" s="1"/>
  <c r="W66" i="7" s="1"/>
  <c r="U58" i="7"/>
  <c r="V58" i="7" s="1"/>
  <c r="W58" i="7" s="1"/>
  <c r="U26" i="7"/>
  <c r="V26" i="7" s="1"/>
  <c r="W26" i="7" s="1"/>
  <c r="U513" i="7"/>
  <c r="V513" i="7" s="1"/>
  <c r="W513" i="7" s="1"/>
  <c r="U509" i="7"/>
  <c r="V509" i="7" s="1"/>
  <c r="W509" i="7" s="1"/>
  <c r="U505" i="7"/>
  <c r="V505" i="7" s="1"/>
  <c r="W505" i="7" s="1"/>
  <c r="U501" i="7"/>
  <c r="V501" i="7" s="1"/>
  <c r="W501" i="7" s="1"/>
  <c r="U493" i="7"/>
  <c r="V493" i="7" s="1"/>
  <c r="W493" i="7" s="1"/>
  <c r="U485" i="7"/>
  <c r="V485" i="7" s="1"/>
  <c r="W485" i="7" s="1"/>
  <c r="U481" i="7"/>
  <c r="V481" i="7" s="1"/>
  <c r="W481" i="7" s="1"/>
  <c r="U477" i="7"/>
  <c r="V477" i="7" s="1"/>
  <c r="W477" i="7" s="1"/>
  <c r="U469" i="7"/>
  <c r="V469" i="7" s="1"/>
  <c r="W469" i="7" s="1"/>
  <c r="U461" i="7"/>
  <c r="V461" i="7" s="1"/>
  <c r="W461" i="7" s="1"/>
  <c r="U457" i="7"/>
  <c r="V457" i="7" s="1"/>
  <c r="W457" i="7" s="1"/>
  <c r="U453" i="7"/>
  <c r="V453" i="7" s="1"/>
  <c r="W453" i="7" s="1"/>
  <c r="U441" i="7"/>
  <c r="V441" i="7" s="1"/>
  <c r="W441" i="7" s="1"/>
  <c r="U437" i="7"/>
  <c r="V437" i="7" s="1"/>
  <c r="W437" i="7" s="1"/>
  <c r="U425" i="7"/>
  <c r="V425" i="7" s="1"/>
  <c r="W425" i="7" s="1"/>
  <c r="U421" i="7"/>
  <c r="V421" i="7" s="1"/>
  <c r="W421" i="7" s="1"/>
  <c r="U413" i="7"/>
  <c r="V413" i="7" s="1"/>
  <c r="W413" i="7" s="1"/>
  <c r="U409" i="7"/>
  <c r="V409" i="7" s="1"/>
  <c r="W409" i="7" s="1"/>
  <c r="U405" i="7"/>
  <c r="V405" i="7" s="1"/>
  <c r="W405" i="7" s="1"/>
  <c r="U397" i="7"/>
  <c r="V397" i="7" s="1"/>
  <c r="W397" i="7" s="1"/>
  <c r="U393" i="7"/>
  <c r="V393" i="7" s="1"/>
  <c r="W393" i="7" s="1"/>
  <c r="U385" i="7"/>
  <c r="V385" i="7" s="1"/>
  <c r="W385" i="7" s="1"/>
  <c r="U381" i="7"/>
  <c r="V381" i="7" s="1"/>
  <c r="W381" i="7" s="1"/>
  <c r="U377" i="7"/>
  <c r="V377" i="7" s="1"/>
  <c r="W377" i="7" s="1"/>
  <c r="U369" i="7"/>
  <c r="V369" i="7" s="1"/>
  <c r="W369" i="7" s="1"/>
  <c r="U365" i="7"/>
  <c r="V365" i="7" s="1"/>
  <c r="W365" i="7" s="1"/>
  <c r="U361" i="7"/>
  <c r="V361" i="7" s="1"/>
  <c r="W361" i="7" s="1"/>
  <c r="U357" i="7"/>
  <c r="V357" i="7" s="1"/>
  <c r="W357" i="7" s="1"/>
  <c r="U353" i="7"/>
  <c r="V353" i="7" s="1"/>
  <c r="W353" i="7" s="1"/>
  <c r="U345" i="7"/>
  <c r="V345" i="7" s="1"/>
  <c r="W345" i="7" s="1"/>
  <c r="U337" i="7"/>
  <c r="V337" i="7" s="1"/>
  <c r="W337" i="7" s="1"/>
  <c r="U325" i="7"/>
  <c r="V325" i="7" s="1"/>
  <c r="W325" i="7" s="1"/>
  <c r="U317" i="7"/>
  <c r="V317" i="7" s="1"/>
  <c r="W317" i="7" s="1"/>
  <c r="U313" i="7"/>
  <c r="V313" i="7" s="1"/>
  <c r="W313" i="7" s="1"/>
  <c r="U305" i="7"/>
  <c r="V305" i="7" s="1"/>
  <c r="W305" i="7" s="1"/>
  <c r="U301" i="7"/>
  <c r="V301" i="7" s="1"/>
  <c r="W301" i="7" s="1"/>
  <c r="U297" i="7"/>
  <c r="V297" i="7" s="1"/>
  <c r="W297" i="7" s="1"/>
  <c r="U293" i="7"/>
  <c r="V293" i="7" s="1"/>
  <c r="W293" i="7" s="1"/>
  <c r="U285" i="7"/>
  <c r="V285" i="7" s="1"/>
  <c r="W285" i="7" s="1"/>
  <c r="U277" i="7"/>
  <c r="V277" i="7" s="1"/>
  <c r="W277" i="7" s="1"/>
  <c r="U265" i="7"/>
  <c r="V265" i="7" s="1"/>
  <c r="W265" i="7" s="1"/>
  <c r="U261" i="7"/>
  <c r="V261" i="7" s="1"/>
  <c r="W261" i="7" s="1"/>
  <c r="U257" i="7"/>
  <c r="V257" i="7" s="1"/>
  <c r="W257" i="7" s="1"/>
  <c r="U253" i="7"/>
  <c r="V253" i="7" s="1"/>
  <c r="W253" i="7" s="1"/>
  <c r="U249" i="7"/>
  <c r="V249" i="7" s="1"/>
  <c r="W249" i="7" s="1"/>
  <c r="U237" i="7"/>
  <c r="V237" i="7" s="1"/>
  <c r="W237" i="7" s="1"/>
  <c r="U229" i="7"/>
  <c r="V229" i="7" s="1"/>
  <c r="W229" i="7" s="1"/>
  <c r="U213" i="7"/>
  <c r="V213" i="7" s="1"/>
  <c r="W213" i="7" s="1"/>
  <c r="U209" i="7"/>
  <c r="V209" i="7" s="1"/>
  <c r="W209" i="7" s="1"/>
  <c r="U205" i="7"/>
  <c r="V205" i="7" s="1"/>
  <c r="W205" i="7" s="1"/>
  <c r="U197" i="7"/>
  <c r="V197" i="7" s="1"/>
  <c r="W197" i="7" s="1"/>
  <c r="U193" i="7"/>
  <c r="V193" i="7" s="1"/>
  <c r="W193" i="7" s="1"/>
  <c r="U185" i="7"/>
  <c r="V185" i="7" s="1"/>
  <c r="W185" i="7" s="1"/>
  <c r="U177" i="7"/>
  <c r="V177" i="7" s="1"/>
  <c r="W177" i="7" s="1"/>
  <c r="U169" i="7"/>
  <c r="V169" i="7" s="1"/>
  <c r="W169" i="7" s="1"/>
  <c r="U157" i="7"/>
  <c r="V157" i="7" s="1"/>
  <c r="W157" i="7" s="1"/>
  <c r="U149" i="7"/>
  <c r="V149" i="7" s="1"/>
  <c r="W149" i="7" s="1"/>
  <c r="U145" i="7"/>
  <c r="V145" i="7" s="1"/>
  <c r="W145" i="7" s="1"/>
  <c r="U141" i="7"/>
  <c r="V141" i="7" s="1"/>
  <c r="W141" i="7" s="1"/>
  <c r="U125" i="7"/>
  <c r="V125" i="7" s="1"/>
  <c r="W125" i="7" s="1"/>
  <c r="U117" i="7"/>
  <c r="V117" i="7" s="1"/>
  <c r="W117" i="7" s="1"/>
  <c r="U113" i="7"/>
  <c r="V113" i="7" s="1"/>
  <c r="W113" i="7" s="1"/>
  <c r="U105" i="7"/>
  <c r="V105" i="7" s="1"/>
  <c r="W105" i="7" s="1"/>
  <c r="U101" i="7"/>
  <c r="V101" i="7" s="1"/>
  <c r="W101" i="7" s="1"/>
  <c r="U97" i="7"/>
  <c r="V97" i="7" s="1"/>
  <c r="W97" i="7" s="1"/>
  <c r="U93" i="7"/>
  <c r="V93" i="7" s="1"/>
  <c r="W93" i="7" s="1"/>
  <c r="U89" i="7"/>
  <c r="V89" i="7" s="1"/>
  <c r="W89" i="7" s="1"/>
  <c r="U77" i="7"/>
  <c r="V77" i="7" s="1"/>
  <c r="W77" i="7" s="1"/>
  <c r="U73" i="7"/>
  <c r="V73" i="7" s="1"/>
  <c r="W73" i="7" s="1"/>
  <c r="U69" i="7"/>
  <c r="V69" i="7" s="1"/>
  <c r="W69" i="7" s="1"/>
  <c r="U65" i="7"/>
  <c r="V65" i="7" s="1"/>
  <c r="W65" i="7" s="1"/>
  <c r="U61" i="7"/>
  <c r="V61" i="7" s="1"/>
  <c r="W61" i="7" s="1"/>
  <c r="U57" i="7"/>
  <c r="V57" i="7" s="1"/>
  <c r="W57" i="7" s="1"/>
  <c r="U53" i="7"/>
  <c r="V53" i="7" s="1"/>
  <c r="W53" i="7" s="1"/>
  <c r="U49" i="7"/>
  <c r="V49" i="7" s="1"/>
  <c r="W49" i="7" s="1"/>
  <c r="U41" i="7"/>
  <c r="V41" i="7" s="1"/>
  <c r="W41" i="7" s="1"/>
  <c r="U37" i="7"/>
  <c r="V37" i="7" s="1"/>
  <c r="W37" i="7" s="1"/>
  <c r="U33" i="7"/>
  <c r="V33" i="7" s="1"/>
  <c r="W33" i="7" s="1"/>
  <c r="U25" i="7"/>
  <c r="V25" i="7" s="1"/>
  <c r="W25" i="7" s="1"/>
  <c r="U21" i="7"/>
  <c r="V21" i="7" s="1"/>
  <c r="W21" i="7" s="1"/>
  <c r="U17" i="7"/>
  <c r="V17" i="7" s="1"/>
  <c r="W17" i="7" s="1"/>
  <c r="U9" i="7"/>
  <c r="V9" i="7" s="1"/>
  <c r="W9" i="7" s="1"/>
  <c r="U339" i="7"/>
  <c r="V339" i="7" s="1"/>
  <c r="W339" i="7" s="1"/>
  <c r="U155" i="7"/>
  <c r="V155" i="7" s="1"/>
  <c r="W155" i="7" s="1"/>
  <c r="U286" i="7"/>
  <c r="V286" i="7" s="1"/>
  <c r="W286" i="7" s="1"/>
  <c r="U538" i="7"/>
  <c r="V538" i="7" s="1"/>
  <c r="W538" i="7" s="1"/>
  <c r="U530" i="7"/>
  <c r="V530" i="7" s="1"/>
  <c r="W530" i="7" s="1"/>
  <c r="U514" i="7"/>
  <c r="V514" i="7" s="1"/>
  <c r="W514" i="7" s="1"/>
  <c r="U506" i="7"/>
  <c r="V506" i="7" s="1"/>
  <c r="W506" i="7" s="1"/>
  <c r="U494" i="7"/>
  <c r="V494" i="7" s="1"/>
  <c r="W494" i="7" s="1"/>
  <c r="U482" i="7"/>
  <c r="V482" i="7" s="1"/>
  <c r="W482" i="7" s="1"/>
  <c r="U450" i="7"/>
  <c r="V450" i="7" s="1"/>
  <c r="W450" i="7" s="1"/>
  <c r="U446" i="7"/>
  <c r="V446" i="7" s="1"/>
  <c r="W446" i="7" s="1"/>
  <c r="U418" i="7"/>
  <c r="V418" i="7" s="1"/>
  <c r="W418" i="7" s="1"/>
  <c r="U406" i="7"/>
  <c r="V406" i="7" s="1"/>
  <c r="W406" i="7" s="1"/>
  <c r="U390" i="7"/>
  <c r="V390" i="7" s="1"/>
  <c r="W390" i="7" s="1"/>
  <c r="U378" i="7"/>
  <c r="V378" i="7" s="1"/>
  <c r="W378" i="7" s="1"/>
  <c r="U358" i="7"/>
  <c r="V358" i="7" s="1"/>
  <c r="W358" i="7" s="1"/>
  <c r="U326" i="7"/>
  <c r="V326" i="7" s="1"/>
  <c r="W326" i="7" s="1"/>
  <c r="U318" i="7"/>
  <c r="V318" i="7" s="1"/>
  <c r="W318" i="7" s="1"/>
  <c r="U310" i="7"/>
  <c r="V310" i="7" s="1"/>
  <c r="W310" i="7" s="1"/>
  <c r="U302" i="7"/>
  <c r="V302" i="7" s="1"/>
  <c r="W302" i="7" s="1"/>
  <c r="U282" i="7"/>
  <c r="V282" i="7" s="1"/>
  <c r="W282" i="7" s="1"/>
  <c r="U270" i="7"/>
  <c r="V270" i="7" s="1"/>
  <c r="W270" i="7" s="1"/>
  <c r="U258" i="7"/>
  <c r="V258" i="7" s="1"/>
  <c r="W258" i="7" s="1"/>
  <c r="U230" i="7"/>
  <c r="V230" i="7" s="1"/>
  <c r="W230" i="7" s="1"/>
  <c r="U222" i="7"/>
  <c r="V222" i="7" s="1"/>
  <c r="W222" i="7" s="1"/>
  <c r="U214" i="7"/>
  <c r="V214" i="7" s="1"/>
  <c r="W214" i="7" s="1"/>
  <c r="U206" i="7"/>
  <c r="V206" i="7" s="1"/>
  <c r="W206" i="7" s="1"/>
  <c r="U174" i="7"/>
  <c r="V174" i="7" s="1"/>
  <c r="W174" i="7" s="1"/>
  <c r="U154" i="7"/>
  <c r="V154" i="7" s="1"/>
  <c r="W154" i="7" s="1"/>
  <c r="U142" i="7"/>
  <c r="V142" i="7" s="1"/>
  <c r="W142" i="7" s="1"/>
  <c r="U134" i="7"/>
  <c r="V134" i="7" s="1"/>
  <c r="W134" i="7" s="1"/>
  <c r="U126" i="7"/>
  <c r="V126" i="7" s="1"/>
  <c r="W126" i="7" s="1"/>
  <c r="U118" i="7"/>
  <c r="V118" i="7" s="1"/>
  <c r="W118" i="7" s="1"/>
  <c r="U106" i="7"/>
  <c r="V106" i="7" s="1"/>
  <c r="W106" i="7" s="1"/>
  <c r="U102" i="7"/>
  <c r="V102" i="7" s="1"/>
  <c r="W102" i="7" s="1"/>
  <c r="U90" i="7"/>
  <c r="V90" i="7" s="1"/>
  <c r="W90" i="7" s="1"/>
  <c r="U78" i="7"/>
  <c r="V78" i="7" s="1"/>
  <c r="W78" i="7" s="1"/>
  <c r="U70" i="7"/>
  <c r="V70" i="7" s="1"/>
  <c r="W70" i="7" s="1"/>
  <c r="U50" i="7"/>
  <c r="V50" i="7" s="1"/>
  <c r="W50" i="7" s="1"/>
  <c r="U46" i="7"/>
  <c r="V46" i="7" s="1"/>
  <c r="W46" i="7" s="1"/>
  <c r="U30" i="7"/>
  <c r="V30" i="7" s="1"/>
  <c r="W30" i="7" s="1"/>
  <c r="U18" i="7"/>
  <c r="V18" i="7" s="1"/>
  <c r="W18" i="7" s="1"/>
  <c r="U215" i="7"/>
  <c r="V215" i="7" s="1"/>
  <c r="W215" i="7" s="1"/>
  <c r="U99" i="7"/>
  <c r="V99" i="7" s="1"/>
  <c r="W99" i="7" s="1"/>
  <c r="U534" i="7"/>
  <c r="V534" i="7" s="1"/>
  <c r="W534" i="7" s="1"/>
  <c r="U522" i="7"/>
  <c r="V522" i="7" s="1"/>
  <c r="W522" i="7" s="1"/>
  <c r="U510" i="7"/>
  <c r="V510" i="7" s="1"/>
  <c r="W510" i="7" s="1"/>
  <c r="U498" i="7"/>
  <c r="V498" i="7" s="1"/>
  <c r="W498" i="7" s="1"/>
  <c r="U490" i="7"/>
  <c r="V490" i="7" s="1"/>
  <c r="W490" i="7" s="1"/>
  <c r="U454" i="7"/>
  <c r="V454" i="7" s="1"/>
  <c r="W454" i="7" s="1"/>
  <c r="U442" i="7"/>
  <c r="V442" i="7" s="1"/>
  <c r="W442" i="7" s="1"/>
  <c r="U426" i="7"/>
  <c r="V426" i="7" s="1"/>
  <c r="W426" i="7" s="1"/>
  <c r="U410" i="7"/>
  <c r="V410" i="7" s="1"/>
  <c r="W410" i="7" s="1"/>
  <c r="U398" i="7"/>
  <c r="V398" i="7" s="1"/>
  <c r="W398" i="7" s="1"/>
  <c r="U362" i="7"/>
  <c r="V362" i="7" s="1"/>
  <c r="W362" i="7" s="1"/>
  <c r="U322" i="7"/>
  <c r="V322" i="7" s="1"/>
  <c r="W322" i="7" s="1"/>
  <c r="U314" i="7"/>
  <c r="V314" i="7" s="1"/>
  <c r="W314" i="7" s="1"/>
  <c r="U290" i="7"/>
  <c r="V290" i="7" s="1"/>
  <c r="W290" i="7" s="1"/>
  <c r="U278" i="7"/>
  <c r="V278" i="7" s="1"/>
  <c r="W278" i="7" s="1"/>
  <c r="U266" i="7"/>
  <c r="V266" i="7" s="1"/>
  <c r="W266" i="7" s="1"/>
  <c r="U226" i="7"/>
  <c r="V226" i="7" s="1"/>
  <c r="W226" i="7" s="1"/>
  <c r="U218" i="7"/>
  <c r="V218" i="7" s="1"/>
  <c r="W218" i="7" s="1"/>
  <c r="U210" i="7"/>
  <c r="V210" i="7" s="1"/>
  <c r="W210" i="7" s="1"/>
  <c r="U158" i="7"/>
  <c r="V158" i="7" s="1"/>
  <c r="W158" i="7" s="1"/>
  <c r="U130" i="7"/>
  <c r="V130" i="7" s="1"/>
  <c r="W130" i="7" s="1"/>
  <c r="U122" i="7"/>
  <c r="V122" i="7" s="1"/>
  <c r="W122" i="7" s="1"/>
  <c r="U98" i="7"/>
  <c r="V98" i="7" s="1"/>
  <c r="W98" i="7" s="1"/>
  <c r="U82" i="7"/>
  <c r="V82" i="7" s="1"/>
  <c r="W82" i="7" s="1"/>
  <c r="U42" i="7"/>
  <c r="V42" i="7" s="1"/>
  <c r="W42" i="7" s="1"/>
  <c r="U34" i="7"/>
  <c r="V34" i="7" s="1"/>
  <c r="W34" i="7" s="1"/>
  <c r="U10" i="7"/>
  <c r="V10" i="7" s="1"/>
  <c r="W10" i="7" s="1"/>
  <c r="U531" i="7"/>
  <c r="V531" i="7" s="1"/>
  <c r="W531" i="7" s="1"/>
  <c r="U467" i="7"/>
  <c r="V467" i="7" s="1"/>
  <c r="W467" i="7" s="1"/>
  <c r="U407" i="7"/>
  <c r="V407" i="7" s="1"/>
  <c r="W407" i="7" s="1"/>
  <c r="U403" i="7"/>
  <c r="V403" i="7" s="1"/>
  <c r="W403" i="7" s="1"/>
  <c r="U323" i="7"/>
  <c r="V323" i="7" s="1"/>
  <c r="W323" i="7" s="1"/>
  <c r="U303" i="7"/>
  <c r="V303" i="7" s="1"/>
  <c r="W303" i="7" s="1"/>
  <c r="U295" i="7"/>
  <c r="V295" i="7" s="1"/>
  <c r="W295" i="7" s="1"/>
  <c r="U279" i="7"/>
  <c r="V279" i="7" s="1"/>
  <c r="W279" i="7" s="1"/>
  <c r="U255" i="7"/>
  <c r="V255" i="7" s="1"/>
  <c r="W255" i="7" s="1"/>
  <c r="U191" i="7"/>
  <c r="V191" i="7" s="1"/>
  <c r="W191" i="7" s="1"/>
  <c r="U183" i="7"/>
  <c r="V183" i="7" s="1"/>
  <c r="W183" i="7" s="1"/>
  <c r="U167" i="7"/>
  <c r="V167" i="7" s="1"/>
  <c r="W167" i="7" s="1"/>
  <c r="U159" i="7"/>
  <c r="V159" i="7" s="1"/>
  <c r="W159" i="7" s="1"/>
  <c r="U143" i="7"/>
  <c r="V143" i="7" s="1"/>
  <c r="W143" i="7" s="1"/>
  <c r="U123" i="7"/>
  <c r="V123" i="7" s="1"/>
  <c r="W123" i="7" s="1"/>
  <c r="U107" i="7"/>
  <c r="V107" i="7" s="1"/>
  <c r="W107" i="7" s="1"/>
  <c r="U67" i="7"/>
  <c r="V67" i="7" s="1"/>
  <c r="W67" i="7" s="1"/>
  <c r="U47" i="7"/>
  <c r="V47" i="7" s="1"/>
  <c r="W47" i="7" s="1"/>
  <c r="U43" i="7"/>
  <c r="V43" i="7" s="1"/>
  <c r="W43" i="7" s="1"/>
  <c r="U27" i="7"/>
  <c r="V27" i="7" s="1"/>
  <c r="W27" i="7" s="1"/>
  <c r="U19" i="7"/>
  <c r="V19" i="7" s="1"/>
  <c r="W19" i="7" s="1"/>
  <c r="N1074" i="5"/>
  <c r="K1074" i="5"/>
  <c r="N1070" i="5"/>
  <c r="K1070" i="5"/>
  <c r="N1066" i="5"/>
  <c r="K1066" i="5"/>
  <c r="N1062" i="5"/>
  <c r="K1062" i="5"/>
  <c r="N1058" i="5"/>
  <c r="K1058" i="5"/>
  <c r="N1054" i="5"/>
  <c r="K1054" i="5"/>
  <c r="N1050" i="5"/>
  <c r="K1050" i="5"/>
  <c r="N1046" i="5"/>
  <c r="K1046" i="5"/>
  <c r="N1042" i="5"/>
  <c r="K1042" i="5"/>
  <c r="N1030" i="5"/>
  <c r="K1030" i="5"/>
  <c r="N1026" i="5"/>
  <c r="K1026" i="5"/>
  <c r="N1010" i="5"/>
  <c r="K1010" i="5"/>
  <c r="N994" i="5"/>
  <c r="K994" i="5"/>
  <c r="P946" i="5"/>
  <c r="K946" i="5"/>
  <c r="P942" i="5"/>
  <c r="K942" i="5"/>
  <c r="P938" i="5"/>
  <c r="K938" i="5"/>
  <c r="P934" i="5"/>
  <c r="K934" i="5"/>
  <c r="P930" i="5"/>
  <c r="K930" i="5"/>
  <c r="P926" i="5"/>
  <c r="K926" i="5"/>
  <c r="P922" i="5"/>
  <c r="K922" i="5"/>
  <c r="P918" i="5"/>
  <c r="K918" i="5"/>
  <c r="P914" i="5"/>
  <c r="K914" i="5"/>
  <c r="P910" i="5"/>
  <c r="K910" i="5"/>
  <c r="P906" i="5"/>
  <c r="K906" i="5"/>
  <c r="P902" i="5"/>
  <c r="K902" i="5"/>
  <c r="P898" i="5"/>
  <c r="K898" i="5"/>
  <c r="P894" i="5"/>
  <c r="K894" i="5"/>
  <c r="P890" i="5"/>
  <c r="K890" i="5"/>
  <c r="P886" i="5"/>
  <c r="K886" i="5"/>
  <c r="P882" i="5"/>
  <c r="K882" i="5"/>
  <c r="P878" i="5"/>
  <c r="K878" i="5"/>
  <c r="P874" i="5"/>
  <c r="K874" i="5"/>
  <c r="P870" i="5"/>
  <c r="K870" i="5"/>
  <c r="P866" i="5"/>
  <c r="K866" i="5"/>
  <c r="P862" i="5"/>
  <c r="K862" i="5"/>
  <c r="P858" i="5"/>
  <c r="K858" i="5"/>
  <c r="P854" i="5"/>
  <c r="K854" i="5"/>
  <c r="P850" i="5"/>
  <c r="K850" i="5"/>
  <c r="P846" i="5"/>
  <c r="K846" i="5"/>
  <c r="P842" i="5"/>
  <c r="K842" i="5"/>
  <c r="P838" i="5"/>
  <c r="K838" i="5"/>
  <c r="P834" i="5"/>
  <c r="K834" i="5"/>
  <c r="P830" i="5"/>
  <c r="K830" i="5"/>
  <c r="P826" i="5"/>
  <c r="K826" i="5"/>
  <c r="P822" i="5"/>
  <c r="K822" i="5"/>
  <c r="P818" i="5"/>
  <c r="K818" i="5"/>
  <c r="P814" i="5"/>
  <c r="K814" i="5"/>
  <c r="P810" i="5"/>
  <c r="K810" i="5"/>
  <c r="P806" i="5"/>
  <c r="K806" i="5"/>
  <c r="P802" i="5"/>
  <c r="K802" i="5"/>
  <c r="P798" i="5"/>
  <c r="K798" i="5"/>
  <c r="P794" i="5"/>
  <c r="K794" i="5"/>
  <c r="P790" i="5"/>
  <c r="K790" i="5"/>
  <c r="P786" i="5"/>
  <c r="K786" i="5"/>
  <c r="P782" i="5"/>
  <c r="K782" i="5"/>
  <c r="P920" i="5"/>
  <c r="P904" i="5"/>
  <c r="P876" i="5"/>
  <c r="P856" i="5"/>
  <c r="P852" i="5"/>
  <c r="P840" i="5"/>
  <c r="P832" i="5"/>
  <c r="P824" i="5"/>
  <c r="P816" i="5"/>
  <c r="P800" i="5"/>
  <c r="P792" i="5"/>
  <c r="P784" i="5"/>
  <c r="P776" i="5"/>
  <c r="P768" i="5"/>
  <c r="P760" i="5"/>
  <c r="P752" i="5"/>
  <c r="P744" i="5"/>
  <c r="P736" i="5"/>
  <c r="P732" i="5"/>
  <c r="P720" i="5"/>
  <c r="P712" i="5"/>
  <c r="P704" i="5"/>
  <c r="P700" i="5"/>
  <c r="P692" i="5"/>
  <c r="P688" i="5"/>
  <c r="P680" i="5"/>
  <c r="P668" i="5"/>
  <c r="P664" i="5"/>
  <c r="P652" i="5"/>
  <c r="P644" i="5"/>
  <c r="P640" i="5"/>
  <c r="P628" i="5"/>
  <c r="P616" i="5"/>
  <c r="P612" i="5"/>
  <c r="P600" i="5"/>
  <c r="P592" i="5"/>
  <c r="P584" i="5"/>
  <c r="P580" i="5"/>
  <c r="P572" i="5"/>
  <c r="P564" i="5"/>
  <c r="P556" i="5"/>
  <c r="P548" i="5"/>
  <c r="P544" i="5"/>
  <c r="P540" i="5"/>
  <c r="P536" i="5"/>
  <c r="P524" i="5"/>
  <c r="P516" i="5"/>
  <c r="P508" i="5"/>
  <c r="P500" i="5"/>
  <c r="P488" i="5"/>
  <c r="P480" i="5"/>
  <c r="P476" i="5"/>
  <c r="P464" i="5"/>
  <c r="P1075" i="5"/>
  <c r="P1071" i="5"/>
  <c r="P1067" i="5"/>
  <c r="P1063" i="5"/>
  <c r="P1059" i="5"/>
  <c r="P1055" i="5"/>
  <c r="P1051" i="5"/>
  <c r="P1047" i="5"/>
  <c r="P1043" i="5"/>
  <c r="P1039" i="5"/>
  <c r="P1035" i="5"/>
  <c r="P1031" i="5"/>
  <c r="P1027" i="5"/>
  <c r="P1023" i="5"/>
  <c r="P1019" i="5"/>
  <c r="P1015" i="5"/>
  <c r="P1011" i="5"/>
  <c r="P1007" i="5"/>
  <c r="P1003" i="5"/>
  <c r="P999" i="5"/>
  <c r="P995" i="5"/>
  <c r="P991" i="5"/>
  <c r="P987" i="5"/>
  <c r="P983" i="5"/>
  <c r="P979" i="5"/>
  <c r="P975" i="5"/>
  <c r="P971" i="5"/>
  <c r="P967" i="5"/>
  <c r="P963" i="5"/>
  <c r="P959" i="5"/>
  <c r="P955" i="5"/>
  <c r="P951" i="5"/>
  <c r="P947" i="5"/>
  <c r="P943" i="5"/>
  <c r="P939" i="5"/>
  <c r="P935" i="5"/>
  <c r="P931" i="5"/>
  <c r="P927" i="5"/>
  <c r="P923" i="5"/>
  <c r="P919" i="5"/>
  <c r="P915" i="5"/>
  <c r="P911" i="5"/>
  <c r="P907" i="5"/>
  <c r="P903" i="5"/>
  <c r="P899" i="5"/>
  <c r="P895" i="5"/>
  <c r="P891" i="5"/>
  <c r="P887" i="5"/>
  <c r="P883" i="5"/>
  <c r="P879" i="5"/>
  <c r="P875" i="5"/>
  <c r="P871" i="5"/>
  <c r="P867" i="5"/>
  <c r="P863" i="5"/>
  <c r="P859" i="5"/>
  <c r="P855" i="5"/>
  <c r="P851" i="5"/>
  <c r="P847" i="5"/>
  <c r="P843" i="5"/>
  <c r="P839" i="5"/>
  <c r="P835" i="5"/>
  <c r="P831" i="5"/>
  <c r="P827" i="5"/>
  <c r="P823" i="5"/>
  <c r="P819" i="5"/>
  <c r="P815" i="5"/>
  <c r="P811" i="5"/>
  <c r="P807" i="5"/>
  <c r="P803" i="5"/>
  <c r="P799" i="5"/>
  <c r="P795" i="5"/>
  <c r="P791" i="5"/>
  <c r="P787" i="5"/>
  <c r="P783" i="5"/>
  <c r="P779" i="5"/>
  <c r="P775" i="5"/>
  <c r="P771" i="5"/>
  <c r="P767" i="5"/>
  <c r="P763" i="5"/>
  <c r="P759" i="5"/>
  <c r="P755" i="5"/>
  <c r="P751" i="5"/>
  <c r="P747" i="5"/>
  <c r="P743" i="5"/>
  <c r="P739" i="5"/>
  <c r="P735" i="5"/>
  <c r="P731" i="5"/>
  <c r="P727" i="5"/>
  <c r="P723" i="5"/>
  <c r="P719" i="5"/>
  <c r="P715" i="5"/>
  <c r="P711" i="5"/>
  <c r="P707" i="5"/>
  <c r="P703" i="5"/>
  <c r="P699" i="5"/>
  <c r="P695" i="5"/>
  <c r="P691" i="5"/>
  <c r="P687" i="5"/>
  <c r="P683" i="5"/>
  <c r="P679" i="5"/>
  <c r="P675" i="5"/>
  <c r="P671" i="5"/>
  <c r="P667" i="5"/>
  <c r="P663" i="5"/>
  <c r="P659" i="5"/>
  <c r="P655" i="5"/>
  <c r="P651" i="5"/>
  <c r="P647" i="5"/>
  <c r="P643" i="5"/>
  <c r="P639" i="5"/>
  <c r="P635" i="5"/>
  <c r="P631" i="5"/>
  <c r="P627" i="5"/>
  <c r="P623" i="5"/>
  <c r="P619" i="5"/>
  <c r="P615" i="5"/>
  <c r="P611" i="5"/>
  <c r="P607" i="5"/>
  <c r="P603" i="5"/>
  <c r="P599" i="5"/>
  <c r="P595" i="5"/>
  <c r="P591" i="5"/>
  <c r="P587" i="5"/>
  <c r="P583" i="5"/>
  <c r="P579" i="5"/>
  <c r="P575" i="5"/>
  <c r="P571" i="5"/>
  <c r="P567" i="5"/>
  <c r="P563" i="5"/>
  <c r="P559" i="5"/>
  <c r="P555" i="5"/>
  <c r="P551" i="5"/>
  <c r="P547" i="5"/>
  <c r="P543" i="5"/>
  <c r="P539" i="5"/>
  <c r="P535" i="5"/>
  <c r="P531" i="5"/>
  <c r="P527" i="5"/>
  <c r="P523" i="5"/>
  <c r="P519" i="5"/>
  <c r="P515" i="5"/>
  <c r="P511" i="5"/>
  <c r="P507" i="5"/>
  <c r="P503" i="5"/>
  <c r="P499" i="5"/>
  <c r="P495" i="5"/>
  <c r="P491" i="5"/>
  <c r="P487" i="5"/>
  <c r="P483" i="5"/>
  <c r="P479" i="5"/>
  <c r="P475" i="5"/>
  <c r="P471" i="5"/>
  <c r="P467" i="5"/>
  <c r="P463" i="5"/>
  <c r="P459" i="5"/>
  <c r="P455" i="5"/>
  <c r="P451" i="5"/>
  <c r="P447" i="5"/>
  <c r="P443" i="5"/>
  <c r="P439" i="5"/>
  <c r="P435" i="5"/>
  <c r="P431" i="5"/>
  <c r="P427" i="5"/>
  <c r="P423" i="5"/>
  <c r="P419" i="5"/>
  <c r="P415" i="5"/>
  <c r="P411" i="5"/>
  <c r="P407" i="5"/>
  <c r="P403" i="5"/>
  <c r="P399" i="5"/>
  <c r="P395" i="5"/>
  <c r="P391" i="5"/>
  <c r="P387" i="5"/>
  <c r="P383" i="5"/>
  <c r="P379" i="5"/>
  <c r="P375" i="5"/>
  <c r="P371" i="5"/>
  <c r="P367" i="5"/>
  <c r="P363" i="5"/>
  <c r="P359" i="5"/>
  <c r="P355" i="5"/>
  <c r="P351" i="5"/>
  <c r="P347" i="5"/>
  <c r="P343" i="5"/>
  <c r="P339" i="5"/>
  <c r="P335" i="5"/>
  <c r="P331" i="5"/>
  <c r="P327" i="5"/>
  <c r="P323" i="5"/>
  <c r="P319" i="5"/>
  <c r="P315" i="5"/>
  <c r="P311" i="5"/>
  <c r="P307" i="5"/>
  <c r="P303" i="5"/>
  <c r="P299" i="5"/>
  <c r="P295" i="5"/>
  <c r="P291" i="5"/>
  <c r="P287" i="5"/>
  <c r="P283" i="5"/>
  <c r="P279" i="5"/>
  <c r="P275" i="5"/>
  <c r="P271" i="5"/>
  <c r="P267" i="5"/>
  <c r="P263" i="5"/>
  <c r="P259" i="5"/>
  <c r="P255" i="5"/>
  <c r="P251" i="5"/>
  <c r="P247" i="5"/>
  <c r="P243" i="5"/>
  <c r="P239" i="5"/>
  <c r="P235" i="5"/>
  <c r="P231" i="5"/>
  <c r="P227" i="5"/>
  <c r="P223" i="5"/>
  <c r="P219" i="5"/>
  <c r="P215" i="5"/>
  <c r="P211" i="5"/>
  <c r="P207" i="5"/>
  <c r="P203" i="5"/>
  <c r="P199" i="5"/>
  <c r="P195" i="5"/>
  <c r="P191" i="5"/>
  <c r="P187" i="5"/>
  <c r="P183" i="5"/>
  <c r="P179" i="5"/>
  <c r="P175" i="5"/>
  <c r="P171" i="5"/>
  <c r="P167" i="5"/>
  <c r="P163" i="5"/>
  <c r="P159" i="5"/>
  <c r="P155" i="5"/>
  <c r="P151" i="5"/>
  <c r="P147" i="5"/>
  <c r="P143" i="5"/>
  <c r="P139" i="5"/>
  <c r="P135" i="5"/>
  <c r="P131" i="5"/>
  <c r="P127" i="5"/>
  <c r="P123" i="5"/>
  <c r="P119" i="5"/>
  <c r="P115" i="5"/>
  <c r="P111" i="5"/>
  <c r="P107" i="5"/>
  <c r="P103" i="5"/>
  <c r="P99" i="5"/>
  <c r="P95" i="5"/>
  <c r="P91" i="5"/>
  <c r="P87" i="5"/>
  <c r="P83" i="5"/>
  <c r="P79" i="5"/>
  <c r="P75" i="5"/>
  <c r="P71" i="5"/>
  <c r="P67" i="5"/>
  <c r="P63" i="5"/>
  <c r="P59" i="5"/>
  <c r="P55" i="5"/>
  <c r="P51" i="5"/>
  <c r="P47" i="5"/>
  <c r="P43" i="5"/>
  <c r="P39" i="5"/>
  <c r="P35" i="5"/>
  <c r="P31" i="5"/>
  <c r="P27" i="5"/>
  <c r="P23" i="5"/>
  <c r="P19" i="5"/>
  <c r="P15" i="5"/>
  <c r="P11" i="5"/>
  <c r="P7" i="5"/>
  <c r="P3" i="5"/>
  <c r="O1036" i="5"/>
  <c r="O1016" i="5"/>
  <c r="O984" i="5"/>
  <c r="P924" i="5"/>
  <c r="P916" i="5"/>
  <c r="P900" i="5"/>
  <c r="P896" i="5"/>
  <c r="P872" i="5"/>
  <c r="P868" i="5"/>
  <c r="P778" i="5"/>
  <c r="P774" i="5"/>
  <c r="P770" i="5"/>
  <c r="P766" i="5"/>
  <c r="P762" i="5"/>
  <c r="P758" i="5"/>
  <c r="P754" i="5"/>
  <c r="P750" i="5"/>
  <c r="P746" i="5"/>
  <c r="P742" i="5"/>
  <c r="P738" i="5"/>
  <c r="P734" i="5"/>
  <c r="P730" i="5"/>
  <c r="P726" i="5"/>
  <c r="P722" i="5"/>
  <c r="P718" i="5"/>
  <c r="P714" i="5"/>
  <c r="P710" i="5"/>
  <c r="P706" i="5"/>
  <c r="P702" i="5"/>
  <c r="P698" i="5"/>
  <c r="P694" i="5"/>
  <c r="P690" i="5"/>
  <c r="P686" i="5"/>
  <c r="P682" i="5"/>
  <c r="P678" i="5"/>
  <c r="P674" i="5"/>
  <c r="P670" i="5"/>
  <c r="P666" i="5"/>
  <c r="P662" i="5"/>
  <c r="P658" i="5"/>
  <c r="P654" i="5"/>
  <c r="P650" i="5"/>
  <c r="P646" i="5"/>
  <c r="P642" i="5"/>
  <c r="P638" i="5"/>
  <c r="P634" i="5"/>
  <c r="P630" i="5"/>
  <c r="P626" i="5"/>
  <c r="P622" i="5"/>
  <c r="P618" i="5"/>
  <c r="P614" i="5"/>
  <c r="P610" i="5"/>
  <c r="P606" i="5"/>
  <c r="P602" i="5"/>
  <c r="P598" i="5"/>
  <c r="P594" i="5"/>
  <c r="P590" i="5"/>
  <c r="P586" i="5"/>
  <c r="P582" i="5"/>
  <c r="P578" i="5"/>
  <c r="P574" i="5"/>
  <c r="P570" i="5"/>
  <c r="P566" i="5"/>
  <c r="P562" i="5"/>
  <c r="P558" i="5"/>
  <c r="P554" i="5"/>
  <c r="P550" i="5"/>
  <c r="P546" i="5"/>
  <c r="P542" i="5"/>
  <c r="P538" i="5"/>
  <c r="P534" i="5"/>
  <c r="P530" i="5"/>
  <c r="P526" i="5"/>
  <c r="P522" i="5"/>
  <c r="P518" i="5"/>
  <c r="P514" i="5"/>
  <c r="P510" i="5"/>
  <c r="P506" i="5"/>
  <c r="P502" i="5"/>
  <c r="P498" i="5"/>
  <c r="P494" i="5"/>
  <c r="P490" i="5"/>
  <c r="P486" i="5"/>
  <c r="P482" i="5"/>
  <c r="P478" i="5"/>
  <c r="P474" i="5"/>
  <c r="P470" i="5"/>
  <c r="P466" i="5"/>
  <c r="P462" i="5"/>
  <c r="P458" i="5"/>
  <c r="P454" i="5"/>
  <c r="P450" i="5"/>
  <c r="P446" i="5"/>
  <c r="P442" i="5"/>
  <c r="P438" i="5"/>
  <c r="P434" i="5"/>
  <c r="P430" i="5"/>
  <c r="P426" i="5"/>
  <c r="P422" i="5"/>
  <c r="P418" i="5"/>
  <c r="P414" i="5"/>
  <c r="P410" i="5"/>
  <c r="P406" i="5"/>
  <c r="P402" i="5"/>
  <c r="P398" i="5"/>
  <c r="P394" i="5"/>
  <c r="P390" i="5"/>
  <c r="P386" i="5"/>
  <c r="P382" i="5"/>
  <c r="P378" i="5"/>
  <c r="P374" i="5"/>
  <c r="P370" i="5"/>
  <c r="P366" i="5"/>
  <c r="P362" i="5"/>
  <c r="P358" i="5"/>
  <c r="P354" i="5"/>
  <c r="P350" i="5"/>
  <c r="P346" i="5"/>
  <c r="P342" i="5"/>
  <c r="P338" i="5"/>
  <c r="P334" i="5"/>
  <c r="P330" i="5"/>
  <c r="P326" i="5"/>
  <c r="P322" i="5"/>
  <c r="P318" i="5"/>
  <c r="P314" i="5"/>
  <c r="P310" i="5"/>
  <c r="P306" i="5"/>
  <c r="P302" i="5"/>
  <c r="P298" i="5"/>
  <c r="P294" i="5"/>
  <c r="P290" i="5"/>
  <c r="P286" i="5"/>
  <c r="P282" i="5"/>
  <c r="P278" i="5"/>
  <c r="P274" i="5"/>
  <c r="P270" i="5"/>
  <c r="P266" i="5"/>
  <c r="P262" i="5"/>
  <c r="P258" i="5"/>
  <c r="P254" i="5"/>
  <c r="P250" i="5"/>
  <c r="P246" i="5"/>
  <c r="P242" i="5"/>
  <c r="P238" i="5"/>
  <c r="P234" i="5"/>
  <c r="P230" i="5"/>
  <c r="P226" i="5"/>
  <c r="P222" i="5"/>
  <c r="P218" i="5"/>
  <c r="P214" i="5"/>
  <c r="P210" i="5"/>
  <c r="P206" i="5"/>
  <c r="P202" i="5"/>
  <c r="P198" i="5"/>
  <c r="P194" i="5"/>
  <c r="P190" i="5"/>
  <c r="P186" i="5"/>
  <c r="P182" i="5"/>
  <c r="P178" i="5"/>
  <c r="P174" i="5"/>
  <c r="P170" i="5"/>
  <c r="P166" i="5"/>
  <c r="P162" i="5"/>
  <c r="P158" i="5"/>
  <c r="P154" i="5"/>
  <c r="P150" i="5"/>
  <c r="P146" i="5"/>
  <c r="P142" i="5"/>
  <c r="P138" i="5"/>
  <c r="P134" i="5"/>
  <c r="P130" i="5"/>
  <c r="P126" i="5"/>
  <c r="P122" i="5"/>
  <c r="P118" i="5"/>
  <c r="P114" i="5"/>
  <c r="P110" i="5"/>
  <c r="P106" i="5"/>
  <c r="P102" i="5"/>
  <c r="P98" i="5"/>
  <c r="P94" i="5"/>
  <c r="P90" i="5"/>
  <c r="P86" i="5"/>
  <c r="P82" i="5"/>
  <c r="P78" i="5"/>
  <c r="P74" i="5"/>
  <c r="P70" i="5"/>
  <c r="P66" i="5"/>
  <c r="P62" i="5"/>
  <c r="P58" i="5"/>
  <c r="P54" i="5"/>
  <c r="P50" i="5"/>
  <c r="P46" i="5"/>
  <c r="P42" i="5"/>
  <c r="P38" i="5"/>
  <c r="P34" i="5"/>
  <c r="P30" i="5"/>
  <c r="P26" i="5"/>
  <c r="P22" i="5"/>
  <c r="P18" i="5"/>
  <c r="P14" i="5"/>
  <c r="P10" i="5"/>
  <c r="P6" i="5"/>
  <c r="P2" i="5"/>
  <c r="O1032" i="5"/>
  <c r="O1000" i="5"/>
  <c r="P932" i="5"/>
  <c r="P912" i="5"/>
  <c r="P888" i="5"/>
  <c r="P884" i="5"/>
  <c r="P864" i="5"/>
  <c r="P1073" i="5"/>
  <c r="P1069" i="5"/>
  <c r="P1065" i="5"/>
  <c r="P1061" i="5"/>
  <c r="P1057" i="5"/>
  <c r="P1053" i="5"/>
  <c r="P1049" i="5"/>
  <c r="P1045" i="5"/>
  <c r="P1041" i="5"/>
  <c r="P1037" i="5"/>
  <c r="P1033" i="5"/>
  <c r="P1029" i="5"/>
  <c r="P1025" i="5"/>
  <c r="P1021" i="5"/>
  <c r="P1017" i="5"/>
  <c r="P1013" i="5"/>
  <c r="P1009" i="5"/>
  <c r="P1005" i="5"/>
  <c r="P1001" i="5"/>
  <c r="P997" i="5"/>
  <c r="P993" i="5"/>
  <c r="P989" i="5"/>
  <c r="P985" i="5"/>
  <c r="P981" i="5"/>
  <c r="P977" i="5"/>
  <c r="P973" i="5"/>
  <c r="P969" i="5"/>
  <c r="P965" i="5"/>
  <c r="P961" i="5"/>
  <c r="P957" i="5"/>
  <c r="P953" i="5"/>
  <c r="P949" i="5"/>
  <c r="P945" i="5"/>
  <c r="P941" i="5"/>
  <c r="P937" i="5"/>
  <c r="P933" i="5"/>
  <c r="P929" i="5"/>
  <c r="P925" i="5"/>
  <c r="P921" i="5"/>
  <c r="P917" i="5"/>
  <c r="P913" i="5"/>
  <c r="P909" i="5"/>
  <c r="P905" i="5"/>
  <c r="P901" i="5"/>
  <c r="P897" i="5"/>
  <c r="P893" i="5"/>
  <c r="P889" i="5"/>
  <c r="P885" i="5"/>
  <c r="P881" i="5"/>
  <c r="P877" i="5"/>
  <c r="P873" i="5"/>
  <c r="P869" i="5"/>
  <c r="P865" i="5"/>
  <c r="P861" i="5"/>
  <c r="P857" i="5"/>
  <c r="P853" i="5"/>
  <c r="P849" i="5"/>
  <c r="P845" i="5"/>
  <c r="P841" i="5"/>
  <c r="P837" i="5"/>
  <c r="P833" i="5"/>
  <c r="P829" i="5"/>
  <c r="P825" i="5"/>
  <c r="P821" i="5"/>
  <c r="P817" i="5"/>
  <c r="P813" i="5"/>
  <c r="P809" i="5"/>
  <c r="P805" i="5"/>
  <c r="P801" i="5"/>
  <c r="P797" i="5"/>
  <c r="P793" i="5"/>
  <c r="P789" i="5"/>
  <c r="P785" i="5"/>
  <c r="P781" i="5"/>
  <c r="P777" i="5"/>
  <c r="P773" i="5"/>
  <c r="P769" i="5"/>
  <c r="P765" i="5"/>
  <c r="P761" i="5"/>
  <c r="P757" i="5"/>
  <c r="P753" i="5"/>
  <c r="P749" i="5"/>
  <c r="P745" i="5"/>
  <c r="P741" i="5"/>
  <c r="P737" i="5"/>
  <c r="P733" i="5"/>
  <c r="P729" i="5"/>
  <c r="P725" i="5"/>
  <c r="P721" i="5"/>
  <c r="P717" i="5"/>
  <c r="P713" i="5"/>
  <c r="P709" i="5"/>
  <c r="P705" i="5"/>
  <c r="P701" i="5"/>
  <c r="P697" i="5"/>
  <c r="P693" i="5"/>
  <c r="P689" i="5"/>
  <c r="P685" i="5"/>
  <c r="P681" i="5"/>
  <c r="P677" i="5"/>
  <c r="P673" i="5"/>
  <c r="P669" i="5"/>
  <c r="P665" i="5"/>
  <c r="P661" i="5"/>
  <c r="P657" i="5"/>
  <c r="P653" i="5"/>
  <c r="P649" i="5"/>
  <c r="P645" i="5"/>
  <c r="P641" i="5"/>
  <c r="P637" i="5"/>
  <c r="P633" i="5"/>
  <c r="P629" i="5"/>
  <c r="P625" i="5"/>
  <c r="P621" i="5"/>
  <c r="P617" i="5"/>
  <c r="P613" i="5"/>
  <c r="P609" i="5"/>
  <c r="P605" i="5"/>
  <c r="P601" i="5"/>
  <c r="P597" i="5"/>
  <c r="P593" i="5"/>
  <c r="P589" i="5"/>
  <c r="P585" i="5"/>
  <c r="P581" i="5"/>
  <c r="P577" i="5"/>
  <c r="P573" i="5"/>
  <c r="P569" i="5"/>
  <c r="P565" i="5"/>
  <c r="P561" i="5"/>
  <c r="P557" i="5"/>
  <c r="P553" i="5"/>
  <c r="P549" i="5"/>
  <c r="P545" i="5"/>
  <c r="P541" i="5"/>
  <c r="P537" i="5"/>
  <c r="P533" i="5"/>
  <c r="P529" i="5"/>
  <c r="P525" i="5"/>
  <c r="P521" i="5"/>
  <c r="P517" i="5"/>
  <c r="P513" i="5"/>
  <c r="P509" i="5"/>
  <c r="P505" i="5"/>
  <c r="P501" i="5"/>
  <c r="P497" i="5"/>
  <c r="P493" i="5"/>
  <c r="P489" i="5"/>
  <c r="P485" i="5"/>
  <c r="P481" i="5"/>
  <c r="P477" i="5"/>
  <c r="P473" i="5"/>
  <c r="P469" i="5"/>
  <c r="P465" i="5"/>
  <c r="P461" i="5"/>
  <c r="P457" i="5"/>
  <c r="P453" i="5"/>
  <c r="P449" i="5"/>
  <c r="P445" i="5"/>
  <c r="P441" i="5"/>
  <c r="P437" i="5"/>
  <c r="P433" i="5"/>
  <c r="P429" i="5"/>
  <c r="P425" i="5"/>
  <c r="P421" i="5"/>
  <c r="P417" i="5"/>
  <c r="P413" i="5"/>
  <c r="P409" i="5"/>
  <c r="P405" i="5"/>
  <c r="P401" i="5"/>
  <c r="P397" i="5"/>
  <c r="P393" i="5"/>
  <c r="P389" i="5"/>
  <c r="P385" i="5"/>
  <c r="P381" i="5"/>
  <c r="P377" i="5"/>
  <c r="P373" i="5"/>
  <c r="P369" i="5"/>
  <c r="P365" i="5"/>
  <c r="P361" i="5"/>
  <c r="P357" i="5"/>
  <c r="P353" i="5"/>
  <c r="P349" i="5"/>
  <c r="P345" i="5"/>
  <c r="P341" i="5"/>
  <c r="P337" i="5"/>
  <c r="P333" i="5"/>
  <c r="P329" i="5"/>
  <c r="P325" i="5"/>
  <c r="P321" i="5"/>
  <c r="P317" i="5"/>
  <c r="P313" i="5"/>
  <c r="P309" i="5"/>
  <c r="P305" i="5"/>
  <c r="P301" i="5"/>
  <c r="P297" i="5"/>
  <c r="P293" i="5"/>
  <c r="P289" i="5"/>
  <c r="P285" i="5"/>
  <c r="P281" i="5"/>
  <c r="P277" i="5"/>
  <c r="P273" i="5"/>
  <c r="P269" i="5"/>
  <c r="P265" i="5"/>
  <c r="P261" i="5"/>
  <c r="P257" i="5"/>
  <c r="P253" i="5"/>
  <c r="P249" i="5"/>
  <c r="P245" i="5"/>
  <c r="P241" i="5"/>
  <c r="P237" i="5"/>
  <c r="P233" i="5"/>
  <c r="P229" i="5"/>
  <c r="P225" i="5"/>
  <c r="P221" i="5"/>
  <c r="P217" i="5"/>
  <c r="P213" i="5"/>
  <c r="P209" i="5"/>
  <c r="P205" i="5"/>
  <c r="P201" i="5"/>
  <c r="P197" i="5"/>
  <c r="P193" i="5"/>
  <c r="P189" i="5"/>
  <c r="P185" i="5"/>
  <c r="P181" i="5"/>
  <c r="P177" i="5"/>
  <c r="P173" i="5"/>
  <c r="P169" i="5"/>
  <c r="P165" i="5"/>
  <c r="P161" i="5"/>
  <c r="P157" i="5"/>
  <c r="P153" i="5"/>
  <c r="P149" i="5"/>
  <c r="P145" i="5"/>
  <c r="P141" i="5"/>
  <c r="P137" i="5"/>
  <c r="P133" i="5"/>
  <c r="P129" i="5"/>
  <c r="P125" i="5"/>
  <c r="P121" i="5"/>
  <c r="P117" i="5"/>
  <c r="P113" i="5"/>
  <c r="P109" i="5"/>
  <c r="P105" i="5"/>
  <c r="P101" i="5"/>
  <c r="P97" i="5"/>
  <c r="P93" i="5"/>
  <c r="P89" i="5"/>
  <c r="P85" i="5"/>
  <c r="P81" i="5"/>
  <c r="P77" i="5"/>
  <c r="P73" i="5"/>
  <c r="P69" i="5"/>
  <c r="P65" i="5"/>
  <c r="P61" i="5"/>
  <c r="P57" i="5"/>
  <c r="P53" i="5"/>
  <c r="P49" i="5"/>
  <c r="P45" i="5"/>
  <c r="P41" i="5"/>
  <c r="P37" i="5"/>
  <c r="P33" i="5"/>
  <c r="P29" i="5"/>
  <c r="P25" i="5"/>
  <c r="P21" i="5"/>
  <c r="P17" i="5"/>
  <c r="P13" i="5"/>
  <c r="P9" i="5"/>
  <c r="P5" i="5"/>
  <c r="P936" i="5"/>
  <c r="P928" i="5"/>
  <c r="P908" i="5"/>
  <c r="P892" i="5"/>
  <c r="P880" i="5"/>
  <c r="P860" i="5"/>
  <c r="P848" i="5"/>
  <c r="P844" i="5"/>
  <c r="P836" i="5"/>
  <c r="P828" i="5"/>
  <c r="P820" i="5"/>
  <c r="P812" i="5"/>
  <c r="P808" i="5"/>
  <c r="P804" i="5"/>
  <c r="P796" i="5"/>
  <c r="P788" i="5"/>
  <c r="P780" i="5"/>
  <c r="P772" i="5"/>
  <c r="P764" i="5"/>
  <c r="P756" i="5"/>
  <c r="P748" i="5"/>
  <c r="P740" i="5"/>
  <c r="P728" i="5"/>
  <c r="P724" i="5"/>
  <c r="P716" i="5"/>
  <c r="P708" i="5"/>
  <c r="P696" i="5"/>
  <c r="P684" i="5"/>
  <c r="P676" i="5"/>
  <c r="P672" i="5"/>
  <c r="P660" i="5"/>
  <c r="P656" i="5"/>
  <c r="P648" i="5"/>
  <c r="P636" i="5"/>
  <c r="P632" i="5"/>
  <c r="P624" i="5"/>
  <c r="P620" i="5"/>
  <c r="P608" i="5"/>
  <c r="P604" i="5"/>
  <c r="P596" i="5"/>
  <c r="P588" i="5"/>
  <c r="P576" i="5"/>
  <c r="P568" i="5"/>
  <c r="P560" i="5"/>
  <c r="P552" i="5"/>
  <c r="P532" i="5"/>
  <c r="P528" i="5"/>
  <c r="P520" i="5"/>
  <c r="P512" i="5"/>
  <c r="P504" i="5"/>
  <c r="P496" i="5"/>
  <c r="P492" i="5"/>
  <c r="P484" i="5"/>
  <c r="P472" i="5"/>
  <c r="P468" i="5"/>
  <c r="P460" i="5"/>
  <c r="P456" i="5"/>
  <c r="P452" i="5"/>
  <c r="P448" i="5"/>
  <c r="P444" i="5"/>
  <c r="P440" i="5"/>
  <c r="P436" i="5"/>
  <c r="P432" i="5"/>
  <c r="P428" i="5"/>
  <c r="P424" i="5"/>
  <c r="P420" i="5"/>
  <c r="P416" i="5"/>
  <c r="P412" i="5"/>
  <c r="P408" i="5"/>
  <c r="P404" i="5"/>
  <c r="P400" i="5"/>
  <c r="P396" i="5"/>
  <c r="P392" i="5"/>
  <c r="P388" i="5"/>
  <c r="P384" i="5"/>
  <c r="P380" i="5"/>
  <c r="P376" i="5"/>
  <c r="P372" i="5"/>
  <c r="P368" i="5"/>
  <c r="P364" i="5"/>
  <c r="P360" i="5"/>
  <c r="P356" i="5"/>
  <c r="P352" i="5"/>
  <c r="P348" i="5"/>
  <c r="P344" i="5"/>
  <c r="P340" i="5"/>
  <c r="P336" i="5"/>
  <c r="P332" i="5"/>
  <c r="P328" i="5"/>
  <c r="P324" i="5"/>
  <c r="P320" i="5"/>
  <c r="P316" i="5"/>
  <c r="P312" i="5"/>
  <c r="P308" i="5"/>
  <c r="P304" i="5"/>
  <c r="P300" i="5"/>
  <c r="P296" i="5"/>
  <c r="P292" i="5"/>
  <c r="P288" i="5"/>
  <c r="P284" i="5"/>
  <c r="P280" i="5"/>
  <c r="P276" i="5"/>
  <c r="P272" i="5"/>
  <c r="P268" i="5"/>
  <c r="P264" i="5"/>
  <c r="P260" i="5"/>
  <c r="P256" i="5"/>
  <c r="P252" i="5"/>
  <c r="P248" i="5"/>
  <c r="P244" i="5"/>
  <c r="P240" i="5"/>
  <c r="P236" i="5"/>
  <c r="P232" i="5"/>
  <c r="P228" i="5"/>
  <c r="P224" i="5"/>
  <c r="P220" i="5"/>
  <c r="P216" i="5"/>
  <c r="P212" i="5"/>
  <c r="P208" i="5"/>
  <c r="P204" i="5"/>
  <c r="P200" i="5"/>
  <c r="P196" i="5"/>
  <c r="P192" i="5"/>
  <c r="P188" i="5"/>
  <c r="P184" i="5"/>
  <c r="P180" i="5"/>
  <c r="P176" i="5"/>
  <c r="P172" i="5"/>
  <c r="P168" i="5"/>
  <c r="P164" i="5"/>
  <c r="P160" i="5"/>
  <c r="P156" i="5"/>
  <c r="P152" i="5"/>
  <c r="P148" i="5"/>
  <c r="P144" i="5"/>
  <c r="P140" i="5"/>
  <c r="P136" i="5"/>
  <c r="P132" i="5"/>
  <c r="P128" i="5"/>
  <c r="P124" i="5"/>
  <c r="P120" i="5"/>
  <c r="P116" i="5"/>
  <c r="P112" i="5"/>
  <c r="P108" i="5"/>
  <c r="P104" i="5"/>
  <c r="P100" i="5"/>
  <c r="P96" i="5"/>
  <c r="P92" i="5"/>
  <c r="P88" i="5"/>
  <c r="P84" i="5"/>
  <c r="P80" i="5"/>
  <c r="P76" i="5"/>
  <c r="P72" i="5"/>
  <c r="P68" i="5"/>
  <c r="P64" i="5"/>
  <c r="P60" i="5"/>
  <c r="P56" i="5"/>
  <c r="P52" i="5"/>
  <c r="P48" i="5"/>
  <c r="P44" i="5"/>
  <c r="P40" i="5"/>
  <c r="P36" i="5"/>
  <c r="P32" i="5"/>
  <c r="P28" i="5"/>
  <c r="P24" i="5"/>
  <c r="P20" i="5"/>
  <c r="P16" i="5"/>
  <c r="P12" i="5"/>
  <c r="P8" i="5"/>
  <c r="P4" i="5"/>
  <c r="O1072" i="5"/>
  <c r="P1072" i="5"/>
  <c r="O1064" i="5"/>
  <c r="P1064" i="5"/>
  <c r="O1048" i="5"/>
  <c r="P1048" i="5"/>
  <c r="O1012" i="5"/>
  <c r="P1012" i="5"/>
  <c r="O1004" i="5"/>
  <c r="P1004" i="5"/>
  <c r="O980" i="5"/>
  <c r="P980" i="5"/>
  <c r="O968" i="5"/>
  <c r="P968" i="5"/>
  <c r="O956" i="5"/>
  <c r="P956" i="5"/>
  <c r="O940" i="5"/>
  <c r="P940" i="5"/>
  <c r="P1030" i="5"/>
  <c r="P1016" i="5"/>
  <c r="P994" i="5"/>
  <c r="O1056" i="5"/>
  <c r="P1056" i="5"/>
  <c r="O1052" i="5"/>
  <c r="P1052" i="5"/>
  <c r="O1040" i="5"/>
  <c r="P1040" i="5"/>
  <c r="O1024" i="5"/>
  <c r="P1024" i="5"/>
  <c r="O996" i="5"/>
  <c r="P996" i="5"/>
  <c r="O976" i="5"/>
  <c r="P976" i="5"/>
  <c r="O964" i="5"/>
  <c r="P964" i="5"/>
  <c r="O952" i="5"/>
  <c r="P952" i="5"/>
  <c r="O948" i="5"/>
  <c r="P948" i="5"/>
  <c r="P1070" i="5"/>
  <c r="P1062" i="5"/>
  <c r="P1054" i="5"/>
  <c r="P1046" i="5"/>
  <c r="P1026" i="5"/>
  <c r="P1010" i="5"/>
  <c r="O1068" i="5"/>
  <c r="P1068" i="5"/>
  <c r="O1060" i="5"/>
  <c r="P1060" i="5"/>
  <c r="O1044" i="5"/>
  <c r="P1044" i="5"/>
  <c r="O1028" i="5"/>
  <c r="P1028" i="5"/>
  <c r="O1020" i="5"/>
  <c r="P1020" i="5"/>
  <c r="O1008" i="5"/>
  <c r="P1008" i="5"/>
  <c r="O992" i="5"/>
  <c r="P992" i="5"/>
  <c r="O988" i="5"/>
  <c r="P988" i="5"/>
  <c r="O972" i="5"/>
  <c r="P972" i="5"/>
  <c r="O960" i="5"/>
  <c r="P960" i="5"/>
  <c r="O944" i="5"/>
  <c r="P944" i="5"/>
  <c r="N1038" i="5"/>
  <c r="P1038" i="5"/>
  <c r="N1034" i="5"/>
  <c r="P1034" i="5"/>
  <c r="N1022" i="5"/>
  <c r="P1022" i="5"/>
  <c r="N1018" i="5"/>
  <c r="P1018" i="5"/>
  <c r="N1014" i="5"/>
  <c r="P1014" i="5"/>
  <c r="N1006" i="5"/>
  <c r="P1006" i="5"/>
  <c r="N1002" i="5"/>
  <c r="P1002" i="5"/>
  <c r="N998" i="5"/>
  <c r="P998" i="5"/>
  <c r="N990" i="5"/>
  <c r="P990" i="5"/>
  <c r="N986" i="5"/>
  <c r="P986" i="5"/>
  <c r="N982" i="5"/>
  <c r="P982" i="5"/>
  <c r="N978" i="5"/>
  <c r="P978" i="5"/>
  <c r="N974" i="5"/>
  <c r="P974" i="5"/>
  <c r="N970" i="5"/>
  <c r="P970" i="5"/>
  <c r="N966" i="5"/>
  <c r="P966" i="5"/>
  <c r="N962" i="5"/>
  <c r="P962" i="5"/>
  <c r="N958" i="5"/>
  <c r="P958" i="5"/>
  <c r="N954" i="5"/>
  <c r="P954" i="5"/>
  <c r="N950" i="5"/>
  <c r="P950" i="5"/>
  <c r="P1036" i="5"/>
  <c r="P984" i="5"/>
  <c r="P1074" i="5"/>
  <c r="P1066" i="5"/>
  <c r="P1058" i="5"/>
  <c r="P1050" i="5"/>
  <c r="P1042" i="5"/>
  <c r="P1032" i="5"/>
  <c r="P1000" i="5"/>
  <c r="N1073" i="5"/>
  <c r="O1073" i="5"/>
  <c r="N1069" i="5"/>
  <c r="O1069" i="5"/>
  <c r="N1065" i="5"/>
  <c r="O1065" i="5"/>
  <c r="N1061" i="5"/>
  <c r="O1061" i="5"/>
  <c r="N1057" i="5"/>
  <c r="O1057" i="5"/>
  <c r="N1053" i="5"/>
  <c r="O1053" i="5"/>
  <c r="N1049" i="5"/>
  <c r="O1049" i="5"/>
  <c r="N1045" i="5"/>
  <c r="O1045" i="5"/>
  <c r="N1041" i="5"/>
  <c r="O1041" i="5"/>
  <c r="N1037" i="5"/>
  <c r="O1037" i="5"/>
  <c r="N1033" i="5"/>
  <c r="O1033" i="5"/>
  <c r="N1029" i="5"/>
  <c r="O1029" i="5"/>
  <c r="N1025" i="5"/>
  <c r="O1025" i="5"/>
  <c r="N1021" i="5"/>
  <c r="O1021" i="5"/>
  <c r="N1017" i="5"/>
  <c r="O1017" i="5"/>
  <c r="N1013" i="5"/>
  <c r="O1013" i="5"/>
  <c r="N1009" i="5"/>
  <c r="O1009" i="5"/>
  <c r="N1005" i="5"/>
  <c r="O1005" i="5"/>
  <c r="N1001" i="5"/>
  <c r="O1001" i="5"/>
  <c r="N997" i="5"/>
  <c r="O997" i="5"/>
  <c r="N993" i="5"/>
  <c r="O993" i="5"/>
  <c r="N989" i="5"/>
  <c r="O989" i="5"/>
  <c r="N985" i="5"/>
  <c r="O985" i="5"/>
  <c r="N981" i="5"/>
  <c r="O981" i="5"/>
  <c r="N977" i="5"/>
  <c r="O977" i="5"/>
  <c r="N973" i="5"/>
  <c r="O973" i="5"/>
  <c r="N969" i="5"/>
  <c r="O969" i="5"/>
  <c r="N965" i="5"/>
  <c r="O965" i="5"/>
  <c r="N961" i="5"/>
  <c r="O961" i="5"/>
  <c r="N957" i="5"/>
  <c r="O957" i="5"/>
  <c r="N953" i="5"/>
  <c r="O953" i="5"/>
  <c r="N949" i="5"/>
  <c r="O949" i="5"/>
  <c r="N945" i="5"/>
  <c r="O945" i="5"/>
  <c r="N941" i="5"/>
  <c r="O941" i="5"/>
  <c r="N937" i="5"/>
  <c r="O937" i="5"/>
  <c r="N933" i="5"/>
  <c r="O933" i="5"/>
  <c r="N929" i="5"/>
  <c r="O929" i="5"/>
  <c r="N925" i="5"/>
  <c r="O925" i="5"/>
  <c r="N921" i="5"/>
  <c r="O921" i="5"/>
  <c r="N917" i="5"/>
  <c r="O917" i="5"/>
  <c r="N913" i="5"/>
  <c r="O913" i="5"/>
  <c r="N909" i="5"/>
  <c r="O909" i="5"/>
  <c r="N905" i="5"/>
  <c r="O905" i="5"/>
  <c r="N901" i="5"/>
  <c r="O901" i="5"/>
  <c r="N897" i="5"/>
  <c r="O897" i="5"/>
  <c r="N893" i="5"/>
  <c r="O893" i="5"/>
  <c r="N889" i="5"/>
  <c r="O889" i="5"/>
  <c r="N885" i="5"/>
  <c r="O885" i="5"/>
  <c r="N881" i="5"/>
  <c r="O881" i="5"/>
  <c r="N877" i="5"/>
  <c r="O877" i="5"/>
  <c r="N873" i="5"/>
  <c r="O873" i="5"/>
  <c r="N869" i="5"/>
  <c r="O869" i="5"/>
  <c r="N865" i="5"/>
  <c r="O865" i="5"/>
  <c r="N861" i="5"/>
  <c r="O861" i="5"/>
  <c r="N857" i="5"/>
  <c r="O857" i="5"/>
  <c r="N853" i="5"/>
  <c r="O853" i="5"/>
  <c r="N849" i="5"/>
  <c r="O849" i="5"/>
  <c r="N845" i="5"/>
  <c r="O845" i="5"/>
  <c r="N841" i="5"/>
  <c r="O841" i="5"/>
  <c r="N837" i="5"/>
  <c r="O837" i="5"/>
  <c r="N833" i="5"/>
  <c r="O833" i="5"/>
  <c r="N829" i="5"/>
  <c r="O829" i="5"/>
  <c r="N825" i="5"/>
  <c r="O825" i="5"/>
  <c r="N821" i="5"/>
  <c r="O821" i="5"/>
  <c r="N817" i="5"/>
  <c r="O817" i="5"/>
  <c r="N813" i="5"/>
  <c r="O813" i="5"/>
  <c r="N809" i="5"/>
  <c r="O809" i="5"/>
  <c r="N805" i="5"/>
  <c r="O805" i="5"/>
  <c r="N801" i="5"/>
  <c r="O801" i="5"/>
  <c r="N797" i="5"/>
  <c r="O797" i="5"/>
  <c r="N793" i="5"/>
  <c r="O793" i="5"/>
  <c r="N789" i="5"/>
  <c r="O789" i="5"/>
  <c r="N785" i="5"/>
  <c r="O785" i="5"/>
  <c r="N781" i="5"/>
  <c r="O781" i="5"/>
  <c r="N777" i="5"/>
  <c r="O777" i="5"/>
  <c r="N773" i="5"/>
  <c r="O773" i="5"/>
  <c r="N769" i="5"/>
  <c r="O769" i="5"/>
  <c r="N765" i="5"/>
  <c r="O765" i="5"/>
  <c r="N761" i="5"/>
  <c r="O761" i="5"/>
  <c r="N757" i="5"/>
  <c r="O757" i="5"/>
  <c r="N753" i="5"/>
  <c r="O753" i="5"/>
  <c r="N749" i="5"/>
  <c r="O749" i="5"/>
  <c r="N745" i="5"/>
  <c r="O745" i="5"/>
  <c r="N741" i="5"/>
  <c r="O741" i="5"/>
  <c r="N737" i="5"/>
  <c r="O737" i="5"/>
  <c r="N733" i="5"/>
  <c r="O733" i="5"/>
  <c r="N729" i="5"/>
  <c r="O729" i="5"/>
  <c r="N725" i="5"/>
  <c r="O725" i="5"/>
  <c r="N721" i="5"/>
  <c r="O721" i="5"/>
  <c r="N717" i="5"/>
  <c r="O717" i="5"/>
  <c r="N713" i="5"/>
  <c r="O713" i="5"/>
  <c r="N709" i="5"/>
  <c r="O709" i="5"/>
  <c r="N705" i="5"/>
  <c r="O705" i="5"/>
  <c r="N701" i="5"/>
  <c r="O701" i="5"/>
  <c r="N697" i="5"/>
  <c r="O697" i="5"/>
  <c r="N693" i="5"/>
  <c r="O693" i="5"/>
  <c r="N689" i="5"/>
  <c r="O689" i="5"/>
  <c r="N685" i="5"/>
  <c r="O685" i="5"/>
  <c r="N681" i="5"/>
  <c r="O681" i="5"/>
  <c r="N677" i="5"/>
  <c r="O677" i="5"/>
  <c r="N673" i="5"/>
  <c r="O673" i="5"/>
  <c r="N669" i="5"/>
  <c r="O669" i="5"/>
  <c r="N665" i="5"/>
  <c r="O665" i="5"/>
  <c r="N661" i="5"/>
  <c r="O661" i="5"/>
  <c r="N657" i="5"/>
  <c r="O657" i="5"/>
  <c r="N653" i="5"/>
  <c r="O653" i="5"/>
  <c r="N649" i="5"/>
  <c r="O649" i="5"/>
  <c r="N645" i="5"/>
  <c r="O645" i="5"/>
  <c r="N641" i="5"/>
  <c r="O641" i="5"/>
  <c r="N637" i="5"/>
  <c r="O637" i="5"/>
  <c r="N633" i="5"/>
  <c r="O633" i="5"/>
  <c r="N629" i="5"/>
  <c r="O629" i="5"/>
  <c r="N625" i="5"/>
  <c r="O625" i="5"/>
  <c r="N621" i="5"/>
  <c r="O621" i="5"/>
  <c r="N617" i="5"/>
  <c r="O617" i="5"/>
  <c r="N613" i="5"/>
  <c r="O613" i="5"/>
  <c r="N609" i="5"/>
  <c r="O609" i="5"/>
  <c r="N605" i="5"/>
  <c r="O605" i="5"/>
  <c r="N601" i="5"/>
  <c r="O601" i="5"/>
  <c r="N597" i="5"/>
  <c r="O597" i="5"/>
  <c r="N593" i="5"/>
  <c r="O593" i="5"/>
  <c r="N589" i="5"/>
  <c r="O589" i="5"/>
  <c r="N585" i="5"/>
  <c r="O585" i="5"/>
  <c r="N581" i="5"/>
  <c r="O581" i="5"/>
  <c r="N577" i="5"/>
  <c r="O577" i="5"/>
  <c r="N573" i="5"/>
  <c r="O573" i="5"/>
  <c r="N569" i="5"/>
  <c r="O569" i="5"/>
  <c r="N565" i="5"/>
  <c r="O565" i="5"/>
  <c r="N561" i="5"/>
  <c r="O561" i="5"/>
  <c r="N557" i="5"/>
  <c r="O557" i="5"/>
  <c r="N553" i="5"/>
  <c r="O553" i="5"/>
  <c r="N549" i="5"/>
  <c r="O549" i="5"/>
  <c r="N545" i="5"/>
  <c r="O545" i="5"/>
  <c r="N541" i="5"/>
  <c r="O541" i="5"/>
  <c r="N537" i="5"/>
  <c r="O537" i="5"/>
  <c r="N533" i="5"/>
  <c r="O533" i="5"/>
  <c r="N529" i="5"/>
  <c r="O529" i="5"/>
  <c r="N525" i="5"/>
  <c r="O525" i="5"/>
  <c r="N521" i="5"/>
  <c r="O521" i="5"/>
  <c r="N517" i="5"/>
  <c r="O517" i="5"/>
  <c r="N513" i="5"/>
  <c r="O513" i="5"/>
  <c r="N509" i="5"/>
  <c r="O509" i="5"/>
  <c r="N505" i="5"/>
  <c r="O505" i="5"/>
  <c r="N501" i="5"/>
  <c r="O501" i="5"/>
  <c r="N497" i="5"/>
  <c r="O497" i="5"/>
  <c r="N493" i="5"/>
  <c r="O493" i="5"/>
  <c r="N489" i="5"/>
  <c r="O489" i="5"/>
  <c r="N485" i="5"/>
  <c r="O485" i="5"/>
  <c r="N481" i="5"/>
  <c r="O481" i="5"/>
  <c r="N477" i="5"/>
  <c r="O477" i="5"/>
  <c r="N473" i="5"/>
  <c r="O473" i="5"/>
  <c r="N469" i="5"/>
  <c r="O469" i="5"/>
  <c r="N465" i="5"/>
  <c r="O465" i="5"/>
  <c r="N461" i="5"/>
  <c r="O461" i="5"/>
  <c r="N457" i="5"/>
  <c r="O457" i="5"/>
  <c r="N453" i="5"/>
  <c r="O453" i="5"/>
  <c r="N449" i="5"/>
  <c r="O449" i="5"/>
  <c r="N445" i="5"/>
  <c r="O445" i="5"/>
  <c r="N441" i="5"/>
  <c r="O441" i="5"/>
  <c r="N437" i="5"/>
  <c r="O437" i="5"/>
  <c r="N433" i="5"/>
  <c r="O433" i="5"/>
  <c r="N429" i="5"/>
  <c r="O429" i="5"/>
  <c r="N425" i="5"/>
  <c r="O425" i="5"/>
  <c r="N421" i="5"/>
  <c r="O421" i="5"/>
  <c r="N417" i="5"/>
  <c r="O417" i="5"/>
  <c r="N413" i="5"/>
  <c r="O413" i="5"/>
  <c r="N409" i="5"/>
  <c r="O409" i="5"/>
  <c r="N405" i="5"/>
  <c r="O405" i="5"/>
  <c r="N401" i="5"/>
  <c r="O401" i="5"/>
  <c r="N397" i="5"/>
  <c r="O397" i="5"/>
  <c r="N393" i="5"/>
  <c r="O393" i="5"/>
  <c r="N389" i="5"/>
  <c r="O389" i="5"/>
  <c r="N385" i="5"/>
  <c r="O385" i="5"/>
  <c r="N381" i="5"/>
  <c r="O381" i="5"/>
  <c r="N377" i="5"/>
  <c r="O377" i="5"/>
  <c r="N373" i="5"/>
  <c r="O373" i="5"/>
  <c r="N369" i="5"/>
  <c r="O369" i="5"/>
  <c r="N365" i="5"/>
  <c r="O365" i="5"/>
  <c r="N361" i="5"/>
  <c r="O361" i="5"/>
  <c r="N357" i="5"/>
  <c r="O357" i="5"/>
  <c r="N353" i="5"/>
  <c r="O353" i="5"/>
  <c r="N349" i="5"/>
  <c r="O349" i="5"/>
  <c r="N345" i="5"/>
  <c r="O345" i="5"/>
  <c r="N341" i="5"/>
  <c r="O341" i="5"/>
  <c r="N337" i="5"/>
  <c r="O337" i="5"/>
  <c r="N333" i="5"/>
  <c r="O333" i="5"/>
  <c r="N329" i="5"/>
  <c r="O329" i="5"/>
  <c r="N325" i="5"/>
  <c r="O325" i="5"/>
  <c r="N321" i="5"/>
  <c r="O321" i="5"/>
  <c r="N317" i="5"/>
  <c r="O317" i="5"/>
  <c r="N313" i="5"/>
  <c r="O313" i="5"/>
  <c r="N309" i="5"/>
  <c r="O309" i="5"/>
  <c r="N305" i="5"/>
  <c r="O305" i="5"/>
  <c r="N301" i="5"/>
  <c r="O301" i="5"/>
  <c r="N297" i="5"/>
  <c r="O297" i="5"/>
  <c r="N293" i="5"/>
  <c r="O293" i="5"/>
  <c r="N289" i="5"/>
  <c r="O289" i="5"/>
  <c r="N285" i="5"/>
  <c r="O285" i="5"/>
  <c r="N281" i="5"/>
  <c r="O281" i="5"/>
  <c r="N277" i="5"/>
  <c r="O277" i="5"/>
  <c r="N273" i="5"/>
  <c r="O273" i="5"/>
  <c r="N269" i="5"/>
  <c r="O269" i="5"/>
  <c r="N265" i="5"/>
  <c r="O265" i="5"/>
  <c r="N261" i="5"/>
  <c r="O261" i="5"/>
  <c r="N257" i="5"/>
  <c r="O257" i="5"/>
  <c r="N253" i="5"/>
  <c r="O253" i="5"/>
  <c r="N249" i="5"/>
  <c r="O249" i="5"/>
  <c r="N245" i="5"/>
  <c r="O245" i="5"/>
  <c r="N241" i="5"/>
  <c r="O241" i="5"/>
  <c r="N237" i="5"/>
  <c r="O237" i="5"/>
  <c r="N233" i="5"/>
  <c r="O233" i="5"/>
  <c r="N229" i="5"/>
  <c r="O229" i="5"/>
  <c r="N225" i="5"/>
  <c r="O225" i="5"/>
  <c r="N221" i="5"/>
  <c r="O221" i="5"/>
  <c r="N217" i="5"/>
  <c r="O217" i="5"/>
  <c r="N213" i="5"/>
  <c r="O213" i="5"/>
  <c r="N209" i="5"/>
  <c r="O209" i="5"/>
  <c r="N205" i="5"/>
  <c r="O205" i="5"/>
  <c r="N201" i="5"/>
  <c r="O201" i="5"/>
  <c r="N197" i="5"/>
  <c r="O197" i="5"/>
  <c r="N193" i="5"/>
  <c r="O193" i="5"/>
  <c r="N189" i="5"/>
  <c r="O189" i="5"/>
  <c r="N185" i="5"/>
  <c r="O185" i="5"/>
  <c r="N181" i="5"/>
  <c r="O181" i="5"/>
  <c r="N177" i="5"/>
  <c r="O177" i="5"/>
  <c r="N173" i="5"/>
  <c r="O173" i="5"/>
  <c r="N169" i="5"/>
  <c r="O169" i="5"/>
  <c r="N165" i="5"/>
  <c r="O165" i="5"/>
  <c r="N161" i="5"/>
  <c r="O161" i="5"/>
  <c r="N157" i="5"/>
  <c r="O157" i="5"/>
  <c r="N153" i="5"/>
  <c r="O153" i="5"/>
  <c r="N149" i="5"/>
  <c r="O149" i="5"/>
  <c r="N145" i="5"/>
  <c r="O145" i="5"/>
  <c r="N141" i="5"/>
  <c r="O141" i="5"/>
  <c r="N137" i="5"/>
  <c r="O137" i="5"/>
  <c r="N133" i="5"/>
  <c r="O133" i="5"/>
  <c r="N129" i="5"/>
  <c r="O129" i="5"/>
  <c r="N125" i="5"/>
  <c r="O125" i="5"/>
  <c r="N121" i="5"/>
  <c r="O121" i="5"/>
  <c r="N117" i="5"/>
  <c r="O117" i="5"/>
  <c r="N113" i="5"/>
  <c r="O113" i="5"/>
  <c r="N109" i="5"/>
  <c r="O109" i="5"/>
  <c r="N105" i="5"/>
  <c r="O105" i="5"/>
  <c r="N101" i="5"/>
  <c r="O101" i="5"/>
  <c r="N97" i="5"/>
  <c r="O97" i="5"/>
  <c r="N93" i="5"/>
  <c r="O93" i="5"/>
  <c r="N89" i="5"/>
  <c r="O89" i="5"/>
  <c r="N85" i="5"/>
  <c r="O85" i="5"/>
  <c r="N81" i="5"/>
  <c r="O81" i="5"/>
  <c r="N77" i="5"/>
  <c r="O77" i="5"/>
  <c r="N73" i="5"/>
  <c r="O73" i="5"/>
  <c r="N69" i="5"/>
  <c r="O69" i="5"/>
  <c r="N65" i="5"/>
  <c r="O65" i="5"/>
  <c r="N61" i="5"/>
  <c r="O61" i="5"/>
  <c r="N57" i="5"/>
  <c r="O57" i="5"/>
  <c r="N53" i="5"/>
  <c r="O53" i="5"/>
  <c r="N49" i="5"/>
  <c r="O49" i="5"/>
  <c r="N45" i="5"/>
  <c r="O45" i="5"/>
  <c r="N41" i="5"/>
  <c r="O41" i="5"/>
  <c r="N37" i="5"/>
  <c r="O37" i="5"/>
  <c r="N33" i="5"/>
  <c r="O33" i="5"/>
  <c r="N29" i="5"/>
  <c r="O29" i="5"/>
  <c r="N25" i="5"/>
  <c r="O25" i="5"/>
  <c r="N21" i="5"/>
  <c r="O21" i="5"/>
  <c r="N17" i="5"/>
  <c r="O17" i="5"/>
  <c r="N13" i="5"/>
  <c r="O13" i="5"/>
  <c r="N9" i="5"/>
  <c r="O9" i="5"/>
  <c r="N5" i="5"/>
  <c r="O5" i="5"/>
  <c r="O1074" i="5"/>
  <c r="O1058" i="5"/>
  <c r="O1042" i="5"/>
  <c r="O1026" i="5"/>
  <c r="O1010" i="5"/>
  <c r="O994" i="5"/>
  <c r="O978" i="5"/>
  <c r="O962" i="5"/>
  <c r="N936" i="5"/>
  <c r="O936" i="5"/>
  <c r="N932" i="5"/>
  <c r="O932" i="5"/>
  <c r="N928" i="5"/>
  <c r="O928" i="5"/>
  <c r="N924" i="5"/>
  <c r="O924" i="5"/>
  <c r="N920" i="5"/>
  <c r="O920" i="5"/>
  <c r="N916" i="5"/>
  <c r="O916" i="5"/>
  <c r="N912" i="5"/>
  <c r="O912" i="5"/>
  <c r="N908" i="5"/>
  <c r="O908" i="5"/>
  <c r="N904" i="5"/>
  <c r="O904" i="5"/>
  <c r="N900" i="5"/>
  <c r="O900" i="5"/>
  <c r="N896" i="5"/>
  <c r="O896" i="5"/>
  <c r="N892" i="5"/>
  <c r="O892" i="5"/>
  <c r="N888" i="5"/>
  <c r="O888" i="5"/>
  <c r="N884" i="5"/>
  <c r="O884" i="5"/>
  <c r="N880" i="5"/>
  <c r="O880" i="5"/>
  <c r="N876" i="5"/>
  <c r="O876" i="5"/>
  <c r="N872" i="5"/>
  <c r="O872" i="5"/>
  <c r="N868" i="5"/>
  <c r="O868" i="5"/>
  <c r="N864" i="5"/>
  <c r="O864" i="5"/>
  <c r="N860" i="5"/>
  <c r="O860" i="5"/>
  <c r="N856" i="5"/>
  <c r="O856" i="5"/>
  <c r="N852" i="5"/>
  <c r="O852" i="5"/>
  <c r="N848" i="5"/>
  <c r="O848" i="5"/>
  <c r="N844" i="5"/>
  <c r="O844" i="5"/>
  <c r="N840" i="5"/>
  <c r="O840" i="5"/>
  <c r="N836" i="5"/>
  <c r="O836" i="5"/>
  <c r="N832" i="5"/>
  <c r="O832" i="5"/>
  <c r="N828" i="5"/>
  <c r="O828" i="5"/>
  <c r="N824" i="5"/>
  <c r="O824" i="5"/>
  <c r="N820" i="5"/>
  <c r="O820" i="5"/>
  <c r="N816" i="5"/>
  <c r="O816" i="5"/>
  <c r="N812" i="5"/>
  <c r="O812" i="5"/>
  <c r="N808" i="5"/>
  <c r="O808" i="5"/>
  <c r="N804" i="5"/>
  <c r="O804" i="5"/>
  <c r="N800" i="5"/>
  <c r="O800" i="5"/>
  <c r="N796" i="5"/>
  <c r="O796" i="5"/>
  <c r="N792" i="5"/>
  <c r="O792" i="5"/>
  <c r="N788" i="5"/>
  <c r="O788" i="5"/>
  <c r="N784" i="5"/>
  <c r="O784" i="5"/>
  <c r="N780" i="5"/>
  <c r="O780" i="5"/>
  <c r="N776" i="5"/>
  <c r="O776" i="5"/>
  <c r="N772" i="5"/>
  <c r="O772" i="5"/>
  <c r="N768" i="5"/>
  <c r="O768" i="5"/>
  <c r="N764" i="5"/>
  <c r="O764" i="5"/>
  <c r="N760" i="5"/>
  <c r="O760" i="5"/>
  <c r="N756" i="5"/>
  <c r="O756" i="5"/>
  <c r="N752" i="5"/>
  <c r="O752" i="5"/>
  <c r="N748" i="5"/>
  <c r="O748" i="5"/>
  <c r="N744" i="5"/>
  <c r="O744" i="5"/>
  <c r="N740" i="5"/>
  <c r="O740" i="5"/>
  <c r="N736" i="5"/>
  <c r="O736" i="5"/>
  <c r="N732" i="5"/>
  <c r="O732" i="5"/>
  <c r="N728" i="5"/>
  <c r="O728" i="5"/>
  <c r="N724" i="5"/>
  <c r="O724" i="5"/>
  <c r="N720" i="5"/>
  <c r="O720" i="5"/>
  <c r="N716" i="5"/>
  <c r="O716" i="5"/>
  <c r="N712" i="5"/>
  <c r="O712" i="5"/>
  <c r="N708" i="5"/>
  <c r="O708" i="5"/>
  <c r="N704" i="5"/>
  <c r="O704" i="5"/>
  <c r="N700" i="5"/>
  <c r="O700" i="5"/>
  <c r="N696" i="5"/>
  <c r="O696" i="5"/>
  <c r="N692" i="5"/>
  <c r="O692" i="5"/>
  <c r="N688" i="5"/>
  <c r="O688" i="5"/>
  <c r="N684" i="5"/>
  <c r="O684" i="5"/>
  <c r="N680" i="5"/>
  <c r="O680" i="5"/>
  <c r="N676" i="5"/>
  <c r="O676" i="5"/>
  <c r="N672" i="5"/>
  <c r="O672" i="5"/>
  <c r="N668" i="5"/>
  <c r="O668" i="5"/>
  <c r="N664" i="5"/>
  <c r="O664" i="5"/>
  <c r="N660" i="5"/>
  <c r="O660" i="5"/>
  <c r="N656" i="5"/>
  <c r="O656" i="5"/>
  <c r="N652" i="5"/>
  <c r="O652" i="5"/>
  <c r="N648" i="5"/>
  <c r="O648" i="5"/>
  <c r="N644" i="5"/>
  <c r="O644" i="5"/>
  <c r="N640" i="5"/>
  <c r="O640" i="5"/>
  <c r="N636" i="5"/>
  <c r="O636" i="5"/>
  <c r="N632" i="5"/>
  <c r="O632" i="5"/>
  <c r="N628" i="5"/>
  <c r="O628" i="5"/>
  <c r="N624" i="5"/>
  <c r="O624" i="5"/>
  <c r="N620" i="5"/>
  <c r="O620" i="5"/>
  <c r="N616" i="5"/>
  <c r="O616" i="5"/>
  <c r="N612" i="5"/>
  <c r="O612" i="5"/>
  <c r="N608" i="5"/>
  <c r="O608" i="5"/>
  <c r="N604" i="5"/>
  <c r="O604" i="5"/>
  <c r="N600" i="5"/>
  <c r="O600" i="5"/>
  <c r="N596" i="5"/>
  <c r="O596" i="5"/>
  <c r="N592" i="5"/>
  <c r="O592" i="5"/>
  <c r="N588" i="5"/>
  <c r="O588" i="5"/>
  <c r="N584" i="5"/>
  <c r="O584" i="5"/>
  <c r="N580" i="5"/>
  <c r="O580" i="5"/>
  <c r="N576" i="5"/>
  <c r="O576" i="5"/>
  <c r="N572" i="5"/>
  <c r="O572" i="5"/>
  <c r="N568" i="5"/>
  <c r="O568" i="5"/>
  <c r="N564" i="5"/>
  <c r="O564" i="5"/>
  <c r="N560" i="5"/>
  <c r="O560" i="5"/>
  <c r="N556" i="5"/>
  <c r="O556" i="5"/>
  <c r="N552" i="5"/>
  <c r="O552" i="5"/>
  <c r="N548" i="5"/>
  <c r="O548" i="5"/>
  <c r="N544" i="5"/>
  <c r="O544" i="5"/>
  <c r="N540" i="5"/>
  <c r="O540" i="5"/>
  <c r="N536" i="5"/>
  <c r="O536" i="5"/>
  <c r="N532" i="5"/>
  <c r="O532" i="5"/>
  <c r="N528" i="5"/>
  <c r="O528" i="5"/>
  <c r="N524" i="5"/>
  <c r="O524" i="5"/>
  <c r="N520" i="5"/>
  <c r="O520" i="5"/>
  <c r="N516" i="5"/>
  <c r="O516" i="5"/>
  <c r="N512" i="5"/>
  <c r="O512" i="5"/>
  <c r="N508" i="5"/>
  <c r="O508" i="5"/>
  <c r="N504" i="5"/>
  <c r="O504" i="5"/>
  <c r="N500" i="5"/>
  <c r="O500" i="5"/>
  <c r="N496" i="5"/>
  <c r="O496" i="5"/>
  <c r="N492" i="5"/>
  <c r="O492" i="5"/>
  <c r="N488" i="5"/>
  <c r="O488" i="5"/>
  <c r="N484" i="5"/>
  <c r="O484" i="5"/>
  <c r="N480" i="5"/>
  <c r="O480" i="5"/>
  <c r="N476" i="5"/>
  <c r="O476" i="5"/>
  <c r="N472" i="5"/>
  <c r="O472" i="5"/>
  <c r="N468" i="5"/>
  <c r="O468" i="5"/>
  <c r="N464" i="5"/>
  <c r="O464" i="5"/>
  <c r="N460" i="5"/>
  <c r="O460" i="5"/>
  <c r="N456" i="5"/>
  <c r="O456" i="5"/>
  <c r="N452" i="5"/>
  <c r="O452" i="5"/>
  <c r="N448" i="5"/>
  <c r="O448" i="5"/>
  <c r="N444" i="5"/>
  <c r="O444" i="5"/>
  <c r="N440" i="5"/>
  <c r="O440" i="5"/>
  <c r="N436" i="5"/>
  <c r="O436" i="5"/>
  <c r="N432" i="5"/>
  <c r="O432" i="5"/>
  <c r="N428" i="5"/>
  <c r="O428" i="5"/>
  <c r="N424" i="5"/>
  <c r="O424" i="5"/>
  <c r="N420" i="5"/>
  <c r="O420" i="5"/>
  <c r="N416" i="5"/>
  <c r="O416" i="5"/>
  <c r="N412" i="5"/>
  <c r="O412" i="5"/>
  <c r="N408" i="5"/>
  <c r="O408" i="5"/>
  <c r="N404" i="5"/>
  <c r="O404" i="5"/>
  <c r="N400" i="5"/>
  <c r="O400" i="5"/>
  <c r="N396" i="5"/>
  <c r="O396" i="5"/>
  <c r="N392" i="5"/>
  <c r="O392" i="5"/>
  <c r="N388" i="5"/>
  <c r="O388" i="5"/>
  <c r="N384" i="5"/>
  <c r="O384" i="5"/>
  <c r="N380" i="5"/>
  <c r="O380" i="5"/>
  <c r="N376" i="5"/>
  <c r="O376" i="5"/>
  <c r="N372" i="5"/>
  <c r="O372" i="5"/>
  <c r="N368" i="5"/>
  <c r="O368" i="5"/>
  <c r="N364" i="5"/>
  <c r="O364" i="5"/>
  <c r="N360" i="5"/>
  <c r="O360" i="5"/>
  <c r="N356" i="5"/>
  <c r="O356" i="5"/>
  <c r="N352" i="5"/>
  <c r="O352" i="5"/>
  <c r="N348" i="5"/>
  <c r="O348" i="5"/>
  <c r="N344" i="5"/>
  <c r="O344" i="5"/>
  <c r="N340" i="5"/>
  <c r="O340" i="5"/>
  <c r="N336" i="5"/>
  <c r="O336" i="5"/>
  <c r="N332" i="5"/>
  <c r="O332" i="5"/>
  <c r="N328" i="5"/>
  <c r="O328" i="5"/>
  <c r="N324" i="5"/>
  <c r="O324" i="5"/>
  <c r="N320" i="5"/>
  <c r="O320" i="5"/>
  <c r="N316" i="5"/>
  <c r="O316" i="5"/>
  <c r="N312" i="5"/>
  <c r="O312" i="5"/>
  <c r="N308" i="5"/>
  <c r="O308" i="5"/>
  <c r="N304" i="5"/>
  <c r="O304" i="5"/>
  <c r="N300" i="5"/>
  <c r="O300" i="5"/>
  <c r="N296" i="5"/>
  <c r="O296" i="5"/>
  <c r="N292" i="5"/>
  <c r="O292" i="5"/>
  <c r="N288" i="5"/>
  <c r="O288" i="5"/>
  <c r="N284" i="5"/>
  <c r="O284" i="5"/>
  <c r="N280" i="5"/>
  <c r="O280" i="5"/>
  <c r="N276" i="5"/>
  <c r="O276" i="5"/>
  <c r="N272" i="5"/>
  <c r="O272" i="5"/>
  <c r="N268" i="5"/>
  <c r="O268" i="5"/>
  <c r="N264" i="5"/>
  <c r="O264" i="5"/>
  <c r="N260" i="5"/>
  <c r="O260" i="5"/>
  <c r="N256" i="5"/>
  <c r="O256" i="5"/>
  <c r="N252" i="5"/>
  <c r="O252" i="5"/>
  <c r="N248" i="5"/>
  <c r="O248" i="5"/>
  <c r="N244" i="5"/>
  <c r="O244" i="5"/>
  <c r="N240" i="5"/>
  <c r="O240" i="5"/>
  <c r="N236" i="5"/>
  <c r="O236" i="5"/>
  <c r="N232" i="5"/>
  <c r="O232" i="5"/>
  <c r="N228" i="5"/>
  <c r="O228" i="5"/>
  <c r="N224" i="5"/>
  <c r="O224" i="5"/>
  <c r="N220" i="5"/>
  <c r="O220" i="5"/>
  <c r="N216" i="5"/>
  <c r="O216" i="5"/>
  <c r="N212" i="5"/>
  <c r="O212" i="5"/>
  <c r="N208" i="5"/>
  <c r="O208" i="5"/>
  <c r="N204" i="5"/>
  <c r="O204" i="5"/>
  <c r="N200" i="5"/>
  <c r="O200" i="5"/>
  <c r="N196" i="5"/>
  <c r="O196" i="5"/>
  <c r="N192" i="5"/>
  <c r="O192" i="5"/>
  <c r="N188" i="5"/>
  <c r="O188" i="5"/>
  <c r="N184" i="5"/>
  <c r="O184" i="5"/>
  <c r="N180" i="5"/>
  <c r="O180" i="5"/>
  <c r="N176" i="5"/>
  <c r="O176" i="5"/>
  <c r="N172" i="5"/>
  <c r="O172" i="5"/>
  <c r="N168" i="5"/>
  <c r="O168" i="5"/>
  <c r="N164" i="5"/>
  <c r="O164" i="5"/>
  <c r="N160" i="5"/>
  <c r="O160" i="5"/>
  <c r="N156" i="5"/>
  <c r="O156" i="5"/>
  <c r="N152" i="5"/>
  <c r="O152" i="5"/>
  <c r="N148" i="5"/>
  <c r="O148" i="5"/>
  <c r="N144" i="5"/>
  <c r="O144" i="5"/>
  <c r="N140" i="5"/>
  <c r="O140" i="5"/>
  <c r="N136" i="5"/>
  <c r="O136" i="5"/>
  <c r="N132" i="5"/>
  <c r="O132" i="5"/>
  <c r="N128" i="5"/>
  <c r="O128" i="5"/>
  <c r="N124" i="5"/>
  <c r="O124" i="5"/>
  <c r="N120" i="5"/>
  <c r="O120" i="5"/>
  <c r="N116" i="5"/>
  <c r="O116" i="5"/>
  <c r="N112" i="5"/>
  <c r="O112" i="5"/>
  <c r="N108" i="5"/>
  <c r="O108" i="5"/>
  <c r="N104" i="5"/>
  <c r="O104" i="5"/>
  <c r="N100" i="5"/>
  <c r="O100" i="5"/>
  <c r="N96" i="5"/>
  <c r="O96" i="5"/>
  <c r="N92" i="5"/>
  <c r="O92" i="5"/>
  <c r="N88" i="5"/>
  <c r="O88" i="5"/>
  <c r="N84" i="5"/>
  <c r="O84" i="5"/>
  <c r="N80" i="5"/>
  <c r="O80" i="5"/>
  <c r="N76" i="5"/>
  <c r="O76" i="5"/>
  <c r="N72" i="5"/>
  <c r="O72" i="5"/>
  <c r="N68" i="5"/>
  <c r="O68" i="5"/>
  <c r="N64" i="5"/>
  <c r="O64" i="5"/>
  <c r="N60" i="5"/>
  <c r="O60" i="5"/>
  <c r="N56" i="5"/>
  <c r="O56" i="5"/>
  <c r="N52" i="5"/>
  <c r="O52" i="5"/>
  <c r="N48" i="5"/>
  <c r="O48" i="5"/>
  <c r="N44" i="5"/>
  <c r="O44" i="5"/>
  <c r="N40" i="5"/>
  <c r="O40" i="5"/>
  <c r="N36" i="5"/>
  <c r="O36" i="5"/>
  <c r="N32" i="5"/>
  <c r="O32" i="5"/>
  <c r="N28" i="5"/>
  <c r="O28" i="5"/>
  <c r="N24" i="5"/>
  <c r="O24" i="5"/>
  <c r="N20" i="5"/>
  <c r="O20" i="5"/>
  <c r="N16" i="5"/>
  <c r="O16" i="5"/>
  <c r="N12" i="5"/>
  <c r="O12" i="5"/>
  <c r="N8" i="5"/>
  <c r="O8" i="5"/>
  <c r="N4" i="5"/>
  <c r="O4" i="5"/>
  <c r="O1070" i="5"/>
  <c r="O1054" i="5"/>
  <c r="O1038" i="5"/>
  <c r="O1022" i="5"/>
  <c r="O1006" i="5"/>
  <c r="O990" i="5"/>
  <c r="O974" i="5"/>
  <c r="O958" i="5"/>
  <c r="N1075" i="5"/>
  <c r="O1075" i="5"/>
  <c r="N1071" i="5"/>
  <c r="O1071" i="5"/>
  <c r="N1067" i="5"/>
  <c r="O1067" i="5"/>
  <c r="N1063" i="5"/>
  <c r="O1063" i="5"/>
  <c r="N1059" i="5"/>
  <c r="O1059" i="5"/>
  <c r="N1055" i="5"/>
  <c r="O1055" i="5"/>
  <c r="N1051" i="5"/>
  <c r="O1051" i="5"/>
  <c r="N1047" i="5"/>
  <c r="O1047" i="5"/>
  <c r="N1043" i="5"/>
  <c r="O1043" i="5"/>
  <c r="N1039" i="5"/>
  <c r="O1039" i="5"/>
  <c r="N1035" i="5"/>
  <c r="O1035" i="5"/>
  <c r="N1031" i="5"/>
  <c r="O1031" i="5"/>
  <c r="N1027" i="5"/>
  <c r="O1027" i="5"/>
  <c r="N1023" i="5"/>
  <c r="O1023" i="5"/>
  <c r="N1019" i="5"/>
  <c r="O1019" i="5"/>
  <c r="N1015" i="5"/>
  <c r="O1015" i="5"/>
  <c r="N1011" i="5"/>
  <c r="O1011" i="5"/>
  <c r="N1007" i="5"/>
  <c r="O1007" i="5"/>
  <c r="N1003" i="5"/>
  <c r="O1003" i="5"/>
  <c r="N999" i="5"/>
  <c r="O999" i="5"/>
  <c r="N995" i="5"/>
  <c r="O995" i="5"/>
  <c r="N991" i="5"/>
  <c r="O991" i="5"/>
  <c r="N987" i="5"/>
  <c r="O987" i="5"/>
  <c r="N983" i="5"/>
  <c r="O983" i="5"/>
  <c r="N979" i="5"/>
  <c r="O979" i="5"/>
  <c r="N975" i="5"/>
  <c r="O975" i="5"/>
  <c r="N971" i="5"/>
  <c r="O971" i="5"/>
  <c r="N967" i="5"/>
  <c r="O967" i="5"/>
  <c r="N963" i="5"/>
  <c r="O963" i="5"/>
  <c r="N959" i="5"/>
  <c r="O959" i="5"/>
  <c r="N955" i="5"/>
  <c r="O955" i="5"/>
  <c r="N951" i="5"/>
  <c r="O951" i="5"/>
  <c r="N947" i="5"/>
  <c r="O947" i="5"/>
  <c r="N943" i="5"/>
  <c r="O943" i="5"/>
  <c r="N939" i="5"/>
  <c r="O939" i="5"/>
  <c r="N935" i="5"/>
  <c r="O935" i="5"/>
  <c r="N931" i="5"/>
  <c r="O931" i="5"/>
  <c r="N927" i="5"/>
  <c r="O927" i="5"/>
  <c r="N923" i="5"/>
  <c r="O923" i="5"/>
  <c r="N919" i="5"/>
  <c r="O919" i="5"/>
  <c r="N915" i="5"/>
  <c r="O915" i="5"/>
  <c r="N911" i="5"/>
  <c r="O911" i="5"/>
  <c r="N907" i="5"/>
  <c r="O907" i="5"/>
  <c r="N903" i="5"/>
  <c r="O903" i="5"/>
  <c r="N899" i="5"/>
  <c r="O899" i="5"/>
  <c r="N895" i="5"/>
  <c r="O895" i="5"/>
  <c r="N891" i="5"/>
  <c r="O891" i="5"/>
  <c r="N887" i="5"/>
  <c r="O887" i="5"/>
  <c r="N883" i="5"/>
  <c r="O883" i="5"/>
  <c r="N879" i="5"/>
  <c r="O879" i="5"/>
  <c r="N875" i="5"/>
  <c r="O875" i="5"/>
  <c r="N871" i="5"/>
  <c r="O871" i="5"/>
  <c r="N867" i="5"/>
  <c r="O867" i="5"/>
  <c r="N863" i="5"/>
  <c r="O863" i="5"/>
  <c r="N859" i="5"/>
  <c r="O859" i="5"/>
  <c r="N855" i="5"/>
  <c r="O855" i="5"/>
  <c r="N851" i="5"/>
  <c r="O851" i="5"/>
  <c r="N847" i="5"/>
  <c r="O847" i="5"/>
  <c r="N843" i="5"/>
  <c r="O843" i="5"/>
  <c r="N839" i="5"/>
  <c r="O839" i="5"/>
  <c r="N835" i="5"/>
  <c r="O835" i="5"/>
  <c r="N831" i="5"/>
  <c r="O831" i="5"/>
  <c r="N827" i="5"/>
  <c r="O827" i="5"/>
  <c r="N823" i="5"/>
  <c r="O823" i="5"/>
  <c r="N819" i="5"/>
  <c r="O819" i="5"/>
  <c r="N815" i="5"/>
  <c r="O815" i="5"/>
  <c r="N811" i="5"/>
  <c r="O811" i="5"/>
  <c r="N807" i="5"/>
  <c r="O807" i="5"/>
  <c r="N803" i="5"/>
  <c r="O803" i="5"/>
  <c r="N799" i="5"/>
  <c r="O799" i="5"/>
  <c r="N795" i="5"/>
  <c r="O795" i="5"/>
  <c r="N791" i="5"/>
  <c r="O791" i="5"/>
  <c r="N787" i="5"/>
  <c r="O787" i="5"/>
  <c r="N783" i="5"/>
  <c r="O783" i="5"/>
  <c r="N779" i="5"/>
  <c r="O779" i="5"/>
  <c r="N775" i="5"/>
  <c r="O775" i="5"/>
  <c r="N771" i="5"/>
  <c r="O771" i="5"/>
  <c r="N767" i="5"/>
  <c r="O767" i="5"/>
  <c r="N763" i="5"/>
  <c r="O763" i="5"/>
  <c r="N759" i="5"/>
  <c r="O759" i="5"/>
  <c r="N755" i="5"/>
  <c r="O755" i="5"/>
  <c r="N751" i="5"/>
  <c r="O751" i="5"/>
  <c r="N747" i="5"/>
  <c r="O747" i="5"/>
  <c r="N743" i="5"/>
  <c r="O743" i="5"/>
  <c r="N739" i="5"/>
  <c r="O739" i="5"/>
  <c r="N735" i="5"/>
  <c r="O735" i="5"/>
  <c r="N731" i="5"/>
  <c r="O731" i="5"/>
  <c r="N727" i="5"/>
  <c r="O727" i="5"/>
  <c r="N723" i="5"/>
  <c r="O723" i="5"/>
  <c r="N719" i="5"/>
  <c r="O719" i="5"/>
  <c r="N715" i="5"/>
  <c r="O715" i="5"/>
  <c r="N711" i="5"/>
  <c r="O711" i="5"/>
  <c r="N707" i="5"/>
  <c r="O707" i="5"/>
  <c r="N703" i="5"/>
  <c r="O703" i="5"/>
  <c r="N699" i="5"/>
  <c r="O699" i="5"/>
  <c r="N695" i="5"/>
  <c r="O695" i="5"/>
  <c r="N691" i="5"/>
  <c r="O691" i="5"/>
  <c r="N687" i="5"/>
  <c r="O687" i="5"/>
  <c r="N683" i="5"/>
  <c r="O683" i="5"/>
  <c r="N679" i="5"/>
  <c r="O679" i="5"/>
  <c r="N675" i="5"/>
  <c r="O675" i="5"/>
  <c r="N671" i="5"/>
  <c r="O671" i="5"/>
  <c r="N667" i="5"/>
  <c r="O667" i="5"/>
  <c r="N663" i="5"/>
  <c r="O663" i="5"/>
  <c r="N659" i="5"/>
  <c r="O659" i="5"/>
  <c r="N655" i="5"/>
  <c r="O655" i="5"/>
  <c r="N651" i="5"/>
  <c r="O651" i="5"/>
  <c r="N647" i="5"/>
  <c r="O647" i="5"/>
  <c r="N643" i="5"/>
  <c r="O643" i="5"/>
  <c r="N639" i="5"/>
  <c r="O639" i="5"/>
  <c r="N635" i="5"/>
  <c r="O635" i="5"/>
  <c r="N631" i="5"/>
  <c r="O631" i="5"/>
  <c r="N627" i="5"/>
  <c r="O627" i="5"/>
  <c r="N623" i="5"/>
  <c r="O623" i="5"/>
  <c r="N619" i="5"/>
  <c r="O619" i="5"/>
  <c r="N615" i="5"/>
  <c r="O615" i="5"/>
  <c r="N611" i="5"/>
  <c r="O611" i="5"/>
  <c r="N607" i="5"/>
  <c r="O607" i="5"/>
  <c r="N603" i="5"/>
  <c r="O603" i="5"/>
  <c r="N599" i="5"/>
  <c r="O599" i="5"/>
  <c r="N595" i="5"/>
  <c r="O595" i="5"/>
  <c r="N591" i="5"/>
  <c r="O591" i="5"/>
  <c r="N587" i="5"/>
  <c r="O587" i="5"/>
  <c r="N583" i="5"/>
  <c r="O583" i="5"/>
  <c r="N579" i="5"/>
  <c r="O579" i="5"/>
  <c r="N575" i="5"/>
  <c r="O575" i="5"/>
  <c r="N571" i="5"/>
  <c r="O571" i="5"/>
  <c r="N567" i="5"/>
  <c r="O567" i="5"/>
  <c r="N563" i="5"/>
  <c r="O563" i="5"/>
  <c r="N559" i="5"/>
  <c r="O559" i="5"/>
  <c r="N555" i="5"/>
  <c r="O555" i="5"/>
  <c r="N551" i="5"/>
  <c r="O551" i="5"/>
  <c r="N547" i="5"/>
  <c r="O547" i="5"/>
  <c r="N543" i="5"/>
  <c r="O543" i="5"/>
  <c r="N539" i="5"/>
  <c r="O539" i="5"/>
  <c r="N535" i="5"/>
  <c r="O535" i="5"/>
  <c r="N531" i="5"/>
  <c r="O531" i="5"/>
  <c r="N527" i="5"/>
  <c r="O527" i="5"/>
  <c r="N523" i="5"/>
  <c r="O523" i="5"/>
  <c r="N519" i="5"/>
  <c r="O519" i="5"/>
  <c r="N515" i="5"/>
  <c r="O515" i="5"/>
  <c r="N511" i="5"/>
  <c r="O511" i="5"/>
  <c r="N507" i="5"/>
  <c r="O507" i="5"/>
  <c r="N503" i="5"/>
  <c r="O503" i="5"/>
  <c r="N499" i="5"/>
  <c r="O499" i="5"/>
  <c r="N495" i="5"/>
  <c r="O495" i="5"/>
  <c r="N491" i="5"/>
  <c r="O491" i="5"/>
  <c r="N487" i="5"/>
  <c r="O487" i="5"/>
  <c r="N483" i="5"/>
  <c r="O483" i="5"/>
  <c r="N479" i="5"/>
  <c r="O479" i="5"/>
  <c r="N475" i="5"/>
  <c r="O475" i="5"/>
  <c r="N471" i="5"/>
  <c r="O471" i="5"/>
  <c r="N467" i="5"/>
  <c r="O467" i="5"/>
  <c r="N463" i="5"/>
  <c r="O463" i="5"/>
  <c r="N459" i="5"/>
  <c r="O459" i="5"/>
  <c r="N455" i="5"/>
  <c r="O455" i="5"/>
  <c r="N451" i="5"/>
  <c r="O451" i="5"/>
  <c r="N447" i="5"/>
  <c r="O447" i="5"/>
  <c r="N443" i="5"/>
  <c r="O443" i="5"/>
  <c r="N439" i="5"/>
  <c r="O439" i="5"/>
  <c r="N435" i="5"/>
  <c r="O435" i="5"/>
  <c r="N431" i="5"/>
  <c r="O431" i="5"/>
  <c r="N427" i="5"/>
  <c r="O427" i="5"/>
  <c r="N423" i="5"/>
  <c r="O423" i="5"/>
  <c r="N419" i="5"/>
  <c r="O419" i="5"/>
  <c r="N415" i="5"/>
  <c r="O415" i="5"/>
  <c r="N411" i="5"/>
  <c r="O411" i="5"/>
  <c r="N407" i="5"/>
  <c r="O407" i="5"/>
  <c r="N403" i="5"/>
  <c r="O403" i="5"/>
  <c r="N399" i="5"/>
  <c r="O399" i="5"/>
  <c r="N395" i="5"/>
  <c r="O395" i="5"/>
  <c r="N391" i="5"/>
  <c r="O391" i="5"/>
  <c r="N387" i="5"/>
  <c r="O387" i="5"/>
  <c r="N383" i="5"/>
  <c r="O383" i="5"/>
  <c r="N379" i="5"/>
  <c r="O379" i="5"/>
  <c r="N375" i="5"/>
  <c r="O375" i="5"/>
  <c r="N371" i="5"/>
  <c r="O371" i="5"/>
  <c r="N367" i="5"/>
  <c r="O367" i="5"/>
  <c r="N363" i="5"/>
  <c r="O363" i="5"/>
  <c r="N359" i="5"/>
  <c r="O359" i="5"/>
  <c r="N355" i="5"/>
  <c r="O355" i="5"/>
  <c r="N351" i="5"/>
  <c r="O351" i="5"/>
  <c r="N347" i="5"/>
  <c r="O347" i="5"/>
  <c r="N343" i="5"/>
  <c r="O343" i="5"/>
  <c r="N339" i="5"/>
  <c r="O339" i="5"/>
  <c r="N335" i="5"/>
  <c r="O335" i="5"/>
  <c r="N331" i="5"/>
  <c r="O331" i="5"/>
  <c r="N327" i="5"/>
  <c r="O327" i="5"/>
  <c r="N323" i="5"/>
  <c r="O323" i="5"/>
  <c r="N319" i="5"/>
  <c r="O319" i="5"/>
  <c r="N315" i="5"/>
  <c r="O315" i="5"/>
  <c r="N311" i="5"/>
  <c r="O311" i="5"/>
  <c r="N307" i="5"/>
  <c r="O307" i="5"/>
  <c r="N303" i="5"/>
  <c r="O303" i="5"/>
  <c r="N299" i="5"/>
  <c r="O299" i="5"/>
  <c r="N295" i="5"/>
  <c r="O295" i="5"/>
  <c r="N291" i="5"/>
  <c r="O291" i="5"/>
  <c r="N287" i="5"/>
  <c r="O287" i="5"/>
  <c r="N283" i="5"/>
  <c r="O283" i="5"/>
  <c r="N279" i="5"/>
  <c r="O279" i="5"/>
  <c r="N275" i="5"/>
  <c r="O275" i="5"/>
  <c r="N271" i="5"/>
  <c r="O271" i="5"/>
  <c r="N267" i="5"/>
  <c r="O267" i="5"/>
  <c r="N263" i="5"/>
  <c r="O263" i="5"/>
  <c r="N259" i="5"/>
  <c r="O259" i="5"/>
  <c r="N255" i="5"/>
  <c r="O255" i="5"/>
  <c r="N251" i="5"/>
  <c r="O251" i="5"/>
  <c r="N247" i="5"/>
  <c r="O247" i="5"/>
  <c r="N243" i="5"/>
  <c r="O243" i="5"/>
  <c r="N239" i="5"/>
  <c r="O239" i="5"/>
  <c r="N235" i="5"/>
  <c r="O235" i="5"/>
  <c r="N231" i="5"/>
  <c r="O231" i="5"/>
  <c r="N227" i="5"/>
  <c r="O227" i="5"/>
  <c r="N223" i="5"/>
  <c r="O223" i="5"/>
  <c r="N219" i="5"/>
  <c r="O219" i="5"/>
  <c r="N215" i="5"/>
  <c r="O215" i="5"/>
  <c r="N211" i="5"/>
  <c r="O211" i="5"/>
  <c r="N207" i="5"/>
  <c r="O207" i="5"/>
  <c r="N203" i="5"/>
  <c r="O203" i="5"/>
  <c r="N199" i="5"/>
  <c r="O199" i="5"/>
  <c r="N195" i="5"/>
  <c r="O195" i="5"/>
  <c r="N191" i="5"/>
  <c r="O191" i="5"/>
  <c r="N187" i="5"/>
  <c r="O187" i="5"/>
  <c r="N183" i="5"/>
  <c r="O183" i="5"/>
  <c r="N179" i="5"/>
  <c r="O179" i="5"/>
  <c r="N175" i="5"/>
  <c r="O175" i="5"/>
  <c r="N171" i="5"/>
  <c r="O171" i="5"/>
  <c r="N167" i="5"/>
  <c r="O167" i="5"/>
  <c r="N163" i="5"/>
  <c r="O163" i="5"/>
  <c r="N159" i="5"/>
  <c r="O159" i="5"/>
  <c r="N155" i="5"/>
  <c r="O155" i="5"/>
  <c r="N151" i="5"/>
  <c r="O151" i="5"/>
  <c r="N147" i="5"/>
  <c r="O147" i="5"/>
  <c r="N143" i="5"/>
  <c r="O143" i="5"/>
  <c r="N139" i="5"/>
  <c r="O139" i="5"/>
  <c r="N135" i="5"/>
  <c r="O135" i="5"/>
  <c r="N131" i="5"/>
  <c r="O131" i="5"/>
  <c r="N127" i="5"/>
  <c r="O127" i="5"/>
  <c r="N123" i="5"/>
  <c r="O123" i="5"/>
  <c r="N119" i="5"/>
  <c r="O119" i="5"/>
  <c r="N115" i="5"/>
  <c r="O115" i="5"/>
  <c r="N111" i="5"/>
  <c r="O111" i="5"/>
  <c r="N107" i="5"/>
  <c r="O107" i="5"/>
  <c r="N103" i="5"/>
  <c r="O103" i="5"/>
  <c r="N99" i="5"/>
  <c r="O99" i="5"/>
  <c r="N95" i="5"/>
  <c r="O95" i="5"/>
  <c r="N91" i="5"/>
  <c r="O91" i="5"/>
  <c r="N87" i="5"/>
  <c r="O87" i="5"/>
  <c r="N83" i="5"/>
  <c r="O83" i="5"/>
  <c r="N79" i="5"/>
  <c r="O79" i="5"/>
  <c r="N75" i="5"/>
  <c r="O75" i="5"/>
  <c r="N71" i="5"/>
  <c r="O71" i="5"/>
  <c r="N67" i="5"/>
  <c r="O67" i="5"/>
  <c r="N63" i="5"/>
  <c r="O63" i="5"/>
  <c r="N59" i="5"/>
  <c r="O59" i="5"/>
  <c r="N55" i="5"/>
  <c r="O55" i="5"/>
  <c r="N51" i="5"/>
  <c r="O51" i="5"/>
  <c r="N47" i="5"/>
  <c r="O47" i="5"/>
  <c r="N43" i="5"/>
  <c r="O43" i="5"/>
  <c r="N39" i="5"/>
  <c r="O39" i="5"/>
  <c r="N35" i="5"/>
  <c r="O35" i="5"/>
  <c r="N31" i="5"/>
  <c r="O31" i="5"/>
  <c r="N27" i="5"/>
  <c r="O27" i="5"/>
  <c r="N23" i="5"/>
  <c r="O23" i="5"/>
  <c r="N19" i="5"/>
  <c r="O19" i="5"/>
  <c r="N15" i="5"/>
  <c r="O15" i="5"/>
  <c r="N11" i="5"/>
  <c r="O11" i="5"/>
  <c r="N7" i="5"/>
  <c r="O7" i="5"/>
  <c r="N3" i="5"/>
  <c r="O3" i="5"/>
  <c r="O1066" i="5"/>
  <c r="O1050" i="5"/>
  <c r="O1034" i="5"/>
  <c r="O1018" i="5"/>
  <c r="O1002" i="5"/>
  <c r="O986" i="5"/>
  <c r="O970" i="5"/>
  <c r="O954" i="5"/>
  <c r="N946" i="5"/>
  <c r="O946" i="5"/>
  <c r="N942" i="5"/>
  <c r="O942" i="5"/>
  <c r="N938" i="5"/>
  <c r="O938" i="5"/>
  <c r="N934" i="5"/>
  <c r="O934" i="5"/>
  <c r="N930" i="5"/>
  <c r="O930" i="5"/>
  <c r="N926" i="5"/>
  <c r="O926" i="5"/>
  <c r="N922" i="5"/>
  <c r="O922" i="5"/>
  <c r="N918" i="5"/>
  <c r="O918" i="5"/>
  <c r="N914" i="5"/>
  <c r="O914" i="5"/>
  <c r="N910" i="5"/>
  <c r="O910" i="5"/>
  <c r="N906" i="5"/>
  <c r="O906" i="5"/>
  <c r="N902" i="5"/>
  <c r="O902" i="5"/>
  <c r="N898" i="5"/>
  <c r="O898" i="5"/>
  <c r="N894" i="5"/>
  <c r="O894" i="5"/>
  <c r="N890" i="5"/>
  <c r="O890" i="5"/>
  <c r="N886" i="5"/>
  <c r="O886" i="5"/>
  <c r="N882" i="5"/>
  <c r="O882" i="5"/>
  <c r="N878" i="5"/>
  <c r="O878" i="5"/>
  <c r="N874" i="5"/>
  <c r="O874" i="5"/>
  <c r="N870" i="5"/>
  <c r="O870" i="5"/>
  <c r="N866" i="5"/>
  <c r="O866" i="5"/>
  <c r="N862" i="5"/>
  <c r="O862" i="5"/>
  <c r="N858" i="5"/>
  <c r="O858" i="5"/>
  <c r="N854" i="5"/>
  <c r="O854" i="5"/>
  <c r="N850" i="5"/>
  <c r="O850" i="5"/>
  <c r="N846" i="5"/>
  <c r="O846" i="5"/>
  <c r="N842" i="5"/>
  <c r="O842" i="5"/>
  <c r="N838" i="5"/>
  <c r="O838" i="5"/>
  <c r="N834" i="5"/>
  <c r="O834" i="5"/>
  <c r="N830" i="5"/>
  <c r="O830" i="5"/>
  <c r="N826" i="5"/>
  <c r="O826" i="5"/>
  <c r="N822" i="5"/>
  <c r="O822" i="5"/>
  <c r="N818" i="5"/>
  <c r="O818" i="5"/>
  <c r="N814" i="5"/>
  <c r="O814" i="5"/>
  <c r="N810" i="5"/>
  <c r="O810" i="5"/>
  <c r="N806" i="5"/>
  <c r="O806" i="5"/>
  <c r="N802" i="5"/>
  <c r="O802" i="5"/>
  <c r="N798" i="5"/>
  <c r="O798" i="5"/>
  <c r="N794" i="5"/>
  <c r="O794" i="5"/>
  <c r="N790" i="5"/>
  <c r="O790" i="5"/>
  <c r="N786" i="5"/>
  <c r="O786" i="5"/>
  <c r="N782" i="5"/>
  <c r="O782" i="5"/>
  <c r="N778" i="5"/>
  <c r="O778" i="5"/>
  <c r="N774" i="5"/>
  <c r="O774" i="5"/>
  <c r="N770" i="5"/>
  <c r="O770" i="5"/>
  <c r="N766" i="5"/>
  <c r="O766" i="5"/>
  <c r="N762" i="5"/>
  <c r="O762" i="5"/>
  <c r="N758" i="5"/>
  <c r="O758" i="5"/>
  <c r="N754" i="5"/>
  <c r="O754" i="5"/>
  <c r="N750" i="5"/>
  <c r="O750" i="5"/>
  <c r="N746" i="5"/>
  <c r="O746" i="5"/>
  <c r="N742" i="5"/>
  <c r="O742" i="5"/>
  <c r="N738" i="5"/>
  <c r="O738" i="5"/>
  <c r="N734" i="5"/>
  <c r="O734" i="5"/>
  <c r="N730" i="5"/>
  <c r="O730" i="5"/>
  <c r="N726" i="5"/>
  <c r="O726" i="5"/>
  <c r="N722" i="5"/>
  <c r="O722" i="5"/>
  <c r="N718" i="5"/>
  <c r="O718" i="5"/>
  <c r="N714" i="5"/>
  <c r="O714" i="5"/>
  <c r="N710" i="5"/>
  <c r="O710" i="5"/>
  <c r="N706" i="5"/>
  <c r="O706" i="5"/>
  <c r="N702" i="5"/>
  <c r="O702" i="5"/>
  <c r="N698" i="5"/>
  <c r="O698" i="5"/>
  <c r="N694" i="5"/>
  <c r="O694" i="5"/>
  <c r="N690" i="5"/>
  <c r="O690" i="5"/>
  <c r="N686" i="5"/>
  <c r="O686" i="5"/>
  <c r="N682" i="5"/>
  <c r="O682" i="5"/>
  <c r="N678" i="5"/>
  <c r="O678" i="5"/>
  <c r="N674" i="5"/>
  <c r="O674" i="5"/>
  <c r="N670" i="5"/>
  <c r="O670" i="5"/>
  <c r="N666" i="5"/>
  <c r="O666" i="5"/>
  <c r="N662" i="5"/>
  <c r="O662" i="5"/>
  <c r="N658" i="5"/>
  <c r="O658" i="5"/>
  <c r="N654" i="5"/>
  <c r="O654" i="5"/>
  <c r="N650" i="5"/>
  <c r="O650" i="5"/>
  <c r="N646" i="5"/>
  <c r="O646" i="5"/>
  <c r="N642" i="5"/>
  <c r="O642" i="5"/>
  <c r="N638" i="5"/>
  <c r="O638" i="5"/>
  <c r="N634" i="5"/>
  <c r="O634" i="5"/>
  <c r="N630" i="5"/>
  <c r="O630" i="5"/>
  <c r="N626" i="5"/>
  <c r="O626" i="5"/>
  <c r="N622" i="5"/>
  <c r="O622" i="5"/>
  <c r="N618" i="5"/>
  <c r="O618" i="5"/>
  <c r="N614" i="5"/>
  <c r="O614" i="5"/>
  <c r="N610" i="5"/>
  <c r="O610" i="5"/>
  <c r="N606" i="5"/>
  <c r="O606" i="5"/>
  <c r="N602" i="5"/>
  <c r="O602" i="5"/>
  <c r="N598" i="5"/>
  <c r="O598" i="5"/>
  <c r="N594" i="5"/>
  <c r="O594" i="5"/>
  <c r="N590" i="5"/>
  <c r="O590" i="5"/>
  <c r="N586" i="5"/>
  <c r="O586" i="5"/>
  <c r="N582" i="5"/>
  <c r="O582" i="5"/>
  <c r="N578" i="5"/>
  <c r="O578" i="5"/>
  <c r="N574" i="5"/>
  <c r="O574" i="5"/>
  <c r="N570" i="5"/>
  <c r="O570" i="5"/>
  <c r="N566" i="5"/>
  <c r="O566" i="5"/>
  <c r="N562" i="5"/>
  <c r="O562" i="5"/>
  <c r="N558" i="5"/>
  <c r="O558" i="5"/>
  <c r="N554" i="5"/>
  <c r="O554" i="5"/>
  <c r="N550" i="5"/>
  <c r="O550" i="5"/>
  <c r="N546" i="5"/>
  <c r="O546" i="5"/>
  <c r="N542" i="5"/>
  <c r="O542" i="5"/>
  <c r="N538" i="5"/>
  <c r="O538" i="5"/>
  <c r="N534" i="5"/>
  <c r="O534" i="5"/>
  <c r="N530" i="5"/>
  <c r="O530" i="5"/>
  <c r="N526" i="5"/>
  <c r="O526" i="5"/>
  <c r="N522" i="5"/>
  <c r="O522" i="5"/>
  <c r="N518" i="5"/>
  <c r="O518" i="5"/>
  <c r="N514" i="5"/>
  <c r="O514" i="5"/>
  <c r="N510" i="5"/>
  <c r="O510" i="5"/>
  <c r="N506" i="5"/>
  <c r="O506" i="5"/>
  <c r="N502" i="5"/>
  <c r="O502" i="5"/>
  <c r="N498" i="5"/>
  <c r="O498" i="5"/>
  <c r="N494" i="5"/>
  <c r="O494" i="5"/>
  <c r="N490" i="5"/>
  <c r="O490" i="5"/>
  <c r="N486" i="5"/>
  <c r="O486" i="5"/>
  <c r="N482" i="5"/>
  <c r="O482" i="5"/>
  <c r="N478" i="5"/>
  <c r="O478" i="5"/>
  <c r="N474" i="5"/>
  <c r="O474" i="5"/>
  <c r="N470" i="5"/>
  <c r="O470" i="5"/>
  <c r="N466" i="5"/>
  <c r="O466" i="5"/>
  <c r="N462" i="5"/>
  <c r="O462" i="5"/>
  <c r="N458" i="5"/>
  <c r="O458" i="5"/>
  <c r="N454" i="5"/>
  <c r="O454" i="5"/>
  <c r="N450" i="5"/>
  <c r="O450" i="5"/>
  <c r="N446" i="5"/>
  <c r="O446" i="5"/>
  <c r="N442" i="5"/>
  <c r="O442" i="5"/>
  <c r="N438" i="5"/>
  <c r="O438" i="5"/>
  <c r="N434" i="5"/>
  <c r="O434" i="5"/>
  <c r="N430" i="5"/>
  <c r="O430" i="5"/>
  <c r="N426" i="5"/>
  <c r="O426" i="5"/>
  <c r="N422" i="5"/>
  <c r="O422" i="5"/>
  <c r="N418" i="5"/>
  <c r="O418" i="5"/>
  <c r="N414" i="5"/>
  <c r="O414" i="5"/>
  <c r="N410" i="5"/>
  <c r="O410" i="5"/>
  <c r="N406" i="5"/>
  <c r="O406" i="5"/>
  <c r="N402" i="5"/>
  <c r="O402" i="5"/>
  <c r="N398" i="5"/>
  <c r="O398" i="5"/>
  <c r="N394" i="5"/>
  <c r="O394" i="5"/>
  <c r="N390" i="5"/>
  <c r="O390" i="5"/>
  <c r="N386" i="5"/>
  <c r="O386" i="5"/>
  <c r="N382" i="5"/>
  <c r="O382" i="5"/>
  <c r="N378" i="5"/>
  <c r="O378" i="5"/>
  <c r="N374" i="5"/>
  <c r="O374" i="5"/>
  <c r="N370" i="5"/>
  <c r="O370" i="5"/>
  <c r="N366" i="5"/>
  <c r="O366" i="5"/>
  <c r="N362" i="5"/>
  <c r="O362" i="5"/>
  <c r="N358" i="5"/>
  <c r="O358" i="5"/>
  <c r="N354" i="5"/>
  <c r="O354" i="5"/>
  <c r="N350" i="5"/>
  <c r="O350" i="5"/>
  <c r="N346" i="5"/>
  <c r="O346" i="5"/>
  <c r="N342" i="5"/>
  <c r="O342" i="5"/>
  <c r="N338" i="5"/>
  <c r="O338" i="5"/>
  <c r="N334" i="5"/>
  <c r="O334" i="5"/>
  <c r="N330" i="5"/>
  <c r="O330" i="5"/>
  <c r="N326" i="5"/>
  <c r="O326" i="5"/>
  <c r="N322" i="5"/>
  <c r="O322" i="5"/>
  <c r="N318" i="5"/>
  <c r="O318" i="5"/>
  <c r="N314" i="5"/>
  <c r="O314" i="5"/>
  <c r="N310" i="5"/>
  <c r="O310" i="5"/>
  <c r="N306" i="5"/>
  <c r="O306" i="5"/>
  <c r="N302" i="5"/>
  <c r="O302" i="5"/>
  <c r="N298" i="5"/>
  <c r="O298" i="5"/>
  <c r="N294" i="5"/>
  <c r="O294" i="5"/>
  <c r="N290" i="5"/>
  <c r="O290" i="5"/>
  <c r="N286" i="5"/>
  <c r="O286" i="5"/>
  <c r="N282" i="5"/>
  <c r="O282" i="5"/>
  <c r="N278" i="5"/>
  <c r="O278" i="5"/>
  <c r="N274" i="5"/>
  <c r="O274" i="5"/>
  <c r="N270" i="5"/>
  <c r="O270" i="5"/>
  <c r="N266" i="5"/>
  <c r="O266" i="5"/>
  <c r="N262" i="5"/>
  <c r="O262" i="5"/>
  <c r="N258" i="5"/>
  <c r="O258" i="5"/>
  <c r="N254" i="5"/>
  <c r="O254" i="5"/>
  <c r="N250" i="5"/>
  <c r="O250" i="5"/>
  <c r="N246" i="5"/>
  <c r="O246" i="5"/>
  <c r="N242" i="5"/>
  <c r="O242" i="5"/>
  <c r="N238" i="5"/>
  <c r="O238" i="5"/>
  <c r="N234" i="5"/>
  <c r="O234" i="5"/>
  <c r="N230" i="5"/>
  <c r="O230" i="5"/>
  <c r="N226" i="5"/>
  <c r="O226" i="5"/>
  <c r="N222" i="5"/>
  <c r="O222" i="5"/>
  <c r="N218" i="5"/>
  <c r="O218" i="5"/>
  <c r="N214" i="5"/>
  <c r="O214" i="5"/>
  <c r="N210" i="5"/>
  <c r="O210" i="5"/>
  <c r="N206" i="5"/>
  <c r="O206" i="5"/>
  <c r="N202" i="5"/>
  <c r="O202" i="5"/>
  <c r="N198" i="5"/>
  <c r="O198" i="5"/>
  <c r="N194" i="5"/>
  <c r="O194" i="5"/>
  <c r="N190" i="5"/>
  <c r="O190" i="5"/>
  <c r="N186" i="5"/>
  <c r="O186" i="5"/>
  <c r="N182" i="5"/>
  <c r="O182" i="5"/>
  <c r="N178" i="5"/>
  <c r="O178" i="5"/>
  <c r="N174" i="5"/>
  <c r="O174" i="5"/>
  <c r="N170" i="5"/>
  <c r="O170" i="5"/>
  <c r="N166" i="5"/>
  <c r="O166" i="5"/>
  <c r="N162" i="5"/>
  <c r="O162" i="5"/>
  <c r="N158" i="5"/>
  <c r="O158" i="5"/>
  <c r="N154" i="5"/>
  <c r="O154" i="5"/>
  <c r="N150" i="5"/>
  <c r="O150" i="5"/>
  <c r="N146" i="5"/>
  <c r="O146" i="5"/>
  <c r="N142" i="5"/>
  <c r="O142" i="5"/>
  <c r="N138" i="5"/>
  <c r="O138" i="5"/>
  <c r="N134" i="5"/>
  <c r="O134" i="5"/>
  <c r="N130" i="5"/>
  <c r="O130" i="5"/>
  <c r="N126" i="5"/>
  <c r="O126" i="5"/>
  <c r="N122" i="5"/>
  <c r="O122" i="5"/>
  <c r="N118" i="5"/>
  <c r="O118" i="5"/>
  <c r="N114" i="5"/>
  <c r="O114" i="5"/>
  <c r="N110" i="5"/>
  <c r="O110" i="5"/>
  <c r="N106" i="5"/>
  <c r="O106" i="5"/>
  <c r="N102" i="5"/>
  <c r="O102" i="5"/>
  <c r="N98" i="5"/>
  <c r="O98" i="5"/>
  <c r="N94" i="5"/>
  <c r="O94" i="5"/>
  <c r="N90" i="5"/>
  <c r="O90" i="5"/>
  <c r="N86" i="5"/>
  <c r="O86" i="5"/>
  <c r="N82" i="5"/>
  <c r="O82" i="5"/>
  <c r="N78" i="5"/>
  <c r="O78" i="5"/>
  <c r="N74" i="5"/>
  <c r="O74" i="5"/>
  <c r="N70" i="5"/>
  <c r="O70" i="5"/>
  <c r="N66" i="5"/>
  <c r="O66" i="5"/>
  <c r="N62" i="5"/>
  <c r="O62" i="5"/>
  <c r="N58" i="5"/>
  <c r="O58" i="5"/>
  <c r="N54" i="5"/>
  <c r="O54" i="5"/>
  <c r="N50" i="5"/>
  <c r="O50" i="5"/>
  <c r="N46" i="5"/>
  <c r="O46" i="5"/>
  <c r="N42" i="5"/>
  <c r="O42" i="5"/>
  <c r="N38" i="5"/>
  <c r="O38" i="5"/>
  <c r="N34" i="5"/>
  <c r="O34" i="5"/>
  <c r="N30" i="5"/>
  <c r="O30" i="5"/>
  <c r="N26" i="5"/>
  <c r="O26" i="5"/>
  <c r="N22" i="5"/>
  <c r="O22" i="5"/>
  <c r="N18" i="5"/>
  <c r="O18" i="5"/>
  <c r="N14" i="5"/>
  <c r="O14" i="5"/>
  <c r="N10" i="5"/>
  <c r="O10" i="5"/>
  <c r="N6" i="5"/>
  <c r="O6" i="5"/>
  <c r="N2" i="5"/>
  <c r="O2" i="5"/>
  <c r="O1062" i="5"/>
  <c r="O1046" i="5"/>
  <c r="O1030" i="5"/>
  <c r="O1014" i="5"/>
  <c r="O998" i="5"/>
  <c r="O982" i="5"/>
  <c r="O966" i="5"/>
  <c r="O950" i="5"/>
  <c r="L1068" i="5"/>
  <c r="N1068" i="5"/>
  <c r="L1056" i="5"/>
  <c r="N1056" i="5"/>
  <c r="L1052" i="5"/>
  <c r="N1052" i="5"/>
  <c r="L1044" i="5"/>
  <c r="N1044" i="5"/>
  <c r="L1036" i="5"/>
  <c r="N1036" i="5"/>
  <c r="L1028" i="5"/>
  <c r="N1028" i="5"/>
  <c r="L1016" i="5"/>
  <c r="N1016" i="5"/>
  <c r="L1012" i="5"/>
  <c r="N1012" i="5"/>
  <c r="L1004" i="5"/>
  <c r="N1004" i="5"/>
  <c r="L1072" i="5"/>
  <c r="N1072" i="5"/>
  <c r="L1064" i="5"/>
  <c r="N1064" i="5"/>
  <c r="L1060" i="5"/>
  <c r="N1060" i="5"/>
  <c r="L1048" i="5"/>
  <c r="N1048" i="5"/>
  <c r="L1040" i="5"/>
  <c r="N1040" i="5"/>
  <c r="L1032" i="5"/>
  <c r="N1032" i="5"/>
  <c r="L1024" i="5"/>
  <c r="N1024" i="5"/>
  <c r="L1020" i="5"/>
  <c r="N1020" i="5"/>
  <c r="L1008" i="5"/>
  <c r="N1008" i="5"/>
  <c r="L1000" i="5"/>
  <c r="N1000" i="5"/>
  <c r="L996" i="5"/>
  <c r="N996" i="5"/>
  <c r="L992" i="5"/>
  <c r="N992" i="5"/>
  <c r="L988" i="5"/>
  <c r="N988" i="5"/>
  <c r="L984" i="5"/>
  <c r="N984" i="5"/>
  <c r="L980" i="5"/>
  <c r="N980" i="5"/>
  <c r="L976" i="5"/>
  <c r="N976" i="5"/>
  <c r="L972" i="5"/>
  <c r="N972" i="5"/>
  <c r="L968" i="5"/>
  <c r="N968" i="5"/>
  <c r="L964" i="5"/>
  <c r="N964" i="5"/>
  <c r="L960" i="5"/>
  <c r="N960" i="5"/>
  <c r="L956" i="5"/>
  <c r="N956" i="5"/>
  <c r="L952" i="5"/>
  <c r="N952" i="5"/>
  <c r="L948" i="5"/>
  <c r="N948" i="5"/>
  <c r="L944" i="5"/>
  <c r="N944" i="5"/>
  <c r="L940" i="5"/>
  <c r="N940" i="5"/>
  <c r="L1071" i="5"/>
  <c r="M1071" i="5"/>
  <c r="L1051" i="5"/>
  <c r="M1051" i="5"/>
  <c r="L1031" i="5"/>
  <c r="M1031" i="5"/>
  <c r="L1019" i="5"/>
  <c r="M1019" i="5"/>
  <c r="L1007" i="5"/>
  <c r="M1007" i="5"/>
  <c r="L995" i="5"/>
  <c r="M995" i="5"/>
  <c r="L975" i="5"/>
  <c r="M975" i="5"/>
  <c r="L967" i="5"/>
  <c r="M967" i="5"/>
  <c r="L951" i="5"/>
  <c r="M951" i="5"/>
  <c r="L947" i="5"/>
  <c r="M947" i="5"/>
  <c r="L931" i="5"/>
  <c r="M931" i="5"/>
  <c r="L911" i="5"/>
  <c r="M911" i="5"/>
  <c r="L907" i="5"/>
  <c r="M907" i="5"/>
  <c r="L895" i="5"/>
  <c r="M895" i="5"/>
  <c r="L875" i="5"/>
  <c r="M875" i="5"/>
  <c r="L859" i="5"/>
  <c r="M859" i="5"/>
  <c r="L851" i="5"/>
  <c r="M851" i="5"/>
  <c r="L835" i="5"/>
  <c r="M835" i="5"/>
  <c r="L823" i="5"/>
  <c r="M823" i="5"/>
  <c r="L803" i="5"/>
  <c r="M803" i="5"/>
  <c r="L795" i="5"/>
  <c r="M795" i="5"/>
  <c r="L791" i="5"/>
  <c r="M791" i="5"/>
  <c r="L787" i="5"/>
  <c r="M787" i="5"/>
  <c r="L783" i="5"/>
  <c r="M783" i="5"/>
  <c r="L779" i="5"/>
  <c r="M779" i="5"/>
  <c r="L775" i="5"/>
  <c r="M775" i="5"/>
  <c r="L771" i="5"/>
  <c r="M771" i="5"/>
  <c r="L767" i="5"/>
  <c r="M767" i="5"/>
  <c r="L763" i="5"/>
  <c r="M763" i="5"/>
  <c r="L759" i="5"/>
  <c r="M759" i="5"/>
  <c r="L755" i="5"/>
  <c r="M755" i="5"/>
  <c r="L751" i="5"/>
  <c r="M751" i="5"/>
  <c r="L747" i="5"/>
  <c r="M747" i="5"/>
  <c r="L743" i="5"/>
  <c r="M743" i="5"/>
  <c r="L739" i="5"/>
  <c r="M739" i="5"/>
  <c r="L735" i="5"/>
  <c r="M735" i="5"/>
  <c r="L731" i="5"/>
  <c r="M731" i="5"/>
  <c r="L727" i="5"/>
  <c r="M727" i="5"/>
  <c r="L723" i="5"/>
  <c r="M723" i="5"/>
  <c r="L719" i="5"/>
  <c r="M719" i="5"/>
  <c r="L715" i="5"/>
  <c r="M715" i="5"/>
  <c r="L711" i="5"/>
  <c r="M711" i="5"/>
  <c r="L707" i="5"/>
  <c r="M707" i="5"/>
  <c r="L703" i="5"/>
  <c r="M703" i="5"/>
  <c r="L699" i="5"/>
  <c r="M699" i="5"/>
  <c r="L695" i="5"/>
  <c r="M695" i="5"/>
  <c r="L691" i="5"/>
  <c r="M691" i="5"/>
  <c r="L687" i="5"/>
  <c r="M687" i="5"/>
  <c r="L683" i="5"/>
  <c r="M683" i="5"/>
  <c r="L679" i="5"/>
  <c r="M679" i="5"/>
  <c r="L675" i="5"/>
  <c r="M675" i="5"/>
  <c r="L671" i="5"/>
  <c r="M671" i="5"/>
  <c r="L667" i="5"/>
  <c r="M667" i="5"/>
  <c r="L663" i="5"/>
  <c r="M663" i="5"/>
  <c r="L659" i="5"/>
  <c r="M659" i="5"/>
  <c r="L655" i="5"/>
  <c r="M655" i="5"/>
  <c r="L651" i="5"/>
  <c r="M651" i="5"/>
  <c r="L647" i="5"/>
  <c r="M647" i="5"/>
  <c r="L643" i="5"/>
  <c r="M643" i="5"/>
  <c r="L639" i="5"/>
  <c r="M639" i="5"/>
  <c r="L635" i="5"/>
  <c r="M635" i="5"/>
  <c r="L631" i="5"/>
  <c r="M631" i="5"/>
  <c r="L627" i="5"/>
  <c r="M627" i="5"/>
  <c r="L623" i="5"/>
  <c r="M623" i="5"/>
  <c r="L619" i="5"/>
  <c r="M619" i="5"/>
  <c r="L615" i="5"/>
  <c r="M615" i="5"/>
  <c r="L611" i="5"/>
  <c r="M611" i="5"/>
  <c r="L607" i="5"/>
  <c r="M607" i="5"/>
  <c r="L603" i="5"/>
  <c r="M603" i="5"/>
  <c r="L599" i="5"/>
  <c r="M599" i="5"/>
  <c r="L595" i="5"/>
  <c r="M595" i="5"/>
  <c r="L591" i="5"/>
  <c r="M591" i="5"/>
  <c r="L587" i="5"/>
  <c r="M587" i="5"/>
  <c r="L583" i="5"/>
  <c r="M583" i="5"/>
  <c r="L579" i="5"/>
  <c r="M579" i="5"/>
  <c r="L575" i="5"/>
  <c r="M575" i="5"/>
  <c r="L571" i="5"/>
  <c r="M571" i="5"/>
  <c r="L567" i="5"/>
  <c r="M567" i="5"/>
  <c r="L563" i="5"/>
  <c r="M563" i="5"/>
  <c r="L559" i="5"/>
  <c r="M559" i="5"/>
  <c r="L555" i="5"/>
  <c r="M555" i="5"/>
  <c r="L551" i="5"/>
  <c r="M551" i="5"/>
  <c r="L547" i="5"/>
  <c r="M547" i="5"/>
  <c r="L543" i="5"/>
  <c r="M543" i="5"/>
  <c r="L539" i="5"/>
  <c r="M539" i="5"/>
  <c r="L535" i="5"/>
  <c r="M535" i="5"/>
  <c r="L531" i="5"/>
  <c r="M531" i="5"/>
  <c r="L527" i="5"/>
  <c r="M527" i="5"/>
  <c r="L523" i="5"/>
  <c r="M523" i="5"/>
  <c r="L519" i="5"/>
  <c r="M519" i="5"/>
  <c r="L515" i="5"/>
  <c r="M515" i="5"/>
  <c r="L511" i="5"/>
  <c r="M511" i="5"/>
  <c r="L507" i="5"/>
  <c r="M507" i="5"/>
  <c r="L503" i="5"/>
  <c r="M503" i="5"/>
  <c r="L499" i="5"/>
  <c r="M499" i="5"/>
  <c r="L495" i="5"/>
  <c r="M495" i="5"/>
  <c r="L491" i="5"/>
  <c r="M491" i="5"/>
  <c r="L487" i="5"/>
  <c r="M487" i="5"/>
  <c r="L483" i="5"/>
  <c r="M483" i="5"/>
  <c r="L479" i="5"/>
  <c r="M479" i="5"/>
  <c r="L475" i="5"/>
  <c r="M475" i="5"/>
  <c r="L471" i="5"/>
  <c r="M471" i="5"/>
  <c r="L467" i="5"/>
  <c r="M467" i="5"/>
  <c r="L463" i="5"/>
  <c r="M463" i="5"/>
  <c r="L459" i="5"/>
  <c r="M459" i="5"/>
  <c r="L455" i="5"/>
  <c r="M455" i="5"/>
  <c r="L451" i="5"/>
  <c r="M451" i="5"/>
  <c r="L447" i="5"/>
  <c r="M447" i="5"/>
  <c r="L443" i="5"/>
  <c r="M443" i="5"/>
  <c r="L439" i="5"/>
  <c r="M439" i="5"/>
  <c r="L435" i="5"/>
  <c r="M435" i="5"/>
  <c r="L431" i="5"/>
  <c r="M431" i="5"/>
  <c r="L427" i="5"/>
  <c r="M427" i="5"/>
  <c r="L423" i="5"/>
  <c r="M423" i="5"/>
  <c r="L419" i="5"/>
  <c r="M419" i="5"/>
  <c r="L415" i="5"/>
  <c r="M415" i="5"/>
  <c r="L411" i="5"/>
  <c r="M411" i="5"/>
  <c r="L407" i="5"/>
  <c r="M407" i="5"/>
  <c r="L403" i="5"/>
  <c r="M403" i="5"/>
  <c r="L399" i="5"/>
  <c r="M399" i="5"/>
  <c r="L395" i="5"/>
  <c r="M395" i="5"/>
  <c r="L391" i="5"/>
  <c r="M391" i="5"/>
  <c r="L387" i="5"/>
  <c r="M387" i="5"/>
  <c r="L383" i="5"/>
  <c r="M383" i="5"/>
  <c r="L379" i="5"/>
  <c r="M379" i="5"/>
  <c r="L375" i="5"/>
  <c r="M375" i="5"/>
  <c r="L371" i="5"/>
  <c r="M371" i="5"/>
  <c r="L367" i="5"/>
  <c r="M367" i="5"/>
  <c r="L363" i="5"/>
  <c r="M363" i="5"/>
  <c r="L359" i="5"/>
  <c r="M359" i="5"/>
  <c r="L355" i="5"/>
  <c r="M355" i="5"/>
  <c r="L351" i="5"/>
  <c r="M351" i="5"/>
  <c r="L347" i="5"/>
  <c r="M347" i="5"/>
  <c r="L343" i="5"/>
  <c r="M343" i="5"/>
  <c r="L339" i="5"/>
  <c r="M339" i="5"/>
  <c r="L335" i="5"/>
  <c r="M335" i="5"/>
  <c r="L331" i="5"/>
  <c r="M331" i="5"/>
  <c r="L327" i="5"/>
  <c r="M327" i="5"/>
  <c r="L323" i="5"/>
  <c r="M323" i="5"/>
  <c r="L319" i="5"/>
  <c r="M319" i="5"/>
  <c r="L315" i="5"/>
  <c r="M315" i="5"/>
  <c r="L311" i="5"/>
  <c r="M311" i="5"/>
  <c r="L307" i="5"/>
  <c r="M307" i="5"/>
  <c r="L303" i="5"/>
  <c r="M303" i="5"/>
  <c r="L299" i="5"/>
  <c r="M299" i="5"/>
  <c r="L295" i="5"/>
  <c r="M295" i="5"/>
  <c r="L291" i="5"/>
  <c r="M291" i="5"/>
  <c r="L287" i="5"/>
  <c r="M287" i="5"/>
  <c r="L283" i="5"/>
  <c r="M283" i="5"/>
  <c r="L279" i="5"/>
  <c r="M279" i="5"/>
  <c r="L275" i="5"/>
  <c r="M275" i="5"/>
  <c r="L271" i="5"/>
  <c r="M271" i="5"/>
  <c r="L267" i="5"/>
  <c r="M267" i="5"/>
  <c r="L263" i="5"/>
  <c r="M263" i="5"/>
  <c r="L259" i="5"/>
  <c r="M259" i="5"/>
  <c r="L255" i="5"/>
  <c r="M255" i="5"/>
  <c r="L251" i="5"/>
  <c r="M251" i="5"/>
  <c r="L247" i="5"/>
  <c r="M247" i="5"/>
  <c r="L243" i="5"/>
  <c r="M243" i="5"/>
  <c r="L239" i="5"/>
  <c r="M239" i="5"/>
  <c r="L235" i="5"/>
  <c r="M235" i="5"/>
  <c r="L231" i="5"/>
  <c r="M231" i="5"/>
  <c r="L227" i="5"/>
  <c r="M227" i="5"/>
  <c r="L223" i="5"/>
  <c r="M223" i="5"/>
  <c r="L219" i="5"/>
  <c r="M219" i="5"/>
  <c r="L215" i="5"/>
  <c r="M215" i="5"/>
  <c r="L211" i="5"/>
  <c r="M211" i="5"/>
  <c r="L207" i="5"/>
  <c r="M207" i="5"/>
  <c r="L203" i="5"/>
  <c r="M203" i="5"/>
  <c r="L199" i="5"/>
  <c r="M199" i="5"/>
  <c r="L195" i="5"/>
  <c r="M195" i="5"/>
  <c r="L191" i="5"/>
  <c r="M191" i="5"/>
  <c r="L187" i="5"/>
  <c r="M187" i="5"/>
  <c r="L183" i="5"/>
  <c r="M183" i="5"/>
  <c r="L179" i="5"/>
  <c r="M179" i="5"/>
  <c r="L175" i="5"/>
  <c r="M175" i="5"/>
  <c r="L171" i="5"/>
  <c r="M171" i="5"/>
  <c r="L167" i="5"/>
  <c r="M167" i="5"/>
  <c r="L163" i="5"/>
  <c r="M163" i="5"/>
  <c r="L159" i="5"/>
  <c r="M159" i="5"/>
  <c r="L155" i="5"/>
  <c r="M155" i="5"/>
  <c r="L151" i="5"/>
  <c r="M151" i="5"/>
  <c r="L147" i="5"/>
  <c r="M147" i="5"/>
  <c r="L143" i="5"/>
  <c r="M143" i="5"/>
  <c r="L139" i="5"/>
  <c r="M139" i="5"/>
  <c r="L135" i="5"/>
  <c r="M135" i="5"/>
  <c r="L131" i="5"/>
  <c r="M131" i="5"/>
  <c r="L127" i="5"/>
  <c r="M127" i="5"/>
  <c r="L123" i="5"/>
  <c r="M123" i="5"/>
  <c r="L119" i="5"/>
  <c r="M119" i="5"/>
  <c r="L115" i="5"/>
  <c r="M115" i="5"/>
  <c r="L111" i="5"/>
  <c r="M111" i="5"/>
  <c r="L107" i="5"/>
  <c r="M107" i="5"/>
  <c r="L103" i="5"/>
  <c r="M103" i="5"/>
  <c r="L99" i="5"/>
  <c r="M99" i="5"/>
  <c r="L95" i="5"/>
  <c r="M95" i="5"/>
  <c r="L91" i="5"/>
  <c r="M91" i="5"/>
  <c r="L87" i="5"/>
  <c r="M87" i="5"/>
  <c r="L83" i="5"/>
  <c r="M83" i="5"/>
  <c r="L79" i="5"/>
  <c r="M79" i="5"/>
  <c r="L75" i="5"/>
  <c r="M75" i="5"/>
  <c r="L71" i="5"/>
  <c r="M71" i="5"/>
  <c r="L67" i="5"/>
  <c r="M67" i="5"/>
  <c r="L63" i="5"/>
  <c r="M63" i="5"/>
  <c r="L59" i="5"/>
  <c r="M59" i="5"/>
  <c r="L55" i="5"/>
  <c r="M55" i="5"/>
  <c r="L51" i="5"/>
  <c r="M51" i="5"/>
  <c r="L47" i="5"/>
  <c r="M47" i="5"/>
  <c r="L43" i="5"/>
  <c r="M43" i="5"/>
  <c r="L39" i="5"/>
  <c r="M39" i="5"/>
  <c r="L35" i="5"/>
  <c r="M35" i="5"/>
  <c r="L31" i="5"/>
  <c r="M31" i="5"/>
  <c r="L27" i="5"/>
  <c r="M27" i="5"/>
  <c r="L23" i="5"/>
  <c r="M23" i="5"/>
  <c r="L19" i="5"/>
  <c r="M19" i="5"/>
  <c r="L15" i="5"/>
  <c r="M15" i="5"/>
  <c r="L11" i="5"/>
  <c r="M11" i="5"/>
  <c r="L7" i="5"/>
  <c r="M7" i="5"/>
  <c r="L3" i="5"/>
  <c r="M3" i="5"/>
  <c r="M1064" i="5"/>
  <c r="M1048" i="5"/>
  <c r="M1032" i="5"/>
  <c r="M1016" i="5"/>
  <c r="M1000" i="5"/>
  <c r="M984" i="5"/>
  <c r="M968" i="5"/>
  <c r="M952" i="5"/>
  <c r="L1063" i="5"/>
  <c r="M1063" i="5"/>
  <c r="L1047" i="5"/>
  <c r="M1047" i="5"/>
  <c r="L1039" i="5"/>
  <c r="M1039" i="5"/>
  <c r="L1015" i="5"/>
  <c r="M1015" i="5"/>
  <c r="L1003" i="5"/>
  <c r="M1003" i="5"/>
  <c r="L983" i="5"/>
  <c r="M983" i="5"/>
  <c r="L979" i="5"/>
  <c r="M979" i="5"/>
  <c r="L959" i="5"/>
  <c r="M959" i="5"/>
  <c r="L943" i="5"/>
  <c r="M943" i="5"/>
  <c r="L935" i="5"/>
  <c r="M935" i="5"/>
  <c r="L923" i="5"/>
  <c r="M923" i="5"/>
  <c r="L915" i="5"/>
  <c r="M915" i="5"/>
  <c r="L903" i="5"/>
  <c r="M903" i="5"/>
  <c r="L891" i="5"/>
  <c r="M891" i="5"/>
  <c r="L879" i="5"/>
  <c r="M879" i="5"/>
  <c r="L863" i="5"/>
  <c r="M863" i="5"/>
  <c r="L847" i="5"/>
  <c r="M847" i="5"/>
  <c r="L843" i="5"/>
  <c r="M843" i="5"/>
  <c r="L831" i="5"/>
  <c r="M831" i="5"/>
  <c r="L815" i="5"/>
  <c r="M815" i="5"/>
  <c r="L811" i="5"/>
  <c r="M811" i="5"/>
  <c r="L799" i="5"/>
  <c r="M799" i="5"/>
  <c r="L1066" i="5"/>
  <c r="M1066" i="5"/>
  <c r="L1058" i="5"/>
  <c r="M1058" i="5"/>
  <c r="L1050" i="5"/>
  <c r="M1050" i="5"/>
  <c r="L1038" i="5"/>
  <c r="M1038" i="5"/>
  <c r="L1030" i="5"/>
  <c r="M1030" i="5"/>
  <c r="L1022" i="5"/>
  <c r="M1022" i="5"/>
  <c r="L1014" i="5"/>
  <c r="M1014" i="5"/>
  <c r="L1006" i="5"/>
  <c r="M1006" i="5"/>
  <c r="L998" i="5"/>
  <c r="M998" i="5"/>
  <c r="L990" i="5"/>
  <c r="M990" i="5"/>
  <c r="L982" i="5"/>
  <c r="M982" i="5"/>
  <c r="L978" i="5"/>
  <c r="M978" i="5"/>
  <c r="L970" i="5"/>
  <c r="M970" i="5"/>
  <c r="L966" i="5"/>
  <c r="M966" i="5"/>
  <c r="L954" i="5"/>
  <c r="M954" i="5"/>
  <c r="L942" i="5"/>
  <c r="M942" i="5"/>
  <c r="L938" i="5"/>
  <c r="M938" i="5"/>
  <c r="L930" i="5"/>
  <c r="M930" i="5"/>
  <c r="L922" i="5"/>
  <c r="M922" i="5"/>
  <c r="L918" i="5"/>
  <c r="M918" i="5"/>
  <c r="L906" i="5"/>
  <c r="M906" i="5"/>
  <c r="L898" i="5"/>
  <c r="M898" i="5"/>
  <c r="L894" i="5"/>
  <c r="M894" i="5"/>
  <c r="L886" i="5"/>
  <c r="M886" i="5"/>
  <c r="L878" i="5"/>
  <c r="M878" i="5"/>
  <c r="L870" i="5"/>
  <c r="M870" i="5"/>
  <c r="L862" i="5"/>
  <c r="M862" i="5"/>
  <c r="L854" i="5"/>
  <c r="M854" i="5"/>
  <c r="L850" i="5"/>
  <c r="M850" i="5"/>
  <c r="L842" i="5"/>
  <c r="M842" i="5"/>
  <c r="L834" i="5"/>
  <c r="M834" i="5"/>
  <c r="L826" i="5"/>
  <c r="M826" i="5"/>
  <c r="L818" i="5"/>
  <c r="M818" i="5"/>
  <c r="L810" i="5"/>
  <c r="M810" i="5"/>
  <c r="L806" i="5"/>
  <c r="M806" i="5"/>
  <c r="L798" i="5"/>
  <c r="M798" i="5"/>
  <c r="L794" i="5"/>
  <c r="M794" i="5"/>
  <c r="L790" i="5"/>
  <c r="M790" i="5"/>
  <c r="L786" i="5"/>
  <c r="M786" i="5"/>
  <c r="L782" i="5"/>
  <c r="M782" i="5"/>
  <c r="L778" i="5"/>
  <c r="M778" i="5"/>
  <c r="L774" i="5"/>
  <c r="M774" i="5"/>
  <c r="L770" i="5"/>
  <c r="M770" i="5"/>
  <c r="L766" i="5"/>
  <c r="M766" i="5"/>
  <c r="L762" i="5"/>
  <c r="M762" i="5"/>
  <c r="L758" i="5"/>
  <c r="M758" i="5"/>
  <c r="L754" i="5"/>
  <c r="M754" i="5"/>
  <c r="L750" i="5"/>
  <c r="M750" i="5"/>
  <c r="L746" i="5"/>
  <c r="M746" i="5"/>
  <c r="L742" i="5"/>
  <c r="M742" i="5"/>
  <c r="L738" i="5"/>
  <c r="M738" i="5"/>
  <c r="L734" i="5"/>
  <c r="M734" i="5"/>
  <c r="L730" i="5"/>
  <c r="M730" i="5"/>
  <c r="L726" i="5"/>
  <c r="M726" i="5"/>
  <c r="L722" i="5"/>
  <c r="M722" i="5"/>
  <c r="L718" i="5"/>
  <c r="M718" i="5"/>
  <c r="L714" i="5"/>
  <c r="M714" i="5"/>
  <c r="L710" i="5"/>
  <c r="M710" i="5"/>
  <c r="L706" i="5"/>
  <c r="M706" i="5"/>
  <c r="L702" i="5"/>
  <c r="M702" i="5"/>
  <c r="L698" i="5"/>
  <c r="M698" i="5"/>
  <c r="L694" i="5"/>
  <c r="M694" i="5"/>
  <c r="L690" i="5"/>
  <c r="M690" i="5"/>
  <c r="L686" i="5"/>
  <c r="M686" i="5"/>
  <c r="L682" i="5"/>
  <c r="M682" i="5"/>
  <c r="L678" i="5"/>
  <c r="M678" i="5"/>
  <c r="L674" i="5"/>
  <c r="M674" i="5"/>
  <c r="L670" i="5"/>
  <c r="M670" i="5"/>
  <c r="L666" i="5"/>
  <c r="M666" i="5"/>
  <c r="L662" i="5"/>
  <c r="M662" i="5"/>
  <c r="L658" i="5"/>
  <c r="M658" i="5"/>
  <c r="L654" i="5"/>
  <c r="M654" i="5"/>
  <c r="L650" i="5"/>
  <c r="M650" i="5"/>
  <c r="L646" i="5"/>
  <c r="M646" i="5"/>
  <c r="L642" i="5"/>
  <c r="M642" i="5"/>
  <c r="L638" i="5"/>
  <c r="M638" i="5"/>
  <c r="L634" i="5"/>
  <c r="M634" i="5"/>
  <c r="L630" i="5"/>
  <c r="M630" i="5"/>
  <c r="L626" i="5"/>
  <c r="M626" i="5"/>
  <c r="L622" i="5"/>
  <c r="M622" i="5"/>
  <c r="L618" i="5"/>
  <c r="M618" i="5"/>
  <c r="L614" i="5"/>
  <c r="M614" i="5"/>
  <c r="L610" i="5"/>
  <c r="M610" i="5"/>
  <c r="L606" i="5"/>
  <c r="M606" i="5"/>
  <c r="L602" i="5"/>
  <c r="M602" i="5"/>
  <c r="L598" i="5"/>
  <c r="M598" i="5"/>
  <c r="L594" i="5"/>
  <c r="M594" i="5"/>
  <c r="L590" i="5"/>
  <c r="M590" i="5"/>
  <c r="L586" i="5"/>
  <c r="M586" i="5"/>
  <c r="L582" i="5"/>
  <c r="M582" i="5"/>
  <c r="L578" i="5"/>
  <c r="M578" i="5"/>
  <c r="L574" i="5"/>
  <c r="M574" i="5"/>
  <c r="L570" i="5"/>
  <c r="M570" i="5"/>
  <c r="L566" i="5"/>
  <c r="M566" i="5"/>
  <c r="L562" i="5"/>
  <c r="M562" i="5"/>
  <c r="L558" i="5"/>
  <c r="M558" i="5"/>
  <c r="L554" i="5"/>
  <c r="M554" i="5"/>
  <c r="L550" i="5"/>
  <c r="M550" i="5"/>
  <c r="L546" i="5"/>
  <c r="M546" i="5"/>
  <c r="L542" i="5"/>
  <c r="M542" i="5"/>
  <c r="L538" i="5"/>
  <c r="M538" i="5"/>
  <c r="L534" i="5"/>
  <c r="M534" i="5"/>
  <c r="L530" i="5"/>
  <c r="M530" i="5"/>
  <c r="L526" i="5"/>
  <c r="M526" i="5"/>
  <c r="L522" i="5"/>
  <c r="M522" i="5"/>
  <c r="L518" i="5"/>
  <c r="M518" i="5"/>
  <c r="L514" i="5"/>
  <c r="M514" i="5"/>
  <c r="L510" i="5"/>
  <c r="M510" i="5"/>
  <c r="L506" i="5"/>
  <c r="M506" i="5"/>
  <c r="L502" i="5"/>
  <c r="M502" i="5"/>
  <c r="L498" i="5"/>
  <c r="M498" i="5"/>
  <c r="L494" i="5"/>
  <c r="M494" i="5"/>
  <c r="L490" i="5"/>
  <c r="M490" i="5"/>
  <c r="L486" i="5"/>
  <c r="M486" i="5"/>
  <c r="L482" i="5"/>
  <c r="M482" i="5"/>
  <c r="L478" i="5"/>
  <c r="M478" i="5"/>
  <c r="L474" i="5"/>
  <c r="M474" i="5"/>
  <c r="L470" i="5"/>
  <c r="M470" i="5"/>
  <c r="L466" i="5"/>
  <c r="M466" i="5"/>
  <c r="L462" i="5"/>
  <c r="M462" i="5"/>
  <c r="L458" i="5"/>
  <c r="M458" i="5"/>
  <c r="L454" i="5"/>
  <c r="M454" i="5"/>
  <c r="L450" i="5"/>
  <c r="M450" i="5"/>
  <c r="L446" i="5"/>
  <c r="M446" i="5"/>
  <c r="L442" i="5"/>
  <c r="M442" i="5"/>
  <c r="L438" i="5"/>
  <c r="M438" i="5"/>
  <c r="L434" i="5"/>
  <c r="M434" i="5"/>
  <c r="L430" i="5"/>
  <c r="M430" i="5"/>
  <c r="L426" i="5"/>
  <c r="M426" i="5"/>
  <c r="L422" i="5"/>
  <c r="M422" i="5"/>
  <c r="L418" i="5"/>
  <c r="M418" i="5"/>
  <c r="L414" i="5"/>
  <c r="M414" i="5"/>
  <c r="L410" i="5"/>
  <c r="M410" i="5"/>
  <c r="L406" i="5"/>
  <c r="M406" i="5"/>
  <c r="L402" i="5"/>
  <c r="M402" i="5"/>
  <c r="L398" i="5"/>
  <c r="M398" i="5"/>
  <c r="L394" i="5"/>
  <c r="M394" i="5"/>
  <c r="L390" i="5"/>
  <c r="M390" i="5"/>
  <c r="L386" i="5"/>
  <c r="M386" i="5"/>
  <c r="L382" i="5"/>
  <c r="M382" i="5"/>
  <c r="L378" i="5"/>
  <c r="M378" i="5"/>
  <c r="L374" i="5"/>
  <c r="M374" i="5"/>
  <c r="L370" i="5"/>
  <c r="M370" i="5"/>
  <c r="L366" i="5"/>
  <c r="M366" i="5"/>
  <c r="L362" i="5"/>
  <c r="M362" i="5"/>
  <c r="L358" i="5"/>
  <c r="M358" i="5"/>
  <c r="L354" i="5"/>
  <c r="M354" i="5"/>
  <c r="L350" i="5"/>
  <c r="M350" i="5"/>
  <c r="L346" i="5"/>
  <c r="M346" i="5"/>
  <c r="L342" i="5"/>
  <c r="M342" i="5"/>
  <c r="L338" i="5"/>
  <c r="M338" i="5"/>
  <c r="L334" i="5"/>
  <c r="M334" i="5"/>
  <c r="L330" i="5"/>
  <c r="M330" i="5"/>
  <c r="L326" i="5"/>
  <c r="M326" i="5"/>
  <c r="L322" i="5"/>
  <c r="M322" i="5"/>
  <c r="L318" i="5"/>
  <c r="M318" i="5"/>
  <c r="L314" i="5"/>
  <c r="M314" i="5"/>
  <c r="L310" i="5"/>
  <c r="M310" i="5"/>
  <c r="L306" i="5"/>
  <c r="M306" i="5"/>
  <c r="L302" i="5"/>
  <c r="M302" i="5"/>
  <c r="L298" i="5"/>
  <c r="M298" i="5"/>
  <c r="L294" i="5"/>
  <c r="M294" i="5"/>
  <c r="L290" i="5"/>
  <c r="M290" i="5"/>
  <c r="L286" i="5"/>
  <c r="M286" i="5"/>
  <c r="L282" i="5"/>
  <c r="M282" i="5"/>
  <c r="L278" i="5"/>
  <c r="M278" i="5"/>
  <c r="L274" i="5"/>
  <c r="M274" i="5"/>
  <c r="L270" i="5"/>
  <c r="M270" i="5"/>
  <c r="L266" i="5"/>
  <c r="M266" i="5"/>
  <c r="L262" i="5"/>
  <c r="M262" i="5"/>
  <c r="L258" i="5"/>
  <c r="M258" i="5"/>
  <c r="L254" i="5"/>
  <c r="M254" i="5"/>
  <c r="L250" i="5"/>
  <c r="M250" i="5"/>
  <c r="L246" i="5"/>
  <c r="M246" i="5"/>
  <c r="L242" i="5"/>
  <c r="M242" i="5"/>
  <c r="L238" i="5"/>
  <c r="M238" i="5"/>
  <c r="L234" i="5"/>
  <c r="M234" i="5"/>
  <c r="L230" i="5"/>
  <c r="M230" i="5"/>
  <c r="L226" i="5"/>
  <c r="M226" i="5"/>
  <c r="L222" i="5"/>
  <c r="M222" i="5"/>
  <c r="L218" i="5"/>
  <c r="M218" i="5"/>
  <c r="L214" i="5"/>
  <c r="M214" i="5"/>
  <c r="L210" i="5"/>
  <c r="M210" i="5"/>
  <c r="L206" i="5"/>
  <c r="M206" i="5"/>
  <c r="L202" i="5"/>
  <c r="M202" i="5"/>
  <c r="L198" i="5"/>
  <c r="M198" i="5"/>
  <c r="L194" i="5"/>
  <c r="M194" i="5"/>
  <c r="L190" i="5"/>
  <c r="M190" i="5"/>
  <c r="L186" i="5"/>
  <c r="M186" i="5"/>
  <c r="L182" i="5"/>
  <c r="M182" i="5"/>
  <c r="L178" i="5"/>
  <c r="M178" i="5"/>
  <c r="L174" i="5"/>
  <c r="M174" i="5"/>
  <c r="L170" i="5"/>
  <c r="M170" i="5"/>
  <c r="L166" i="5"/>
  <c r="M166" i="5"/>
  <c r="L162" i="5"/>
  <c r="M162" i="5"/>
  <c r="L158" i="5"/>
  <c r="M158" i="5"/>
  <c r="L154" i="5"/>
  <c r="M154" i="5"/>
  <c r="L150" i="5"/>
  <c r="M150" i="5"/>
  <c r="L146" i="5"/>
  <c r="M146" i="5"/>
  <c r="L142" i="5"/>
  <c r="M142" i="5"/>
  <c r="L138" i="5"/>
  <c r="M138" i="5"/>
  <c r="L134" i="5"/>
  <c r="M134" i="5"/>
  <c r="L130" i="5"/>
  <c r="M130" i="5"/>
  <c r="L126" i="5"/>
  <c r="M126" i="5"/>
  <c r="L122" i="5"/>
  <c r="M122" i="5"/>
  <c r="L118" i="5"/>
  <c r="M118" i="5"/>
  <c r="L114" i="5"/>
  <c r="M114" i="5"/>
  <c r="L110" i="5"/>
  <c r="M110" i="5"/>
  <c r="L106" i="5"/>
  <c r="M106" i="5"/>
  <c r="L102" i="5"/>
  <c r="M102" i="5"/>
  <c r="L98" i="5"/>
  <c r="M98" i="5"/>
  <c r="L94" i="5"/>
  <c r="M94" i="5"/>
  <c r="L90" i="5"/>
  <c r="M90" i="5"/>
  <c r="L86" i="5"/>
  <c r="M86" i="5"/>
  <c r="L82" i="5"/>
  <c r="M82" i="5"/>
  <c r="L78" i="5"/>
  <c r="M78" i="5"/>
  <c r="L74" i="5"/>
  <c r="M74" i="5"/>
  <c r="L70" i="5"/>
  <c r="M70" i="5"/>
  <c r="L66" i="5"/>
  <c r="M66" i="5"/>
  <c r="L62" i="5"/>
  <c r="M62" i="5"/>
  <c r="L58" i="5"/>
  <c r="M58" i="5"/>
  <c r="L54" i="5"/>
  <c r="M54" i="5"/>
  <c r="L50" i="5"/>
  <c r="M50" i="5"/>
  <c r="L46" i="5"/>
  <c r="M46" i="5"/>
  <c r="L42" i="5"/>
  <c r="M42" i="5"/>
  <c r="L38" i="5"/>
  <c r="M38" i="5"/>
  <c r="L34" i="5"/>
  <c r="M34" i="5"/>
  <c r="L30" i="5"/>
  <c r="M30" i="5"/>
  <c r="L26" i="5"/>
  <c r="M26" i="5"/>
  <c r="L22" i="5"/>
  <c r="M22" i="5"/>
  <c r="L18" i="5"/>
  <c r="M18" i="5"/>
  <c r="L14" i="5"/>
  <c r="M14" i="5"/>
  <c r="L10" i="5"/>
  <c r="M10" i="5"/>
  <c r="L6" i="5"/>
  <c r="M6" i="5"/>
  <c r="L2" i="5"/>
  <c r="M2" i="5"/>
  <c r="M1060" i="5"/>
  <c r="M1044" i="5"/>
  <c r="M1028" i="5"/>
  <c r="M1012" i="5"/>
  <c r="M996" i="5"/>
  <c r="M980" i="5"/>
  <c r="M964" i="5"/>
  <c r="M948" i="5"/>
  <c r="L1067" i="5"/>
  <c r="M1067" i="5"/>
  <c r="L1059" i="5"/>
  <c r="M1059" i="5"/>
  <c r="L1043" i="5"/>
  <c r="M1043" i="5"/>
  <c r="L1027" i="5"/>
  <c r="M1027" i="5"/>
  <c r="L999" i="5"/>
  <c r="M999" i="5"/>
  <c r="L991" i="5"/>
  <c r="M991" i="5"/>
  <c r="L971" i="5"/>
  <c r="M971" i="5"/>
  <c r="L955" i="5"/>
  <c r="M955" i="5"/>
  <c r="L939" i="5"/>
  <c r="M939" i="5"/>
  <c r="L927" i="5"/>
  <c r="M927" i="5"/>
  <c r="L919" i="5"/>
  <c r="M919" i="5"/>
  <c r="L899" i="5"/>
  <c r="M899" i="5"/>
  <c r="L887" i="5"/>
  <c r="M887" i="5"/>
  <c r="L883" i="5"/>
  <c r="M883" i="5"/>
  <c r="L871" i="5"/>
  <c r="M871" i="5"/>
  <c r="L867" i="5"/>
  <c r="M867" i="5"/>
  <c r="L855" i="5"/>
  <c r="M855" i="5"/>
  <c r="L839" i="5"/>
  <c r="M839" i="5"/>
  <c r="L827" i="5"/>
  <c r="M827" i="5"/>
  <c r="L819" i="5"/>
  <c r="M819" i="5"/>
  <c r="L807" i="5"/>
  <c r="M807" i="5"/>
  <c r="L1074" i="5"/>
  <c r="M1074" i="5"/>
  <c r="L1070" i="5"/>
  <c r="M1070" i="5"/>
  <c r="L1062" i="5"/>
  <c r="M1062" i="5"/>
  <c r="L1054" i="5"/>
  <c r="M1054" i="5"/>
  <c r="L1046" i="5"/>
  <c r="M1046" i="5"/>
  <c r="L1042" i="5"/>
  <c r="M1042" i="5"/>
  <c r="L1034" i="5"/>
  <c r="M1034" i="5"/>
  <c r="L1026" i="5"/>
  <c r="M1026" i="5"/>
  <c r="L1018" i="5"/>
  <c r="M1018" i="5"/>
  <c r="L1010" i="5"/>
  <c r="M1010" i="5"/>
  <c r="L1002" i="5"/>
  <c r="M1002" i="5"/>
  <c r="L994" i="5"/>
  <c r="M994" i="5"/>
  <c r="L986" i="5"/>
  <c r="M986" i="5"/>
  <c r="L974" i="5"/>
  <c r="M974" i="5"/>
  <c r="L962" i="5"/>
  <c r="M962" i="5"/>
  <c r="L958" i="5"/>
  <c r="M958" i="5"/>
  <c r="L950" i="5"/>
  <c r="M950" i="5"/>
  <c r="L946" i="5"/>
  <c r="M946" i="5"/>
  <c r="L934" i="5"/>
  <c r="M934" i="5"/>
  <c r="L926" i="5"/>
  <c r="M926" i="5"/>
  <c r="L914" i="5"/>
  <c r="M914" i="5"/>
  <c r="L910" i="5"/>
  <c r="M910" i="5"/>
  <c r="L902" i="5"/>
  <c r="M902" i="5"/>
  <c r="L890" i="5"/>
  <c r="M890" i="5"/>
  <c r="L882" i="5"/>
  <c r="M882" i="5"/>
  <c r="L874" i="5"/>
  <c r="M874" i="5"/>
  <c r="L866" i="5"/>
  <c r="M866" i="5"/>
  <c r="L858" i="5"/>
  <c r="M858" i="5"/>
  <c r="L846" i="5"/>
  <c r="M846" i="5"/>
  <c r="L838" i="5"/>
  <c r="M838" i="5"/>
  <c r="L830" i="5"/>
  <c r="M830" i="5"/>
  <c r="L822" i="5"/>
  <c r="M822" i="5"/>
  <c r="L814" i="5"/>
  <c r="M814" i="5"/>
  <c r="L802" i="5"/>
  <c r="M802" i="5"/>
  <c r="L1073" i="5"/>
  <c r="M1073" i="5"/>
  <c r="L1069" i="5"/>
  <c r="M1069" i="5"/>
  <c r="L1065" i="5"/>
  <c r="M1065" i="5"/>
  <c r="L1061" i="5"/>
  <c r="M1061" i="5"/>
  <c r="L1057" i="5"/>
  <c r="M1057" i="5"/>
  <c r="L1053" i="5"/>
  <c r="M1053" i="5"/>
  <c r="L1049" i="5"/>
  <c r="M1049" i="5"/>
  <c r="L1045" i="5"/>
  <c r="M1045" i="5"/>
  <c r="L1041" i="5"/>
  <c r="M1041" i="5"/>
  <c r="L1037" i="5"/>
  <c r="M1037" i="5"/>
  <c r="L1033" i="5"/>
  <c r="M1033" i="5"/>
  <c r="L1029" i="5"/>
  <c r="M1029" i="5"/>
  <c r="L1025" i="5"/>
  <c r="M1025" i="5"/>
  <c r="L1021" i="5"/>
  <c r="M1021" i="5"/>
  <c r="L1017" i="5"/>
  <c r="M1017" i="5"/>
  <c r="L1013" i="5"/>
  <c r="M1013" i="5"/>
  <c r="L1009" i="5"/>
  <c r="M1009" i="5"/>
  <c r="L1005" i="5"/>
  <c r="M1005" i="5"/>
  <c r="L1001" i="5"/>
  <c r="M1001" i="5"/>
  <c r="L997" i="5"/>
  <c r="M997" i="5"/>
  <c r="L993" i="5"/>
  <c r="M993" i="5"/>
  <c r="L989" i="5"/>
  <c r="M989" i="5"/>
  <c r="L985" i="5"/>
  <c r="M985" i="5"/>
  <c r="L981" i="5"/>
  <c r="M981" i="5"/>
  <c r="L977" i="5"/>
  <c r="M977" i="5"/>
  <c r="L973" i="5"/>
  <c r="M973" i="5"/>
  <c r="L969" i="5"/>
  <c r="M969" i="5"/>
  <c r="L965" i="5"/>
  <c r="M965" i="5"/>
  <c r="L961" i="5"/>
  <c r="M961" i="5"/>
  <c r="L957" i="5"/>
  <c r="M957" i="5"/>
  <c r="L953" i="5"/>
  <c r="M953" i="5"/>
  <c r="L949" i="5"/>
  <c r="M949" i="5"/>
  <c r="L945" i="5"/>
  <c r="M945" i="5"/>
  <c r="L941" i="5"/>
  <c r="M941" i="5"/>
  <c r="L937" i="5"/>
  <c r="M937" i="5"/>
  <c r="L933" i="5"/>
  <c r="M933" i="5"/>
  <c r="L929" i="5"/>
  <c r="M929" i="5"/>
  <c r="L925" i="5"/>
  <c r="M925" i="5"/>
  <c r="L921" i="5"/>
  <c r="M921" i="5"/>
  <c r="L917" i="5"/>
  <c r="M917" i="5"/>
  <c r="L913" i="5"/>
  <c r="M913" i="5"/>
  <c r="L909" i="5"/>
  <c r="M909" i="5"/>
  <c r="L905" i="5"/>
  <c r="M905" i="5"/>
  <c r="L901" i="5"/>
  <c r="M901" i="5"/>
  <c r="L897" i="5"/>
  <c r="M897" i="5"/>
  <c r="L893" i="5"/>
  <c r="M893" i="5"/>
  <c r="L889" i="5"/>
  <c r="M889" i="5"/>
  <c r="L885" i="5"/>
  <c r="M885" i="5"/>
  <c r="L881" i="5"/>
  <c r="M881" i="5"/>
  <c r="L877" i="5"/>
  <c r="M877" i="5"/>
  <c r="L873" i="5"/>
  <c r="M873" i="5"/>
  <c r="L869" i="5"/>
  <c r="M869" i="5"/>
  <c r="L865" i="5"/>
  <c r="M865" i="5"/>
  <c r="L861" i="5"/>
  <c r="M861" i="5"/>
  <c r="L857" i="5"/>
  <c r="M857" i="5"/>
  <c r="L853" i="5"/>
  <c r="M853" i="5"/>
  <c r="L849" i="5"/>
  <c r="M849" i="5"/>
  <c r="L845" i="5"/>
  <c r="M845" i="5"/>
  <c r="L841" i="5"/>
  <c r="M841" i="5"/>
  <c r="L837" i="5"/>
  <c r="M837" i="5"/>
  <c r="L833" i="5"/>
  <c r="M833" i="5"/>
  <c r="L829" i="5"/>
  <c r="M829" i="5"/>
  <c r="L825" i="5"/>
  <c r="M825" i="5"/>
  <c r="L821" i="5"/>
  <c r="M821" i="5"/>
  <c r="L817" i="5"/>
  <c r="M817" i="5"/>
  <c r="L813" i="5"/>
  <c r="M813" i="5"/>
  <c r="L809" i="5"/>
  <c r="M809" i="5"/>
  <c r="L805" i="5"/>
  <c r="M805" i="5"/>
  <c r="L801" i="5"/>
  <c r="M801" i="5"/>
  <c r="L797" i="5"/>
  <c r="M797" i="5"/>
  <c r="L793" i="5"/>
  <c r="M793" i="5"/>
  <c r="L789" i="5"/>
  <c r="M789" i="5"/>
  <c r="L785" i="5"/>
  <c r="M785" i="5"/>
  <c r="L781" i="5"/>
  <c r="M781" i="5"/>
  <c r="L777" i="5"/>
  <c r="M777" i="5"/>
  <c r="L773" i="5"/>
  <c r="M773" i="5"/>
  <c r="L769" i="5"/>
  <c r="M769" i="5"/>
  <c r="L765" i="5"/>
  <c r="M765" i="5"/>
  <c r="L761" i="5"/>
  <c r="M761" i="5"/>
  <c r="L757" i="5"/>
  <c r="M757" i="5"/>
  <c r="L753" i="5"/>
  <c r="M753" i="5"/>
  <c r="L749" i="5"/>
  <c r="M749" i="5"/>
  <c r="L745" i="5"/>
  <c r="M745" i="5"/>
  <c r="L741" i="5"/>
  <c r="M741" i="5"/>
  <c r="L737" i="5"/>
  <c r="M737" i="5"/>
  <c r="L733" i="5"/>
  <c r="M733" i="5"/>
  <c r="L729" i="5"/>
  <c r="M729" i="5"/>
  <c r="L725" i="5"/>
  <c r="M725" i="5"/>
  <c r="L721" i="5"/>
  <c r="M721" i="5"/>
  <c r="L717" i="5"/>
  <c r="M717" i="5"/>
  <c r="L713" i="5"/>
  <c r="M713" i="5"/>
  <c r="L709" i="5"/>
  <c r="M709" i="5"/>
  <c r="L705" i="5"/>
  <c r="M705" i="5"/>
  <c r="L701" i="5"/>
  <c r="M701" i="5"/>
  <c r="L697" i="5"/>
  <c r="M697" i="5"/>
  <c r="L693" i="5"/>
  <c r="M693" i="5"/>
  <c r="L689" i="5"/>
  <c r="M689" i="5"/>
  <c r="L685" i="5"/>
  <c r="M685" i="5"/>
  <c r="L681" i="5"/>
  <c r="M681" i="5"/>
  <c r="L677" i="5"/>
  <c r="M677" i="5"/>
  <c r="L673" i="5"/>
  <c r="M673" i="5"/>
  <c r="L669" i="5"/>
  <c r="M669" i="5"/>
  <c r="L665" i="5"/>
  <c r="M665" i="5"/>
  <c r="L661" i="5"/>
  <c r="M661" i="5"/>
  <c r="L657" i="5"/>
  <c r="M657" i="5"/>
  <c r="L653" i="5"/>
  <c r="M653" i="5"/>
  <c r="L649" i="5"/>
  <c r="M649" i="5"/>
  <c r="L645" i="5"/>
  <c r="M645" i="5"/>
  <c r="L641" i="5"/>
  <c r="M641" i="5"/>
  <c r="L637" i="5"/>
  <c r="M637" i="5"/>
  <c r="L633" i="5"/>
  <c r="M633" i="5"/>
  <c r="L629" i="5"/>
  <c r="M629" i="5"/>
  <c r="L625" i="5"/>
  <c r="M625" i="5"/>
  <c r="L621" i="5"/>
  <c r="M621" i="5"/>
  <c r="L617" i="5"/>
  <c r="M617" i="5"/>
  <c r="L613" i="5"/>
  <c r="M613" i="5"/>
  <c r="L609" i="5"/>
  <c r="M609" i="5"/>
  <c r="L605" i="5"/>
  <c r="M605" i="5"/>
  <c r="L601" i="5"/>
  <c r="M601" i="5"/>
  <c r="L597" i="5"/>
  <c r="M597" i="5"/>
  <c r="L593" i="5"/>
  <c r="M593" i="5"/>
  <c r="L589" i="5"/>
  <c r="M589" i="5"/>
  <c r="L585" i="5"/>
  <c r="M585" i="5"/>
  <c r="L581" i="5"/>
  <c r="M581" i="5"/>
  <c r="L577" i="5"/>
  <c r="M577" i="5"/>
  <c r="L573" i="5"/>
  <c r="M573" i="5"/>
  <c r="L569" i="5"/>
  <c r="M569" i="5"/>
  <c r="L565" i="5"/>
  <c r="M565" i="5"/>
  <c r="L561" i="5"/>
  <c r="M561" i="5"/>
  <c r="L557" i="5"/>
  <c r="M557" i="5"/>
  <c r="L553" i="5"/>
  <c r="M553" i="5"/>
  <c r="L549" i="5"/>
  <c r="M549" i="5"/>
  <c r="L545" i="5"/>
  <c r="M545" i="5"/>
  <c r="L541" i="5"/>
  <c r="M541" i="5"/>
  <c r="L537" i="5"/>
  <c r="M537" i="5"/>
  <c r="L533" i="5"/>
  <c r="M533" i="5"/>
  <c r="L529" i="5"/>
  <c r="M529" i="5"/>
  <c r="L525" i="5"/>
  <c r="M525" i="5"/>
  <c r="L521" i="5"/>
  <c r="M521" i="5"/>
  <c r="L517" i="5"/>
  <c r="M517" i="5"/>
  <c r="L513" i="5"/>
  <c r="M513" i="5"/>
  <c r="L509" i="5"/>
  <c r="M509" i="5"/>
  <c r="L505" i="5"/>
  <c r="M505" i="5"/>
  <c r="L501" i="5"/>
  <c r="M501" i="5"/>
  <c r="L497" i="5"/>
  <c r="M497" i="5"/>
  <c r="L493" i="5"/>
  <c r="M493" i="5"/>
  <c r="L489" i="5"/>
  <c r="M489" i="5"/>
  <c r="L485" i="5"/>
  <c r="M485" i="5"/>
  <c r="L481" i="5"/>
  <c r="M481" i="5"/>
  <c r="L477" i="5"/>
  <c r="M477" i="5"/>
  <c r="L473" i="5"/>
  <c r="M473" i="5"/>
  <c r="L469" i="5"/>
  <c r="M469" i="5"/>
  <c r="L465" i="5"/>
  <c r="M465" i="5"/>
  <c r="L461" i="5"/>
  <c r="M461" i="5"/>
  <c r="L457" i="5"/>
  <c r="M457" i="5"/>
  <c r="L453" i="5"/>
  <c r="M453" i="5"/>
  <c r="L449" i="5"/>
  <c r="M449" i="5"/>
  <c r="L445" i="5"/>
  <c r="M445" i="5"/>
  <c r="L441" i="5"/>
  <c r="M441" i="5"/>
  <c r="L437" i="5"/>
  <c r="M437" i="5"/>
  <c r="L433" i="5"/>
  <c r="M433" i="5"/>
  <c r="L429" i="5"/>
  <c r="M429" i="5"/>
  <c r="L425" i="5"/>
  <c r="M425" i="5"/>
  <c r="L421" i="5"/>
  <c r="M421" i="5"/>
  <c r="L417" i="5"/>
  <c r="M417" i="5"/>
  <c r="L413" i="5"/>
  <c r="M413" i="5"/>
  <c r="L409" i="5"/>
  <c r="M409" i="5"/>
  <c r="L405" i="5"/>
  <c r="M405" i="5"/>
  <c r="L401" i="5"/>
  <c r="M401" i="5"/>
  <c r="L397" i="5"/>
  <c r="M397" i="5"/>
  <c r="L393" i="5"/>
  <c r="M393" i="5"/>
  <c r="L389" i="5"/>
  <c r="M389" i="5"/>
  <c r="L385" i="5"/>
  <c r="M385" i="5"/>
  <c r="L381" i="5"/>
  <c r="M381" i="5"/>
  <c r="L377" i="5"/>
  <c r="M377" i="5"/>
  <c r="L373" i="5"/>
  <c r="M373" i="5"/>
  <c r="L369" i="5"/>
  <c r="M369" i="5"/>
  <c r="L365" i="5"/>
  <c r="M365" i="5"/>
  <c r="L361" i="5"/>
  <c r="M361" i="5"/>
  <c r="L357" i="5"/>
  <c r="M357" i="5"/>
  <c r="L353" i="5"/>
  <c r="M353" i="5"/>
  <c r="L349" i="5"/>
  <c r="M349" i="5"/>
  <c r="L345" i="5"/>
  <c r="M345" i="5"/>
  <c r="L341" i="5"/>
  <c r="M341" i="5"/>
  <c r="L337" i="5"/>
  <c r="M337" i="5"/>
  <c r="L333" i="5"/>
  <c r="M333" i="5"/>
  <c r="L329" i="5"/>
  <c r="M329" i="5"/>
  <c r="L325" i="5"/>
  <c r="M325" i="5"/>
  <c r="L321" i="5"/>
  <c r="M321" i="5"/>
  <c r="L317" i="5"/>
  <c r="M317" i="5"/>
  <c r="L313" i="5"/>
  <c r="M313" i="5"/>
  <c r="L309" i="5"/>
  <c r="M309" i="5"/>
  <c r="L305" i="5"/>
  <c r="M305" i="5"/>
  <c r="L301" i="5"/>
  <c r="M301" i="5"/>
  <c r="L297" i="5"/>
  <c r="M297" i="5"/>
  <c r="L293" i="5"/>
  <c r="M293" i="5"/>
  <c r="L289" i="5"/>
  <c r="M289" i="5"/>
  <c r="L285" i="5"/>
  <c r="M285" i="5"/>
  <c r="L281" i="5"/>
  <c r="M281" i="5"/>
  <c r="L277" i="5"/>
  <c r="M277" i="5"/>
  <c r="L273" i="5"/>
  <c r="M273" i="5"/>
  <c r="L269" i="5"/>
  <c r="M269" i="5"/>
  <c r="L265" i="5"/>
  <c r="M265" i="5"/>
  <c r="L261" i="5"/>
  <c r="M261" i="5"/>
  <c r="L257" i="5"/>
  <c r="M257" i="5"/>
  <c r="L253" i="5"/>
  <c r="M253" i="5"/>
  <c r="L249" i="5"/>
  <c r="M249" i="5"/>
  <c r="L245" i="5"/>
  <c r="M245" i="5"/>
  <c r="L241" i="5"/>
  <c r="M241" i="5"/>
  <c r="L237" i="5"/>
  <c r="M237" i="5"/>
  <c r="L233" i="5"/>
  <c r="M233" i="5"/>
  <c r="L229" i="5"/>
  <c r="M229" i="5"/>
  <c r="L225" i="5"/>
  <c r="M225" i="5"/>
  <c r="L221" i="5"/>
  <c r="M221" i="5"/>
  <c r="L217" i="5"/>
  <c r="M217" i="5"/>
  <c r="L213" i="5"/>
  <c r="M213" i="5"/>
  <c r="L209" i="5"/>
  <c r="M209" i="5"/>
  <c r="L205" i="5"/>
  <c r="M205" i="5"/>
  <c r="L201" i="5"/>
  <c r="M201" i="5"/>
  <c r="L197" i="5"/>
  <c r="M197" i="5"/>
  <c r="L193" i="5"/>
  <c r="M193" i="5"/>
  <c r="L189" i="5"/>
  <c r="M189" i="5"/>
  <c r="L185" i="5"/>
  <c r="M185" i="5"/>
  <c r="L181" i="5"/>
  <c r="M181" i="5"/>
  <c r="L177" i="5"/>
  <c r="M177" i="5"/>
  <c r="L173" i="5"/>
  <c r="M173" i="5"/>
  <c r="L169" i="5"/>
  <c r="M169" i="5"/>
  <c r="L165" i="5"/>
  <c r="M165" i="5"/>
  <c r="L161" i="5"/>
  <c r="M161" i="5"/>
  <c r="L157" i="5"/>
  <c r="M157" i="5"/>
  <c r="L153" i="5"/>
  <c r="M153" i="5"/>
  <c r="L149" i="5"/>
  <c r="M149" i="5"/>
  <c r="L145" i="5"/>
  <c r="M145" i="5"/>
  <c r="L141" i="5"/>
  <c r="M141" i="5"/>
  <c r="L137" i="5"/>
  <c r="M137" i="5"/>
  <c r="L133" i="5"/>
  <c r="M133" i="5"/>
  <c r="L129" i="5"/>
  <c r="M129" i="5"/>
  <c r="L125" i="5"/>
  <c r="M125" i="5"/>
  <c r="L121" i="5"/>
  <c r="M121" i="5"/>
  <c r="L117" i="5"/>
  <c r="M117" i="5"/>
  <c r="L113" i="5"/>
  <c r="M113" i="5"/>
  <c r="L109" i="5"/>
  <c r="M109" i="5"/>
  <c r="L105" i="5"/>
  <c r="M105" i="5"/>
  <c r="L101" i="5"/>
  <c r="M101" i="5"/>
  <c r="L97" i="5"/>
  <c r="M97" i="5"/>
  <c r="L93" i="5"/>
  <c r="M93" i="5"/>
  <c r="L89" i="5"/>
  <c r="M89" i="5"/>
  <c r="L85" i="5"/>
  <c r="M85" i="5"/>
  <c r="L81" i="5"/>
  <c r="M81" i="5"/>
  <c r="L77" i="5"/>
  <c r="M77" i="5"/>
  <c r="L73" i="5"/>
  <c r="M73" i="5"/>
  <c r="L69" i="5"/>
  <c r="M69" i="5"/>
  <c r="L65" i="5"/>
  <c r="M65" i="5"/>
  <c r="L61" i="5"/>
  <c r="M61" i="5"/>
  <c r="L57" i="5"/>
  <c r="M57" i="5"/>
  <c r="L53" i="5"/>
  <c r="M53" i="5"/>
  <c r="L49" i="5"/>
  <c r="M49" i="5"/>
  <c r="L45" i="5"/>
  <c r="M45" i="5"/>
  <c r="L41" i="5"/>
  <c r="M41" i="5"/>
  <c r="L37" i="5"/>
  <c r="M37" i="5"/>
  <c r="L33" i="5"/>
  <c r="M33" i="5"/>
  <c r="L29" i="5"/>
  <c r="M29" i="5"/>
  <c r="L25" i="5"/>
  <c r="M25" i="5"/>
  <c r="L21" i="5"/>
  <c r="M21" i="5"/>
  <c r="L17" i="5"/>
  <c r="M17" i="5"/>
  <c r="L13" i="5"/>
  <c r="M13" i="5"/>
  <c r="L9" i="5"/>
  <c r="M9" i="5"/>
  <c r="L5" i="5"/>
  <c r="M5" i="5"/>
  <c r="M1072" i="5"/>
  <c r="M1056" i="5"/>
  <c r="M1040" i="5"/>
  <c r="M1024" i="5"/>
  <c r="M1008" i="5"/>
  <c r="M992" i="5"/>
  <c r="M976" i="5"/>
  <c r="M960" i="5"/>
  <c r="M944" i="5"/>
  <c r="L1075" i="5"/>
  <c r="M1075" i="5"/>
  <c r="L1055" i="5"/>
  <c r="M1055" i="5"/>
  <c r="L1035" i="5"/>
  <c r="M1035" i="5"/>
  <c r="L1023" i="5"/>
  <c r="M1023" i="5"/>
  <c r="L1011" i="5"/>
  <c r="M1011" i="5"/>
  <c r="L987" i="5"/>
  <c r="M987" i="5"/>
  <c r="L963" i="5"/>
  <c r="M963" i="5"/>
  <c r="L936" i="5"/>
  <c r="M936" i="5"/>
  <c r="L932" i="5"/>
  <c r="M932" i="5"/>
  <c r="L928" i="5"/>
  <c r="M928" i="5"/>
  <c r="L924" i="5"/>
  <c r="M924" i="5"/>
  <c r="L920" i="5"/>
  <c r="M920" i="5"/>
  <c r="L916" i="5"/>
  <c r="M916" i="5"/>
  <c r="L912" i="5"/>
  <c r="M912" i="5"/>
  <c r="L908" i="5"/>
  <c r="M908" i="5"/>
  <c r="L904" i="5"/>
  <c r="M904" i="5"/>
  <c r="L900" i="5"/>
  <c r="M900" i="5"/>
  <c r="L896" i="5"/>
  <c r="M896" i="5"/>
  <c r="L892" i="5"/>
  <c r="M892" i="5"/>
  <c r="L888" i="5"/>
  <c r="M888" i="5"/>
  <c r="L884" i="5"/>
  <c r="M884" i="5"/>
  <c r="L880" i="5"/>
  <c r="M880" i="5"/>
  <c r="L876" i="5"/>
  <c r="M876" i="5"/>
  <c r="L872" i="5"/>
  <c r="M872" i="5"/>
  <c r="L868" i="5"/>
  <c r="M868" i="5"/>
  <c r="L864" i="5"/>
  <c r="M864" i="5"/>
  <c r="L860" i="5"/>
  <c r="M860" i="5"/>
  <c r="L856" i="5"/>
  <c r="M856" i="5"/>
  <c r="L852" i="5"/>
  <c r="M852" i="5"/>
  <c r="L848" i="5"/>
  <c r="M848" i="5"/>
  <c r="L844" i="5"/>
  <c r="M844" i="5"/>
  <c r="L840" i="5"/>
  <c r="M840" i="5"/>
  <c r="L836" i="5"/>
  <c r="M836" i="5"/>
  <c r="L832" i="5"/>
  <c r="M832" i="5"/>
  <c r="L828" i="5"/>
  <c r="M828" i="5"/>
  <c r="L824" i="5"/>
  <c r="M824" i="5"/>
  <c r="L820" i="5"/>
  <c r="M820" i="5"/>
  <c r="L816" i="5"/>
  <c r="M816" i="5"/>
  <c r="L812" i="5"/>
  <c r="M812" i="5"/>
  <c r="L808" i="5"/>
  <c r="M808" i="5"/>
  <c r="L804" i="5"/>
  <c r="M804" i="5"/>
  <c r="L800" i="5"/>
  <c r="M800" i="5"/>
  <c r="L796" i="5"/>
  <c r="M796" i="5"/>
  <c r="L792" i="5"/>
  <c r="M792" i="5"/>
  <c r="L788" i="5"/>
  <c r="M788" i="5"/>
  <c r="L784" i="5"/>
  <c r="M784" i="5"/>
  <c r="L780" i="5"/>
  <c r="M780" i="5"/>
  <c r="L776" i="5"/>
  <c r="M776" i="5"/>
  <c r="L772" i="5"/>
  <c r="M772" i="5"/>
  <c r="L768" i="5"/>
  <c r="M768" i="5"/>
  <c r="L764" i="5"/>
  <c r="M764" i="5"/>
  <c r="L760" i="5"/>
  <c r="M760" i="5"/>
  <c r="L756" i="5"/>
  <c r="M756" i="5"/>
  <c r="L752" i="5"/>
  <c r="M752" i="5"/>
  <c r="L748" i="5"/>
  <c r="M748" i="5"/>
  <c r="L744" i="5"/>
  <c r="M744" i="5"/>
  <c r="L740" i="5"/>
  <c r="M740" i="5"/>
  <c r="L736" i="5"/>
  <c r="M736" i="5"/>
  <c r="L732" i="5"/>
  <c r="M732" i="5"/>
  <c r="L728" i="5"/>
  <c r="M728" i="5"/>
  <c r="L724" i="5"/>
  <c r="M724" i="5"/>
  <c r="L720" i="5"/>
  <c r="M720" i="5"/>
  <c r="L716" i="5"/>
  <c r="M716" i="5"/>
  <c r="L712" i="5"/>
  <c r="M712" i="5"/>
  <c r="L708" i="5"/>
  <c r="M708" i="5"/>
  <c r="L704" i="5"/>
  <c r="M704" i="5"/>
  <c r="L700" i="5"/>
  <c r="M700" i="5"/>
  <c r="L696" i="5"/>
  <c r="M696" i="5"/>
  <c r="L692" i="5"/>
  <c r="M692" i="5"/>
  <c r="L688" i="5"/>
  <c r="M688" i="5"/>
  <c r="L684" i="5"/>
  <c r="M684" i="5"/>
  <c r="L680" i="5"/>
  <c r="M680" i="5"/>
  <c r="L676" i="5"/>
  <c r="M676" i="5"/>
  <c r="L672" i="5"/>
  <c r="M672" i="5"/>
  <c r="L668" i="5"/>
  <c r="M668" i="5"/>
  <c r="L664" i="5"/>
  <c r="M664" i="5"/>
  <c r="L660" i="5"/>
  <c r="M660" i="5"/>
  <c r="L656" i="5"/>
  <c r="M656" i="5"/>
  <c r="L652" i="5"/>
  <c r="M652" i="5"/>
  <c r="L648" i="5"/>
  <c r="M648" i="5"/>
  <c r="L644" i="5"/>
  <c r="M644" i="5"/>
  <c r="L640" i="5"/>
  <c r="M640" i="5"/>
  <c r="L636" i="5"/>
  <c r="M636" i="5"/>
  <c r="L632" i="5"/>
  <c r="M632" i="5"/>
  <c r="L628" i="5"/>
  <c r="M628" i="5"/>
  <c r="L624" i="5"/>
  <c r="M624" i="5"/>
  <c r="L620" i="5"/>
  <c r="M620" i="5"/>
  <c r="L616" i="5"/>
  <c r="M616" i="5"/>
  <c r="L612" i="5"/>
  <c r="M612" i="5"/>
  <c r="L608" i="5"/>
  <c r="M608" i="5"/>
  <c r="L604" i="5"/>
  <c r="M604" i="5"/>
  <c r="L600" i="5"/>
  <c r="M600" i="5"/>
  <c r="L596" i="5"/>
  <c r="M596" i="5"/>
  <c r="L592" i="5"/>
  <c r="M592" i="5"/>
  <c r="L588" i="5"/>
  <c r="M588" i="5"/>
  <c r="L584" i="5"/>
  <c r="M584" i="5"/>
  <c r="L580" i="5"/>
  <c r="M580" i="5"/>
  <c r="L576" i="5"/>
  <c r="M576" i="5"/>
  <c r="L572" i="5"/>
  <c r="M572" i="5"/>
  <c r="L568" i="5"/>
  <c r="M568" i="5"/>
  <c r="L564" i="5"/>
  <c r="M564" i="5"/>
  <c r="L560" i="5"/>
  <c r="M560" i="5"/>
  <c r="L556" i="5"/>
  <c r="M556" i="5"/>
  <c r="L552" i="5"/>
  <c r="M552" i="5"/>
  <c r="L548" i="5"/>
  <c r="M548" i="5"/>
  <c r="L544" i="5"/>
  <c r="M544" i="5"/>
  <c r="L540" i="5"/>
  <c r="M540" i="5"/>
  <c r="L536" i="5"/>
  <c r="M536" i="5"/>
  <c r="L532" i="5"/>
  <c r="M532" i="5"/>
  <c r="L528" i="5"/>
  <c r="M528" i="5"/>
  <c r="L524" i="5"/>
  <c r="M524" i="5"/>
  <c r="L520" i="5"/>
  <c r="M520" i="5"/>
  <c r="L516" i="5"/>
  <c r="M516" i="5"/>
  <c r="L512" i="5"/>
  <c r="M512" i="5"/>
  <c r="L508" i="5"/>
  <c r="M508" i="5"/>
  <c r="L504" i="5"/>
  <c r="M504" i="5"/>
  <c r="L500" i="5"/>
  <c r="M500" i="5"/>
  <c r="L496" i="5"/>
  <c r="M496" i="5"/>
  <c r="L492" i="5"/>
  <c r="M492" i="5"/>
  <c r="L488" i="5"/>
  <c r="M488" i="5"/>
  <c r="L484" i="5"/>
  <c r="M484" i="5"/>
  <c r="L480" i="5"/>
  <c r="M480" i="5"/>
  <c r="L476" i="5"/>
  <c r="M476" i="5"/>
  <c r="L472" i="5"/>
  <c r="M472" i="5"/>
  <c r="L468" i="5"/>
  <c r="M468" i="5"/>
  <c r="L464" i="5"/>
  <c r="M464" i="5"/>
  <c r="L460" i="5"/>
  <c r="M460" i="5"/>
  <c r="L456" i="5"/>
  <c r="M456" i="5"/>
  <c r="L452" i="5"/>
  <c r="M452" i="5"/>
  <c r="L448" i="5"/>
  <c r="M448" i="5"/>
  <c r="L444" i="5"/>
  <c r="M444" i="5"/>
  <c r="L440" i="5"/>
  <c r="M440" i="5"/>
  <c r="L436" i="5"/>
  <c r="M436" i="5"/>
  <c r="L432" i="5"/>
  <c r="M432" i="5"/>
  <c r="L428" i="5"/>
  <c r="M428" i="5"/>
  <c r="L424" i="5"/>
  <c r="M424" i="5"/>
  <c r="L420" i="5"/>
  <c r="M420" i="5"/>
  <c r="L416" i="5"/>
  <c r="M416" i="5"/>
  <c r="L412" i="5"/>
  <c r="M412" i="5"/>
  <c r="L408" i="5"/>
  <c r="M408" i="5"/>
  <c r="L404" i="5"/>
  <c r="M404" i="5"/>
  <c r="L400" i="5"/>
  <c r="M400" i="5"/>
  <c r="L396" i="5"/>
  <c r="M396" i="5"/>
  <c r="L392" i="5"/>
  <c r="M392" i="5"/>
  <c r="L388" i="5"/>
  <c r="M388" i="5"/>
  <c r="L384" i="5"/>
  <c r="M384" i="5"/>
  <c r="L380" i="5"/>
  <c r="M380" i="5"/>
  <c r="L376" i="5"/>
  <c r="M376" i="5"/>
  <c r="L372" i="5"/>
  <c r="M372" i="5"/>
  <c r="L368" i="5"/>
  <c r="M368" i="5"/>
  <c r="L364" i="5"/>
  <c r="M364" i="5"/>
  <c r="L360" i="5"/>
  <c r="M360" i="5"/>
  <c r="L356" i="5"/>
  <c r="M356" i="5"/>
  <c r="L352" i="5"/>
  <c r="M352" i="5"/>
  <c r="L348" i="5"/>
  <c r="M348" i="5"/>
  <c r="L344" i="5"/>
  <c r="M344" i="5"/>
  <c r="L340" i="5"/>
  <c r="M340" i="5"/>
  <c r="L336" i="5"/>
  <c r="M336" i="5"/>
  <c r="L332" i="5"/>
  <c r="M332" i="5"/>
  <c r="L328" i="5"/>
  <c r="M328" i="5"/>
  <c r="L324" i="5"/>
  <c r="M324" i="5"/>
  <c r="L320" i="5"/>
  <c r="M320" i="5"/>
  <c r="L316" i="5"/>
  <c r="M316" i="5"/>
  <c r="L312" i="5"/>
  <c r="M312" i="5"/>
  <c r="L308" i="5"/>
  <c r="M308" i="5"/>
  <c r="L304" i="5"/>
  <c r="M304" i="5"/>
  <c r="L300" i="5"/>
  <c r="M300" i="5"/>
  <c r="L296" i="5"/>
  <c r="M296" i="5"/>
  <c r="L292" i="5"/>
  <c r="M292" i="5"/>
  <c r="L288" i="5"/>
  <c r="M288" i="5"/>
  <c r="L284" i="5"/>
  <c r="M284" i="5"/>
  <c r="L280" i="5"/>
  <c r="M280" i="5"/>
  <c r="L276" i="5"/>
  <c r="M276" i="5"/>
  <c r="L272" i="5"/>
  <c r="M272" i="5"/>
  <c r="L268" i="5"/>
  <c r="M268" i="5"/>
  <c r="L264" i="5"/>
  <c r="M264" i="5"/>
  <c r="L260" i="5"/>
  <c r="M260" i="5"/>
  <c r="L256" i="5"/>
  <c r="M256" i="5"/>
  <c r="L252" i="5"/>
  <c r="M252" i="5"/>
  <c r="L248" i="5"/>
  <c r="M248" i="5"/>
  <c r="L244" i="5"/>
  <c r="M244" i="5"/>
  <c r="L240" i="5"/>
  <c r="M240" i="5"/>
  <c r="L236" i="5"/>
  <c r="M236" i="5"/>
  <c r="L232" i="5"/>
  <c r="M232" i="5"/>
  <c r="L228" i="5"/>
  <c r="M228" i="5"/>
  <c r="L224" i="5"/>
  <c r="M224" i="5"/>
  <c r="L220" i="5"/>
  <c r="M220" i="5"/>
  <c r="L216" i="5"/>
  <c r="M216" i="5"/>
  <c r="L212" i="5"/>
  <c r="M212" i="5"/>
  <c r="L208" i="5"/>
  <c r="M208" i="5"/>
  <c r="L204" i="5"/>
  <c r="M204" i="5"/>
  <c r="L200" i="5"/>
  <c r="M200" i="5"/>
  <c r="L196" i="5"/>
  <c r="M196" i="5"/>
  <c r="L192" i="5"/>
  <c r="M192" i="5"/>
  <c r="L188" i="5"/>
  <c r="M188" i="5"/>
  <c r="L184" i="5"/>
  <c r="M184" i="5"/>
  <c r="L180" i="5"/>
  <c r="M180" i="5"/>
  <c r="L176" i="5"/>
  <c r="M176" i="5"/>
  <c r="L172" i="5"/>
  <c r="M172" i="5"/>
  <c r="L168" i="5"/>
  <c r="M168" i="5"/>
  <c r="L164" i="5"/>
  <c r="M164" i="5"/>
  <c r="L160" i="5"/>
  <c r="M160" i="5"/>
  <c r="L156" i="5"/>
  <c r="M156" i="5"/>
  <c r="L152" i="5"/>
  <c r="M152" i="5"/>
  <c r="L148" i="5"/>
  <c r="M148" i="5"/>
  <c r="L144" i="5"/>
  <c r="M144" i="5"/>
  <c r="L140" i="5"/>
  <c r="M140" i="5"/>
  <c r="L136" i="5"/>
  <c r="M136" i="5"/>
  <c r="L132" i="5"/>
  <c r="M132" i="5"/>
  <c r="L128" i="5"/>
  <c r="M128" i="5"/>
  <c r="L124" i="5"/>
  <c r="M124" i="5"/>
  <c r="L120" i="5"/>
  <c r="M120" i="5"/>
  <c r="L116" i="5"/>
  <c r="M116" i="5"/>
  <c r="L112" i="5"/>
  <c r="M112" i="5"/>
  <c r="L108" i="5"/>
  <c r="M108" i="5"/>
  <c r="L104" i="5"/>
  <c r="M104" i="5"/>
  <c r="L100" i="5"/>
  <c r="M100" i="5"/>
  <c r="L96" i="5"/>
  <c r="M96" i="5"/>
  <c r="L92" i="5"/>
  <c r="M92" i="5"/>
  <c r="L88" i="5"/>
  <c r="M88" i="5"/>
  <c r="L84" i="5"/>
  <c r="M84" i="5"/>
  <c r="L80" i="5"/>
  <c r="M80" i="5"/>
  <c r="L76" i="5"/>
  <c r="M76" i="5"/>
  <c r="L72" i="5"/>
  <c r="M72" i="5"/>
  <c r="L68" i="5"/>
  <c r="M68" i="5"/>
  <c r="L64" i="5"/>
  <c r="M64" i="5"/>
  <c r="L60" i="5"/>
  <c r="M60" i="5"/>
  <c r="L56" i="5"/>
  <c r="M56" i="5"/>
  <c r="L52" i="5"/>
  <c r="M52" i="5"/>
  <c r="L48" i="5"/>
  <c r="M48" i="5"/>
  <c r="L44" i="5"/>
  <c r="M44" i="5"/>
  <c r="L40" i="5"/>
  <c r="M40" i="5"/>
  <c r="L36" i="5"/>
  <c r="M36" i="5"/>
  <c r="L32" i="5"/>
  <c r="M32" i="5"/>
  <c r="L28" i="5"/>
  <c r="M28" i="5"/>
  <c r="L24" i="5"/>
  <c r="M24" i="5"/>
  <c r="L20" i="5"/>
  <c r="M20" i="5"/>
  <c r="L16" i="5"/>
  <c r="M16" i="5"/>
  <c r="L12" i="5"/>
  <c r="M12" i="5"/>
  <c r="L8" i="5"/>
  <c r="M8" i="5"/>
  <c r="L4" i="5"/>
  <c r="M4" i="5"/>
  <c r="M1068" i="5"/>
  <c r="M1052" i="5"/>
  <c r="M1036" i="5"/>
  <c r="M1020" i="5"/>
  <c r="M1004" i="5"/>
  <c r="M988" i="5"/>
  <c r="M972" i="5"/>
  <c r="M956" i="5"/>
  <c r="M94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A31372-CAAB-4DDA-A0C2-065E4DCF1344}" keepAlive="1" name="Query - _26_03_2026_Client_Churn_v1" description="Connection to the '_26_03_2026_Client_Churn_v1' query in the workbook." type="5" refreshedVersion="0" background="1">
    <dbPr connection="Provider=Microsoft.Mashup.OleDb.1;Data Source=$Workbook$;Location=_26_03_2026_Client_Churn_v1;Extended Properties=&quot;&quot;" command="SELECT * FROM [_26_03_2026_Client_Churn_v1]"/>
  </connection>
  <connection id="2" xr16:uid="{90C8A1C9-287E-455D-AB19-42E0BA268750}" keepAlive="1" name="Query - _26_03_2026_Log_Reseau_v1" description="Connection to the '_26_03_2026_Log_Reseau_v1' query in the workbook." type="5" refreshedVersion="0" background="1">
    <dbPr connection="Provider=Microsoft.Mashup.OleDb.1;Data Source=$Workbook$;Location=_26_03_2026_Log_Reseau_v1;Extended Properties=&quot;&quot;" command="SELECT * FROM [_26_03_2026_Log_Reseau_v1]"/>
  </connection>
  <connection id="3" xr16:uid="{C0DE1161-75A7-498C-80A1-BBBD02413C18}" keepAlive="1" name="Query - _26_03_2026_Log_Reseau_v15" description="Connection to the '_26_03_2026_Log_Reseau_v15' query in the workbook." type="5" refreshedVersion="8" background="1" saveData="1">
    <dbPr connection="Provider=Microsoft.Mashup.OleDb.1;Data Source=$Workbook$;Location=_26_03_2026_Log_Reseau_v15;Extended Properties=&quot;&quot;" command="SELECT * FROM [_26_03_2026_Log_Reseau_v15]"/>
  </connection>
  <connection id="4" xr16:uid="{A76F1874-0E6D-40B0-829F-63D2D479BCE8}" keepAlive="1" name="Query - _26_03_2026_Log_Reseau_v15 (2)" description="Connection to the '_26_03_2026_Log_Reseau_v15 (2)' query in the workbook." type="5" refreshedVersion="8" background="1" saveData="1">
    <dbPr connection="Provider=Microsoft.Mashup.OleDb.1;Data Source=$Workbook$;Location=&quot;_26_03_2026_Log_Reseau_v15 (2)&quot;;Extended Properties=&quot;&quot;" command="SELECT * FROM [_26_03_2026_Log_Reseau_v15 (2)]"/>
  </connection>
  <connection id="5" xr16:uid="{D5304B49-9474-43D7-B8F7-FE48848657FE}" keepAlive="1" name="Query - _26_03_2026_Registre_Maintenance_v1" description="Connection to the '_26_03_2026_Registre_Maintenance_v1' query in the workbook." type="5" refreshedVersion="0" background="1">
    <dbPr connection="Provider=Microsoft.Mashup.OleDb.1;Data Source=$Workbook$;Location=_26_03_2026_Registre_Maintenance_v1;Extended Properties=&quot;&quot;" command="SELECT * FROM [_26_03_2026_Registre_Maintenance_v1]"/>
  </connection>
  <connection id="6" xr16:uid="{B424506B-304F-40FD-BFC6-38D25CCEEC87}" keepAlive="1" name="Query - 26_03_2026_Client_Churn_v1" description="Connection to the '26_03_2026_Client_Churn_v1' query in the workbook." type="5" refreshedVersion="8" background="1" saveData="1">
    <dbPr connection="Provider=Microsoft.Mashup.OleDb.1;Data Source=$Workbook$;Location=26_03_2026_Client_Churn_v1;Extended Properties=&quot;&quot;" command="SELECT * FROM [26_03_2026_Client_Churn_v1]"/>
  </connection>
  <connection id="7" xr16:uid="{DCF131D3-5395-45AE-BB59-41FC55A8063C}" keepAlive="1" name="Query - 26_03_2026_Log_Reseau_v1" description="Connection to the '26_03_2026_Log_Reseau_v1' query in the workbook." type="5" refreshedVersion="8" background="1" saveData="1">
    <dbPr connection="Provider=Microsoft.Mashup.OleDb.1;Data Source=$Workbook$;Location=26_03_2026_Log_Reseau_v1;Extended Properties=&quot;&quot;" command="SELECT * FROM [26_03_2026_Log_Reseau_v1]"/>
  </connection>
  <connection id="8" xr16:uid="{6B59F161-53F9-4F45-86FD-803D36D2060F}" keepAlive="1" name="Query - 26_03_2026_Log_Reseau_v1 (2)" description="Connection to the '26_03_2026_Log_Reseau_v1 (2)' query in the workbook." type="5" refreshedVersion="8" background="1" saveData="1">
    <dbPr connection="Provider=Microsoft.Mashup.OleDb.1;Data Source=$Workbook$;Location=&quot;26_03_2026_Log_Reseau_v1 (2)&quot;;Extended Properties=&quot;&quot;" command="SELECT * FROM [26_03_2026_Log_Reseau_v1 (2)]"/>
  </connection>
  <connection id="9" xr16:uid="{D0C4BC33-780D-4082-A970-7C093DF48F5C}" keepAlive="1" name="Query - 26_03_2026_Registre_Maintenance_v1" description="Connection to the '26_03_2026_Registre_Maintenance_v1' query in the workbook." type="5" refreshedVersion="8" background="1" saveData="1">
    <dbPr connection="Provider=Microsoft.Mashup.OleDb.1;Data Source=$Workbook$;Location=26_03_2026_Registre_Maintenance_v1;Extended Properties=&quot;&quot;" command="SELECT * FROM [26_03_2026_Registre_Maintenance_v1]"/>
  </connection>
  <connection id="10" xr16:uid="{AD8E0A50-FCF5-46D1-8075-0DDE3F8E425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1" xr16:uid="{6417520F-4F4B-4E7F-93F8-E32EFEF993BD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12" xr16:uid="{5F0C92BC-0456-475C-9385-E9EF0A44A1DB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13" xr16:uid="{8DD24ED8-EB1A-4A5E-AE80-55E13B9363C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4" xr16:uid="{BE4F8D0E-F2C9-44E1-9A16-5AD3EE606D4D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5" xr16:uid="{4DC72812-07F7-4412-922C-E5A6FF1C727B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6" xr16:uid="{16D338BF-82B3-4C03-ABE3-CD62FA6044D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7" xr16:uid="{0C89F4C1-407C-4BD1-8785-224F341F7792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8" xr16:uid="{98827418-C3F4-4EFC-93CA-A0E285F6938F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9" xr16:uid="{C493EE6A-5991-447F-87CA-F6576FE54EC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20" xr16:uid="{B36FE599-9A67-4BB0-A71F-DFDB1A8BFDCA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1" xr16:uid="{9A9526AA-BD25-4684-BEED-CC10C60AD8E9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</connections>
</file>

<file path=xl/sharedStrings.xml><?xml version="1.0" encoding="utf-8"?>
<sst xmlns="http://schemas.openxmlformats.org/spreadsheetml/2006/main" count="17326" uniqueCount="1681">
  <si>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</si>
  <si>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</si>
  <si>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</si>
  <si>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</si>
  <si>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</si>
  <si>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</si>
  <si>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</si>
  <si>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</si>
  <si>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Clients_Churn_Part_01.xlsx</t>
  </si>
  <si>
    <t>CLI-01147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</si>
  <si>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</si>
  <si>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</si>
  <si>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</si>
  <si>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</si>
  <si>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</si>
  <si>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</si>
  <si>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</si>
  <si>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</si>
  <si>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</si>
  <si>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</si>
  <si>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</si>
  <si>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</si>
  <si>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</si>
  <si>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</si>
  <si>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</si>
  <si>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CLI-00414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</si>
  <si>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</si>
  <si>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</si>
  <si>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</si>
  <si>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</si>
  <si>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</si>
  <si>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</si>
  <si>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</si>
  <si>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</si>
  <si>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</si>
  <si>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</si>
  <si>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</si>
  <si>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</si>
  <si>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CLI-01646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</si>
  <si>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</si>
  <si>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</si>
  <si>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</si>
  <si>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</si>
  <si>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</si>
  <si>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</si>
  <si>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</si>
  <si>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</si>
  <si>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</si>
  <si>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</si>
  <si>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</si>
  <si>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</si>
  <si>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</si>
  <si>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</si>
  <si>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</si>
  <si>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</si>
  <si>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</si>
  <si>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</si>
  <si>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</si>
  <si>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</si>
  <si>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</si>
  <si>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</si>
  <si>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</si>
  <si>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</si>
  <si>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</si>
  <si>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</si>
  <si>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CLI-01776</t>
  </si>
  <si>
    <t>CLI-00131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</si>
  <si>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</si>
  <si>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</si>
  <si>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</si>
  <si>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</si>
  <si>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</si>
  <si>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</si>
  <si>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</si>
  <si>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CLI-01376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</si>
  <si>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</si>
  <si>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</si>
  <si>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</si>
  <si>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</si>
  <si>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</si>
  <si>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</si>
  <si>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</si>
  <si>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</si>
  <si>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</si>
  <si>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</si>
  <si>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Clients_Churn_Part_02.xlsx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</si>
  <si>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</si>
  <si>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</si>
  <si>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</si>
  <si>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</si>
  <si>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</si>
  <si>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</si>
  <si>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</si>
  <si>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</si>
  <si>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</si>
  <si>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</si>
  <si>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</si>
  <si>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</si>
  <si>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</si>
  <si>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</si>
  <si>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CLI-01076</t>
  </si>
  <si>
    <t>CLI-00516</t>
  </si>
  <si>
    <t>CLI-01017</t>
  </si>
  <si>
    <t>CLI-01812</t>
  </si>
  <si>
    <t>CLI-01964</t>
  </si>
  <si>
    <t>CLI-00488</t>
  </si>
  <si>
    <t>CLI-01229</t>
  </si>
  <si>
    <t>CLI-00251</t>
  </si>
  <si>
    <t>CLI-01584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</si>
  <si>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</si>
  <si>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</si>
  <si>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</si>
  <si>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</si>
  <si>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</si>
  <si>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</si>
  <si>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</si>
  <si>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</si>
  <si>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</si>
  <si>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</si>
  <si>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</si>
  <si>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</si>
  <si>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</si>
  <si>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</si>
  <si>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</si>
  <si>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</si>
  <si>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</si>
  <si>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</si>
  <si>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</si>
  <si>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</si>
  <si>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</si>
  <si>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</si>
  <si>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</si>
  <si>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CLI-00521</t>
  </si>
  <si>
    <t>CLI-01768</t>
  </si>
  <si>
    <t>CLI-01208</t>
  </si>
  <si>
    <t>CLI-00115</t>
  </si>
  <si>
    <t>CLI-01005</t>
  </si>
  <si>
    <t>Lualaba</t>
  </si>
  <si>
    <t>CLI-01093</t>
  </si>
  <si>
    <t>CLI-00768</t>
  </si>
  <si>
    <t>Clients_Churn_Part_03.xlsx</t>
  </si>
  <si>
    <t>CLI-01433</t>
  </si>
  <si>
    <t>CLI-00232</t>
  </si>
  <si>
    <t>CLI-00649</t>
  </si>
  <si>
    <t>CLI-01118</t>
  </si>
  <si>
    <t>CLI-00868</t>
  </si>
  <si>
    <t>CLI-00973</t>
  </si>
  <si>
    <t>CLI-01399</t>
  </si>
  <si>
    <t>CLI-00505</t>
  </si>
  <si>
    <t>CLI-01986</t>
  </si>
  <si>
    <t>CLI-01802</t>
  </si>
  <si>
    <t>CLI-01607</t>
  </si>
  <si>
    <t>CLI-00297</t>
  </si>
  <si>
    <t>CLI-00744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</si>
  <si>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</si>
  <si>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</si>
  <si>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</si>
  <si>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</si>
  <si>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</si>
  <si>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</si>
  <si>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</si>
  <si>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</si>
  <si>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</si>
  <si>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</si>
  <si>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</si>
  <si>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</si>
  <si>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</si>
  <si>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</si>
  <si>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</si>
  <si>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</si>
  <si>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</si>
  <si>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</si>
  <si>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</si>
  <si>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</si>
  <si>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CLI-00788</t>
  </si>
  <si>
    <t>CLI-00634</t>
  </si>
  <si>
    <t>CLI-01309</t>
  </si>
  <si>
    <t>CLI-01435</t>
  </si>
  <si>
    <t>CLI-01888</t>
  </si>
  <si>
    <t>CLI-01850</t>
  </si>
  <si>
    <t>CLI-01664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</si>
  <si>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</si>
  <si>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</si>
  <si>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</si>
  <si>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</si>
  <si>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</si>
  <si>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</si>
  <si>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</si>
  <si>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</si>
  <si>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</si>
  <si>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Clients_Churn_Part_04.xlsx</t>
  </si>
  <si>
    <t>CLI-00805</t>
  </si>
  <si>
    <t>CLI-00524</t>
  </si>
  <si>
    <t>CLI-00617</t>
  </si>
  <si>
    <t>CLI-01933</t>
  </si>
  <si>
    <t>CLI-01685</t>
  </si>
  <si>
    <t>CLI-01550</t>
  </si>
  <si>
    <t>CLI-00483</t>
  </si>
  <si>
    <t>CLI-00610</t>
  </si>
  <si>
    <t>CLI-00431</t>
  </si>
  <si>
    <t>CLI-01973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</si>
  <si>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</si>
  <si>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</si>
  <si>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</si>
  <si>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</si>
  <si>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</si>
  <si>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</si>
  <si>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</si>
  <si>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</si>
  <si>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</si>
  <si>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</si>
  <si>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</si>
  <si>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</si>
  <si>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</si>
  <si>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</si>
  <si>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</si>
  <si>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</si>
  <si>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CLI-01597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</si>
  <si>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</si>
  <si>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</si>
  <si>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</si>
  <si>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</si>
  <si>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</si>
  <si>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</si>
  <si>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</si>
  <si>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</si>
  <si>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</si>
  <si>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</si>
  <si>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</si>
  <si>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CLI-01689</t>
  </si>
  <si>
    <t>CLI-01839</t>
  </si>
  <si>
    <t>CLI-01431</t>
  </si>
  <si>
    <t>CLI-00535</t>
  </si>
  <si>
    <t>CLI-01037</t>
  </si>
  <si>
    <t>CLI-00136</t>
  </si>
  <si>
    <t>CLI-00721</t>
  </si>
  <si>
    <t>CLI-00862</t>
  </si>
  <si>
    <t>CLI-01234</t>
  </si>
  <si>
    <t>CLI-01494</t>
  </si>
  <si>
    <t>CLI-01666</t>
  </si>
  <si>
    <t>CLI-01122</t>
  </si>
  <si>
    <t>Clients_Churn_Part_05.xlsx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</si>
  <si>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</si>
  <si>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</si>
  <si>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</si>
  <si>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</si>
  <si>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</si>
  <si>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</si>
  <si>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</si>
  <si>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</si>
  <si>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</si>
  <si>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</si>
  <si>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</si>
  <si>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</si>
  <si>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</si>
  <si>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</si>
  <si>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</si>
  <si>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</si>
  <si>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</si>
  <si>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</si>
  <si>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</si>
  <si>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CLI-00626</t>
  </si>
  <si>
    <t>CLI-01970</t>
  </si>
  <si>
    <t>CLI-01180</t>
  </si>
  <si>
    <t>CLI-00169</t>
  </si>
  <si>
    <t>CLI-00227</t>
  </si>
  <si>
    <t>CLI-00324</t>
  </si>
  <si>
    <t>CLI-00512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</si>
  <si>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</si>
  <si>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</si>
  <si>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</si>
  <si>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</si>
  <si>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</si>
  <si>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</si>
  <si>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</si>
  <si>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</si>
  <si>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</si>
  <si>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</si>
  <si>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</si>
  <si>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</si>
  <si>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</si>
  <si>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</si>
  <si>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</si>
  <si>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</si>
  <si>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</si>
  <si>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</si>
  <si>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CLI-00356</t>
  </si>
  <si>
    <t>CLI-01408</t>
  </si>
  <si>
    <t>CLI-01215</t>
  </si>
  <si>
    <t>CLI-01694</t>
  </si>
  <si>
    <t>CLI-00671</t>
  </si>
  <si>
    <t>CLI-01638</t>
  </si>
  <si>
    <t>Clients_Churn_Part_06.xlsx</t>
  </si>
  <si>
    <t>CLI-00578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</si>
  <si>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</si>
  <si>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</si>
  <si>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</si>
  <si>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</si>
  <si>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</si>
  <si>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</si>
  <si>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</si>
  <si>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</si>
  <si>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</si>
  <si>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</si>
  <si>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</si>
  <si>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</si>
  <si>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</si>
  <si>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</si>
  <si>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</si>
  <si>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</si>
  <si>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</si>
  <si>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</si>
  <si>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</si>
  <si>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</si>
  <si>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</si>
  <si>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</si>
  <si>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</si>
  <si>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</si>
  <si>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</si>
  <si>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</si>
  <si>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CLI-01230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</si>
  <si>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</si>
  <si>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</si>
  <si>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</si>
  <si>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</si>
  <si>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</si>
  <si>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</si>
  <si>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</si>
  <si>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</si>
  <si>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</si>
  <si>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</si>
  <si>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CLI-00892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</si>
  <si>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</si>
  <si>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</si>
  <si>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</si>
  <si>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</si>
  <si>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</si>
  <si>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</si>
  <si>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</si>
  <si>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</si>
  <si>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</si>
  <si>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</si>
  <si>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Clients_Churn_Part_07.xlsx</t>
  </si>
  <si>
    <t>CLI-01835</t>
  </si>
  <si>
    <t>CLI-01602</t>
  </si>
  <si>
    <t>CLI-00546</t>
  </si>
  <si>
    <t>CLI-00590</t>
  </si>
  <si>
    <t>CLI-01529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</si>
  <si>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</si>
  <si>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</si>
  <si>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</si>
  <si>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</si>
  <si>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</si>
  <si>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</si>
  <si>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</si>
  <si>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</si>
  <si>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</si>
  <si>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</si>
  <si>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CLI-01387</t>
  </si>
  <si>
    <t>CLI-00388</t>
  </si>
  <si>
    <t>CLI-00857</t>
  </si>
  <si>
    <t>CLI-00370</t>
  </si>
  <si>
    <t>CLI-01938</t>
  </si>
  <si>
    <t>CLI-01623</t>
  </si>
  <si>
    <t>CLI-00299</t>
  </si>
  <si>
    <t>CLI-00059</t>
  </si>
  <si>
    <t>CLI-00595</t>
  </si>
  <si>
    <t>CLI-01729</t>
  </si>
  <si>
    <t>CLI-01844</t>
  </si>
  <si>
    <t>CLI-01877</t>
  </si>
  <si>
    <t>CLI-00924</t>
  </si>
  <si>
    <t>CLI-00509</t>
  </si>
  <si>
    <t>CLI-00758</t>
  </si>
  <si>
    <t>CLI-01194</t>
  </si>
  <si>
    <t>CLI-01402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</si>
  <si>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</si>
  <si>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</si>
  <si>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</si>
  <si>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</si>
  <si>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</si>
  <si>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</si>
  <si>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</si>
  <si>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</si>
  <si>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</si>
  <si>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</si>
  <si>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</si>
  <si>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</si>
  <si>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</si>
  <si>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</si>
  <si>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</si>
  <si>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</si>
  <si>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</si>
  <si>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</si>
  <si>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Clients_Churn_Part_08.xlsx</t>
  </si>
  <si>
    <t>CLI-00150</t>
  </si>
  <si>
    <t>CLI-00196</t>
  </si>
  <si>
    <t>CLI-01141</t>
  </si>
  <si>
    <t>CLI-00121</t>
  </si>
  <si>
    <t>CLI-01794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</si>
  <si>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</si>
  <si>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</si>
  <si>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</si>
  <si>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</si>
  <si>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</si>
  <si>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</si>
  <si>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</si>
  <si>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CLI-01454</t>
  </si>
  <si>
    <t>CLI-01920</t>
  </si>
  <si>
    <t>CLI-00094</t>
  </si>
  <si>
    <t>CLI-00011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</si>
  <si>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</si>
  <si>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</si>
  <si>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</si>
  <si>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</si>
  <si>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</si>
  <si>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</si>
  <si>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</si>
  <si>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</si>
  <si>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</si>
  <si>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</si>
  <si>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</si>
  <si>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</si>
  <si>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</si>
  <si>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</si>
  <si>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CLI-00348</t>
  </si>
  <si>
    <t>CLI-01032</t>
  </si>
  <si>
    <t>CLI-01010</t>
  </si>
  <si>
    <t>CLI-00695</t>
  </si>
  <si>
    <t>CLI-00959</t>
  </si>
  <si>
    <t>CLI-01626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</si>
  <si>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</si>
  <si>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</si>
  <si>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</si>
  <si>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</si>
  <si>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</si>
  <si>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</si>
  <si>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</si>
  <si>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</si>
  <si>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</si>
  <si>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</si>
  <si>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</si>
  <si>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</si>
  <si>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</si>
  <si>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</si>
  <si>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Clients_Churn_Part_09.xlsx</t>
  </si>
  <si>
    <t>CLI-00739</t>
  </si>
  <si>
    <t>CLI-00881</t>
  </si>
  <si>
    <t>CLI-01687</t>
  </si>
  <si>
    <t>CLI-00540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</si>
  <si>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</si>
  <si>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</si>
  <si>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</si>
  <si>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</si>
  <si>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</si>
  <si>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</si>
  <si>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</si>
  <si>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</si>
  <si>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</si>
  <si>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</si>
  <si>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</si>
  <si>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</si>
  <si>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</si>
  <si>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</si>
  <si>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</si>
  <si>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</si>
  <si>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</si>
  <si>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</si>
  <si>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</si>
  <si>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</si>
  <si>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</si>
  <si>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</si>
  <si>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</si>
  <si>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</si>
  <si>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</si>
  <si>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</si>
  <si>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CLI-01446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</si>
  <si>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</si>
  <si>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</si>
  <si>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</si>
  <si>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</si>
  <si>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</si>
  <si>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</si>
  <si>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</si>
  <si>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</si>
  <si>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</si>
  <si>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</si>
  <si>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</si>
  <si>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</si>
  <si>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CLI-00231</t>
  </si>
  <si>
    <t>CLI-01475</t>
  </si>
  <si>
    <t>CLI-00304</t>
  </si>
  <si>
    <t>CLI-00254</t>
  </si>
  <si>
    <t>CLI-00716</t>
  </si>
  <si>
    <t>CLI-00192</t>
  </si>
  <si>
    <t>CLI-00418</t>
  </si>
  <si>
    <t>Clients_Churn_Part_10.xlsx</t>
  </si>
  <si>
    <t>CLI-00582</t>
  </si>
  <si>
    <t>CLI-01682</t>
  </si>
  <si>
    <t>CLI-00345</t>
  </si>
  <si>
    <t>CLI-01536</t>
  </si>
  <si>
    <t>CLI-01042</t>
  </si>
  <si>
    <t>CLI-01992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</si>
  <si>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</si>
  <si>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</si>
  <si>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</si>
  <si>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</si>
  <si>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</si>
  <si>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</si>
  <si>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</si>
  <si>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</si>
  <si>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</si>
  <si>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</si>
  <si>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</si>
  <si>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</si>
  <si>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</si>
  <si>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</si>
  <si>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</si>
  <si>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</si>
  <si>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</si>
  <si>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CLI-00583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</si>
  <si>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</si>
  <si>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</si>
  <si>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</si>
  <si>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</si>
  <si>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</si>
  <si>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</si>
  <si>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</si>
  <si>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</si>
  <si>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</si>
  <si>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</si>
  <si>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CLI-00167</t>
  </si>
  <si>
    <t>CLI-00943</t>
  </si>
  <si>
    <t>CLI-01450</t>
  </si>
  <si>
    <t>CLI-01351</t>
  </si>
  <si>
    <t>CLI-00983</t>
  </si>
  <si>
    <t>CLI-01709</t>
  </si>
  <si>
    <t>CLI-01782</t>
  </si>
  <si>
    <t>CLI-00552</t>
  </si>
  <si>
    <t>CLI-01766</t>
  </si>
  <si>
    <t>CLI-01348</t>
  </si>
  <si>
    <t>CLI-00012</t>
  </si>
  <si>
    <t>CLI-01926</t>
  </si>
  <si>
    <t>CLI-00090</t>
  </si>
  <si>
    <t>CLI-01344</t>
  </si>
  <si>
    <t>CLI-01275</t>
  </si>
  <si>
    <t>CLI-00928</t>
  </si>
  <si>
    <t>Clients_Churn_Part_11.xlsx</t>
  </si>
  <si>
    <t>CLI-00666</t>
  </si>
  <si>
    <t>CLI-01499</t>
  </si>
  <si>
    <t>CLI-01166</t>
  </si>
  <si>
    <t>CLI-00265</t>
  </si>
  <si>
    <t>CLI-00433</t>
  </si>
  <si>
    <t>CLI-00100</t>
  </si>
  <si>
    <t>CLI-01319</t>
  </si>
  <si>
    <t>CLI-01598</t>
  </si>
  <si>
    <t>CLI-00662</t>
  </si>
  <si>
    <t>CLI-01979</t>
  </si>
  <si>
    <t>CLI-00145</t>
  </si>
  <si>
    <t>CLI-01121</t>
  </si>
  <si>
    <t>CLI-01804</t>
  </si>
  <si>
    <t>CLI-00782</t>
  </si>
  <si>
    <t>CLI-00190</t>
  </si>
  <si>
    <t>CLI-00817</t>
  </si>
  <si>
    <t>CLI-00523</t>
  </si>
  <si>
    <t>CLI-00365</t>
  </si>
  <si>
    <t>CLI-00492</t>
  </si>
  <si>
    <t>CLI-01485</t>
  </si>
  <si>
    <t>CLI-01719</t>
  </si>
  <si>
    <t>CLI-01739</t>
  </si>
  <si>
    <t>CLI-00427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</si>
  <si>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</si>
  <si>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</si>
  <si>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</si>
  <si>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</si>
  <si>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</si>
  <si>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</si>
  <si>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</si>
  <si>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</si>
  <si>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</si>
  <si>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</si>
  <si>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</si>
  <si>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</si>
  <si>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</si>
  <si>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</si>
  <si>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</si>
  <si>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</si>
  <si>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</si>
  <si>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</si>
  <si>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</si>
  <si>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</si>
  <si>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</si>
  <si>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</si>
  <si>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CLI-00913</t>
  </si>
  <si>
    <t>CLI-00795</t>
  </si>
  <si>
    <t>CLI-00976</t>
  </si>
  <si>
    <t>CLI-00550</t>
  </si>
  <si>
    <t>CLI-01544</t>
  </si>
  <si>
    <t>Clients_Churn_Part_12.xlsx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</si>
  <si>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</si>
  <si>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</si>
  <si>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</si>
  <si>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</si>
  <si>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</si>
  <si>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</si>
  <si>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</si>
  <si>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</si>
  <si>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</si>
  <si>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</si>
  <si>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</si>
  <si>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</si>
  <si>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</si>
  <si>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</si>
  <si>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</si>
  <si>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</si>
  <si>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</si>
  <si>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</si>
  <si>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</si>
  <si>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</si>
  <si>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</si>
  <si>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</si>
  <si>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</si>
  <si>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</si>
  <si>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</si>
  <si>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</si>
  <si>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</si>
  <si>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</si>
  <si>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</si>
  <si>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</si>
  <si>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</si>
  <si>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</si>
  <si>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</si>
  <si>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</si>
  <si>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</si>
  <si>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</si>
  <si>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</si>
  <si>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</si>
  <si>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</si>
  <si>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</si>
  <si>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</si>
  <si>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</si>
  <si>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</si>
  <si>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</si>
  <si>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</si>
  <si>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</si>
  <si>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</si>
  <si>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</si>
  <si>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</si>
  <si>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</si>
  <si>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Clients_Churn_Part_13.xlsx</t>
  </si>
  <si>
    <t>CLI-01530</t>
  </si>
  <si>
    <t>CLI-00952</t>
  </si>
  <si>
    <t>CLI-01354</t>
  </si>
  <si>
    <t>CLI-01410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</si>
  <si>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</si>
  <si>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</si>
  <si>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</si>
  <si>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</si>
  <si>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</si>
  <si>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</si>
  <si>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</si>
  <si>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</si>
  <si>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</si>
  <si>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</si>
  <si>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</si>
  <si>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</si>
  <si>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</si>
  <si>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</si>
  <si>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</si>
  <si>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</si>
  <si>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</si>
  <si>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</si>
  <si>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</si>
  <si>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</si>
  <si>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</si>
  <si>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</si>
  <si>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</si>
  <si>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</si>
  <si>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</si>
  <si>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</si>
  <si>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</si>
  <si>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CLI-00380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</si>
  <si>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</si>
  <si>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</si>
  <si>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</si>
  <si>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</si>
  <si>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</si>
  <si>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</si>
  <si>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</si>
  <si>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</si>
  <si>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</si>
  <si>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</si>
  <si>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</si>
  <si>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</si>
  <si>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</si>
  <si>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</si>
  <si>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</si>
  <si>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</si>
  <si>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</si>
  <si>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</si>
  <si>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Clients_Churn_Part_14.xlsx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</si>
  <si>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</si>
  <si>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</si>
  <si>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</si>
  <si>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</si>
  <si>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</si>
  <si>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</si>
  <si>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</si>
  <si>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CLI-00180</t>
  </si>
  <si>
    <t>CLI-00257</t>
  </si>
  <si>
    <t>CLI-00277</t>
  </si>
  <si>
    <t>CLI-01714</t>
  </si>
  <si>
    <t>CLI-01701</t>
  </si>
  <si>
    <t>CLI-01949</t>
  </si>
  <si>
    <t>CLI-00033</t>
  </si>
  <si>
    <t>CLI-00386</t>
  </si>
  <si>
    <t>CLI-00055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</si>
  <si>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</si>
  <si>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</si>
  <si>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</si>
  <si>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</si>
  <si>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</si>
  <si>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</si>
  <si>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</si>
  <si>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</si>
  <si>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</si>
  <si>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</si>
  <si>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</si>
  <si>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</si>
  <si>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</si>
  <si>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CLI-00971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</si>
  <si>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</si>
  <si>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</si>
  <si>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</si>
  <si>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</si>
  <si>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</si>
  <si>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</si>
  <si>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</si>
  <si>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</si>
  <si>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</si>
  <si>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</si>
  <si>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</si>
  <si>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CLI-00497</t>
  </si>
  <si>
    <t>CLI-00413</t>
  </si>
  <si>
    <t>CLI-00604</t>
  </si>
  <si>
    <t>CLI-01167</t>
  </si>
  <si>
    <t>CLI-00803</t>
  </si>
  <si>
    <t>CLI-00105</t>
  </si>
  <si>
    <t>CLI-00684</t>
  </si>
  <si>
    <t>CLI-01851</t>
  </si>
  <si>
    <t>CLI-00211</t>
  </si>
  <si>
    <t>Clients_Churn_Part_15 (2).xlsx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</si>
  <si>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</si>
  <si>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</si>
  <si>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</si>
  <si>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</si>
  <si>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</si>
  <si>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</si>
  <si>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</si>
  <si>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CLI-01797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</si>
  <si>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</si>
  <si>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</si>
  <si>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</si>
  <si>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</si>
  <si>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</si>
  <si>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</si>
  <si>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</si>
  <si>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</si>
  <si>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CLI-00475</t>
  </si>
  <si>
    <t>CLI-00125</t>
  </si>
  <si>
    <t>CLI-01082</t>
  </si>
  <si>
    <t>CLI-00039</t>
  </si>
  <si>
    <t>CLI-01832</t>
  </si>
  <si>
    <t>CLI-01181</t>
  </si>
  <si>
    <t>CLI-01589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</si>
  <si>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</si>
  <si>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</si>
  <si>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</si>
  <si>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</si>
  <si>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</si>
  <si>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</si>
  <si>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</si>
  <si>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</si>
  <si>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CLI-00919</t>
  </si>
  <si>
    <t>CLI-01568</t>
  </si>
  <si>
    <t>CLI-01479</t>
  </si>
  <si>
    <t>CLI-00331</t>
  </si>
  <si>
    <t>CLI-01697</t>
  </si>
  <si>
    <t>CLI-00394</t>
  </si>
  <si>
    <t>CLI-00962</t>
  </si>
  <si>
    <t>CLI-00705</t>
  </si>
  <si>
    <t>CLI-00898</t>
  </si>
  <si>
    <t>CLI-00476</t>
  </si>
  <si>
    <t>CLI-01040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</si>
  <si>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</si>
  <si>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</si>
  <si>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</si>
  <si>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</si>
  <si>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</si>
  <si>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</si>
  <si>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</si>
  <si>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CLI-00800</t>
  </si>
  <si>
    <t>Date_Heure_Panne.1</t>
  </si>
  <si>
    <t>Date_Heure_Panne.2</t>
  </si>
  <si>
    <t>Cell_ID</t>
  </si>
  <si>
    <t>Duree_Panne_Min</t>
  </si>
  <si>
    <t>Statut_Resolution</t>
  </si>
  <si>
    <t>ANT-0001</t>
  </si>
  <si>
    <t>Résolu</t>
  </si>
  <si>
    <t>Non Résolu</t>
  </si>
  <si>
    <t>ANT-0002</t>
  </si>
  <si>
    <t>ANT-0004</t>
  </si>
  <si>
    <t>ANT-0006</t>
  </si>
  <si>
    <t>En Cours</t>
  </si>
  <si>
    <t>ANT-0007</t>
  </si>
  <si>
    <t>ANT-0008</t>
  </si>
  <si>
    <t>ANT-0010</t>
  </si>
  <si>
    <t>ANT-0011</t>
  </si>
  <si>
    <t>ANT-0013</t>
  </si>
  <si>
    <t>ANT-0018</t>
  </si>
  <si>
    <t>ANT-0019</t>
  </si>
  <si>
    <t>ANT-0020</t>
  </si>
  <si>
    <t>ANT-0021</t>
  </si>
  <si>
    <t>ANT-0022</t>
  </si>
  <si>
    <t>ANT-0024</t>
  </si>
  <si>
    <t>ANT-0028</t>
  </si>
  <si>
    <t>ANT-0029</t>
  </si>
  <si>
    <t>ANT-0030</t>
  </si>
  <si>
    <t>ANT-0032</t>
  </si>
  <si>
    <t>ANT-0033</t>
  </si>
  <si>
    <t>ANT-0034</t>
  </si>
  <si>
    <t>ANT-0035</t>
  </si>
  <si>
    <t>ANT-0036</t>
  </si>
  <si>
    <t>ANT-0037</t>
  </si>
  <si>
    <t>ANT-0039</t>
  </si>
  <si>
    <t>ANT-0041</t>
  </si>
  <si>
    <t>ANT-0042</t>
  </si>
  <si>
    <t>ANT-0043</t>
  </si>
  <si>
    <t>ANT-0044</t>
  </si>
  <si>
    <t>ANT-0045</t>
  </si>
  <si>
    <t>ANT-0046</t>
  </si>
  <si>
    <t>ANT-0050</t>
  </si>
  <si>
    <t>ANT-0052</t>
  </si>
  <si>
    <t>ANT-0053</t>
  </si>
  <si>
    <t>ANT-0054</t>
  </si>
  <si>
    <t>ANT-0056</t>
  </si>
  <si>
    <t>ANT-0058</t>
  </si>
  <si>
    <t>ANT-0059</t>
  </si>
  <si>
    <t>ANT-0060</t>
  </si>
  <si>
    <t>ANT-0061</t>
  </si>
  <si>
    <t>ANT-0062</t>
  </si>
  <si>
    <t>ANT-0063</t>
  </si>
  <si>
    <t>ANT-0064</t>
  </si>
  <si>
    <t>ANT-0066</t>
  </si>
  <si>
    <t>ANT-0068</t>
  </si>
  <si>
    <t>ANT-0069</t>
  </si>
  <si>
    <t>ANT-0070</t>
  </si>
  <si>
    <t>ANT-0071</t>
  </si>
  <si>
    <t>ANT-0073</t>
  </si>
  <si>
    <t>ANT-0075</t>
  </si>
  <si>
    <t>ANT-0076</t>
  </si>
  <si>
    <t>ANT-0077</t>
  </si>
  <si>
    <t>ANT-0078</t>
  </si>
  <si>
    <t>ANT-0079</t>
  </si>
  <si>
    <t>ANT-0080</t>
  </si>
  <si>
    <t>ANT-0081</t>
  </si>
  <si>
    <t>ANT-0083</t>
  </si>
  <si>
    <t>ANT-0086</t>
  </si>
  <si>
    <t>ANT-0087</t>
  </si>
  <si>
    <t>ANT-0088</t>
  </si>
  <si>
    <t>ANT-0090</t>
  </si>
  <si>
    <t>ANT-0091</t>
  </si>
  <si>
    <t>ANT-0092</t>
  </si>
  <si>
    <t>ANT-0093</t>
  </si>
  <si>
    <t>ANT-0094</t>
  </si>
  <si>
    <t>ANT-0095</t>
  </si>
  <si>
    <t>ANT-0096</t>
  </si>
  <si>
    <t>ANT-0098</t>
  </si>
  <si>
    <t>ANT-0099</t>
  </si>
  <si>
    <t>ANT-0100</t>
  </si>
  <si>
    <t>ANT-0101</t>
  </si>
  <si>
    <t>ANT-0102</t>
  </si>
  <si>
    <t>ANT-0103</t>
  </si>
  <si>
    <t>ANT-0104</t>
  </si>
  <si>
    <t>ANT-0105</t>
  </si>
  <si>
    <t>ANT-0106</t>
  </si>
  <si>
    <t>ANT-0108</t>
  </si>
  <si>
    <t>ANT-0109</t>
  </si>
  <si>
    <t>ANT-0110</t>
  </si>
  <si>
    <t>ANT-0111</t>
  </si>
  <si>
    <t>ANT-0115</t>
  </si>
  <si>
    <t>ANT-0116</t>
  </si>
  <si>
    <t>ANT-0117</t>
  </si>
  <si>
    <t>ANT-0118</t>
  </si>
  <si>
    <t>ANT-0119</t>
  </si>
  <si>
    <t>ANT-0121</t>
  </si>
  <si>
    <t>ANT-0122</t>
  </si>
  <si>
    <t>ANT-0123</t>
  </si>
  <si>
    <t>ANT-0125</t>
  </si>
  <si>
    <t>ANT-0126</t>
  </si>
  <si>
    <t>ANT-0127</t>
  </si>
  <si>
    <t>ANT-0128</t>
  </si>
  <si>
    <t>ANT-0130</t>
  </si>
  <si>
    <t>ANT-0131</t>
  </si>
  <si>
    <t>ANT-0132</t>
  </si>
  <si>
    <t>ANT-0134</t>
  </si>
  <si>
    <t>ANT-0135</t>
  </si>
  <si>
    <t>ANT-0136</t>
  </si>
  <si>
    <t>ANT-0137</t>
  </si>
  <si>
    <t>ANT-0141</t>
  </si>
  <si>
    <t>ANT-0142</t>
  </si>
  <si>
    <t>ANT-0143</t>
  </si>
  <si>
    <t>ANT-0145</t>
  </si>
  <si>
    <t>ANT-0146</t>
  </si>
  <si>
    <t>ANT-0147</t>
  </si>
  <si>
    <t>ANT-0152</t>
  </si>
  <si>
    <t>ANT-0153</t>
  </si>
  <si>
    <t>ANT-0154</t>
  </si>
  <si>
    <t>ANT-0155</t>
  </si>
  <si>
    <t>ANT-0157</t>
  </si>
  <si>
    <t>ANT-0158</t>
  </si>
  <si>
    <t>ANT-0159</t>
  </si>
  <si>
    <t>ANT-0162</t>
  </si>
  <si>
    <t>ANT-0163</t>
  </si>
  <si>
    <t>ANT-0164</t>
  </si>
  <si>
    <t>ANT-0165</t>
  </si>
  <si>
    <t>ANT-0166</t>
  </si>
  <si>
    <t>ANT-0169</t>
  </si>
  <si>
    <t>ANT-0173</t>
  </si>
  <si>
    <t>ANT-0176</t>
  </si>
  <si>
    <t>ANT-0180</t>
  </si>
  <si>
    <t>ANT-0183</t>
  </si>
  <si>
    <t>ANT-0184</t>
  </si>
  <si>
    <t>ANT-0185</t>
  </si>
  <si>
    <t>ANT-0186</t>
  </si>
  <si>
    <t>ANT-0189</t>
  </si>
  <si>
    <t>ANT-0193</t>
  </si>
  <si>
    <t>ANT-0194</t>
  </si>
  <si>
    <t>ANT-0195</t>
  </si>
  <si>
    <t>ANT-0196</t>
  </si>
  <si>
    <t>ANT-0197</t>
  </si>
  <si>
    <t>ANT-0199</t>
  </si>
  <si>
    <t>ANT-0203</t>
  </si>
  <si>
    <t>ANT-0204</t>
  </si>
  <si>
    <t>ANT-0205</t>
  </si>
  <si>
    <t>ANT-0206</t>
  </si>
  <si>
    <t>ANT-0209</t>
  </si>
  <si>
    <t>ANT-0211</t>
  </si>
  <si>
    <t>ANT-0212</t>
  </si>
  <si>
    <t>ANT-0215</t>
  </si>
  <si>
    <t>ANT-0221</t>
  </si>
  <si>
    <t>ANT-0224</t>
  </si>
  <si>
    <t>ANT-0225</t>
  </si>
  <si>
    <t>ANT-0226</t>
  </si>
  <si>
    <t>ANT-0227</t>
  </si>
  <si>
    <t>ANT-0229</t>
  </si>
  <si>
    <t>ANT-0231</t>
  </si>
  <si>
    <t>ANT-0232</t>
  </si>
  <si>
    <t>ANT-0233</t>
  </si>
  <si>
    <t>ANT-0236</t>
  </si>
  <si>
    <t>ANT-0238</t>
  </si>
  <si>
    <t>ANT-0239</t>
  </si>
  <si>
    <t>ANT-0241</t>
  </si>
  <si>
    <t>ANT-0242</t>
  </si>
  <si>
    <t>ANT-0243</t>
  </si>
  <si>
    <t>ANT-0244</t>
  </si>
  <si>
    <t>ANT-0245</t>
  </si>
  <si>
    <t>ANT-0246</t>
  </si>
  <si>
    <t>ANT-0247</t>
  </si>
  <si>
    <t>ANT-0248</t>
  </si>
  <si>
    <t>ANT-0250</t>
  </si>
  <si>
    <t>ANT-0254</t>
  </si>
  <si>
    <t>ANT-0255</t>
  </si>
  <si>
    <t>ANT-0257</t>
  </si>
  <si>
    <t>ANT-0258</t>
  </si>
  <si>
    <t>ANT-0259</t>
  </si>
  <si>
    <t>ANT-0262</t>
  </si>
  <si>
    <t>ANT-0264</t>
  </si>
  <si>
    <t>ANT-0266</t>
  </si>
  <si>
    <t>ANT-0268</t>
  </si>
  <si>
    <t>ANT-0269</t>
  </si>
  <si>
    <t>ANT-0270</t>
  </si>
  <si>
    <t>ANT-0271</t>
  </si>
  <si>
    <t>ANT-0274</t>
  </si>
  <si>
    <t>ANT-0275</t>
  </si>
  <si>
    <t>ANT-0276</t>
  </si>
  <si>
    <t>ANT-0277</t>
  </si>
  <si>
    <t>ANT-0280</t>
  </si>
  <si>
    <t>ANT-0282</t>
  </si>
  <si>
    <t>ANT-0283</t>
  </si>
  <si>
    <t>ANT-0284</t>
  </si>
  <si>
    <t>ANT-0286</t>
  </si>
  <si>
    <t>ANT-0287</t>
  </si>
  <si>
    <t>ANT-0288</t>
  </si>
  <si>
    <t>ANT-0289</t>
  </si>
  <si>
    <t>ANT-0290</t>
  </si>
  <si>
    <t>ANT-0292</t>
  </si>
  <si>
    <t>ANT-0293</t>
  </si>
  <si>
    <t>ANT-0294</t>
  </si>
  <si>
    <t>ANT-0295</t>
  </si>
  <si>
    <t>ANT-0296</t>
  </si>
  <si>
    <t>ANT-0298</t>
  </si>
  <si>
    <t>ANT-0299</t>
  </si>
  <si>
    <t>ANT-0302</t>
  </si>
  <si>
    <t>ANT-0303</t>
  </si>
  <si>
    <t>ANT-0305</t>
  </si>
  <si>
    <t>ANT-0306</t>
  </si>
  <si>
    <t>ANT-0307</t>
  </si>
  <si>
    <t>ANT-0308</t>
  </si>
  <si>
    <t>ANT-0309</t>
  </si>
  <si>
    <t>ANT-0311</t>
  </si>
  <si>
    <t>ANT-0312</t>
  </si>
  <si>
    <t>ANT-0314</t>
  </si>
  <si>
    <t>ANT-0315</t>
  </si>
  <si>
    <t>ANT-0316</t>
  </si>
  <si>
    <t>ANT-0317</t>
  </si>
  <si>
    <t>ANT-0318</t>
  </si>
  <si>
    <t>ANT-0321</t>
  </si>
  <si>
    <t>ANT-0325</t>
  </si>
  <si>
    <t>ANT-0326</t>
  </si>
  <si>
    <t>ANT-0329</t>
  </si>
  <si>
    <t>ANT-0330</t>
  </si>
  <si>
    <t>ANT-0331</t>
  </si>
  <si>
    <t>ANT-0332</t>
  </si>
  <si>
    <t>ANT-0333</t>
  </si>
  <si>
    <t>ANT-0334</t>
  </si>
  <si>
    <t>ANT-0335</t>
  </si>
  <si>
    <t>ANT-0336</t>
  </si>
  <si>
    <t>ANT-0339</t>
  </si>
  <si>
    <t>ANT-0340</t>
  </si>
  <si>
    <t>ANT-0342</t>
  </si>
  <si>
    <t>ANT-0345</t>
  </si>
  <si>
    <t>ANT-0348</t>
  </si>
  <si>
    <t>ANT-0350</t>
  </si>
  <si>
    <t>ANT-0353</t>
  </si>
  <si>
    <t>ANT-0355</t>
  </si>
  <si>
    <t>ANT-0357</t>
  </si>
  <si>
    <t>ANT-0360</t>
  </si>
  <si>
    <t>ANT-0361</t>
  </si>
  <si>
    <t>ANT-0362</t>
  </si>
  <si>
    <t>ANT-0363</t>
  </si>
  <si>
    <t>ANT-0366</t>
  </si>
  <si>
    <t>ANT-0367</t>
  </si>
  <si>
    <t>ANT-0368</t>
  </si>
  <si>
    <t>ANT-0370</t>
  </si>
  <si>
    <t>ANT-0371</t>
  </si>
  <si>
    <t>ANT-0372</t>
  </si>
  <si>
    <t>ANT-0373</t>
  </si>
  <si>
    <t>ANT-0374</t>
  </si>
  <si>
    <t>ANT-0375</t>
  </si>
  <si>
    <t>ANT-0376</t>
  </si>
  <si>
    <t>ANT-0377</t>
  </si>
  <si>
    <t>ANT-0378</t>
  </si>
  <si>
    <t>ANT-0379</t>
  </si>
  <si>
    <t>ANT-0381</t>
  </si>
  <si>
    <t>ANT-0382</t>
  </si>
  <si>
    <t>ANT-0383</t>
  </si>
  <si>
    <t>ANT-0384</t>
  </si>
  <si>
    <t>ANT-0386</t>
  </si>
  <si>
    <t>ANT-0387</t>
  </si>
  <si>
    <t>ANT-0389</t>
  </si>
  <si>
    <t>ANT-0390</t>
  </si>
  <si>
    <t>ANT-0391</t>
  </si>
  <si>
    <t>ANT-0392</t>
  </si>
  <si>
    <t>ANT-0394</t>
  </si>
  <si>
    <t>ANT-0396</t>
  </si>
  <si>
    <t>ANT-0397</t>
  </si>
  <si>
    <t>ANT-0402</t>
  </si>
  <si>
    <t>ANT-0403</t>
  </si>
  <si>
    <t>ANT-0404</t>
  </si>
  <si>
    <t>ANT-0405</t>
  </si>
  <si>
    <t>ANT-0406</t>
  </si>
  <si>
    <t>ANT-0407</t>
  </si>
  <si>
    <t>ANT-0411</t>
  </si>
  <si>
    <t>ANT-0414</t>
  </si>
  <si>
    <t>ANT-0415</t>
  </si>
  <si>
    <t>ANT-0416</t>
  </si>
  <si>
    <t>ANT-0417</t>
  </si>
  <si>
    <t>ANT-0419</t>
  </si>
  <si>
    <t>ANT-0422</t>
  </si>
  <si>
    <t>ANT-0423</t>
  </si>
  <si>
    <t>ANT-0424</t>
  </si>
  <si>
    <t>ANT-0426</t>
  </si>
  <si>
    <t>ANT-0427</t>
  </si>
  <si>
    <t>ANT-0428</t>
  </si>
  <si>
    <t>ANT-0429</t>
  </si>
  <si>
    <t>ANT-0430</t>
  </si>
  <si>
    <t>ANT-0431</t>
  </si>
  <si>
    <t>ANT-0434</t>
  </si>
  <si>
    <t>ANT-0435</t>
  </si>
  <si>
    <t>ANT-0436</t>
  </si>
  <si>
    <t>ANT-0437</t>
  </si>
  <si>
    <t>ANT-0438</t>
  </si>
  <si>
    <t>ANT-0439</t>
  </si>
  <si>
    <t>ANT-0441</t>
  </si>
  <si>
    <t>ANT-0446</t>
  </si>
  <si>
    <t>ANT-0447</t>
  </si>
  <si>
    <t>ANT-0448</t>
  </si>
  <si>
    <t>ANT-0449</t>
  </si>
  <si>
    <t>ANT-0450</t>
  </si>
  <si>
    <t>ANT-0451</t>
  </si>
  <si>
    <t>ANT-0452</t>
  </si>
  <si>
    <t>ANT-0453</t>
  </si>
  <si>
    <t>ANT-0454</t>
  </si>
  <si>
    <t>ANT-0455</t>
  </si>
  <si>
    <t>ANT-0457</t>
  </si>
  <si>
    <t>ANT-0458</t>
  </si>
  <si>
    <t>ANT-0459</t>
  </si>
  <si>
    <t>ANT-0461</t>
  </si>
  <si>
    <t>ANT-0465</t>
  </si>
  <si>
    <t>ANT-0466</t>
  </si>
  <si>
    <t>ANT-0468</t>
  </si>
  <si>
    <t>ANT-0469</t>
  </si>
  <si>
    <t>ANT-0470</t>
  </si>
  <si>
    <t>ANT-0471</t>
  </si>
  <si>
    <t>ANT-0472</t>
  </si>
  <si>
    <t>ANT-0473</t>
  </si>
  <si>
    <t>ANT-0474</t>
  </si>
  <si>
    <t>ANT-0475</t>
  </si>
  <si>
    <t>ANT-0478</t>
  </si>
  <si>
    <t>ANT-0479</t>
  </si>
  <si>
    <t>ANT-0481</t>
  </si>
  <si>
    <t>ANT-0484</t>
  </si>
  <si>
    <t>ANT-0485</t>
  </si>
  <si>
    <t>ANT-0486</t>
  </si>
  <si>
    <t>ANT-0487</t>
  </si>
  <si>
    <t>ANT-0488</t>
  </si>
  <si>
    <t>ANT-0489</t>
  </si>
  <si>
    <t>ANT-0490</t>
  </si>
  <si>
    <t>ANT-0493</t>
  </si>
  <si>
    <t>ANT-0494</t>
  </si>
  <si>
    <t>ANT-0497</t>
  </si>
  <si>
    <t>ANT-0499</t>
  </si>
  <si>
    <t>ANT-0501</t>
  </si>
  <si>
    <t>ANT-0503</t>
  </si>
  <si>
    <t>ANT-0504</t>
  </si>
  <si>
    <t>ANT-0505</t>
  </si>
  <si>
    <t>ANT-0507</t>
  </si>
  <si>
    <t>ANT-0508</t>
  </si>
  <si>
    <t>ANT-0510</t>
  </si>
  <si>
    <t>ANT-0511</t>
  </si>
  <si>
    <t>ANT-0512</t>
  </si>
  <si>
    <t>ANT-0513</t>
  </si>
  <si>
    <t>ANT-0514</t>
  </si>
  <si>
    <t>ANT-0515</t>
  </si>
  <si>
    <t>ANT-0517</t>
  </si>
  <si>
    <t>ANT-0518</t>
  </si>
  <si>
    <t>ANT-0520</t>
  </si>
  <si>
    <t>ANT-0521</t>
  </si>
  <si>
    <t>ANT-0522</t>
  </si>
  <si>
    <t>ANT-0523</t>
  </si>
  <si>
    <t>ANT-0524</t>
  </si>
  <si>
    <t>ANT-0526</t>
  </si>
  <si>
    <t>ANT-0527</t>
  </si>
  <si>
    <t>ANT-0528</t>
  </si>
  <si>
    <t>ANT-0529</t>
  </si>
  <si>
    <t>ANT-0530</t>
  </si>
  <si>
    <t>ANT-0531</t>
  </si>
  <si>
    <t>ANT-0533</t>
  </si>
  <si>
    <t>ANT-0534</t>
  </si>
  <si>
    <t>ANT-0536</t>
  </si>
  <si>
    <t>ANT-0537</t>
  </si>
  <si>
    <t>ANT-0539</t>
  </si>
  <si>
    <t>ANT-0540</t>
  </si>
  <si>
    <t>ANT-0541</t>
  </si>
  <si>
    <t>ANT-0542</t>
  </si>
  <si>
    <t>ANT-0543</t>
  </si>
  <si>
    <t>ANT-0544</t>
  </si>
  <si>
    <t>ANT-0545</t>
  </si>
  <si>
    <t>ANT-0548</t>
  </si>
  <si>
    <t>ANT-0549</t>
  </si>
  <si>
    <t>ANT-0551</t>
  </si>
  <si>
    <t>ANT-0553</t>
  </si>
  <si>
    <t>ANT-0555</t>
  </si>
  <si>
    <t>ANT-0556</t>
  </si>
  <si>
    <t>ANT-0557</t>
  </si>
  <si>
    <t>ANT-0558</t>
  </si>
  <si>
    <t>ANT-0559</t>
  </si>
  <si>
    <t>ANT-0560</t>
  </si>
  <si>
    <t>ANT-0561</t>
  </si>
  <si>
    <t>ANT-0562</t>
  </si>
  <si>
    <t>ANT-0563</t>
  </si>
  <si>
    <t>ANT-0564</t>
  </si>
  <si>
    <t>ANT-0565</t>
  </si>
  <si>
    <t>ANT-0566</t>
  </si>
  <si>
    <t>ANT-0567</t>
  </si>
  <si>
    <t>ANT-0568</t>
  </si>
  <si>
    <t>ANT-0569</t>
  </si>
  <si>
    <t>ANT-0570</t>
  </si>
  <si>
    <t>ANT-0571</t>
  </si>
  <si>
    <t>ANT-0573</t>
  </si>
  <si>
    <t>ANT-0574</t>
  </si>
  <si>
    <t>ANT-0575</t>
  </si>
  <si>
    <t>ANT-0576</t>
  </si>
  <si>
    <t>ANT-0577</t>
  </si>
  <si>
    <t>ANT-0578</t>
  </si>
  <si>
    <t>ANT-0579</t>
  </si>
  <si>
    <t>ANT-0580</t>
  </si>
  <si>
    <t>ANT-0581</t>
  </si>
  <si>
    <t>ANT-0582</t>
  </si>
  <si>
    <t>ANT-0585</t>
  </si>
  <si>
    <t>ANT-0586</t>
  </si>
  <si>
    <t>ANT-0587</t>
  </si>
  <si>
    <t>ANT-0588</t>
  </si>
  <si>
    <t>ANT-0592</t>
  </si>
  <si>
    <t>ANT-0594</t>
  </si>
  <si>
    <t>ANT-0595</t>
  </si>
  <si>
    <t>ANT-0596</t>
  </si>
  <si>
    <t>ANT-0597</t>
  </si>
  <si>
    <t>ANT-0598</t>
  </si>
  <si>
    <t>ANT-0599</t>
  </si>
  <si>
    <t>ANT-0600</t>
  </si>
  <si>
    <t>ANT-0604</t>
  </si>
  <si>
    <t>ANT-0606</t>
  </si>
  <si>
    <t>ANT-0607</t>
  </si>
  <si>
    <t>ANT-0609</t>
  </si>
  <si>
    <t>ANT-0610</t>
  </si>
  <si>
    <t>ANT-0611</t>
  </si>
  <si>
    <t>ANT-0612</t>
  </si>
  <si>
    <t>ANT-0614</t>
  </si>
  <si>
    <t>ANT-0615</t>
  </si>
  <si>
    <t>ANT-0617</t>
  </si>
  <si>
    <t>ANT-0619</t>
  </si>
  <si>
    <t>ANT-0620</t>
  </si>
  <si>
    <t>ANT-0621</t>
  </si>
  <si>
    <t>ANT-0622</t>
  </si>
  <si>
    <t>ANT-0623</t>
  </si>
  <si>
    <t>ANT-0624</t>
  </si>
  <si>
    <t>ANT-0628</t>
  </si>
  <si>
    <t>ANT-0630</t>
  </si>
  <si>
    <t>ANT-0631</t>
  </si>
  <si>
    <t>ANT-0633</t>
  </si>
  <si>
    <t>ANT-0634</t>
  </si>
  <si>
    <t>ANT-0635</t>
  </si>
  <si>
    <t>ANT-0638</t>
  </si>
  <si>
    <t>ANT-0639</t>
  </si>
  <si>
    <t>ANT-0640</t>
  </si>
  <si>
    <t>ANT-0641</t>
  </si>
  <si>
    <t>ANT-0642</t>
  </si>
  <si>
    <t>ANT-0643</t>
  </si>
  <si>
    <t>ANT-0644</t>
  </si>
  <si>
    <t>ANT-0646</t>
  </si>
  <si>
    <t>ANT-0649</t>
  </si>
  <si>
    <t>ANT-0650</t>
  </si>
  <si>
    <t>ANT-0653</t>
  </si>
  <si>
    <t>ANT-0654</t>
  </si>
  <si>
    <t>ANT-0655</t>
  </si>
  <si>
    <t>ANT-0656</t>
  </si>
  <si>
    <t>ANT-0657</t>
  </si>
  <si>
    <t>ANT-0661</t>
  </si>
  <si>
    <t>ANT-0662</t>
  </si>
  <si>
    <t>ANT-0663</t>
  </si>
  <si>
    <t>ANT-0667</t>
  </si>
  <si>
    <t>ANT-0668</t>
  </si>
  <si>
    <t>ANT-0669</t>
  </si>
  <si>
    <t>ANT-0670</t>
  </si>
  <si>
    <t>ANT-0671</t>
  </si>
  <si>
    <t>ANT-0672</t>
  </si>
  <si>
    <t>ANT-0674</t>
  </si>
  <si>
    <t>ANT-0675</t>
  </si>
  <si>
    <t>ANT-0677</t>
  </si>
  <si>
    <t>ANT-0678</t>
  </si>
  <si>
    <t>ANT-0679</t>
  </si>
  <si>
    <t>ANT-0680</t>
  </si>
  <si>
    <t>ANT-0684</t>
  </si>
  <si>
    <t>ANT-0685</t>
  </si>
  <si>
    <t>ANT-0686</t>
  </si>
  <si>
    <t>ANT-0688</t>
  </si>
  <si>
    <t>ANT-0690</t>
  </si>
  <si>
    <t>ANT-0691</t>
  </si>
  <si>
    <t>ANT-0695</t>
  </si>
  <si>
    <t>ANT-0696</t>
  </si>
  <si>
    <t>ANT-0698</t>
  </si>
  <si>
    <t>ANT-0699</t>
  </si>
  <si>
    <t>ANT-0701</t>
  </si>
  <si>
    <t>ANT-0703</t>
  </si>
  <si>
    <t>ANT-0704</t>
  </si>
  <si>
    <t>ANT-0707</t>
  </si>
  <si>
    <t>ANT-0708</t>
  </si>
  <si>
    <t>ANT-0709</t>
  </si>
  <si>
    <t>ANT-0710</t>
  </si>
  <si>
    <t>ANT-0712</t>
  </si>
  <si>
    <t>ANT-0714</t>
  </si>
  <si>
    <t>ANT-0715</t>
  </si>
  <si>
    <t>ANT-0716</t>
  </si>
  <si>
    <t>ANT-0718</t>
  </si>
  <si>
    <t>ANT-0719</t>
  </si>
  <si>
    <t>ANT-0721</t>
  </si>
  <si>
    <t>ANT-0723</t>
  </si>
  <si>
    <t>ANT-0725</t>
  </si>
  <si>
    <t>ANT-0726</t>
  </si>
  <si>
    <t>ANT-0727</t>
  </si>
  <si>
    <t>ANT-0729</t>
  </si>
  <si>
    <t>ANT-0730</t>
  </si>
  <si>
    <t>ANT-0731</t>
  </si>
  <si>
    <t>ANT-0732</t>
  </si>
  <si>
    <t>ANT-0735</t>
  </si>
  <si>
    <t>ANT-0737</t>
  </si>
  <si>
    <t>ANT-0738</t>
  </si>
  <si>
    <t>ANT-0739</t>
  </si>
  <si>
    <t>ANT-0740</t>
  </si>
  <si>
    <t>ANT-0743</t>
  </si>
  <si>
    <t>ANT-0744</t>
  </si>
  <si>
    <t>ANT-0745</t>
  </si>
  <si>
    <t>ANT-0746</t>
  </si>
  <si>
    <t>ANT-0750</t>
  </si>
  <si>
    <t>ANT-0753</t>
  </si>
  <si>
    <t>ANT-0754</t>
  </si>
  <si>
    <t>ANT-0756</t>
  </si>
  <si>
    <t>ANT-0757</t>
  </si>
  <si>
    <t>ANT-0760</t>
  </si>
  <si>
    <t>ANT-0761</t>
  </si>
  <si>
    <t>ANT-0762</t>
  </si>
  <si>
    <t>ANT-0764</t>
  </si>
  <si>
    <t>ANT-0766</t>
  </si>
  <si>
    <t>ANT-0768</t>
  </si>
  <si>
    <t>ANT-0770</t>
  </si>
  <si>
    <t>ANT-0771</t>
  </si>
  <si>
    <t>ANT-0774</t>
  </si>
  <si>
    <t>ANT-0775</t>
  </si>
  <si>
    <t>ANT-0777</t>
  </si>
  <si>
    <t>ANT-0779</t>
  </si>
  <si>
    <t>ANT-0781</t>
  </si>
  <si>
    <t>ANT-0782</t>
  </si>
  <si>
    <t>ANT-0784</t>
  </si>
  <si>
    <t>ANT-0785</t>
  </si>
  <si>
    <t>ANT-0786</t>
  </si>
  <si>
    <t>ANT-0787</t>
  </si>
  <si>
    <t>ANT-0788</t>
  </si>
  <si>
    <t>ANT-0790</t>
  </si>
  <si>
    <t>ANT-0792</t>
  </si>
  <si>
    <t>ANT-0793</t>
  </si>
  <si>
    <t>ANT-0794</t>
  </si>
  <si>
    <t>ANT-0797</t>
  </si>
  <si>
    <t>ANT-0798</t>
  </si>
  <si>
    <t>ANT-0800</t>
  </si>
  <si>
    <t>ANT-0801</t>
  </si>
  <si>
    <t>ANT-0803</t>
  </si>
  <si>
    <t>ANT-0804</t>
  </si>
  <si>
    <t>ANT-0805</t>
  </si>
  <si>
    <t>ANT-0806</t>
  </si>
  <si>
    <t>ANT-0808</t>
  </si>
  <si>
    <t>ANT-0809</t>
  </si>
  <si>
    <t>ANT-0811</t>
  </si>
  <si>
    <t>ANT-0812</t>
  </si>
  <si>
    <t>ANT-0813</t>
  </si>
  <si>
    <t>ANT-0815</t>
  </si>
  <si>
    <t>ANT-0817</t>
  </si>
  <si>
    <t>ANT-0819</t>
  </si>
  <si>
    <t>ANT-0820</t>
  </si>
  <si>
    <t>ANT-0821</t>
  </si>
  <si>
    <t>ANT-0825</t>
  </si>
  <si>
    <t>ANT-0826</t>
  </si>
  <si>
    <t>ANT-0828</t>
  </si>
  <si>
    <t>ANT-0829</t>
  </si>
  <si>
    <t>ANT-0830</t>
  </si>
  <si>
    <t>ANT-0833</t>
  </si>
  <si>
    <t>ANT-0834</t>
  </si>
  <si>
    <t>ANT-0835</t>
  </si>
  <si>
    <t>ANT-0837</t>
  </si>
  <si>
    <t>ANT-0839</t>
  </si>
  <si>
    <t>ANT-0840</t>
  </si>
  <si>
    <t>ANT-0843</t>
  </si>
  <si>
    <t>ANT-0844</t>
  </si>
  <si>
    <t>ANT-0845</t>
  </si>
  <si>
    <t>ANT-0846</t>
  </si>
  <si>
    <t>ANT-0848</t>
  </si>
  <si>
    <t>ANT-0850</t>
  </si>
  <si>
    <t>ANT-0851</t>
  </si>
  <si>
    <t>ANT-0852</t>
  </si>
  <si>
    <t>ANT-0855</t>
  </si>
  <si>
    <t>ANT-0856</t>
  </si>
  <si>
    <t>ANT-0857</t>
  </si>
  <si>
    <t>ANT-0859</t>
  </si>
  <si>
    <t>ANT-0860</t>
  </si>
  <si>
    <t>ANT-0861</t>
  </si>
  <si>
    <t>ANT-0862</t>
  </si>
  <si>
    <t>ANT-0864</t>
  </si>
  <si>
    <t>ANT-0865</t>
  </si>
  <si>
    <t>ANT-0866</t>
  </si>
  <si>
    <t>ANT-0867</t>
  </si>
  <si>
    <t>ANT-0868</t>
  </si>
  <si>
    <t>ANT-0869</t>
  </si>
  <si>
    <t>ANT-0870</t>
  </si>
  <si>
    <t>ANT-0872</t>
  </si>
  <si>
    <t>ANT-0873</t>
  </si>
  <si>
    <t>ANT-0874</t>
  </si>
  <si>
    <t>ANT-0875</t>
  </si>
  <si>
    <t>ANT-0881</t>
  </si>
  <si>
    <t>ANT-0882</t>
  </si>
  <si>
    <t>ANT-0883</t>
  </si>
  <si>
    <t>ANT-0885</t>
  </si>
  <si>
    <t>ANT-0886</t>
  </si>
  <si>
    <t>ANT-0887</t>
  </si>
  <si>
    <t>ANT-0888</t>
  </si>
  <si>
    <t>ANT-0891</t>
  </si>
  <si>
    <t>ANT-0892</t>
  </si>
  <si>
    <t>ANT-0894</t>
  </si>
  <si>
    <t>ANT-0896</t>
  </si>
  <si>
    <t>ANT-0897</t>
  </si>
  <si>
    <t>ANT-0898</t>
  </si>
  <si>
    <t>ANT-0900</t>
  </si>
  <si>
    <t>ANT-0901</t>
  </si>
  <si>
    <t>ANT-0902</t>
  </si>
  <si>
    <t>ANT-0903</t>
  </si>
  <si>
    <t>ANT-0905</t>
  </si>
  <si>
    <t>ANT-0911</t>
  </si>
  <si>
    <t>ANT-0912</t>
  </si>
  <si>
    <t>ANT-0913</t>
  </si>
  <si>
    <t>ANT-0914</t>
  </si>
  <si>
    <t>ANT-0918</t>
  </si>
  <si>
    <t>ANT-0919</t>
  </si>
  <si>
    <t>ANT-0920</t>
  </si>
  <si>
    <t>ANT-0921</t>
  </si>
  <si>
    <t>ANT-0922</t>
  </si>
  <si>
    <t>ANT-0923</t>
  </si>
  <si>
    <t>ANT-0924</t>
  </si>
  <si>
    <t>ANT-0925</t>
  </si>
  <si>
    <t>ANT-0926</t>
  </si>
  <si>
    <t>ANT-0927</t>
  </si>
  <si>
    <t>ANT-0928</t>
  </si>
  <si>
    <t>ANT-0929</t>
  </si>
  <si>
    <t>ANT-0930</t>
  </si>
  <si>
    <t>ANT-0932</t>
  </si>
  <si>
    <t>ANT-0934</t>
  </si>
  <si>
    <t>ANT-0935</t>
  </si>
  <si>
    <t>ANT-0936</t>
  </si>
  <si>
    <t>ANT-0941</t>
  </si>
  <si>
    <t>ANT-0942</t>
  </si>
  <si>
    <t>ANT-0944</t>
  </si>
  <si>
    <t>ANT-0945</t>
  </si>
  <si>
    <t>ANT-0950</t>
  </si>
  <si>
    <t>ANT-0951</t>
  </si>
  <si>
    <t>ANT-0952</t>
  </si>
  <si>
    <t>ANT-0955</t>
  </si>
  <si>
    <t>ANT-0957</t>
  </si>
  <si>
    <t>ANT-0958</t>
  </si>
  <si>
    <t>ANT-0959</t>
  </si>
  <si>
    <t>ANT-0960</t>
  </si>
  <si>
    <t>ANT-0963</t>
  </si>
  <si>
    <t>ANT-0964</t>
  </si>
  <si>
    <t>ANT-0966</t>
  </si>
  <si>
    <t>ANT-0967</t>
  </si>
  <si>
    <t>ANT-0968</t>
  </si>
  <si>
    <t>ANT-0969</t>
  </si>
  <si>
    <t>ANT-0970</t>
  </si>
  <si>
    <t>ANT-0971</t>
  </si>
  <si>
    <t>ANT-0972</t>
  </si>
  <si>
    <t>ANT-0973</t>
  </si>
  <si>
    <t>ANT-0974</t>
  </si>
  <si>
    <t>ANT-0975</t>
  </si>
  <si>
    <t>ANT-0976</t>
  </si>
  <si>
    <t>ANT-0977</t>
  </si>
  <si>
    <t>ANT-0978</t>
  </si>
  <si>
    <t>ANT-0980</t>
  </si>
  <si>
    <t>ANT-0983</t>
  </si>
  <si>
    <t>ANT-0985</t>
  </si>
  <si>
    <t>ANT-0986</t>
  </si>
  <si>
    <t>ANT-0987</t>
  </si>
  <si>
    <t>ANT-0988</t>
  </si>
  <si>
    <t>ANT-0989</t>
  </si>
  <si>
    <t>ANT-0990</t>
  </si>
  <si>
    <t>ANT-0991</t>
  </si>
  <si>
    <t>ANT-0994</t>
  </si>
  <si>
    <t>ANT-0995</t>
  </si>
  <si>
    <t>ANT-0996</t>
  </si>
  <si>
    <t>ANT-0997</t>
  </si>
  <si>
    <t>ANT-0998</t>
  </si>
  <si>
    <t>ant-0309</t>
  </si>
  <si>
    <t>ant-0518</t>
  </si>
  <si>
    <t>ant-0719</t>
  </si>
  <si>
    <t>ant-0745</t>
  </si>
  <si>
    <t>ID_Antenne</t>
  </si>
  <si>
    <t>zone</t>
  </si>
  <si>
    <t>Latitude</t>
  </si>
  <si>
    <t>Longitude</t>
  </si>
  <si>
    <t>Technologie</t>
  </si>
  <si>
    <t>Equipementier</t>
  </si>
  <si>
    <t>5G</t>
  </si>
  <si>
    <t>Ericsson</t>
  </si>
  <si>
    <t>ANT-0084</t>
  </si>
  <si>
    <t>4G</t>
  </si>
  <si>
    <t>Huawei</t>
  </si>
  <si>
    <t>3G</t>
  </si>
  <si>
    <t>ZTE</t>
  </si>
  <si>
    <t>ANT-0880</t>
  </si>
  <si>
    <t>ANT-0847</t>
  </si>
  <si>
    <t>ANT-0144</t>
  </si>
  <si>
    <t>ANT-0552</t>
  </si>
  <si>
    <t>ANT-0202</t>
  </si>
  <si>
    <t>ANT-0752</t>
  </si>
  <si>
    <t>Nokia</t>
  </si>
  <si>
    <t>ANT-0908</t>
  </si>
  <si>
    <t>ANT-0647</t>
  </si>
  <si>
    <t>ANT-0593</t>
  </si>
  <si>
    <t>ANT-0605</t>
  </si>
  <si>
    <t>ANT-0218</t>
  </si>
  <si>
    <t>ANT-0038</t>
  </si>
  <si>
    <t>ANT-0267</t>
  </si>
  <si>
    <t>ANT-0916</t>
  </si>
  <si>
    <t>ANT-0993</t>
  </si>
  <si>
    <t>ANT-0791</t>
  </si>
  <si>
    <t>ANT-0751</t>
  </si>
  <si>
    <t>ANT-0878</t>
  </si>
  <si>
    <t>ANT-0138</t>
  </si>
  <si>
    <t>ANT-0476</t>
  </si>
  <si>
    <t>ANT-0629</t>
  </si>
  <si>
    <t>ANT-0170</t>
  </si>
  <si>
    <t>ANT-0776</t>
  </si>
  <si>
    <t>ANT-0676</t>
  </si>
  <si>
    <t>ANT-0150</t>
  </si>
  <si>
    <t>ANT-0496</t>
  </si>
  <si>
    <t>ANT-0780</t>
  </si>
  <si>
    <t>ANT-0500</t>
  </si>
  <si>
    <t>ANT-0065</t>
  </si>
  <si>
    <t>ANT-0240</t>
  </si>
  <si>
    <t>ANT-0398</t>
  </si>
  <si>
    <t>ANT-0048</t>
  </si>
  <si>
    <t>ANT-0665</t>
  </si>
  <si>
    <t>ANT-0281</t>
  </si>
  <si>
    <t>ANT-0584</t>
  </si>
  <si>
    <t>ANT-0179</t>
  </si>
  <si>
    <t>ANT-0962</t>
  </si>
  <si>
    <t>ANT-0388</t>
  </si>
  <si>
    <t>ANT-0602</t>
  </si>
  <si>
    <t>ANT-0884</t>
  </si>
  <si>
    <t>ANT-0354</t>
  </si>
  <si>
    <t>ANT-0948</t>
  </si>
  <si>
    <t>ANT-0933</t>
  </si>
  <si>
    <t>ANT-0659</t>
  </si>
  <si>
    <t>ANT-0217</t>
  </si>
  <si>
    <t>ANT-0192</t>
  </si>
  <si>
    <t>ANT-0939</t>
  </si>
  <si>
    <t>ANT-0858</t>
  </si>
  <si>
    <t>ANT-0425</t>
  </si>
  <si>
    <t>ANT-0831</t>
  </si>
  <si>
    <t>ANT-0692</t>
  </si>
  <si>
    <t>ANT-0491</t>
  </si>
  <si>
    <t>ANT-0216</t>
  </si>
  <si>
    <t>ANT-0421</t>
  </si>
  <si>
    <t>ANT-0023</t>
  </si>
  <si>
    <t>ANT-0645</t>
  </si>
  <si>
    <t>ANT-0525</t>
  </si>
  <si>
    <t>ANT-0151</t>
  </si>
  <si>
    <t>ANT-0171</t>
  </si>
  <si>
    <t>ANT-0265</t>
  </si>
  <si>
    <t>ANT-0876</t>
  </si>
  <si>
    <t>ANT-0871</t>
  </si>
  <si>
    <t>ANT-0982</t>
  </si>
  <si>
    <t>ANT-0291</t>
  </si>
  <si>
    <t xml:space="preserve">ANT-0222 </t>
  </si>
  <si>
    <t>ANT-0460</t>
  </si>
  <si>
    <t>ANT-1000</t>
  </si>
  <si>
    <t>ANT-0483</t>
  </si>
  <si>
    <t>ANT-0175</t>
  </si>
  <si>
    <t>ANT-0616</t>
  </si>
  <si>
    <t>ANT-0187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</si>
  <si>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</si>
  <si>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</si>
  <si>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</si>
  <si>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</si>
  <si>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</si>
  <si>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</si>
  <si>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</si>
  <si>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</si>
  <si>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</si>
  <si>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</si>
  <si>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ANT-0040</t>
  </si>
  <si>
    <t>ANT-0516</t>
  </si>
  <si>
    <t>ANT-0796</t>
  </si>
  <si>
    <t>ANT-0789</t>
  </si>
  <si>
    <t>ANT-0618</t>
  </si>
  <si>
    <t>ANT-0899</t>
  </si>
  <si>
    <t>ANT-0442</t>
  </si>
  <si>
    <t>ANT-0535</t>
  </si>
  <si>
    <t>ANT-0380</t>
  </si>
  <si>
    <t>ANT-0938</t>
  </si>
  <si>
    <t>ANT-0440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</si>
  <si>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</si>
  <si>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</si>
  <si>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</si>
  <si>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</si>
  <si>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</si>
  <si>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</si>
  <si>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</si>
  <si>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</si>
  <si>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</si>
  <si>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ANT-0705</t>
  </si>
  <si>
    <t>ANT-0324</t>
  </si>
  <si>
    <t>ANT-0849</t>
  </si>
  <si>
    <t>ANT-0260</t>
  </si>
  <si>
    <t>ANT-0627</t>
  </si>
  <si>
    <t>ANT-0495</t>
  </si>
  <si>
    <t>ANT-0741</t>
  </si>
  <si>
    <t>ANT-0697</t>
  </si>
  <si>
    <t>ANT-0408</t>
  </si>
  <si>
    <t>ANT-0841</t>
  </si>
  <si>
    <t>ANT-0220</t>
  </si>
  <si>
    <t>ANT-0347</t>
  </si>
  <si>
    <t>ANT-0937</t>
  </si>
  <si>
    <t>ANT-0822</t>
  </si>
  <si>
    <t>ANT-0399</t>
  </si>
  <si>
    <t>ANT-0652</t>
  </si>
  <si>
    <t>ANT-0149</t>
  </si>
  <si>
    <t>ANT-0758</t>
  </si>
  <si>
    <t>ANT-0889</t>
  </si>
  <si>
    <t>ANT-0228</t>
  </si>
  <si>
    <t>ANT-0682</t>
  </si>
  <si>
    <t>ANT-0082</t>
  </si>
  <si>
    <t>ANT-0895</t>
  </si>
  <si>
    <t>ANT-0207</t>
  </si>
  <si>
    <t>ANT-0907</t>
  </si>
  <si>
    <t>ANT-0200</t>
  </si>
  <si>
    <t>ANT-0947</t>
  </si>
  <si>
    <t>ANT-0915</t>
  </si>
  <si>
    <t>ANT-0174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</si>
  <si>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</si>
  <si>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</si>
  <si>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</si>
  <si>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</si>
  <si>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</si>
  <si>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</si>
  <si>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</si>
  <si>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ANT-0601</t>
  </si>
  <si>
    <t>ANT-0016</t>
  </si>
  <si>
    <t>ANT-0946</t>
  </si>
  <si>
    <t>ANT-0681</t>
  </si>
  <si>
    <t>ANT-0356</t>
  </si>
  <si>
    <t>ANT-0589</t>
  </si>
  <si>
    <t>ANT-0005</t>
  </si>
  <si>
    <t>ANT-0636</t>
  </si>
  <si>
    <t>ANT-0519</t>
  </si>
  <si>
    <t>ANT-0702</t>
  </si>
  <si>
    <t>ANT-0603</t>
  </si>
  <si>
    <t>ANT-0755</t>
  </si>
  <si>
    <t>ANT-0349</t>
  </si>
  <si>
    <t>ANT-0120</t>
  </si>
  <si>
    <t>ANT-0827</t>
  </si>
  <si>
    <t>ANT-0706</t>
  </si>
  <si>
    <t>ANT-0625</t>
  </si>
  <si>
    <t>ANT-0409</t>
  </si>
  <si>
    <t>ANT-0917</t>
  </si>
  <si>
    <t>ANT-0984</t>
  </si>
  <si>
    <t>ANT-0890</t>
  </si>
  <si>
    <t>ANT-0322</t>
  </si>
  <si>
    <t>ANT-0188</t>
  </si>
  <si>
    <t>ANT-0272</t>
  </si>
  <si>
    <t>ANT-0736</t>
  </si>
  <si>
    <t>ANT-0769</t>
  </si>
  <si>
    <t>ANT-0256</t>
  </si>
  <si>
    <t>ANT-0365</t>
  </si>
  <si>
    <t>ANT-0824</t>
  </si>
  <si>
    <t>ANT-0863</t>
  </si>
  <si>
    <t>ANT-0910</t>
  </si>
  <si>
    <t>ANT-0323</t>
  </si>
  <si>
    <t>ANT-0648</t>
  </si>
  <si>
    <t>ANT-0694</t>
  </si>
  <si>
    <t>ANT-0482</t>
  </si>
  <si>
    <t>ANT-0178</t>
  </si>
  <si>
    <t>ANT-0352</t>
  </si>
  <si>
    <t>ANT-0904</t>
  </si>
  <si>
    <t>province RDC</t>
  </si>
  <si>
    <t>Anciennété_mois</t>
  </si>
  <si>
    <t>Type de forfait</t>
  </si>
  <si>
    <t>Durée cumulée_panne_minu</t>
  </si>
  <si>
    <t>Facture mensuelle</t>
  </si>
  <si>
    <t>plaintes _ service_clients</t>
  </si>
  <si>
    <t>ID_clients</t>
  </si>
  <si>
    <t>province Clients</t>
  </si>
  <si>
    <t>Durée_cumulée _ panne_en heure</t>
  </si>
  <si>
    <t>Durée_cumulée _ panne_en heure2</t>
  </si>
  <si>
    <t>anciennete_ en année</t>
  </si>
  <si>
    <t>anciennete_en année</t>
  </si>
  <si>
    <t>remise 10%_70%_45%</t>
  </si>
  <si>
    <t>remise 10_70_45</t>
  </si>
  <si>
    <t>perte financière</t>
  </si>
  <si>
    <t>Row Labels</t>
  </si>
  <si>
    <t>Grand Total</t>
  </si>
  <si>
    <t>Sum of Durée_cumulée _ panne_en heure2</t>
  </si>
  <si>
    <t>%_clients_impactés</t>
  </si>
  <si>
    <t>nombre d'abonné impacté</t>
  </si>
  <si>
    <t>Sum of perte financière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</si>
</sst>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0" fontId="0" fillId="0" borderId="0" xfId="0" applyNumberFormat="1"/>
  </cellXfs>
  <cellStyles count="1"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ic" refreshedDate="46115.996072569447" createdVersion="8" refreshedVersion="8" minRefreshableVersion="3" recordCount="547" xr:uid="{1AF4BE97-1207-4EBF-B850-BAF31730013F}">
  <cacheSource type="worksheet">
    <worksheetSource name="_26_03_2026_Log_Reseau_v15_7"/>
  </cacheSource>
  <cacheFields count="23">
    <cacheField name="Date_Heure_Panne.1" numFmtId="14">
      <sharedItems containsSemiMixedTypes="0" containsNonDate="0" containsDate="1" containsString="0" minDate="2023-10-01T00:00:00" maxDate="2023-11-01T00:00:00"/>
    </cacheField>
    <cacheField name="Date_Heure_Panne.2" numFmtId="164">
      <sharedItems containsSemiMixedTypes="0" containsNonDate="0" containsDate="1" containsString="0" minDate="1899-12-30T00:02:00" maxDate="1899-12-30T23:59:00"/>
    </cacheField>
    <cacheField name="Cell_ID" numFmtId="0">
      <sharedItems/>
    </cacheField>
    <cacheField name="Duree_Panne_Min" numFmtId="0">
      <sharedItems containsSemiMixedTypes="0" containsString="0" containsNumber="1" containsInteger="1" minValue="5" maxValue="120"/>
    </cacheField>
    <cacheField name="Statut_Resolution" numFmtId="0">
      <sharedItems count="3">
        <s v="Résolu"/>
        <s v="Non Résolu"/>
        <s v="En Cours"/>
      </sharedItems>
    </cacheField>
    <cacheField name="province Clients" numFmtId="0">
      <sharedItems count="26">
        <s v="Sankuru"/>
        <s v="Lomami"/>
        <s v="Kinshasa"/>
        <s v="Tshuapa"/>
        <s v="Kongo-Central"/>
        <s v="Kwilu"/>
        <s v="Sud-Kivu"/>
        <s v="Haut-Katanga"/>
        <s v="Haut-Lomami"/>
        <s v="Bas-Uele"/>
        <s v="Ituri"/>
        <s v="Kasai"/>
        <s v="Mai-Ndombe"/>
        <s v="Nord-Kivu"/>
        <s v="Kasai-Oriental"/>
        <s v="Nord-Ubangi"/>
        <s v="Mongala"/>
        <s v="Tanganyika"/>
        <s v="Sud-Ubangi"/>
        <s v="Haut-Uele"/>
        <s v="Maniema"/>
        <s v="Kasai-Central"/>
        <s v="Tshopo"/>
        <s v="Equateur"/>
        <s v="Lualaba"/>
        <s v="Kwango"/>
      </sharedItems>
    </cacheField>
    <cacheField name="Latitude" numFmtId="0">
      <sharedItems containsSemiMixedTypes="0" containsString="0" containsNumber="1" minValue="-12.839263000000001" maxValue="4.9455159999999996"/>
    </cacheField>
    <cacheField name="Longitude" numFmtId="0">
      <sharedItems containsSemiMixedTypes="0" containsString="0" containsNumber="1" minValue="12.013676999999999" maxValue="30.661662"/>
    </cacheField>
    <cacheField name="Technologie" numFmtId="0">
      <sharedItems count="3">
        <s v="5G"/>
        <s v="4G"/>
        <s v="3G"/>
      </sharedItems>
    </cacheField>
    <cacheField name="Equipementier" numFmtId="0">
      <sharedItems/>
    </cacheField>
    <cacheField name="ID_clients" numFmtId="0">
      <sharedItems/>
    </cacheField>
    <cacheField name="Anciennété_mois" numFmtId="0">
      <sharedItems containsSemiMixedTypes="0" containsString="0" containsNumber="1" containsInteger="1" minValue="6" maxValue="119"/>
    </cacheField>
    <cacheField name="Type de forfait" numFmtId="0">
      <sharedItems count="4">
        <s v="Pro Monde"/>
        <s v="Premium 5G 150Go"/>
        <s v="Illimité 50Go"/>
        <s v="Bloqué 5Go"/>
      </sharedItems>
    </cacheField>
    <cacheField name="Durée cumulée_panne_minu" numFmtId="0">
      <sharedItems containsSemiMixedTypes="0" containsString="0" containsNumber="1" containsInteger="1" minValue="154" maxValue="482"/>
    </cacheField>
    <cacheField name="Facture mensuelle" numFmtId="0">
      <sharedItems containsSemiMixedTypes="0" containsString="0" containsNumber="1" minValue="12.11" maxValue="98.17"/>
    </cacheField>
    <cacheField name="plaintes _ service_clients" numFmtId="0">
      <sharedItems containsSemiMixedTypes="0" containsString="0" containsNumber="1" containsInteger="1" minValue="0" maxValue="5"/>
    </cacheField>
    <cacheField name="Durée_cumulée _ panne_en heure" numFmtId="0">
      <sharedItems containsSemiMixedTypes="0" containsString="0" containsNumber="1" minValue="2.5666666666666669" maxValue="8.0333333333333332"/>
    </cacheField>
    <cacheField name="Durée_cumulée _ panne_en heure2" numFmtId="0">
      <sharedItems containsSemiMixedTypes="0" containsString="0" containsNumber="1" containsInteger="1" minValue="3" maxValue="8"/>
    </cacheField>
    <cacheField name="anciennete_ en année" numFmtId="0">
      <sharedItems containsSemiMixedTypes="0" containsString="0" containsNumber="1" minValue="0.5" maxValue="9.9166666666666661"/>
    </cacheField>
    <cacheField name="anciennete_en année" numFmtId="0">
      <sharedItems containsSemiMixedTypes="0" containsString="0" containsNumber="1" containsInteger="1" minValue="1" maxValue="10"/>
    </cacheField>
    <cacheField name="remise 10%_70%_45%" numFmtId="0">
      <sharedItems containsSemiMixedTypes="0" containsString="0" containsNumber="1" minValue="0" maxValue="9.0129999999999999"/>
    </cacheField>
    <cacheField name="remise 10_70_45" numFmtId="0">
      <sharedItems containsSemiMixedTypes="0" containsString="0" containsNumber="1" containsInteger="1" minValue="0" maxValue="9"/>
    </cacheField>
    <cacheField name="perte financière" numFmtId="0">
      <sharedItems containsSemiMixedTypes="0" containsString="0" containsNumber="1" minValue="0" maxValue="811.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d v="2023-10-01T00:00:00"/>
    <d v="1899-12-30T21:56:00"/>
    <s v="ANT-0212"/>
    <n v="87"/>
    <x v="0"/>
    <x v="0"/>
    <n v="3.175935"/>
    <n v="16.862832000000001"/>
    <x v="0"/>
    <s v="Ericsson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01T00:00:00"/>
    <d v="1899-12-30T11:12:00"/>
    <s v="ANT-0268"/>
    <n v="31"/>
    <x v="1"/>
    <x v="1"/>
    <n v="-9.5619429999999994"/>
    <n v="21.445726000000001"/>
    <x v="1"/>
    <s v="Nokia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01T00:00:00"/>
    <d v="1899-12-30T12:37:00"/>
    <s v="ANT-0283"/>
    <n v="88"/>
    <x v="2"/>
    <x v="2"/>
    <n v="-1.6097570000000001"/>
    <n v="30.661662"/>
    <x v="1"/>
    <s v="Ericsson"/>
    <s v="CLI-00611"/>
    <n v="79"/>
    <x v="1"/>
    <n v="226"/>
    <n v="94.38"/>
    <n v="3"/>
    <n v="3.7666666666666666"/>
    <n v="4"/>
    <n v="6.583333333333333"/>
    <n v="7"/>
    <n v="0"/>
    <n v="0"/>
    <n v="0"/>
  </r>
  <r>
    <d v="2023-10-01T00:00:00"/>
    <d v="1899-12-30T12:21:00"/>
    <s v="ANT-0287"/>
    <n v="24"/>
    <x v="2"/>
    <x v="3"/>
    <n v="-11.622688999999999"/>
    <n v="18.483874"/>
    <x v="0"/>
    <s v="ZTE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01T00:00:00"/>
    <d v="1899-12-30T13:41:00"/>
    <s v="ANT-0405"/>
    <n v="53"/>
    <x v="2"/>
    <x v="4"/>
    <n v="2.8552499999999998"/>
    <n v="14.077933"/>
    <x v="1"/>
    <s v="ZTE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01T00:00:00"/>
    <d v="1899-12-30T12:16:00"/>
    <s v="ANT-0430"/>
    <n v="22"/>
    <x v="2"/>
    <x v="5"/>
    <n v="-10.939712999999999"/>
    <n v="18.276230999999999"/>
    <x v="1"/>
    <s v="ZTE"/>
    <s v="CLI-00996"/>
    <n v="119"/>
    <x v="2"/>
    <n v="228"/>
    <n v="94.72"/>
    <n v="3"/>
    <n v="3.8"/>
    <n v="4"/>
    <n v="9.9166666666666661"/>
    <n v="10"/>
    <n v="0"/>
    <n v="0"/>
    <n v="0"/>
  </r>
  <r>
    <d v="2023-10-01T00:00:00"/>
    <d v="1899-12-30T19:59:00"/>
    <s v="ANT-0472"/>
    <n v="27"/>
    <x v="0"/>
    <x v="6"/>
    <n v="1.2419519999999999"/>
    <n v="25.261382999999999"/>
    <x v="1"/>
    <s v="Huawei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01T00:00:00"/>
    <d v="1899-12-30T12:09:00"/>
    <s v="ANT-0587"/>
    <n v="99"/>
    <x v="0"/>
    <x v="7"/>
    <n v="-10.945031"/>
    <n v="27.922274000000002"/>
    <x v="1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01T00:00:00"/>
    <d v="1899-12-30T10:41:00"/>
    <s v="ANT-0587"/>
    <n v="112"/>
    <x v="0"/>
    <x v="7"/>
    <n v="-10.945031"/>
    <n v="27.922274000000002"/>
    <x v="1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01T00:00:00"/>
    <d v="1899-12-30T08:13:00"/>
    <s v="ANT-0604"/>
    <n v="86"/>
    <x v="1"/>
    <x v="8"/>
    <n v="2.628638"/>
    <n v="28.420582"/>
    <x v="1"/>
    <s v="Huawei"/>
    <s v="CLI-01325"/>
    <n v="44"/>
    <x v="3"/>
    <n v="348"/>
    <n v="58.67"/>
    <n v="0"/>
    <n v="5.8"/>
    <n v="6"/>
    <n v="3.6666666666666665"/>
    <n v="4"/>
    <n v="0"/>
    <n v="0"/>
    <n v="0"/>
  </r>
  <r>
    <d v="2023-10-01T00:00:00"/>
    <d v="1899-12-30T12:50:00"/>
    <s v="ANT-0617"/>
    <n v="50"/>
    <x v="2"/>
    <x v="3"/>
    <n v="-7.7587710000000003"/>
    <n v="17.880848"/>
    <x v="2"/>
    <s v="Ericsson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01T00:00:00"/>
    <d v="1899-12-30T22:13:00"/>
    <s v="ANT-0737"/>
    <n v="76"/>
    <x v="2"/>
    <x v="4"/>
    <n v="-2.8211520000000001"/>
    <n v="20.651419000000001"/>
    <x v="0"/>
    <s v="Ericsson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01T00:00:00"/>
    <d v="1899-12-30T23:39:00"/>
    <s v="ANT-0775"/>
    <n v="29"/>
    <x v="2"/>
    <x v="9"/>
    <n v="1.5278670000000001"/>
    <n v="13.899388999999999"/>
    <x v="2"/>
    <s v="Huawei"/>
    <s v="CLI-00414"/>
    <n v="99"/>
    <x v="1"/>
    <n v="447"/>
    <n v="38.1"/>
    <n v="3"/>
    <n v="7.45"/>
    <n v="7"/>
    <n v="8.25"/>
    <n v="8"/>
    <n v="0"/>
    <n v="0"/>
    <n v="0"/>
  </r>
  <r>
    <d v="2023-10-01T00:00:00"/>
    <d v="1899-12-30T16:06:00"/>
    <s v="ANT-0809"/>
    <n v="74"/>
    <x v="2"/>
    <x v="10"/>
    <n v="-4.6426759999999998"/>
    <n v="22.124254000000001"/>
    <x v="1"/>
    <s v="ZTE"/>
    <s v="CLI-01147"/>
    <n v="29"/>
    <x v="1"/>
    <n v="214"/>
    <n v="74.7"/>
    <n v="3"/>
    <n v="3.5666666666666669"/>
    <n v="4"/>
    <n v="2.4166666666666665"/>
    <n v="2"/>
    <n v="0"/>
    <n v="0"/>
    <n v="0"/>
  </r>
  <r>
    <d v="2023-10-01T00:00:00"/>
    <d v="1899-12-30T11:50:00"/>
    <s v="ANT-0813"/>
    <n v="113"/>
    <x v="0"/>
    <x v="6"/>
    <n v="-1.5419050000000001"/>
    <n v="14.730632999999999"/>
    <x v="2"/>
    <s v="ZTE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01T00:00:00"/>
    <d v="1899-12-30T01:53:00"/>
    <s v="ANT-0936"/>
    <n v="40"/>
    <x v="0"/>
    <x v="11"/>
    <n v="-10.165072"/>
    <n v="29.428024000000001"/>
    <x v="0"/>
    <s v="Huawei"/>
    <s v="CLI-00559"/>
    <n v="99"/>
    <x v="3"/>
    <n v="369"/>
    <n v="67.209999999999994"/>
    <n v="3"/>
    <n v="6.15"/>
    <n v="6"/>
    <n v="8.25"/>
    <n v="8"/>
    <n v="0"/>
    <n v="0"/>
    <n v="0"/>
  </r>
  <r>
    <d v="2023-10-02T00:00:00"/>
    <d v="1899-12-30T19:47:00"/>
    <s v="ANT-0056"/>
    <n v="28"/>
    <x v="1"/>
    <x v="12"/>
    <n v="-9.3652280000000001"/>
    <n v="18.674116000000001"/>
    <x v="1"/>
    <s v="Huawei"/>
    <s v="CLI-00361"/>
    <n v="66"/>
    <x v="2"/>
    <n v="270"/>
    <n v="75.88"/>
    <n v="3"/>
    <n v="4.5"/>
    <n v="5"/>
    <n v="5.5"/>
    <n v="6"/>
    <n v="0"/>
    <n v="0"/>
    <n v="0"/>
  </r>
  <r>
    <d v="2023-10-02T00:00:00"/>
    <d v="1899-12-30T05:54:00"/>
    <s v="ANT-0059"/>
    <n v="91"/>
    <x v="1"/>
    <x v="10"/>
    <n v="-0.34051900000000002"/>
    <n v="17.079799000000001"/>
    <x v="0"/>
    <s v="Ericsson"/>
    <s v="CLI-01147"/>
    <n v="29"/>
    <x v="1"/>
    <n v="214"/>
    <n v="74.7"/>
    <n v="3"/>
    <n v="3.5666666666666669"/>
    <n v="4"/>
    <n v="2.4166666666666665"/>
    <n v="2"/>
    <n v="0"/>
    <n v="0"/>
    <n v="0"/>
  </r>
  <r>
    <d v="2023-10-02T00:00:00"/>
    <d v="1899-12-30T07:02:00"/>
    <s v="ANT-0268"/>
    <n v="95"/>
    <x v="2"/>
    <x v="1"/>
    <n v="-9.5619429999999994"/>
    <n v="21.445726000000001"/>
    <x v="1"/>
    <s v="Nokia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02T00:00:00"/>
    <d v="1899-12-30T12:17:00"/>
    <s v="ANT-0282"/>
    <n v="62"/>
    <x v="1"/>
    <x v="13"/>
    <n v="-10.25074"/>
    <n v="26.099086"/>
    <x v="1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02T00:00:00"/>
    <d v="1899-12-30T17:26:00"/>
    <s v="ANT-0294"/>
    <n v="97"/>
    <x v="1"/>
    <x v="14"/>
    <n v="-4.3639070000000002"/>
    <n v="16.283307000000001"/>
    <x v="0"/>
    <s v="Huawei"/>
    <s v="CLI-01837"/>
    <n v="97"/>
    <x v="0"/>
    <n v="319"/>
    <n v="31.25"/>
    <n v="1"/>
    <n v="5.3166666666666664"/>
    <n v="5"/>
    <n v="8.0833333333333339"/>
    <n v="8"/>
    <n v="3.125"/>
    <n v="3"/>
    <n v="93.75"/>
  </r>
  <r>
    <d v="2023-10-02T00:00:00"/>
    <d v="1899-12-30T12:40:00"/>
    <s v="ANT-0507"/>
    <n v="20"/>
    <x v="1"/>
    <x v="9"/>
    <n v="0.45116099999999998"/>
    <n v="17.265761000000001"/>
    <x v="1"/>
    <s v="Huawei"/>
    <s v="CLI-00414"/>
    <n v="99"/>
    <x v="1"/>
    <n v="447"/>
    <n v="38.1"/>
    <n v="3"/>
    <n v="7.45"/>
    <n v="7"/>
    <n v="8.25"/>
    <n v="8"/>
    <n v="0"/>
    <n v="0"/>
    <n v="0"/>
  </r>
  <r>
    <d v="2023-10-02T00:00:00"/>
    <d v="1899-12-30T21:14:00"/>
    <s v="ANT-0553"/>
    <n v="54"/>
    <x v="2"/>
    <x v="13"/>
    <n v="4.6287159999999998"/>
    <n v="19.407077999999998"/>
    <x v="1"/>
    <s v="Ericsson"/>
    <s v="CLI-00837"/>
    <n v="16"/>
    <x v="3"/>
    <n v="390"/>
    <n v="98.17"/>
    <n v="5"/>
    <n v="6.5"/>
    <n v="7"/>
    <n v="1.3333333333333333"/>
    <n v="1"/>
    <n v="0"/>
    <n v="0"/>
    <n v="0"/>
  </r>
  <r>
    <d v="2023-10-02T00:00:00"/>
    <d v="1899-12-30T02:04:00"/>
    <s v="ANT-0563"/>
    <n v="55"/>
    <x v="0"/>
    <x v="13"/>
    <n v="-1.8555980000000001"/>
    <n v="30.421918000000002"/>
    <x v="2"/>
    <s v="ZTE"/>
    <s v="CLI-00837"/>
    <n v="16"/>
    <x v="3"/>
    <n v="390"/>
    <n v="98.17"/>
    <n v="5"/>
    <n v="6.5"/>
    <n v="7"/>
    <n v="1.3333333333333333"/>
    <n v="1"/>
    <n v="0"/>
    <n v="0"/>
    <n v="0"/>
  </r>
  <r>
    <d v="2023-10-02T00:00:00"/>
    <d v="1899-12-30T21:03:00"/>
    <s v="ANT-0564"/>
    <n v="82"/>
    <x v="2"/>
    <x v="13"/>
    <n v="-12.336202"/>
    <n v="13.693683999999999"/>
    <x v="0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02T00:00:00"/>
    <d v="1899-12-30T11:14:00"/>
    <s v="ANT-0569"/>
    <n v="80"/>
    <x v="0"/>
    <x v="7"/>
    <n v="-3.3890790000000002"/>
    <n v="18.374571"/>
    <x v="0"/>
    <s v="ZTE"/>
    <s v="CLI-00076"/>
    <n v="46"/>
    <x v="1"/>
    <n v="283"/>
    <n v="56.05"/>
    <n v="1"/>
    <n v="4.7166666666666668"/>
    <n v="5"/>
    <n v="3.8333333333333335"/>
    <n v="4"/>
    <n v="0"/>
    <n v="0"/>
    <n v="0"/>
  </r>
  <r>
    <d v="2023-10-02T00:00:00"/>
    <d v="1899-12-30T13:47:00"/>
    <s v="ANT-0624"/>
    <n v="75"/>
    <x v="2"/>
    <x v="7"/>
    <n v="0.172153"/>
    <n v="21.091376"/>
    <x v="2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02T00:00:00"/>
    <d v="1899-12-30T00:13:00"/>
    <s v="ANT-0649"/>
    <n v="56"/>
    <x v="1"/>
    <x v="15"/>
    <n v="-7.7839049999999999"/>
    <n v="14.114281999999999"/>
    <x v="2"/>
    <s v="ZTE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02T00:00:00"/>
    <d v="1899-12-30T05:06:00"/>
    <s v="ANT-0653"/>
    <n v="40"/>
    <x v="1"/>
    <x v="13"/>
    <n v="0.82868600000000003"/>
    <n v="26.958843999999999"/>
    <x v="0"/>
    <s v="ZTE"/>
    <s v="CLI-00837"/>
    <n v="16"/>
    <x v="3"/>
    <n v="390"/>
    <n v="98.17"/>
    <n v="5"/>
    <n v="6.5"/>
    <n v="7"/>
    <n v="1.3333333333333333"/>
    <n v="1"/>
    <n v="0"/>
    <n v="0"/>
    <n v="0"/>
  </r>
  <r>
    <d v="2023-10-02T00:00:00"/>
    <d v="1899-12-30T05:24:00"/>
    <s v="ANT-0653"/>
    <n v="83"/>
    <x v="1"/>
    <x v="13"/>
    <n v="0.82868600000000003"/>
    <n v="26.958843999999999"/>
    <x v="0"/>
    <s v="ZTE"/>
    <s v="CLI-00837"/>
    <n v="16"/>
    <x v="3"/>
    <n v="390"/>
    <n v="98.17"/>
    <n v="5"/>
    <n v="6.5"/>
    <n v="7"/>
    <n v="1.3333333333333333"/>
    <n v="1"/>
    <n v="0"/>
    <n v="0"/>
    <n v="0"/>
  </r>
  <r>
    <d v="2023-10-02T00:00:00"/>
    <d v="1899-12-30T07:30:00"/>
    <s v="ANT-0731"/>
    <n v="90"/>
    <x v="1"/>
    <x v="14"/>
    <n v="-12.333232000000001"/>
    <n v="25.229620000000001"/>
    <x v="0"/>
    <s v="Nokia"/>
    <s v="CLI-01837"/>
    <n v="97"/>
    <x v="0"/>
    <n v="319"/>
    <n v="31.25"/>
    <n v="1"/>
    <n v="5.3166666666666664"/>
    <n v="5"/>
    <n v="8.0833333333333339"/>
    <n v="8"/>
    <n v="3.125"/>
    <n v="3"/>
    <n v="93.75"/>
  </r>
  <r>
    <d v="2023-10-02T00:00:00"/>
    <d v="1899-12-30T22:08:00"/>
    <s v="ANT-0775"/>
    <n v="32"/>
    <x v="0"/>
    <x v="9"/>
    <n v="1.5278670000000001"/>
    <n v="13.899388999999999"/>
    <x v="2"/>
    <s v="Huawei"/>
    <s v="CLI-00414"/>
    <n v="99"/>
    <x v="1"/>
    <n v="447"/>
    <n v="38.1"/>
    <n v="3"/>
    <n v="7.45"/>
    <n v="7"/>
    <n v="8.25"/>
    <n v="8"/>
    <n v="0"/>
    <n v="0"/>
    <n v="0"/>
  </r>
  <r>
    <d v="2023-10-02T00:00:00"/>
    <d v="1899-12-30T01:23:00"/>
    <s v="ANT-0989"/>
    <n v="103"/>
    <x v="0"/>
    <x v="7"/>
    <n v="-11.594525000000001"/>
    <n v="29.744895"/>
    <x v="2"/>
    <s v="ZTE"/>
    <s v="CLI-00076"/>
    <n v="46"/>
    <x v="1"/>
    <n v="283"/>
    <n v="56.05"/>
    <n v="1"/>
    <n v="4.7166666666666668"/>
    <n v="5"/>
    <n v="3.8333333333333335"/>
    <n v="4"/>
    <n v="0"/>
    <n v="0"/>
    <n v="0"/>
  </r>
  <r>
    <d v="2023-10-02T00:00:00"/>
    <d v="1899-12-30T20:49:00"/>
    <s v="ANT-0990"/>
    <n v="18"/>
    <x v="0"/>
    <x v="4"/>
    <n v="-12.112399999999999"/>
    <n v="15.872226"/>
    <x v="1"/>
    <s v="Nokia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02T00:00:00"/>
    <d v="1899-12-30T04:08:00"/>
    <s v="ant-0719"/>
    <n v="33"/>
    <x v="2"/>
    <x v="15"/>
    <n v="-7.9987219999999999"/>
    <n v="12.779335"/>
    <x v="0"/>
    <s v="Nokia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03T00:00:00"/>
    <d v="1899-12-30T20:27:00"/>
    <s v="ANT-0011"/>
    <n v="83"/>
    <x v="0"/>
    <x v="12"/>
    <n v="-1.607639"/>
    <n v="17.003636"/>
    <x v="1"/>
    <s v="Ericsson"/>
    <s v="CLI-00361"/>
    <n v="66"/>
    <x v="2"/>
    <n v="270"/>
    <n v="75.88"/>
    <n v="3"/>
    <n v="4.5"/>
    <n v="5"/>
    <n v="5.5"/>
    <n v="6"/>
    <n v="0"/>
    <n v="0"/>
    <n v="0"/>
  </r>
  <r>
    <d v="2023-10-03T00:00:00"/>
    <d v="1899-12-30T08:24:00"/>
    <s v="ANT-0039"/>
    <n v="78"/>
    <x v="0"/>
    <x v="16"/>
    <n v="4.0988100000000003"/>
    <n v="29.843810999999999"/>
    <x v="2"/>
    <s v="Huawei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03T00:00:00"/>
    <d v="1899-12-30T03:53:00"/>
    <s v="ANT-0044"/>
    <n v="61"/>
    <x v="1"/>
    <x v="13"/>
    <n v="-6.5529849999999996"/>
    <n v="21.990606"/>
    <x v="2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03T00:00:00"/>
    <d v="1899-12-30T01:09:00"/>
    <s v="ANT-0081"/>
    <n v="115"/>
    <x v="1"/>
    <x v="3"/>
    <n v="-10.577049000000001"/>
    <n v="23.721854"/>
    <x v="1"/>
    <s v="ZTE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03T00:00:00"/>
    <d v="1899-12-30T18:42:00"/>
    <s v="ANT-0142"/>
    <n v="61"/>
    <x v="2"/>
    <x v="17"/>
    <n v="-12.229338"/>
    <n v="29.587834999999998"/>
    <x v="1"/>
    <s v="Nokia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03T00:00:00"/>
    <d v="1899-12-30T10:06:00"/>
    <s v="ANT-0166"/>
    <n v="84"/>
    <x v="0"/>
    <x v="18"/>
    <n v="-10.56448"/>
    <n v="19.792876"/>
    <x v="0"/>
    <s v="Ericsson"/>
    <s v="CLI-00280"/>
    <n v="113"/>
    <x v="2"/>
    <n v="380"/>
    <n v="12.11"/>
    <n v="0"/>
    <n v="6.333333333333333"/>
    <n v="6"/>
    <n v="9.4166666666666661"/>
    <n v="9"/>
    <n v="0"/>
    <n v="0"/>
    <n v="0"/>
  </r>
  <r>
    <d v="2023-10-03T00:00:00"/>
    <d v="1899-12-30T19:18:00"/>
    <s v="ANT-0185"/>
    <n v="115"/>
    <x v="1"/>
    <x v="19"/>
    <n v="1.2391989999999999"/>
    <n v="15.386718999999999"/>
    <x v="0"/>
    <s v="ZTE"/>
    <s v="CLI-00439"/>
    <n v="40"/>
    <x v="1"/>
    <n v="345"/>
    <n v="89.55"/>
    <n v="3"/>
    <n v="5.75"/>
    <n v="6"/>
    <n v="3.3333333333333335"/>
    <n v="3"/>
    <n v="0"/>
    <n v="0"/>
    <n v="0"/>
  </r>
  <r>
    <d v="2023-10-03T00:00:00"/>
    <d v="1899-12-30T18:44:00"/>
    <s v="ANT-0250"/>
    <n v="53"/>
    <x v="2"/>
    <x v="20"/>
    <n v="-2.3743210000000001"/>
    <n v="22.399491000000001"/>
    <x v="0"/>
    <s v="Ericsson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03T00:00:00"/>
    <d v="1899-12-30T06:14:00"/>
    <s v="ANT-0270"/>
    <n v="79"/>
    <x v="0"/>
    <x v="21"/>
    <n v="-1.648264"/>
    <n v="28.866143999999998"/>
    <x v="0"/>
    <s v="Ericsson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03T00:00:00"/>
    <d v="1899-12-30T16:47:00"/>
    <s v="ANT-0288"/>
    <n v="63"/>
    <x v="1"/>
    <x v="22"/>
    <n v="1.400674"/>
    <n v="13.503126999999999"/>
    <x v="0"/>
    <s v="ZTE"/>
    <s v="CLI-00745"/>
    <n v="6"/>
    <x v="1"/>
    <n v="207"/>
    <n v="61.55"/>
    <n v="0"/>
    <n v="3.45"/>
    <n v="3"/>
    <n v="0.5"/>
    <n v="1"/>
    <n v="0"/>
    <n v="0"/>
    <n v="0"/>
  </r>
  <r>
    <d v="2023-10-03T00:00:00"/>
    <d v="1899-12-30T09:54:00"/>
    <s v="ANT-0292"/>
    <n v="35"/>
    <x v="0"/>
    <x v="9"/>
    <n v="-6.4197189999999997"/>
    <n v="22.287264"/>
    <x v="2"/>
    <s v="Ericsson"/>
    <s v="CLI-00414"/>
    <n v="99"/>
    <x v="1"/>
    <n v="447"/>
    <n v="38.1"/>
    <n v="3"/>
    <n v="7.45"/>
    <n v="7"/>
    <n v="8.25"/>
    <n v="8"/>
    <n v="0"/>
    <n v="0"/>
    <n v="0"/>
  </r>
  <r>
    <d v="2023-10-03T00:00:00"/>
    <d v="1899-12-30T06:58:00"/>
    <s v="ANT-0315"/>
    <n v="103"/>
    <x v="1"/>
    <x v="23"/>
    <n v="4.9250049999999996"/>
    <n v="19.887931999999999"/>
    <x v="1"/>
    <s v="Huawei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03T00:00:00"/>
    <d v="1899-12-30T05:15:00"/>
    <s v="ANT-0371"/>
    <n v="86"/>
    <x v="2"/>
    <x v="8"/>
    <n v="-12.112682"/>
    <n v="19.972052000000001"/>
    <x v="1"/>
    <s v="Huawei"/>
    <s v="CLI-01325"/>
    <n v="44"/>
    <x v="3"/>
    <n v="348"/>
    <n v="58.67"/>
    <n v="0"/>
    <n v="5.8"/>
    <n v="6"/>
    <n v="3.6666666666666665"/>
    <n v="4"/>
    <n v="0"/>
    <n v="0"/>
    <n v="0"/>
  </r>
  <r>
    <d v="2023-10-03T00:00:00"/>
    <d v="1899-12-30T17:13:00"/>
    <s v="ANT-0391"/>
    <n v="115"/>
    <x v="2"/>
    <x v="17"/>
    <n v="-1.5936220000000001"/>
    <n v="14.928856"/>
    <x v="0"/>
    <s v="Ericsson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03T00:00:00"/>
    <d v="1899-12-30T17:57:00"/>
    <s v="ANT-0488"/>
    <n v="28"/>
    <x v="1"/>
    <x v="21"/>
    <n v="-3.111418"/>
    <n v="14.144854"/>
    <x v="1"/>
    <s v="ZTE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03T00:00:00"/>
    <d v="1899-12-30T09:02:00"/>
    <s v="ANT-0524"/>
    <n v="28"/>
    <x v="0"/>
    <x v="5"/>
    <n v="-7.402336"/>
    <n v="27.376697"/>
    <x v="1"/>
    <s v="Huawei"/>
    <s v="CLI-00996"/>
    <n v="119"/>
    <x v="2"/>
    <n v="228"/>
    <n v="94.72"/>
    <n v="3"/>
    <n v="3.8"/>
    <n v="4"/>
    <n v="9.9166666666666661"/>
    <n v="10"/>
    <n v="0"/>
    <n v="0"/>
    <n v="0"/>
  </r>
  <r>
    <d v="2023-10-03T00:00:00"/>
    <d v="1899-12-30T12:42:00"/>
    <s v="ANT-0670"/>
    <n v="109"/>
    <x v="1"/>
    <x v="19"/>
    <n v="-7.1483749999999997"/>
    <n v="26.014271000000001"/>
    <x v="0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03T00:00:00"/>
    <d v="1899-12-30T15:29:00"/>
    <s v="ANT-0718"/>
    <n v="106"/>
    <x v="2"/>
    <x v="4"/>
    <n v="1.981107"/>
    <n v="23.932569000000001"/>
    <x v="2"/>
    <s v="Nokia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03T00:00:00"/>
    <d v="1899-12-30T18:37:00"/>
    <s v="ANT-0718"/>
    <n v="72"/>
    <x v="0"/>
    <x v="4"/>
    <n v="1.981107"/>
    <n v="23.932569000000001"/>
    <x v="2"/>
    <s v="Nokia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04T00:00:00"/>
    <d v="1899-12-30T12:25:00"/>
    <s v="ANT-0001"/>
    <n v="26"/>
    <x v="0"/>
    <x v="15"/>
    <n v="-8.1437910000000002"/>
    <n v="28.946161"/>
    <x v="1"/>
    <s v="ZTE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04T00:00:00"/>
    <d v="1899-12-30T05:19:00"/>
    <s v="ANT-0096"/>
    <n v="101"/>
    <x v="0"/>
    <x v="22"/>
    <n v="3.0603760000000002"/>
    <n v="19.708034000000001"/>
    <x v="2"/>
    <s v="ZTE"/>
    <s v="CLI-00745"/>
    <n v="6"/>
    <x v="1"/>
    <n v="207"/>
    <n v="61.55"/>
    <n v="0"/>
    <n v="3.45"/>
    <n v="3"/>
    <n v="0.5"/>
    <n v="1"/>
    <n v="0"/>
    <n v="0"/>
    <n v="0"/>
  </r>
  <r>
    <d v="2023-10-04T00:00:00"/>
    <d v="1899-12-30T01:00:00"/>
    <s v="ANT-0106"/>
    <n v="69"/>
    <x v="2"/>
    <x v="9"/>
    <n v="-2.2876210000000001"/>
    <n v="27.582545"/>
    <x v="1"/>
    <s v="Huawei"/>
    <s v="CLI-00414"/>
    <n v="99"/>
    <x v="1"/>
    <n v="447"/>
    <n v="38.1"/>
    <n v="3"/>
    <n v="7.45"/>
    <n v="7"/>
    <n v="8.25"/>
    <n v="8"/>
    <n v="0"/>
    <n v="0"/>
    <n v="0"/>
  </r>
  <r>
    <d v="2023-10-04T00:00:00"/>
    <d v="1899-12-30T21:51:00"/>
    <s v="ANT-0117"/>
    <n v="62"/>
    <x v="0"/>
    <x v="20"/>
    <n v="1.938083"/>
    <n v="28.25281"/>
    <x v="1"/>
    <s v="Nokia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04T00:00:00"/>
    <d v="1899-12-30T18:15:00"/>
    <s v="ANT-0153"/>
    <n v="18"/>
    <x v="2"/>
    <x v="15"/>
    <n v="0.94539899999999999"/>
    <n v="14.401821999999999"/>
    <x v="0"/>
    <s v="Nokia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04T00:00:00"/>
    <d v="1899-12-30T17:11:00"/>
    <s v="ANT-0224"/>
    <n v="68"/>
    <x v="1"/>
    <x v="13"/>
    <n v="-7.9866700000000002"/>
    <n v="17.757847000000002"/>
    <x v="0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04T00:00:00"/>
    <d v="1899-12-30T14:19:00"/>
    <s v="ANT-0229"/>
    <n v="13"/>
    <x v="1"/>
    <x v="3"/>
    <n v="-1.9540519999999999"/>
    <n v="12.667945"/>
    <x v="1"/>
    <s v="Huawei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04T00:00:00"/>
    <d v="1899-12-30T18:01:00"/>
    <s v="ANT-0302"/>
    <n v="64"/>
    <x v="2"/>
    <x v="20"/>
    <n v="-4.6818410000000004"/>
    <n v="17.541618"/>
    <x v="1"/>
    <s v="Ericsson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04T00:00:00"/>
    <d v="1899-12-30T07:19:00"/>
    <s v="ANT-0357"/>
    <n v="106"/>
    <x v="1"/>
    <x v="17"/>
    <n v="-11.793894"/>
    <n v="20.433340999999999"/>
    <x v="0"/>
    <s v="Nokia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04T00:00:00"/>
    <d v="1899-12-30T23:57:00"/>
    <s v="ANT-0457"/>
    <n v="101"/>
    <x v="2"/>
    <x v="13"/>
    <n v="-6.3148239999999998"/>
    <n v="24.507498999999999"/>
    <x v="2"/>
    <s v="ZTE"/>
    <s v="CLI-00837"/>
    <n v="16"/>
    <x v="3"/>
    <n v="390"/>
    <n v="98.17"/>
    <n v="5"/>
    <n v="6.5"/>
    <n v="7"/>
    <n v="1.3333333333333333"/>
    <n v="1"/>
    <n v="0"/>
    <n v="0"/>
    <n v="0"/>
  </r>
  <r>
    <d v="2023-10-04T00:00:00"/>
    <d v="1899-12-30T00:47:00"/>
    <s v="ANT-0465"/>
    <n v="73"/>
    <x v="0"/>
    <x v="17"/>
    <n v="-11.144149000000001"/>
    <n v="27.244658999999999"/>
    <x v="1"/>
    <s v="Nokia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04T00:00:00"/>
    <d v="1899-12-30T12:32:00"/>
    <s v="ANT-0524"/>
    <n v="11"/>
    <x v="1"/>
    <x v="5"/>
    <n v="-7.402336"/>
    <n v="27.376697"/>
    <x v="1"/>
    <s v="Huawei"/>
    <s v="CLI-00996"/>
    <n v="119"/>
    <x v="2"/>
    <n v="228"/>
    <n v="94.72"/>
    <n v="3"/>
    <n v="3.8"/>
    <n v="4"/>
    <n v="9.9166666666666661"/>
    <n v="10"/>
    <n v="0"/>
    <n v="0"/>
    <n v="0"/>
  </r>
  <r>
    <d v="2023-10-04T00:00:00"/>
    <d v="1899-12-30T22:49:00"/>
    <s v="ANT-0680"/>
    <n v="8"/>
    <x v="1"/>
    <x v="3"/>
    <n v="-0.79406600000000005"/>
    <n v="12.534793000000001"/>
    <x v="2"/>
    <s v="Huawei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04T00:00:00"/>
    <d v="1899-12-30T14:29:00"/>
    <s v="ANT-0753"/>
    <n v="106"/>
    <x v="1"/>
    <x v="7"/>
    <n v="-5.1507670000000001"/>
    <n v="28.075324999999999"/>
    <x v="0"/>
    <s v="Huawei"/>
    <s v="CLI-00076"/>
    <n v="46"/>
    <x v="1"/>
    <n v="283"/>
    <n v="56.05"/>
    <n v="1"/>
    <n v="4.7166666666666668"/>
    <n v="5"/>
    <n v="3.8333333333333335"/>
    <n v="4"/>
    <n v="0"/>
    <n v="0"/>
    <n v="0"/>
  </r>
  <r>
    <d v="2023-10-04T00:00:00"/>
    <d v="1899-12-30T05:08:00"/>
    <s v="ANT-0881"/>
    <n v="5"/>
    <x v="0"/>
    <x v="13"/>
    <n v="-6.5332999999999997"/>
    <n v="20.098018"/>
    <x v="1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04T00:00:00"/>
    <d v="1899-12-30T05:23:00"/>
    <s v="ANT-0883"/>
    <n v="102"/>
    <x v="2"/>
    <x v="6"/>
    <n v="-9.4702129999999993"/>
    <n v="12.826158"/>
    <x v="2"/>
    <s v="Ericsson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04T00:00:00"/>
    <d v="1899-12-30T06:01:00"/>
    <s v="ANT-0902"/>
    <n v="49"/>
    <x v="1"/>
    <x v="21"/>
    <n v="-10.414493"/>
    <n v="12.333356999999999"/>
    <x v="2"/>
    <s v="Ericsson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04T00:00:00"/>
    <d v="1899-12-30T15:39:00"/>
    <s v="ANT-0921"/>
    <n v="65"/>
    <x v="2"/>
    <x v="7"/>
    <n v="2.016505"/>
    <n v="14.294164"/>
    <x v="0"/>
    <s v="Huawei"/>
    <s v="CLI-00076"/>
    <n v="46"/>
    <x v="1"/>
    <n v="283"/>
    <n v="56.05"/>
    <n v="1"/>
    <n v="4.7166666666666668"/>
    <n v="5"/>
    <n v="3.8333333333333335"/>
    <n v="4"/>
    <n v="0"/>
    <n v="0"/>
    <n v="0"/>
  </r>
  <r>
    <d v="2023-10-04T00:00:00"/>
    <d v="1899-12-30T12:17:00"/>
    <s v="ANT-0945"/>
    <n v="64"/>
    <x v="2"/>
    <x v="22"/>
    <n v="0.23583499999999999"/>
    <n v="24.889558999999998"/>
    <x v="2"/>
    <s v="ZTE"/>
    <s v="CLI-00745"/>
    <n v="6"/>
    <x v="1"/>
    <n v="207"/>
    <n v="61.55"/>
    <n v="0"/>
    <n v="3.45"/>
    <n v="3"/>
    <n v="0.5"/>
    <n v="1"/>
    <n v="0"/>
    <n v="0"/>
    <n v="0"/>
  </r>
  <r>
    <d v="2023-10-05T00:00:00"/>
    <d v="1899-12-30T05:42:00"/>
    <s v="ANT-0093"/>
    <n v="21"/>
    <x v="1"/>
    <x v="4"/>
    <n v="2.975352"/>
    <n v="22.535886000000001"/>
    <x v="1"/>
    <s v="Huawei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05T00:00:00"/>
    <d v="1899-12-30T13:12:00"/>
    <s v="ANT-0093"/>
    <n v="113"/>
    <x v="1"/>
    <x v="4"/>
    <n v="2.975352"/>
    <n v="22.535886000000001"/>
    <x v="1"/>
    <s v="Huawei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05T00:00:00"/>
    <d v="1899-12-30T15:00:00"/>
    <s v="ANT-0123"/>
    <n v="94"/>
    <x v="2"/>
    <x v="9"/>
    <n v="-1.6893210000000001"/>
    <n v="30.446543999999999"/>
    <x v="1"/>
    <s v="Huawei"/>
    <s v="CLI-00414"/>
    <n v="99"/>
    <x v="1"/>
    <n v="447"/>
    <n v="38.1"/>
    <n v="3"/>
    <n v="7.45"/>
    <n v="7"/>
    <n v="8.25"/>
    <n v="8"/>
    <n v="0"/>
    <n v="0"/>
    <n v="0"/>
  </r>
  <r>
    <d v="2023-10-05T00:00:00"/>
    <d v="1899-12-30T06:21:00"/>
    <s v="ANT-0232"/>
    <n v="90"/>
    <x v="2"/>
    <x v="24"/>
    <n v="2.0392079999999999"/>
    <n v="19.090841999999999"/>
    <x v="1"/>
    <s v="Nokia"/>
    <s v="CLI-01005"/>
    <n v="80"/>
    <x v="2"/>
    <n v="155"/>
    <n v="28.96"/>
    <n v="2"/>
    <n v="2.5833333333333335"/>
    <n v="3"/>
    <n v="6.666666666666667"/>
    <n v="7"/>
    <n v="0"/>
    <n v="0"/>
    <n v="0"/>
  </r>
  <r>
    <d v="2023-10-05T00:00:00"/>
    <d v="1899-12-30T21:44:00"/>
    <s v="ANT-0381"/>
    <n v="61"/>
    <x v="0"/>
    <x v="9"/>
    <n v="4.497306"/>
    <n v="12.857251"/>
    <x v="0"/>
    <s v="Ericsson"/>
    <s v="CLI-00414"/>
    <n v="99"/>
    <x v="1"/>
    <n v="447"/>
    <n v="38.1"/>
    <n v="3"/>
    <n v="7.45"/>
    <n v="7"/>
    <n v="8.25"/>
    <n v="8"/>
    <n v="0"/>
    <n v="0"/>
    <n v="0"/>
  </r>
  <r>
    <d v="2023-10-05T00:00:00"/>
    <d v="1899-12-30T18:24:00"/>
    <s v="ANT-0450"/>
    <n v="9"/>
    <x v="2"/>
    <x v="21"/>
    <n v="-12.560556999999999"/>
    <n v="13.204014000000001"/>
    <x v="1"/>
    <s v="Ericsson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05T00:00:00"/>
    <d v="1899-12-30T13:44:00"/>
    <s v="ANT-0488"/>
    <n v="88"/>
    <x v="2"/>
    <x v="21"/>
    <n v="-3.111418"/>
    <n v="14.144854"/>
    <x v="1"/>
    <s v="ZTE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05T00:00:00"/>
    <d v="1899-12-30T14:11:00"/>
    <s v="ANT-0530"/>
    <n v="108"/>
    <x v="1"/>
    <x v="5"/>
    <n v="-8.5675749999999997"/>
    <n v="26.994581"/>
    <x v="2"/>
    <s v="Nokia"/>
    <s v="CLI-00996"/>
    <n v="119"/>
    <x v="2"/>
    <n v="228"/>
    <n v="94.72"/>
    <n v="3"/>
    <n v="3.8"/>
    <n v="4"/>
    <n v="9.9166666666666661"/>
    <n v="10"/>
    <n v="0"/>
    <n v="0"/>
    <n v="0"/>
  </r>
  <r>
    <d v="2023-10-05T00:00:00"/>
    <d v="1899-12-30T12:45:00"/>
    <s v="ANT-0564"/>
    <n v="47"/>
    <x v="0"/>
    <x v="13"/>
    <n v="-12.336202"/>
    <n v="13.693683999999999"/>
    <x v="0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05T00:00:00"/>
    <d v="1899-12-30T02:57:00"/>
    <s v="ANT-0578"/>
    <n v="34"/>
    <x v="0"/>
    <x v="23"/>
    <n v="-6.1490739999999997"/>
    <n v="23.304411000000002"/>
    <x v="0"/>
    <s v="ZTE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05T00:00:00"/>
    <d v="1899-12-30T00:16:00"/>
    <s v="ANT-0579"/>
    <n v="12"/>
    <x v="1"/>
    <x v="20"/>
    <n v="-1.6488929999999999"/>
    <n v="27.284617000000001"/>
    <x v="0"/>
    <s v="Nokia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05T00:00:00"/>
    <d v="1899-12-30T06:48:00"/>
    <s v="ANT-0641"/>
    <n v="11"/>
    <x v="2"/>
    <x v="1"/>
    <n v="-2.2371569999999998"/>
    <n v="25.926188"/>
    <x v="2"/>
    <s v="Nokia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05T00:00:00"/>
    <d v="1899-12-30T07:08:00"/>
    <s v="ANT-0662"/>
    <n v="111"/>
    <x v="1"/>
    <x v="15"/>
    <n v="-1.342476"/>
    <n v="15.986086"/>
    <x v="1"/>
    <s v="Ericsson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05T00:00:00"/>
    <d v="1899-12-30T14:47:00"/>
    <s v="ANT-0690"/>
    <n v="41"/>
    <x v="2"/>
    <x v="2"/>
    <n v="1.3006180000000001"/>
    <n v="29.060970999999999"/>
    <x v="2"/>
    <s v="ZTE"/>
    <s v="CLI-00611"/>
    <n v="79"/>
    <x v="1"/>
    <n v="226"/>
    <n v="94.38"/>
    <n v="3"/>
    <n v="3.7666666666666666"/>
    <n v="4"/>
    <n v="6.583333333333333"/>
    <n v="7"/>
    <n v="0"/>
    <n v="0"/>
    <n v="0"/>
  </r>
  <r>
    <d v="2023-10-05T00:00:00"/>
    <d v="1899-12-30T23:40:00"/>
    <s v="ANT-0865"/>
    <n v="76"/>
    <x v="1"/>
    <x v="19"/>
    <n v="-4.869434"/>
    <n v="22.326522000000001"/>
    <x v="0"/>
    <s v="Ericsson"/>
    <s v="CLI-00439"/>
    <n v="40"/>
    <x v="1"/>
    <n v="345"/>
    <n v="89.55"/>
    <n v="3"/>
    <n v="5.75"/>
    <n v="6"/>
    <n v="3.3333333333333335"/>
    <n v="3"/>
    <n v="0"/>
    <n v="0"/>
    <n v="0"/>
  </r>
  <r>
    <d v="2023-10-05T00:00:00"/>
    <d v="1899-12-30T11:19:00"/>
    <s v="ANT-0894"/>
    <n v="10"/>
    <x v="0"/>
    <x v="13"/>
    <n v="4.9455159999999996"/>
    <n v="23.647746000000001"/>
    <x v="0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05T00:00:00"/>
    <d v="1899-12-30T19:34:00"/>
    <s v="ANT-0902"/>
    <n v="71"/>
    <x v="2"/>
    <x v="21"/>
    <n v="-10.414493"/>
    <n v="12.333356999999999"/>
    <x v="2"/>
    <s v="Ericsson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06T00:00:00"/>
    <d v="1899-12-30T00:20:00"/>
    <s v="ANT-0001"/>
    <n v="35"/>
    <x v="1"/>
    <x v="15"/>
    <n v="-8.1437910000000002"/>
    <n v="28.946161"/>
    <x v="1"/>
    <s v="ZTE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06T00:00:00"/>
    <d v="1899-12-30T11:08:00"/>
    <s v="ANT-0045"/>
    <n v="103"/>
    <x v="0"/>
    <x v="13"/>
    <n v="-0.17258100000000001"/>
    <n v="23.775555000000001"/>
    <x v="0"/>
    <s v="Nokia"/>
    <s v="CLI-00837"/>
    <n v="16"/>
    <x v="3"/>
    <n v="390"/>
    <n v="98.17"/>
    <n v="5"/>
    <n v="6.5"/>
    <n v="7"/>
    <n v="1.3333333333333333"/>
    <n v="1"/>
    <n v="0"/>
    <n v="0"/>
    <n v="0"/>
  </r>
  <r>
    <d v="2023-10-06T00:00:00"/>
    <d v="1899-12-30T04:36:00"/>
    <s v="ANT-0091"/>
    <n v="34"/>
    <x v="0"/>
    <x v="0"/>
    <n v="-4.7886769999999999"/>
    <n v="23.600221999999999"/>
    <x v="2"/>
    <s v="ZTE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06T00:00:00"/>
    <d v="1899-12-30T04:04:00"/>
    <s v="ANT-0147"/>
    <n v="18"/>
    <x v="1"/>
    <x v="11"/>
    <n v="4.8689660000000003"/>
    <n v="25.112373000000002"/>
    <x v="2"/>
    <s v="Huawei"/>
    <s v="CLI-00559"/>
    <n v="99"/>
    <x v="3"/>
    <n v="369"/>
    <n v="67.209999999999994"/>
    <n v="3"/>
    <n v="6.15"/>
    <n v="6"/>
    <n v="8.25"/>
    <n v="8"/>
    <n v="0"/>
    <n v="0"/>
    <n v="0"/>
  </r>
  <r>
    <d v="2023-10-06T00:00:00"/>
    <d v="1899-12-30T15:37:00"/>
    <s v="ANT-0154"/>
    <n v="63"/>
    <x v="0"/>
    <x v="4"/>
    <n v="-10.977309"/>
    <n v="12.408281000000001"/>
    <x v="0"/>
    <s v="ZTE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06T00:00:00"/>
    <d v="1899-12-30T22:19:00"/>
    <s v="ANT-0206"/>
    <n v="82"/>
    <x v="2"/>
    <x v="24"/>
    <n v="4.0157999999999996"/>
    <n v="21.430246"/>
    <x v="0"/>
    <s v="Nokia"/>
    <s v="CLI-01005"/>
    <n v="80"/>
    <x v="2"/>
    <n v="155"/>
    <n v="28.96"/>
    <n v="2"/>
    <n v="2.5833333333333335"/>
    <n v="3"/>
    <n v="6.666666666666667"/>
    <n v="7"/>
    <n v="0"/>
    <n v="0"/>
    <n v="0"/>
  </r>
  <r>
    <d v="2023-10-06T00:00:00"/>
    <d v="1899-12-30T12:39:00"/>
    <s v="ANT-0239"/>
    <n v="40"/>
    <x v="2"/>
    <x v="13"/>
    <n v="-5.42171"/>
    <n v="24.202960999999998"/>
    <x v="0"/>
    <s v="Ericsson"/>
    <s v="CLI-00837"/>
    <n v="16"/>
    <x v="3"/>
    <n v="390"/>
    <n v="98.17"/>
    <n v="5"/>
    <n v="6.5"/>
    <n v="7"/>
    <n v="1.3333333333333333"/>
    <n v="1"/>
    <n v="0"/>
    <n v="0"/>
    <n v="0"/>
  </r>
  <r>
    <d v="2023-10-06T00:00:00"/>
    <d v="1899-12-30T01:16:00"/>
    <s v="ANT-0332"/>
    <n v="102"/>
    <x v="1"/>
    <x v="11"/>
    <n v="-4.9789079999999997"/>
    <n v="28.506295000000001"/>
    <x v="1"/>
    <s v="Huawei"/>
    <s v="CLI-00559"/>
    <n v="99"/>
    <x v="3"/>
    <n v="369"/>
    <n v="67.209999999999994"/>
    <n v="3"/>
    <n v="6.15"/>
    <n v="6"/>
    <n v="8.25"/>
    <n v="8"/>
    <n v="0"/>
    <n v="0"/>
    <n v="0"/>
  </r>
  <r>
    <d v="2023-10-06T00:00:00"/>
    <d v="1899-12-30T11:23:00"/>
    <s v="ANT-0392"/>
    <n v="25"/>
    <x v="0"/>
    <x v="19"/>
    <n v="-1.013558"/>
    <n v="17.346937"/>
    <x v="0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06T00:00:00"/>
    <d v="1899-12-30T04:17:00"/>
    <s v="ANT-0419"/>
    <n v="42"/>
    <x v="1"/>
    <x v="18"/>
    <n v="3.611561"/>
    <n v="17.725974999999998"/>
    <x v="2"/>
    <s v="ZTE"/>
    <s v="CLI-00280"/>
    <n v="113"/>
    <x v="2"/>
    <n v="380"/>
    <n v="12.11"/>
    <n v="0"/>
    <n v="6.333333333333333"/>
    <n v="6"/>
    <n v="9.4166666666666661"/>
    <n v="9"/>
    <n v="0"/>
    <n v="0"/>
    <n v="0"/>
  </r>
  <r>
    <d v="2023-10-06T00:00:00"/>
    <d v="1899-12-30T08:29:00"/>
    <s v="ANT-0434"/>
    <n v="52"/>
    <x v="1"/>
    <x v="17"/>
    <n v="3.1362930000000002"/>
    <n v="16.190878000000001"/>
    <x v="2"/>
    <s v="Nokia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06T00:00:00"/>
    <d v="1899-12-30T03:42:00"/>
    <s v="ANT-0441"/>
    <n v="12"/>
    <x v="0"/>
    <x v="6"/>
    <n v="-5.2526849999999996"/>
    <n v="12.374528"/>
    <x v="2"/>
    <s v="Nokia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06T00:00:00"/>
    <d v="1899-12-30T17:30:00"/>
    <s v="ANT-0543"/>
    <n v="106"/>
    <x v="2"/>
    <x v="7"/>
    <n v="-4.4958720000000003"/>
    <n v="18.514112000000001"/>
    <x v="1"/>
    <s v="Nokia"/>
    <s v="CLI-00076"/>
    <n v="46"/>
    <x v="1"/>
    <n v="283"/>
    <n v="56.05"/>
    <n v="1"/>
    <n v="4.7166666666666668"/>
    <n v="5"/>
    <n v="3.8333333333333335"/>
    <n v="4"/>
    <n v="0"/>
    <n v="0"/>
    <n v="0"/>
  </r>
  <r>
    <d v="2023-10-06T00:00:00"/>
    <d v="1899-12-30T10:35:00"/>
    <s v="ANT-0557"/>
    <n v="115"/>
    <x v="1"/>
    <x v="6"/>
    <n v="-1.3024210000000001"/>
    <n v="13.601914000000001"/>
    <x v="2"/>
    <s v="Huawei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06T00:00:00"/>
    <d v="1899-12-30T11:19:00"/>
    <s v="ANT-0604"/>
    <n v="50"/>
    <x v="1"/>
    <x v="8"/>
    <n v="2.628638"/>
    <n v="28.420582"/>
    <x v="1"/>
    <s v="Huawei"/>
    <s v="CLI-01325"/>
    <n v="44"/>
    <x v="3"/>
    <n v="348"/>
    <n v="58.67"/>
    <n v="0"/>
    <n v="5.8"/>
    <n v="6"/>
    <n v="3.6666666666666665"/>
    <n v="4"/>
    <n v="0"/>
    <n v="0"/>
    <n v="0"/>
  </r>
  <r>
    <d v="2023-10-06T00:00:00"/>
    <d v="1899-12-30T00:26:00"/>
    <s v="ANT-0775"/>
    <n v="67"/>
    <x v="2"/>
    <x v="9"/>
    <n v="1.5278670000000001"/>
    <n v="13.899388999999999"/>
    <x v="2"/>
    <s v="Huawei"/>
    <s v="CLI-00414"/>
    <n v="99"/>
    <x v="1"/>
    <n v="447"/>
    <n v="38.1"/>
    <n v="3"/>
    <n v="7.45"/>
    <n v="7"/>
    <n v="8.25"/>
    <n v="8"/>
    <n v="0"/>
    <n v="0"/>
    <n v="0"/>
  </r>
  <r>
    <d v="2023-10-06T00:00:00"/>
    <d v="1899-12-30T01:15:00"/>
    <s v="ANT-0788"/>
    <n v="81"/>
    <x v="2"/>
    <x v="11"/>
    <n v="1.5802860000000001"/>
    <n v="20.99053"/>
    <x v="1"/>
    <s v="ZTE"/>
    <s v="CLI-00559"/>
    <n v="99"/>
    <x v="3"/>
    <n v="369"/>
    <n v="67.209999999999994"/>
    <n v="3"/>
    <n v="6.15"/>
    <n v="6"/>
    <n v="8.25"/>
    <n v="8"/>
    <n v="0"/>
    <n v="0"/>
    <n v="0"/>
  </r>
  <r>
    <d v="2023-10-06T00:00:00"/>
    <d v="1899-12-30T12:43:00"/>
    <s v="ANT-0855"/>
    <n v="74"/>
    <x v="1"/>
    <x v="16"/>
    <n v="-11.514188000000001"/>
    <n v="15.971181"/>
    <x v="0"/>
    <s v="Ericsson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06T00:00:00"/>
    <d v="1899-12-30T19:56:00"/>
    <s v="ANT-0925"/>
    <n v="52"/>
    <x v="0"/>
    <x v="19"/>
    <n v="-2.2199559999999998"/>
    <n v="22.614449"/>
    <x v="2"/>
    <s v="Nokia"/>
    <s v="CLI-00439"/>
    <n v="40"/>
    <x v="1"/>
    <n v="345"/>
    <n v="89.55"/>
    <n v="3"/>
    <n v="5.75"/>
    <n v="6"/>
    <n v="3.3333333333333335"/>
    <n v="3"/>
    <n v="0"/>
    <n v="0"/>
    <n v="0"/>
  </r>
  <r>
    <d v="2023-10-06T00:00:00"/>
    <d v="1899-12-30T18:27:00"/>
    <s v="ANT-0972"/>
    <n v="36"/>
    <x v="0"/>
    <x v="4"/>
    <n v="-0.469945"/>
    <n v="21.038527999999999"/>
    <x v="2"/>
    <s v="Ericsson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06T00:00:00"/>
    <d v="1899-12-30T08:17:00"/>
    <s v="ANT-0994"/>
    <n v="109"/>
    <x v="1"/>
    <x v="1"/>
    <n v="-2.2681789999999999"/>
    <n v="25.699068"/>
    <x v="2"/>
    <s v="ZTE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07T00:00:00"/>
    <d v="1899-12-30T12:23:00"/>
    <s v="ANT-0029"/>
    <n v="108"/>
    <x v="0"/>
    <x v="2"/>
    <n v="-10.227569000000001"/>
    <n v="18.887930999999998"/>
    <x v="2"/>
    <s v="ZTE"/>
    <s v="CLI-00611"/>
    <n v="79"/>
    <x v="1"/>
    <n v="226"/>
    <n v="94.38"/>
    <n v="3"/>
    <n v="3.7666666666666666"/>
    <n v="4"/>
    <n v="6.583333333333333"/>
    <n v="7"/>
    <n v="0"/>
    <n v="0"/>
    <n v="0"/>
  </r>
  <r>
    <d v="2023-10-07T00:00:00"/>
    <d v="1899-12-30T22:58:00"/>
    <s v="ANT-0056"/>
    <n v="32"/>
    <x v="1"/>
    <x v="12"/>
    <n v="-9.3652280000000001"/>
    <n v="18.674116000000001"/>
    <x v="1"/>
    <s v="Huawei"/>
    <s v="CLI-00361"/>
    <n v="66"/>
    <x v="2"/>
    <n v="270"/>
    <n v="75.88"/>
    <n v="3"/>
    <n v="4.5"/>
    <n v="5"/>
    <n v="5.5"/>
    <n v="6"/>
    <n v="0"/>
    <n v="0"/>
    <n v="0"/>
  </r>
  <r>
    <d v="2023-10-07T00:00:00"/>
    <d v="1899-12-30T04:01:00"/>
    <s v="ANT-0080"/>
    <n v="64"/>
    <x v="1"/>
    <x v="10"/>
    <n v="0.24202000000000001"/>
    <n v="17.396256999999999"/>
    <x v="1"/>
    <s v="Huawei"/>
    <s v="CLI-01147"/>
    <n v="29"/>
    <x v="1"/>
    <n v="214"/>
    <n v="74.7"/>
    <n v="3"/>
    <n v="3.5666666666666669"/>
    <n v="4"/>
    <n v="2.4166666666666665"/>
    <n v="2"/>
    <n v="0"/>
    <n v="0"/>
    <n v="0"/>
  </r>
  <r>
    <d v="2023-10-07T00:00:00"/>
    <d v="1899-12-30T12:57:00"/>
    <s v="ANT-0134"/>
    <n v="43"/>
    <x v="0"/>
    <x v="25"/>
    <n v="-10.963041"/>
    <n v="12.269857"/>
    <x v="1"/>
    <s v="Huawei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07T00:00:00"/>
    <d v="1899-12-30T22:04:00"/>
    <s v="ANT-0166"/>
    <n v="13"/>
    <x v="1"/>
    <x v="18"/>
    <n v="-10.56448"/>
    <n v="19.792876"/>
    <x v="0"/>
    <s v="Ericsson"/>
    <s v="CLI-00280"/>
    <n v="113"/>
    <x v="2"/>
    <n v="380"/>
    <n v="12.11"/>
    <n v="0"/>
    <n v="6.333333333333333"/>
    <n v="6"/>
    <n v="9.4166666666666661"/>
    <n v="9"/>
    <n v="0"/>
    <n v="0"/>
    <n v="0"/>
  </r>
  <r>
    <d v="2023-10-07T00:00:00"/>
    <d v="1899-12-30T15:17:00"/>
    <s v="ANT-0211"/>
    <n v="32"/>
    <x v="2"/>
    <x v="6"/>
    <n v="-11.514817000000001"/>
    <n v="24.891375"/>
    <x v="2"/>
    <s v="Nokia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07T00:00:00"/>
    <d v="1899-12-30T06:53:00"/>
    <s v="ANT-0284"/>
    <n v="96"/>
    <x v="1"/>
    <x v="7"/>
    <n v="-5.5445120000000001"/>
    <n v="27.547335"/>
    <x v="1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07T00:00:00"/>
    <d v="1899-12-30T05:36:00"/>
    <s v="ANT-0431"/>
    <n v="26"/>
    <x v="2"/>
    <x v="12"/>
    <n v="-4.6311460000000002"/>
    <n v="25.314723000000001"/>
    <x v="1"/>
    <s v="Huawei"/>
    <s v="CLI-00361"/>
    <n v="66"/>
    <x v="2"/>
    <n v="270"/>
    <n v="75.88"/>
    <n v="3"/>
    <n v="4.5"/>
    <n v="5"/>
    <n v="5.5"/>
    <n v="6"/>
    <n v="0"/>
    <n v="0"/>
    <n v="0"/>
  </r>
  <r>
    <d v="2023-10-07T00:00:00"/>
    <d v="1899-12-30T00:39:00"/>
    <s v="ANT-0488"/>
    <n v="36"/>
    <x v="2"/>
    <x v="21"/>
    <n v="-3.111418"/>
    <n v="14.144854"/>
    <x v="1"/>
    <s v="ZTE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07T00:00:00"/>
    <d v="1899-12-30T13:32:00"/>
    <s v="ANT-0489"/>
    <n v="37"/>
    <x v="0"/>
    <x v="19"/>
    <n v="0.20866199999999999"/>
    <n v="18.556439000000001"/>
    <x v="1"/>
    <s v="Nokia"/>
    <s v="CLI-00439"/>
    <n v="40"/>
    <x v="1"/>
    <n v="345"/>
    <n v="89.55"/>
    <n v="3"/>
    <n v="5.75"/>
    <n v="6"/>
    <n v="3.3333333333333335"/>
    <n v="3"/>
    <n v="0"/>
    <n v="0"/>
    <n v="0"/>
  </r>
  <r>
    <d v="2023-10-07T00:00:00"/>
    <d v="1899-12-30T20:35:00"/>
    <s v="ANT-0511"/>
    <n v="45"/>
    <x v="2"/>
    <x v="8"/>
    <n v="1.210869"/>
    <n v="25.598741"/>
    <x v="1"/>
    <s v="Ericsson"/>
    <s v="CLI-01325"/>
    <n v="44"/>
    <x v="3"/>
    <n v="348"/>
    <n v="58.67"/>
    <n v="0"/>
    <n v="5.8"/>
    <n v="6"/>
    <n v="3.6666666666666665"/>
    <n v="4"/>
    <n v="0"/>
    <n v="0"/>
    <n v="0"/>
  </r>
  <r>
    <d v="2023-10-07T00:00:00"/>
    <d v="1899-12-30T08:42:00"/>
    <s v="ANT-0531"/>
    <n v="60"/>
    <x v="2"/>
    <x v="20"/>
    <n v="-4.2645619999999997"/>
    <n v="18.960726000000001"/>
    <x v="1"/>
    <s v="Huawei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07T00:00:00"/>
    <d v="1899-12-30T23:23:00"/>
    <s v="ANT-0621"/>
    <n v="53"/>
    <x v="1"/>
    <x v="7"/>
    <n v="-2.926736"/>
    <n v="18.170461"/>
    <x v="0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07T00:00:00"/>
    <d v="1899-12-30T10:38:00"/>
    <s v="ANT-0695"/>
    <n v="48"/>
    <x v="2"/>
    <x v="8"/>
    <n v="0.16327700000000001"/>
    <n v="14.871577"/>
    <x v="1"/>
    <s v="Huawei"/>
    <s v="CLI-01325"/>
    <n v="44"/>
    <x v="3"/>
    <n v="348"/>
    <n v="58.67"/>
    <n v="0"/>
    <n v="5.8"/>
    <n v="6"/>
    <n v="3.6666666666666665"/>
    <n v="4"/>
    <n v="0"/>
    <n v="0"/>
    <n v="0"/>
  </r>
  <r>
    <d v="2023-10-07T00:00:00"/>
    <d v="1899-12-30T16:30:00"/>
    <s v="ANT-0797"/>
    <n v="76"/>
    <x v="2"/>
    <x v="19"/>
    <n v="-12.100756000000001"/>
    <n v="21.938649999999999"/>
    <x v="1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08T00:00:00"/>
    <d v="1899-12-30T16:50:00"/>
    <s v="ANT-0070"/>
    <n v="27"/>
    <x v="2"/>
    <x v="0"/>
    <n v="-10.764815"/>
    <n v="14.602039"/>
    <x v="1"/>
    <s v="Nokia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08T00:00:00"/>
    <d v="1899-12-30T00:16:00"/>
    <s v="ANT-0122"/>
    <n v="32"/>
    <x v="0"/>
    <x v="21"/>
    <n v="1.897178"/>
    <n v="23.902604"/>
    <x v="2"/>
    <s v="Nokia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08T00:00:00"/>
    <d v="1899-12-30T08:50:00"/>
    <s v="ANT-0209"/>
    <n v="46"/>
    <x v="0"/>
    <x v="17"/>
    <n v="-10.481026999999999"/>
    <n v="18.160464000000001"/>
    <x v="0"/>
    <s v="Huawei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08T00:00:00"/>
    <d v="1899-12-30T14:23:00"/>
    <s v="ANT-0282"/>
    <n v="59"/>
    <x v="0"/>
    <x v="13"/>
    <n v="-10.25074"/>
    <n v="26.099086"/>
    <x v="1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08T00:00:00"/>
    <d v="1899-12-30T03:12:00"/>
    <s v="ANT-0298"/>
    <n v="66"/>
    <x v="1"/>
    <x v="14"/>
    <n v="-5.4073029999999997"/>
    <n v="29.762294000000001"/>
    <x v="2"/>
    <s v="Ericsson"/>
    <s v="CLI-01837"/>
    <n v="97"/>
    <x v="0"/>
    <n v="319"/>
    <n v="31.25"/>
    <n v="1"/>
    <n v="5.3166666666666664"/>
    <n v="5"/>
    <n v="8.0833333333333339"/>
    <n v="8"/>
    <n v="3.125"/>
    <n v="3"/>
    <n v="93.75"/>
  </r>
  <r>
    <d v="2023-10-08T00:00:00"/>
    <d v="1899-12-30T23:42:00"/>
    <s v="ANT-0373"/>
    <n v="15"/>
    <x v="1"/>
    <x v="25"/>
    <n v="-9.0798120000000004"/>
    <n v="14.945484"/>
    <x v="0"/>
    <s v="Ericsson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08T00:00:00"/>
    <d v="1899-12-30T12:38:00"/>
    <s v="ANT-0523"/>
    <n v="78"/>
    <x v="2"/>
    <x v="7"/>
    <n v="-9.4229749999999992"/>
    <n v="29.375005999999999"/>
    <x v="2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08T00:00:00"/>
    <d v="1899-12-30T03:03:00"/>
    <s v="ANT-0530"/>
    <n v="38"/>
    <x v="0"/>
    <x v="5"/>
    <n v="-8.5675749999999997"/>
    <n v="26.994581"/>
    <x v="2"/>
    <s v="Nokia"/>
    <s v="CLI-00996"/>
    <n v="119"/>
    <x v="2"/>
    <n v="228"/>
    <n v="94.72"/>
    <n v="3"/>
    <n v="3.8"/>
    <n v="4"/>
    <n v="9.9166666666666661"/>
    <n v="10"/>
    <n v="0"/>
    <n v="0"/>
    <n v="0"/>
  </r>
  <r>
    <d v="2023-10-08T00:00:00"/>
    <d v="1899-12-30T23:03:00"/>
    <s v="ANT-0564"/>
    <n v="23"/>
    <x v="2"/>
    <x v="13"/>
    <n v="-12.336202"/>
    <n v="13.693683999999999"/>
    <x v="0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08T00:00:00"/>
    <d v="1899-12-30T01:47:00"/>
    <s v="ANT-0679"/>
    <n v="57"/>
    <x v="0"/>
    <x v="4"/>
    <n v="-7.1587569999999996"/>
    <n v="18.975141000000001"/>
    <x v="0"/>
    <s v="Ericsson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08T00:00:00"/>
    <d v="1899-12-30T16:02:00"/>
    <s v="ANT-0679"/>
    <n v="113"/>
    <x v="0"/>
    <x v="4"/>
    <n v="-7.1587569999999996"/>
    <n v="18.975141000000001"/>
    <x v="0"/>
    <s v="Ericsson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08T00:00:00"/>
    <d v="1899-12-30T01:42:00"/>
    <s v="ANT-0746"/>
    <n v="94"/>
    <x v="1"/>
    <x v="23"/>
    <n v="-1.1284540000000001"/>
    <n v="23.000360000000001"/>
    <x v="0"/>
    <s v="Ericsson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08T00:00:00"/>
    <d v="1899-12-30T13:54:00"/>
    <s v="ANT-0821"/>
    <n v="68"/>
    <x v="0"/>
    <x v="10"/>
    <n v="-3.7720639999999999"/>
    <n v="16.006277999999998"/>
    <x v="0"/>
    <s v="ZTE"/>
    <s v="CLI-01147"/>
    <n v="29"/>
    <x v="1"/>
    <n v="214"/>
    <n v="74.7"/>
    <n v="3"/>
    <n v="3.5666666666666669"/>
    <n v="4"/>
    <n v="2.4166666666666665"/>
    <n v="2"/>
    <n v="0"/>
    <n v="0"/>
    <n v="0"/>
  </r>
  <r>
    <d v="2023-10-08T00:00:00"/>
    <d v="1899-12-30T08:13:00"/>
    <s v="ANT-0833"/>
    <n v="28"/>
    <x v="0"/>
    <x v="9"/>
    <n v="0.40267799999999998"/>
    <n v="16.000858000000001"/>
    <x v="2"/>
    <s v="Nokia"/>
    <s v="CLI-00414"/>
    <n v="99"/>
    <x v="1"/>
    <n v="447"/>
    <n v="38.1"/>
    <n v="3"/>
    <n v="7.45"/>
    <n v="7"/>
    <n v="8.25"/>
    <n v="8"/>
    <n v="0"/>
    <n v="0"/>
    <n v="0"/>
  </r>
  <r>
    <d v="2023-10-08T00:00:00"/>
    <d v="1899-12-30T03:35:00"/>
    <s v="ANT-0845"/>
    <n v="101"/>
    <x v="2"/>
    <x v="24"/>
    <n v="-10.872631999999999"/>
    <n v="12.773279"/>
    <x v="2"/>
    <s v="ZTE"/>
    <s v="CLI-01005"/>
    <n v="80"/>
    <x v="2"/>
    <n v="155"/>
    <n v="28.96"/>
    <n v="2"/>
    <n v="2.5833333333333335"/>
    <n v="3"/>
    <n v="6.666666666666667"/>
    <n v="7"/>
    <n v="0"/>
    <n v="0"/>
    <n v="0"/>
  </r>
  <r>
    <d v="2023-10-08T00:00:00"/>
    <d v="1899-12-30T02:28:00"/>
    <s v="ANT-0850"/>
    <n v="41"/>
    <x v="0"/>
    <x v="5"/>
    <n v="-5.9021970000000001"/>
    <n v="20.551169999999999"/>
    <x v="2"/>
    <s v="Huawei"/>
    <s v="CLI-00996"/>
    <n v="119"/>
    <x v="2"/>
    <n v="228"/>
    <n v="94.72"/>
    <n v="3"/>
    <n v="3.8"/>
    <n v="4"/>
    <n v="9.9166666666666661"/>
    <n v="10"/>
    <n v="0"/>
    <n v="0"/>
    <n v="0"/>
  </r>
  <r>
    <d v="2023-10-08T00:00:00"/>
    <d v="1899-12-30T22:56:00"/>
    <s v="ANT-0921"/>
    <n v="73"/>
    <x v="1"/>
    <x v="7"/>
    <n v="2.016505"/>
    <n v="14.294164"/>
    <x v="0"/>
    <s v="Huawei"/>
    <s v="CLI-00076"/>
    <n v="46"/>
    <x v="1"/>
    <n v="283"/>
    <n v="56.05"/>
    <n v="1"/>
    <n v="4.7166666666666668"/>
    <n v="5"/>
    <n v="3.8333333333333335"/>
    <n v="4"/>
    <n v="0"/>
    <n v="0"/>
    <n v="0"/>
  </r>
  <r>
    <d v="2023-10-08T00:00:00"/>
    <d v="1899-12-30T23:35:00"/>
    <s v="ANT-0970"/>
    <n v="25"/>
    <x v="2"/>
    <x v="13"/>
    <n v="-11.866133"/>
    <n v="27.068932"/>
    <x v="2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08T00:00:00"/>
    <d v="1899-12-30T03:22:00"/>
    <s v="ANT-0990"/>
    <n v="46"/>
    <x v="1"/>
    <x v="4"/>
    <n v="-12.112399999999999"/>
    <n v="15.872226"/>
    <x v="1"/>
    <s v="Nokia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09T00:00:00"/>
    <d v="1899-12-30T10:39:00"/>
    <s v="ANT-0035"/>
    <n v="7"/>
    <x v="2"/>
    <x v="8"/>
    <n v="-6.3324319999999998"/>
    <n v="24.887858000000001"/>
    <x v="1"/>
    <s v="ZTE"/>
    <s v="CLI-01325"/>
    <n v="44"/>
    <x v="3"/>
    <n v="348"/>
    <n v="58.67"/>
    <n v="0"/>
    <n v="5.8"/>
    <n v="6"/>
    <n v="3.6666666666666665"/>
    <n v="4"/>
    <n v="0"/>
    <n v="0"/>
    <n v="0"/>
  </r>
  <r>
    <d v="2023-10-09T00:00:00"/>
    <d v="1899-12-30T13:24:00"/>
    <s v="ANT-0075"/>
    <n v="44"/>
    <x v="2"/>
    <x v="21"/>
    <n v="-8.0800809999999998"/>
    <n v="30.147970999999998"/>
    <x v="0"/>
    <s v="Huawei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09T00:00:00"/>
    <d v="1899-12-30T04:04:00"/>
    <s v="ANT-0295"/>
    <n v="47"/>
    <x v="0"/>
    <x v="11"/>
    <n v="-4.351254"/>
    <n v="30.097408999999999"/>
    <x v="0"/>
    <s v="Nokia"/>
    <s v="CLI-00559"/>
    <n v="99"/>
    <x v="3"/>
    <n v="369"/>
    <n v="67.209999999999994"/>
    <n v="3"/>
    <n v="6.15"/>
    <n v="6"/>
    <n v="8.25"/>
    <n v="8"/>
    <n v="0"/>
    <n v="0"/>
    <n v="0"/>
  </r>
  <r>
    <d v="2023-10-09T00:00:00"/>
    <d v="1899-12-30T01:46:00"/>
    <s v="ANT-0520"/>
    <n v="85"/>
    <x v="1"/>
    <x v="1"/>
    <n v="-8.4227860000000003"/>
    <n v="16.781293000000002"/>
    <x v="1"/>
    <s v="Huawei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09T00:00:00"/>
    <d v="1899-12-30T23:05:00"/>
    <s v="ANT-0571"/>
    <n v="68"/>
    <x v="0"/>
    <x v="9"/>
    <n v="-2.3269820000000001"/>
    <n v="14.609259"/>
    <x v="2"/>
    <s v="Nokia"/>
    <s v="CLI-00414"/>
    <n v="99"/>
    <x v="1"/>
    <n v="447"/>
    <n v="38.1"/>
    <n v="3"/>
    <n v="7.45"/>
    <n v="7"/>
    <n v="8.25"/>
    <n v="8"/>
    <n v="0"/>
    <n v="0"/>
    <n v="0"/>
  </r>
  <r>
    <d v="2023-10-09T00:00:00"/>
    <d v="1899-12-30T02:36:00"/>
    <s v="ANT-0582"/>
    <n v="102"/>
    <x v="1"/>
    <x v="6"/>
    <n v="-1.4700059999999999"/>
    <n v="18.680958"/>
    <x v="2"/>
    <s v="Huawei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09T00:00:00"/>
    <d v="1899-12-30T06:42:00"/>
    <s v="ANT-0597"/>
    <n v="41"/>
    <x v="1"/>
    <x v="15"/>
    <n v="-9.3066320000000005"/>
    <n v="20.470889"/>
    <x v="0"/>
    <s v="ZTE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09T00:00:00"/>
    <d v="1899-12-30T22:59:00"/>
    <s v="ANT-0614"/>
    <n v="115"/>
    <x v="0"/>
    <x v="22"/>
    <n v="-6.1837850000000003"/>
    <n v="25.138759"/>
    <x v="2"/>
    <s v="Ericsson"/>
    <s v="CLI-00745"/>
    <n v="6"/>
    <x v="1"/>
    <n v="207"/>
    <n v="61.55"/>
    <n v="0"/>
    <n v="3.45"/>
    <n v="3"/>
    <n v="0.5"/>
    <n v="1"/>
    <n v="0"/>
    <n v="0"/>
    <n v="0"/>
  </r>
  <r>
    <d v="2023-10-09T00:00:00"/>
    <d v="1899-12-30T23:01:00"/>
    <s v="ANT-0653"/>
    <n v="98"/>
    <x v="2"/>
    <x v="13"/>
    <n v="0.82868600000000003"/>
    <n v="26.958843999999999"/>
    <x v="0"/>
    <s v="ZTE"/>
    <s v="CLI-00837"/>
    <n v="16"/>
    <x v="3"/>
    <n v="390"/>
    <n v="98.17"/>
    <n v="5"/>
    <n v="6.5"/>
    <n v="7"/>
    <n v="1.3333333333333333"/>
    <n v="1"/>
    <n v="0"/>
    <n v="0"/>
    <n v="0"/>
  </r>
  <r>
    <d v="2023-10-09T00:00:00"/>
    <d v="1899-12-30T01:45:00"/>
    <s v="ANT-0835"/>
    <n v="68"/>
    <x v="0"/>
    <x v="13"/>
    <n v="1.017161"/>
    <n v="16.519689"/>
    <x v="2"/>
    <s v="Nokia"/>
    <s v="CLI-00837"/>
    <n v="16"/>
    <x v="3"/>
    <n v="390"/>
    <n v="98.17"/>
    <n v="5"/>
    <n v="6.5"/>
    <n v="7"/>
    <n v="1.3333333333333333"/>
    <n v="1"/>
    <n v="0"/>
    <n v="0"/>
    <n v="0"/>
  </r>
  <r>
    <d v="2023-10-09T00:00:00"/>
    <d v="1899-12-30T12:41:00"/>
    <s v="ANT-0845"/>
    <n v="33"/>
    <x v="1"/>
    <x v="24"/>
    <n v="-10.872631999999999"/>
    <n v="12.773279"/>
    <x v="2"/>
    <s v="ZTE"/>
    <s v="CLI-01005"/>
    <n v="80"/>
    <x v="2"/>
    <n v="155"/>
    <n v="28.96"/>
    <n v="2"/>
    <n v="2.5833333333333335"/>
    <n v="3"/>
    <n v="6.666666666666667"/>
    <n v="7"/>
    <n v="0"/>
    <n v="0"/>
    <n v="0"/>
  </r>
  <r>
    <d v="2023-10-09T00:00:00"/>
    <d v="1899-12-30T20:44:00"/>
    <s v="ANT-0952"/>
    <n v="92"/>
    <x v="0"/>
    <x v="5"/>
    <n v="-0.77432100000000004"/>
    <n v="18.628658999999999"/>
    <x v="1"/>
    <s v="Huawei"/>
    <s v="CLI-00996"/>
    <n v="119"/>
    <x v="2"/>
    <n v="228"/>
    <n v="94.72"/>
    <n v="3"/>
    <n v="3.8"/>
    <n v="4"/>
    <n v="9.9166666666666661"/>
    <n v="10"/>
    <n v="0"/>
    <n v="0"/>
    <n v="0"/>
  </r>
  <r>
    <d v="2023-10-10T00:00:00"/>
    <d v="1899-12-30T13:24:00"/>
    <s v="ANT-0071"/>
    <n v="66"/>
    <x v="1"/>
    <x v="10"/>
    <n v="-12.595355"/>
    <n v="17.897442000000002"/>
    <x v="1"/>
    <s v="Huawei"/>
    <s v="CLI-01147"/>
    <n v="29"/>
    <x v="1"/>
    <n v="214"/>
    <n v="74.7"/>
    <n v="3"/>
    <n v="3.5666666666666669"/>
    <n v="4"/>
    <n v="2.4166666666666665"/>
    <n v="2"/>
    <n v="0"/>
    <n v="0"/>
    <n v="0"/>
  </r>
  <r>
    <d v="2023-10-10T00:00:00"/>
    <d v="1899-12-30T05:10:00"/>
    <s v="ANT-0164"/>
    <n v="23"/>
    <x v="2"/>
    <x v="2"/>
    <n v="-11.389362"/>
    <n v="22.240174"/>
    <x v="0"/>
    <s v="ZTE"/>
    <s v="CLI-00611"/>
    <n v="79"/>
    <x v="1"/>
    <n v="226"/>
    <n v="94.38"/>
    <n v="3"/>
    <n v="3.7666666666666666"/>
    <n v="4"/>
    <n v="6.583333333333333"/>
    <n v="7"/>
    <n v="0"/>
    <n v="0"/>
    <n v="0"/>
  </r>
  <r>
    <d v="2023-10-10T00:00:00"/>
    <d v="1899-12-30T08:46:00"/>
    <s v="ANT-0205"/>
    <n v="120"/>
    <x v="0"/>
    <x v="0"/>
    <n v="-1.4110389999999999"/>
    <n v="21.261644"/>
    <x v="1"/>
    <s v="ZTE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10T00:00:00"/>
    <d v="1899-12-30T22:32:00"/>
    <s v="ANT-0284"/>
    <n v="37"/>
    <x v="1"/>
    <x v="7"/>
    <n v="-5.5445120000000001"/>
    <n v="27.547335"/>
    <x v="1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10T00:00:00"/>
    <d v="1899-12-30T21:56:00"/>
    <s v="ANT-0292"/>
    <n v="111"/>
    <x v="2"/>
    <x v="9"/>
    <n v="-6.4197189999999997"/>
    <n v="22.287264"/>
    <x v="2"/>
    <s v="Ericsson"/>
    <s v="CLI-00414"/>
    <n v="99"/>
    <x v="1"/>
    <n v="447"/>
    <n v="38.1"/>
    <n v="3"/>
    <n v="7.45"/>
    <n v="7"/>
    <n v="8.25"/>
    <n v="8"/>
    <n v="0"/>
    <n v="0"/>
    <n v="0"/>
  </r>
  <r>
    <d v="2023-10-10T00:00:00"/>
    <d v="1899-12-30T18:39:00"/>
    <s v="ANT-0424"/>
    <n v="40"/>
    <x v="2"/>
    <x v="24"/>
    <n v="-9.5243310000000001"/>
    <n v="30.541212000000002"/>
    <x v="2"/>
    <s v="Ericsson"/>
    <s v="CLI-01005"/>
    <n v="80"/>
    <x v="2"/>
    <n v="155"/>
    <n v="28.96"/>
    <n v="2"/>
    <n v="2.5833333333333335"/>
    <n v="3"/>
    <n v="6.666666666666667"/>
    <n v="7"/>
    <n v="0"/>
    <n v="0"/>
    <n v="0"/>
  </r>
  <r>
    <d v="2023-10-10T00:00:00"/>
    <d v="1899-12-30T07:51:00"/>
    <s v="ANT-0451"/>
    <n v="107"/>
    <x v="1"/>
    <x v="23"/>
    <n v="-5.0402180000000003"/>
    <n v="13.892471"/>
    <x v="2"/>
    <s v="ZTE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10T00:00:00"/>
    <d v="1899-12-30T23:44:00"/>
    <s v="ANT-0578"/>
    <n v="51"/>
    <x v="1"/>
    <x v="23"/>
    <n v="-6.1490739999999997"/>
    <n v="23.304411000000002"/>
    <x v="0"/>
    <s v="ZTE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10T00:00:00"/>
    <d v="1899-12-30T21:38:00"/>
    <s v="ANT-0596"/>
    <n v="68"/>
    <x v="1"/>
    <x v="18"/>
    <n v="-8.3241560000000003"/>
    <n v="19.543866000000001"/>
    <x v="1"/>
    <s v="ZTE"/>
    <s v="CLI-00280"/>
    <n v="113"/>
    <x v="2"/>
    <n v="380"/>
    <n v="12.11"/>
    <n v="0"/>
    <n v="6.333333333333333"/>
    <n v="6"/>
    <n v="9.4166666666666661"/>
    <n v="9"/>
    <n v="0"/>
    <n v="0"/>
    <n v="0"/>
  </r>
  <r>
    <d v="2023-10-10T00:00:00"/>
    <d v="1899-12-30T15:50:00"/>
    <s v="ANT-0649"/>
    <n v="67"/>
    <x v="2"/>
    <x v="15"/>
    <n v="-7.7839049999999999"/>
    <n v="14.114281999999999"/>
    <x v="2"/>
    <s v="ZTE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10T00:00:00"/>
    <d v="1899-12-30T08:31:00"/>
    <s v="ANT-0690"/>
    <n v="99"/>
    <x v="1"/>
    <x v="2"/>
    <n v="1.3006180000000001"/>
    <n v="29.060970999999999"/>
    <x v="2"/>
    <s v="ZTE"/>
    <s v="CLI-00611"/>
    <n v="79"/>
    <x v="1"/>
    <n v="226"/>
    <n v="94.38"/>
    <n v="3"/>
    <n v="3.7666666666666666"/>
    <n v="4"/>
    <n v="6.583333333333333"/>
    <n v="7"/>
    <n v="0"/>
    <n v="0"/>
    <n v="0"/>
  </r>
  <r>
    <d v="2023-10-10T00:00:00"/>
    <d v="1899-12-30T12:35:00"/>
    <s v="ANT-0770"/>
    <n v="27"/>
    <x v="2"/>
    <x v="5"/>
    <n v="2.4741019999999998"/>
    <n v="29.297391000000001"/>
    <x v="1"/>
    <s v="Ericsson"/>
    <s v="CLI-00996"/>
    <n v="119"/>
    <x v="2"/>
    <n v="228"/>
    <n v="94.72"/>
    <n v="3"/>
    <n v="3.8"/>
    <n v="4"/>
    <n v="9.9166666666666661"/>
    <n v="10"/>
    <n v="0"/>
    <n v="0"/>
    <n v="0"/>
  </r>
  <r>
    <d v="2023-10-10T00:00:00"/>
    <d v="1899-12-30T22:07:00"/>
    <s v="ANT-0775"/>
    <n v="119"/>
    <x v="0"/>
    <x v="9"/>
    <n v="1.5278670000000001"/>
    <n v="13.899388999999999"/>
    <x v="2"/>
    <s v="Huawei"/>
    <s v="CLI-00414"/>
    <n v="99"/>
    <x v="1"/>
    <n v="447"/>
    <n v="38.1"/>
    <n v="3"/>
    <n v="7.45"/>
    <n v="7"/>
    <n v="8.25"/>
    <n v="8"/>
    <n v="0"/>
    <n v="0"/>
    <n v="0"/>
  </r>
  <r>
    <d v="2023-10-10T00:00:00"/>
    <d v="1899-12-30T21:34:00"/>
    <s v="ANT-0845"/>
    <n v="29"/>
    <x v="1"/>
    <x v="24"/>
    <n v="-10.872631999999999"/>
    <n v="12.773279"/>
    <x v="2"/>
    <s v="ZTE"/>
    <s v="CLI-01005"/>
    <n v="80"/>
    <x v="2"/>
    <n v="155"/>
    <n v="28.96"/>
    <n v="2"/>
    <n v="2.5833333333333335"/>
    <n v="3"/>
    <n v="6.666666666666667"/>
    <n v="7"/>
    <n v="0"/>
    <n v="0"/>
    <n v="0"/>
  </r>
  <r>
    <d v="2023-10-10T00:00:00"/>
    <d v="1899-12-30T19:47:00"/>
    <s v="ANT-0902"/>
    <n v="93"/>
    <x v="2"/>
    <x v="21"/>
    <n v="-10.414493"/>
    <n v="12.333356999999999"/>
    <x v="2"/>
    <s v="Ericsson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10T00:00:00"/>
    <d v="1899-12-30T21:47:00"/>
    <s v="ANT-0985"/>
    <n v="99"/>
    <x v="2"/>
    <x v="11"/>
    <n v="-7.6757720000000003"/>
    <n v="30.222971000000001"/>
    <x v="0"/>
    <s v="Ericsson"/>
    <s v="CLI-00559"/>
    <n v="99"/>
    <x v="3"/>
    <n v="369"/>
    <n v="67.209999999999994"/>
    <n v="3"/>
    <n v="6.15"/>
    <n v="6"/>
    <n v="8.25"/>
    <n v="8"/>
    <n v="0"/>
    <n v="0"/>
    <n v="0"/>
  </r>
  <r>
    <d v="2023-10-10T00:00:00"/>
    <d v="1899-12-30T12:45:00"/>
    <s v="ANT-0986"/>
    <n v="63"/>
    <x v="0"/>
    <x v="20"/>
    <n v="1.727095"/>
    <n v="22.099651999999999"/>
    <x v="1"/>
    <s v="Huawei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10T00:00:00"/>
    <d v="1899-12-30T20:27:00"/>
    <s v="ANT-0991"/>
    <n v="91"/>
    <x v="2"/>
    <x v="25"/>
    <n v="-12.431227"/>
    <n v="18.414290999999999"/>
    <x v="0"/>
    <s v="Huawei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11T00:00:00"/>
    <d v="1899-12-30T20:03:00"/>
    <s v="ANT-0010"/>
    <n v="80"/>
    <x v="1"/>
    <x v="7"/>
    <n v="4.4712560000000003"/>
    <n v="27.107028"/>
    <x v="2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11T00:00:00"/>
    <d v="1899-12-30T10:48:00"/>
    <s v="ANT-0088"/>
    <n v="66"/>
    <x v="0"/>
    <x v="24"/>
    <n v="-9.7803979999999999"/>
    <n v="17.686595000000001"/>
    <x v="1"/>
    <s v="Ericsson"/>
    <s v="CLI-01005"/>
    <n v="80"/>
    <x v="2"/>
    <n v="155"/>
    <n v="28.96"/>
    <n v="2"/>
    <n v="2.5833333333333335"/>
    <n v="3"/>
    <n v="6.666666666666667"/>
    <n v="7"/>
    <n v="0"/>
    <n v="0"/>
    <n v="0"/>
  </r>
  <r>
    <d v="2023-10-11T00:00:00"/>
    <d v="1899-12-30T16:53:00"/>
    <s v="ANT-0103"/>
    <n v="20"/>
    <x v="0"/>
    <x v="23"/>
    <n v="-0.79459900000000006"/>
    <n v="26.775570999999999"/>
    <x v="0"/>
    <s v="Huawei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11T00:00:00"/>
    <d v="1899-12-30T11:56:00"/>
    <s v="ANT-0136"/>
    <n v="75"/>
    <x v="2"/>
    <x v="6"/>
    <n v="-9.3900009999999998"/>
    <n v="30.001517"/>
    <x v="2"/>
    <s v="Nokia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11T00:00:00"/>
    <d v="1899-12-30T21:48:00"/>
    <s v="ANT-0194"/>
    <n v="57"/>
    <x v="2"/>
    <x v="15"/>
    <n v="8.5490999999999998E-2"/>
    <n v="26.296129000000001"/>
    <x v="2"/>
    <s v="ZTE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11T00:00:00"/>
    <d v="1899-12-30T16:28:00"/>
    <s v="ANT-0194"/>
    <n v="62"/>
    <x v="1"/>
    <x v="15"/>
    <n v="8.5490999999999998E-2"/>
    <n v="26.296129000000001"/>
    <x v="2"/>
    <s v="ZTE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11T00:00:00"/>
    <d v="1899-12-30T21:30:00"/>
    <s v="ANT-0295"/>
    <n v="110"/>
    <x v="2"/>
    <x v="11"/>
    <n v="-4.351254"/>
    <n v="30.097408999999999"/>
    <x v="0"/>
    <s v="Nokia"/>
    <s v="CLI-00559"/>
    <n v="99"/>
    <x v="3"/>
    <n v="369"/>
    <n v="67.209999999999994"/>
    <n v="3"/>
    <n v="6.15"/>
    <n v="6"/>
    <n v="8.25"/>
    <n v="8"/>
    <n v="0"/>
    <n v="0"/>
    <n v="0"/>
  </r>
  <r>
    <d v="2023-10-11T00:00:00"/>
    <d v="1899-12-30T23:04:00"/>
    <s v="ANT-0353"/>
    <n v="66"/>
    <x v="0"/>
    <x v="2"/>
    <n v="-11.991020000000001"/>
    <n v="22.514747"/>
    <x v="0"/>
    <s v="ZTE"/>
    <s v="CLI-00611"/>
    <n v="79"/>
    <x v="1"/>
    <n v="226"/>
    <n v="94.38"/>
    <n v="3"/>
    <n v="3.7666666666666666"/>
    <n v="4"/>
    <n v="6.583333333333333"/>
    <n v="7"/>
    <n v="0"/>
    <n v="0"/>
    <n v="0"/>
  </r>
  <r>
    <d v="2023-10-11T00:00:00"/>
    <d v="1899-12-30T11:00:00"/>
    <s v="ANT-0371"/>
    <n v="95"/>
    <x v="1"/>
    <x v="8"/>
    <n v="-12.112682"/>
    <n v="19.972052000000001"/>
    <x v="1"/>
    <s v="Huawei"/>
    <s v="CLI-01325"/>
    <n v="44"/>
    <x v="3"/>
    <n v="348"/>
    <n v="58.67"/>
    <n v="0"/>
    <n v="5.8"/>
    <n v="6"/>
    <n v="3.6666666666666665"/>
    <n v="4"/>
    <n v="0"/>
    <n v="0"/>
    <n v="0"/>
  </r>
  <r>
    <d v="2023-10-11T00:00:00"/>
    <d v="1899-12-30T00:45:00"/>
    <s v="ANT-0373"/>
    <n v="63"/>
    <x v="2"/>
    <x v="25"/>
    <n v="-9.0798120000000004"/>
    <n v="14.945484"/>
    <x v="0"/>
    <s v="Ericsson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11T00:00:00"/>
    <d v="1899-12-30T21:07:00"/>
    <s v="ANT-0484"/>
    <n v="53"/>
    <x v="0"/>
    <x v="1"/>
    <n v="-7.8770429999999996"/>
    <n v="16.357762999999998"/>
    <x v="1"/>
    <s v="Ericsson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11T00:00:00"/>
    <d v="1899-12-30T22:14:00"/>
    <s v="ANT-0511"/>
    <n v="45"/>
    <x v="1"/>
    <x v="8"/>
    <n v="1.210869"/>
    <n v="25.598741"/>
    <x v="1"/>
    <s v="Ericsson"/>
    <s v="CLI-01325"/>
    <n v="44"/>
    <x v="3"/>
    <n v="348"/>
    <n v="58.67"/>
    <n v="0"/>
    <n v="5.8"/>
    <n v="6"/>
    <n v="3.6666666666666665"/>
    <n v="4"/>
    <n v="0"/>
    <n v="0"/>
    <n v="0"/>
  </r>
  <r>
    <d v="2023-10-11T00:00:00"/>
    <d v="1899-12-30T09:21:00"/>
    <s v="ANT-0531"/>
    <n v="85"/>
    <x v="0"/>
    <x v="20"/>
    <n v="-4.2645619999999997"/>
    <n v="18.960726000000001"/>
    <x v="1"/>
    <s v="Huawei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11T00:00:00"/>
    <d v="1899-12-30T20:05:00"/>
    <s v="ANT-0715"/>
    <n v="118"/>
    <x v="0"/>
    <x v="16"/>
    <n v="-11.407966"/>
    <n v="28.378274000000001"/>
    <x v="1"/>
    <s v="ZTE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11T00:00:00"/>
    <d v="1899-12-30T04:02:00"/>
    <s v="ANT-0768"/>
    <n v="110"/>
    <x v="0"/>
    <x v="17"/>
    <n v="-9.9565739999999998"/>
    <n v="21.017202000000001"/>
    <x v="1"/>
    <s v="Huawei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11T00:00:00"/>
    <d v="1899-12-30T06:44:00"/>
    <s v="ANT-0786"/>
    <n v="43"/>
    <x v="1"/>
    <x v="18"/>
    <n v="-12.342053999999999"/>
    <n v="18.756862000000002"/>
    <x v="2"/>
    <s v="Ericsson"/>
    <s v="CLI-00280"/>
    <n v="113"/>
    <x v="2"/>
    <n v="380"/>
    <n v="12.11"/>
    <n v="0"/>
    <n v="6.333333333333333"/>
    <n v="6"/>
    <n v="9.4166666666666661"/>
    <n v="9"/>
    <n v="0"/>
    <n v="0"/>
    <n v="0"/>
  </r>
  <r>
    <d v="2023-10-11T00:00:00"/>
    <d v="1899-12-30T09:24:00"/>
    <s v="ANT-0835"/>
    <n v="85"/>
    <x v="1"/>
    <x v="13"/>
    <n v="1.017161"/>
    <n v="16.519689"/>
    <x v="2"/>
    <s v="Nokia"/>
    <s v="CLI-00837"/>
    <n v="16"/>
    <x v="3"/>
    <n v="390"/>
    <n v="98.17"/>
    <n v="5"/>
    <n v="6.5"/>
    <n v="7"/>
    <n v="1.3333333333333333"/>
    <n v="1"/>
    <n v="0"/>
    <n v="0"/>
    <n v="0"/>
  </r>
  <r>
    <d v="2023-10-11T00:00:00"/>
    <d v="1899-12-30T16:33:00"/>
    <s v="ANT-0865"/>
    <n v="16"/>
    <x v="0"/>
    <x v="19"/>
    <n v="-4.869434"/>
    <n v="22.326522000000001"/>
    <x v="0"/>
    <s v="Ericsson"/>
    <s v="CLI-00439"/>
    <n v="40"/>
    <x v="1"/>
    <n v="345"/>
    <n v="89.55"/>
    <n v="3"/>
    <n v="5.75"/>
    <n v="6"/>
    <n v="3.3333333333333335"/>
    <n v="3"/>
    <n v="0"/>
    <n v="0"/>
    <n v="0"/>
  </r>
  <r>
    <d v="2023-10-11T00:00:00"/>
    <d v="1899-12-30T08:48:00"/>
    <s v="ANT-0869"/>
    <n v="67"/>
    <x v="1"/>
    <x v="24"/>
    <n v="-8.0301989999999996"/>
    <n v="24.122495000000001"/>
    <x v="0"/>
    <s v="ZTE"/>
    <s v="CLI-01005"/>
    <n v="80"/>
    <x v="2"/>
    <n v="155"/>
    <n v="28.96"/>
    <n v="2"/>
    <n v="2.5833333333333335"/>
    <n v="3"/>
    <n v="6.666666666666667"/>
    <n v="7"/>
    <n v="0"/>
    <n v="0"/>
    <n v="0"/>
  </r>
  <r>
    <d v="2023-10-11T00:00:00"/>
    <d v="1899-12-30T01:14:00"/>
    <s v="ANT-0900"/>
    <n v="73"/>
    <x v="0"/>
    <x v="17"/>
    <n v="-10.776204"/>
    <n v="24.672934000000001"/>
    <x v="1"/>
    <s v="Ericsson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11T00:00:00"/>
    <d v="1899-12-30T13:38:00"/>
    <s v="ANT-0913"/>
    <n v="96"/>
    <x v="0"/>
    <x v="2"/>
    <n v="-5.4126279999999998"/>
    <n v="25.498235999999999"/>
    <x v="0"/>
    <s v="ZTE"/>
    <s v="CLI-00611"/>
    <n v="79"/>
    <x v="1"/>
    <n v="226"/>
    <n v="94.38"/>
    <n v="3"/>
    <n v="3.7666666666666666"/>
    <n v="4"/>
    <n v="6.583333333333333"/>
    <n v="7"/>
    <n v="0"/>
    <n v="0"/>
    <n v="0"/>
  </r>
  <r>
    <d v="2023-10-12T00:00:00"/>
    <d v="1899-12-30T06:42:00"/>
    <s v="ANT-0001"/>
    <n v="75"/>
    <x v="0"/>
    <x v="15"/>
    <n v="-8.1437910000000002"/>
    <n v="28.946161"/>
    <x v="1"/>
    <s v="ZTE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12T00:00:00"/>
    <d v="1899-12-30T14:39:00"/>
    <s v="ANT-0037"/>
    <n v="114"/>
    <x v="0"/>
    <x v="10"/>
    <n v="-7.0076900000000002"/>
    <n v="27.367121999999998"/>
    <x v="2"/>
    <s v="Nokia"/>
    <s v="CLI-01147"/>
    <n v="29"/>
    <x v="1"/>
    <n v="214"/>
    <n v="74.7"/>
    <n v="3"/>
    <n v="3.5666666666666669"/>
    <n v="4"/>
    <n v="2.4166666666666665"/>
    <n v="2"/>
    <n v="0"/>
    <n v="0"/>
    <n v="0"/>
  </r>
  <r>
    <d v="2023-10-12T00:00:00"/>
    <d v="1899-12-30T01:32:00"/>
    <s v="ANT-0066"/>
    <n v="6"/>
    <x v="2"/>
    <x v="14"/>
    <n v="1.7832440000000001"/>
    <n v="25.477405999999998"/>
    <x v="0"/>
    <s v="Huawei"/>
    <s v="CLI-01837"/>
    <n v="97"/>
    <x v="0"/>
    <n v="319"/>
    <n v="31.25"/>
    <n v="1"/>
    <n v="5.3166666666666664"/>
    <n v="5"/>
    <n v="8.0833333333333339"/>
    <n v="8"/>
    <n v="3.125"/>
    <n v="3"/>
    <n v="93.75"/>
  </r>
  <r>
    <d v="2023-10-12T00:00:00"/>
    <d v="1899-12-30T17:24:00"/>
    <s v="ANT-0205"/>
    <n v="84"/>
    <x v="2"/>
    <x v="0"/>
    <n v="-1.4110389999999999"/>
    <n v="21.261644"/>
    <x v="1"/>
    <s v="ZTE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12T00:00:00"/>
    <d v="1899-12-30T14:06:00"/>
    <s v="ANT-0226"/>
    <n v="27"/>
    <x v="2"/>
    <x v="23"/>
    <n v="-7.8215969999999997"/>
    <n v="26.797349000000001"/>
    <x v="2"/>
    <s v="Ericsson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12T00:00:00"/>
    <d v="1899-12-30T02:22:00"/>
    <s v="ANT-0416"/>
    <n v="59"/>
    <x v="2"/>
    <x v="18"/>
    <n v="-11.387295999999999"/>
    <n v="19.384257999999999"/>
    <x v="2"/>
    <s v="Huawei"/>
    <s v="CLI-00280"/>
    <n v="113"/>
    <x v="2"/>
    <n v="380"/>
    <n v="12.11"/>
    <n v="0"/>
    <n v="6.333333333333333"/>
    <n v="6"/>
    <n v="9.4166666666666661"/>
    <n v="9"/>
    <n v="0"/>
    <n v="0"/>
    <n v="0"/>
  </r>
  <r>
    <d v="2023-10-12T00:00:00"/>
    <d v="1899-12-30T10:12:00"/>
    <s v="ANT-0436"/>
    <n v="57"/>
    <x v="1"/>
    <x v="22"/>
    <n v="-4.5603610000000003"/>
    <n v="24.113918999999999"/>
    <x v="0"/>
    <s v="ZTE"/>
    <s v="CLI-00745"/>
    <n v="6"/>
    <x v="1"/>
    <n v="207"/>
    <n v="61.55"/>
    <n v="0"/>
    <n v="3.45"/>
    <n v="3"/>
    <n v="0.5"/>
    <n v="1"/>
    <n v="0"/>
    <n v="0"/>
    <n v="0"/>
  </r>
  <r>
    <d v="2023-10-12T00:00:00"/>
    <d v="1899-12-30T02:34:00"/>
    <s v="ANT-0441"/>
    <n v="87"/>
    <x v="2"/>
    <x v="6"/>
    <n v="-5.2526849999999996"/>
    <n v="12.374528"/>
    <x v="2"/>
    <s v="Nokia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12T00:00:00"/>
    <d v="1899-12-30T07:36:00"/>
    <s v="ANT-0446"/>
    <n v="93"/>
    <x v="2"/>
    <x v="24"/>
    <n v="1.286548"/>
    <n v="29.823702999999998"/>
    <x v="1"/>
    <s v="ZTE"/>
    <s v="CLI-01005"/>
    <n v="80"/>
    <x v="2"/>
    <n v="155"/>
    <n v="28.96"/>
    <n v="2"/>
    <n v="2.5833333333333335"/>
    <n v="3"/>
    <n v="6.666666666666667"/>
    <n v="7"/>
    <n v="0"/>
    <n v="0"/>
    <n v="0"/>
  </r>
  <r>
    <d v="2023-10-12T00:00:00"/>
    <d v="1899-12-30T05:16:00"/>
    <s v="ANT-0470"/>
    <n v="5"/>
    <x v="0"/>
    <x v="13"/>
    <n v="-8.9586360000000003"/>
    <n v="17.157720000000001"/>
    <x v="2"/>
    <s v="Nokia"/>
    <s v="CLI-00837"/>
    <n v="16"/>
    <x v="3"/>
    <n v="390"/>
    <n v="98.17"/>
    <n v="5"/>
    <n v="6.5"/>
    <n v="7"/>
    <n v="1.3333333333333333"/>
    <n v="1"/>
    <n v="0"/>
    <n v="0"/>
    <n v="0"/>
  </r>
  <r>
    <d v="2023-10-12T00:00:00"/>
    <d v="1899-12-30T11:27:00"/>
    <s v="ANT-0553"/>
    <n v="111"/>
    <x v="0"/>
    <x v="13"/>
    <n v="4.6287159999999998"/>
    <n v="19.407077999999998"/>
    <x v="1"/>
    <s v="Ericsson"/>
    <s v="CLI-00837"/>
    <n v="16"/>
    <x v="3"/>
    <n v="390"/>
    <n v="98.17"/>
    <n v="5"/>
    <n v="6.5"/>
    <n v="7"/>
    <n v="1.3333333333333333"/>
    <n v="1"/>
    <n v="0"/>
    <n v="0"/>
    <n v="0"/>
  </r>
  <r>
    <d v="2023-10-12T00:00:00"/>
    <d v="1899-12-30T10:11:00"/>
    <s v="ANT-0563"/>
    <n v="116"/>
    <x v="1"/>
    <x v="13"/>
    <n v="-1.8555980000000001"/>
    <n v="30.421918000000002"/>
    <x v="2"/>
    <s v="ZTE"/>
    <s v="CLI-00837"/>
    <n v="16"/>
    <x v="3"/>
    <n v="390"/>
    <n v="98.17"/>
    <n v="5"/>
    <n v="6.5"/>
    <n v="7"/>
    <n v="1.3333333333333333"/>
    <n v="1"/>
    <n v="0"/>
    <n v="0"/>
    <n v="0"/>
  </r>
  <r>
    <d v="2023-10-12T00:00:00"/>
    <d v="1899-12-30T14:51:00"/>
    <s v="ANT-0631"/>
    <n v="92"/>
    <x v="0"/>
    <x v="22"/>
    <n v="-0.85624699999999998"/>
    <n v="28.624870000000001"/>
    <x v="2"/>
    <s v="Ericsson"/>
    <s v="CLI-00745"/>
    <n v="6"/>
    <x v="1"/>
    <n v="207"/>
    <n v="61.55"/>
    <n v="0"/>
    <n v="3.45"/>
    <n v="3"/>
    <n v="0.5"/>
    <n v="1"/>
    <n v="0"/>
    <n v="0"/>
    <n v="0"/>
  </r>
  <r>
    <d v="2023-10-12T00:00:00"/>
    <d v="1899-12-30T21:20:00"/>
    <s v="ANT-0670"/>
    <n v="87"/>
    <x v="1"/>
    <x v="19"/>
    <n v="-7.1483749999999997"/>
    <n v="26.014271000000001"/>
    <x v="0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12T00:00:00"/>
    <d v="1899-12-30T17:21:00"/>
    <s v="ANT-0696"/>
    <n v="28"/>
    <x v="0"/>
    <x v="19"/>
    <n v="-6.9624990000000002"/>
    <n v="20.759834999999999"/>
    <x v="1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12T00:00:00"/>
    <d v="1899-12-30T03:05:00"/>
    <s v="ANT-0745"/>
    <n v="110"/>
    <x v="1"/>
    <x v="6"/>
    <n v="2.453036"/>
    <n v="20.555484"/>
    <x v="0"/>
    <s v="Ericsson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12T00:00:00"/>
    <d v="1899-12-30T21:43:00"/>
    <s v="ANT-0786"/>
    <n v="45"/>
    <x v="2"/>
    <x v="18"/>
    <n v="-12.342053999999999"/>
    <n v="18.756862000000002"/>
    <x v="2"/>
    <s v="Ericsson"/>
    <s v="CLI-00280"/>
    <n v="113"/>
    <x v="2"/>
    <n v="380"/>
    <n v="12.11"/>
    <n v="0"/>
    <n v="6.333333333333333"/>
    <n v="6"/>
    <n v="9.4166666666666661"/>
    <n v="9"/>
    <n v="0"/>
    <n v="0"/>
    <n v="0"/>
  </r>
  <r>
    <d v="2023-10-12T00:00:00"/>
    <d v="1899-12-30T02:33:00"/>
    <s v="ANT-0811"/>
    <n v="107"/>
    <x v="0"/>
    <x v="11"/>
    <n v="-5.125"/>
    <n v="23.513119"/>
    <x v="0"/>
    <s v="Huawei"/>
    <s v="CLI-00559"/>
    <n v="99"/>
    <x v="3"/>
    <n v="369"/>
    <n v="67.209999999999994"/>
    <n v="3"/>
    <n v="6.15"/>
    <n v="6"/>
    <n v="8.25"/>
    <n v="8"/>
    <n v="0"/>
    <n v="0"/>
    <n v="0"/>
  </r>
  <r>
    <d v="2023-10-12T00:00:00"/>
    <d v="1899-12-30T05:38:00"/>
    <s v="ANT-0812"/>
    <n v="62"/>
    <x v="2"/>
    <x v="13"/>
    <n v="-2.3102109999999998"/>
    <n v="12.362488000000001"/>
    <x v="0"/>
    <s v="Nokia"/>
    <s v="CLI-00837"/>
    <n v="16"/>
    <x v="3"/>
    <n v="390"/>
    <n v="98.17"/>
    <n v="5"/>
    <n v="6.5"/>
    <n v="7"/>
    <n v="1.3333333333333333"/>
    <n v="1"/>
    <n v="0"/>
    <n v="0"/>
    <n v="0"/>
  </r>
  <r>
    <d v="2023-10-12T00:00:00"/>
    <d v="1899-12-30T01:06:00"/>
    <s v="ANT-0837"/>
    <n v="18"/>
    <x v="2"/>
    <x v="16"/>
    <n v="-5.3762689999999997"/>
    <n v="28.189575999999999"/>
    <x v="0"/>
    <s v="Huawei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12T00:00:00"/>
    <d v="1899-12-30T05:23:00"/>
    <s v="ANT-0941"/>
    <n v="37"/>
    <x v="0"/>
    <x v="17"/>
    <n v="-2.4662510000000002"/>
    <n v="18.007998000000001"/>
    <x v="0"/>
    <s v="Ericsson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12T00:00:00"/>
    <d v="1899-12-30T08:06:00"/>
    <s v="ANT-0966"/>
    <n v="88"/>
    <x v="1"/>
    <x v="10"/>
    <n v="-12.364127999999999"/>
    <n v="19.576150999999999"/>
    <x v="2"/>
    <s v="Nokia"/>
    <s v="CLI-01147"/>
    <n v="29"/>
    <x v="1"/>
    <n v="214"/>
    <n v="74.7"/>
    <n v="3"/>
    <n v="3.5666666666666669"/>
    <n v="4"/>
    <n v="2.4166666666666665"/>
    <n v="2"/>
    <n v="0"/>
    <n v="0"/>
    <n v="0"/>
  </r>
  <r>
    <d v="2023-10-13T00:00:00"/>
    <d v="1899-12-30T13:38:00"/>
    <s v="ANT-0090"/>
    <n v="42"/>
    <x v="1"/>
    <x v="21"/>
    <n v="-7.3379339999999997"/>
    <n v="28.404001999999998"/>
    <x v="2"/>
    <s v="Nokia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13T00:00:00"/>
    <d v="1899-12-30T10:01:00"/>
    <s v="ANT-0117"/>
    <n v="55"/>
    <x v="1"/>
    <x v="20"/>
    <n v="1.938083"/>
    <n v="28.25281"/>
    <x v="1"/>
    <s v="Nokia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13T00:00:00"/>
    <d v="1899-12-30T21:01:00"/>
    <s v="ANT-0132"/>
    <n v="23"/>
    <x v="0"/>
    <x v="5"/>
    <n v="1.2691650000000001"/>
    <n v="18.789956"/>
    <x v="2"/>
    <s v="Nokia"/>
    <s v="CLI-00996"/>
    <n v="119"/>
    <x v="2"/>
    <n v="228"/>
    <n v="94.72"/>
    <n v="3"/>
    <n v="3.8"/>
    <n v="4"/>
    <n v="9.9166666666666661"/>
    <n v="10"/>
    <n v="0"/>
    <n v="0"/>
    <n v="0"/>
  </r>
  <r>
    <d v="2023-10-13T00:00:00"/>
    <d v="1899-12-30T21:38:00"/>
    <s v="ANT-0134"/>
    <n v="58"/>
    <x v="0"/>
    <x v="25"/>
    <n v="-10.963041"/>
    <n v="12.269857"/>
    <x v="1"/>
    <s v="Huawei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13T00:00:00"/>
    <d v="1899-12-30T07:28:00"/>
    <s v="ANT-0183"/>
    <n v="79"/>
    <x v="0"/>
    <x v="25"/>
    <n v="4.8319039999999998"/>
    <n v="20.733468999999999"/>
    <x v="0"/>
    <s v="Ericsson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13T00:00:00"/>
    <d v="1899-12-30T17:18:00"/>
    <s v="ANT-0241"/>
    <n v="33"/>
    <x v="2"/>
    <x v="3"/>
    <n v="-5.7957599999999996"/>
    <n v="14.078258"/>
    <x v="0"/>
    <s v="Ericsson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13T00:00:00"/>
    <d v="1899-12-30T14:23:00"/>
    <s v="ANT-0503"/>
    <n v="58"/>
    <x v="1"/>
    <x v="19"/>
    <n v="-1.8045979999999999"/>
    <n v="12.511096999999999"/>
    <x v="2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13T00:00:00"/>
    <d v="1899-12-30T10:44:00"/>
    <s v="ANT-0524"/>
    <n v="88"/>
    <x v="1"/>
    <x v="5"/>
    <n v="-7.402336"/>
    <n v="27.376697"/>
    <x v="1"/>
    <s v="Huawei"/>
    <s v="CLI-00996"/>
    <n v="119"/>
    <x v="2"/>
    <n v="228"/>
    <n v="94.72"/>
    <n v="3"/>
    <n v="3.8"/>
    <n v="4"/>
    <n v="9.9166666666666661"/>
    <n v="10"/>
    <n v="0"/>
    <n v="0"/>
    <n v="0"/>
  </r>
  <r>
    <d v="2023-10-13T00:00:00"/>
    <d v="1899-12-30T23:10:00"/>
    <s v="ANT-0611"/>
    <n v="27"/>
    <x v="2"/>
    <x v="4"/>
    <n v="0.79124300000000003"/>
    <n v="25.273389000000002"/>
    <x v="1"/>
    <s v="Nokia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13T00:00:00"/>
    <d v="1899-12-30T18:07:00"/>
    <s v="ANT-0770"/>
    <n v="112"/>
    <x v="2"/>
    <x v="5"/>
    <n v="2.4741019999999998"/>
    <n v="29.297391000000001"/>
    <x v="1"/>
    <s v="Ericsson"/>
    <s v="CLI-00996"/>
    <n v="119"/>
    <x v="2"/>
    <n v="228"/>
    <n v="94.72"/>
    <n v="3"/>
    <n v="3.8"/>
    <n v="4"/>
    <n v="9.9166666666666661"/>
    <n v="10"/>
    <n v="0"/>
    <n v="0"/>
    <n v="0"/>
  </r>
  <r>
    <d v="2023-10-13T00:00:00"/>
    <d v="1899-12-30T03:22:00"/>
    <s v="ANT-0862"/>
    <n v="19"/>
    <x v="1"/>
    <x v="17"/>
    <n v="-9.4708620000000003"/>
    <n v="29.234387999999999"/>
    <x v="2"/>
    <s v="ZTE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13T00:00:00"/>
    <d v="1899-12-30T02:46:00"/>
    <s v="ANT-0957"/>
    <n v="15"/>
    <x v="1"/>
    <x v="8"/>
    <n v="-7.1785899999999998"/>
    <n v="24.4404"/>
    <x v="1"/>
    <s v="Nokia"/>
    <s v="CLI-01325"/>
    <n v="44"/>
    <x v="3"/>
    <n v="348"/>
    <n v="58.67"/>
    <n v="0"/>
    <n v="5.8"/>
    <n v="6"/>
    <n v="3.6666666666666665"/>
    <n v="4"/>
    <n v="0"/>
    <n v="0"/>
    <n v="0"/>
  </r>
  <r>
    <d v="2023-10-14T00:00:00"/>
    <d v="1899-12-30T18:19:00"/>
    <s v="ANT-0103"/>
    <n v="119"/>
    <x v="2"/>
    <x v="23"/>
    <n v="-0.79459900000000006"/>
    <n v="26.775570999999999"/>
    <x v="0"/>
    <s v="Huawei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14T00:00:00"/>
    <d v="1899-12-30T08:26:00"/>
    <s v="ANT-0143"/>
    <n v="86"/>
    <x v="2"/>
    <x v="20"/>
    <n v="4.8228650000000002"/>
    <n v="30.555627000000001"/>
    <x v="1"/>
    <s v="Huawei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14T00:00:00"/>
    <d v="1899-12-30T07:28:00"/>
    <s v="ANT-0183"/>
    <n v="22"/>
    <x v="1"/>
    <x v="25"/>
    <n v="4.8319039999999998"/>
    <n v="20.733468999999999"/>
    <x v="0"/>
    <s v="Ericsson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14T00:00:00"/>
    <d v="1899-12-30T06:06:00"/>
    <s v="ANT-0271"/>
    <n v="73"/>
    <x v="2"/>
    <x v="3"/>
    <n v="-5.1030600000000002"/>
    <n v="22.849231"/>
    <x v="0"/>
    <s v="ZTE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14T00:00:00"/>
    <d v="1899-12-30T05:42:00"/>
    <s v="ANT-0282"/>
    <n v="68"/>
    <x v="2"/>
    <x v="13"/>
    <n v="-10.25074"/>
    <n v="26.099086"/>
    <x v="1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14T00:00:00"/>
    <d v="1899-12-30T08:13:00"/>
    <s v="ANT-0348"/>
    <n v="63"/>
    <x v="1"/>
    <x v="6"/>
    <n v="0.31740800000000002"/>
    <n v="27.197666999999999"/>
    <x v="0"/>
    <s v="Nokia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14T00:00:00"/>
    <d v="1899-12-30T01:36:00"/>
    <s v="ANT-0416"/>
    <n v="63"/>
    <x v="0"/>
    <x v="18"/>
    <n v="-11.387295999999999"/>
    <n v="19.384257999999999"/>
    <x v="2"/>
    <s v="Huawei"/>
    <s v="CLI-00280"/>
    <n v="113"/>
    <x v="2"/>
    <n v="380"/>
    <n v="12.11"/>
    <n v="0"/>
    <n v="6.333333333333333"/>
    <n v="6"/>
    <n v="9.4166666666666661"/>
    <n v="9"/>
    <n v="0"/>
    <n v="0"/>
    <n v="0"/>
  </r>
  <r>
    <d v="2023-10-14T00:00:00"/>
    <d v="1899-12-30T03:29:00"/>
    <s v="ANT-0430"/>
    <n v="105"/>
    <x v="1"/>
    <x v="5"/>
    <n v="-10.939712999999999"/>
    <n v="18.276230999999999"/>
    <x v="1"/>
    <s v="ZTE"/>
    <s v="CLI-00996"/>
    <n v="119"/>
    <x v="2"/>
    <n v="228"/>
    <n v="94.72"/>
    <n v="3"/>
    <n v="3.8"/>
    <n v="4"/>
    <n v="9.9166666666666661"/>
    <n v="10"/>
    <n v="0"/>
    <n v="0"/>
    <n v="0"/>
  </r>
  <r>
    <d v="2023-10-14T00:00:00"/>
    <d v="1899-12-30T12:27:00"/>
    <s v="ANT-0533"/>
    <n v="88"/>
    <x v="1"/>
    <x v="1"/>
    <n v="4.8265669999999998"/>
    <n v="28.535277000000001"/>
    <x v="2"/>
    <s v="Huawei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14T00:00:00"/>
    <d v="1899-12-30T05:43:00"/>
    <s v="ANT-0607"/>
    <n v="53"/>
    <x v="1"/>
    <x v="15"/>
    <n v="-8.4985189999999999"/>
    <n v="12.929456999999999"/>
    <x v="1"/>
    <s v="Ericsson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14T00:00:00"/>
    <d v="1899-12-30T20:56:00"/>
    <s v="ANT-0619"/>
    <n v="46"/>
    <x v="1"/>
    <x v="0"/>
    <n v="-7.513261"/>
    <n v="24.338812000000001"/>
    <x v="0"/>
    <s v="Huawei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14T00:00:00"/>
    <d v="1899-12-30T00:39:00"/>
    <s v="ANT-0630"/>
    <n v="68"/>
    <x v="2"/>
    <x v="25"/>
    <n v="-8.1210620000000002"/>
    <n v="21.094390000000001"/>
    <x v="0"/>
    <s v="ZTE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14T00:00:00"/>
    <d v="1899-12-30T21:47:00"/>
    <s v="ANT-0678"/>
    <n v="52"/>
    <x v="0"/>
    <x v="13"/>
    <n v="-10.298385"/>
    <n v="29.698117"/>
    <x v="0"/>
    <s v="Nokia"/>
    <s v="CLI-00837"/>
    <n v="16"/>
    <x v="3"/>
    <n v="390"/>
    <n v="98.17"/>
    <n v="5"/>
    <n v="6.5"/>
    <n v="7"/>
    <n v="1.3333333333333333"/>
    <n v="1"/>
    <n v="0"/>
    <n v="0"/>
    <n v="0"/>
  </r>
  <r>
    <d v="2023-10-14T00:00:00"/>
    <d v="1899-12-30T00:33:00"/>
    <s v="ANT-0737"/>
    <n v="56"/>
    <x v="2"/>
    <x v="4"/>
    <n v="-2.8211520000000001"/>
    <n v="20.651419000000001"/>
    <x v="0"/>
    <s v="Ericsson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14T00:00:00"/>
    <d v="1899-12-30T01:01:00"/>
    <s v="ANT-0737"/>
    <n v="119"/>
    <x v="1"/>
    <x v="4"/>
    <n v="-2.8211520000000001"/>
    <n v="20.651419000000001"/>
    <x v="0"/>
    <s v="Ericsson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14T00:00:00"/>
    <d v="1899-12-30T22:46:00"/>
    <s v="ANT-0760"/>
    <n v="72"/>
    <x v="1"/>
    <x v="0"/>
    <n v="-2.7140689999999998"/>
    <n v="22.222104000000002"/>
    <x v="1"/>
    <s v="Nokia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14T00:00:00"/>
    <d v="1899-12-30T15:30:00"/>
    <s v="ANT-0790"/>
    <n v="95"/>
    <x v="0"/>
    <x v="7"/>
    <n v="-2.9417719999999998"/>
    <n v="18.587305000000001"/>
    <x v="0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14T00:00:00"/>
    <d v="1899-12-30T05:03:00"/>
    <s v="ANT-0875"/>
    <n v="28"/>
    <x v="2"/>
    <x v="8"/>
    <n v="-3.1608390000000002"/>
    <n v="13.244503999999999"/>
    <x v="2"/>
    <s v="Huawei"/>
    <s v="CLI-01325"/>
    <n v="44"/>
    <x v="3"/>
    <n v="348"/>
    <n v="58.67"/>
    <n v="0"/>
    <n v="5.8"/>
    <n v="6"/>
    <n v="3.6666666666666665"/>
    <n v="4"/>
    <n v="0"/>
    <n v="0"/>
    <n v="0"/>
  </r>
  <r>
    <d v="2023-10-14T00:00:00"/>
    <d v="1899-12-30T18:43:00"/>
    <s v="ANT-0995"/>
    <n v="120"/>
    <x v="0"/>
    <x v="0"/>
    <n v="-7.5969509999999998"/>
    <n v="22.153986"/>
    <x v="2"/>
    <s v="Ericsson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15T00:00:00"/>
    <d v="1899-12-30T10:59:00"/>
    <s v="ANT-0131"/>
    <n v="48"/>
    <x v="2"/>
    <x v="18"/>
    <n v="-9.3652239999999995"/>
    <n v="22.593423999999999"/>
    <x v="0"/>
    <s v="Nokia"/>
    <s v="CLI-00280"/>
    <n v="113"/>
    <x v="2"/>
    <n v="380"/>
    <n v="12.11"/>
    <n v="0"/>
    <n v="6.333333333333333"/>
    <n v="6"/>
    <n v="9.4166666666666661"/>
    <n v="9"/>
    <n v="0"/>
    <n v="0"/>
    <n v="0"/>
  </r>
  <r>
    <d v="2023-10-15T00:00:00"/>
    <d v="1899-12-30T16:45:00"/>
    <s v="ANT-0236"/>
    <n v="98"/>
    <x v="2"/>
    <x v="12"/>
    <n v="-12.192204"/>
    <n v="28.468682000000001"/>
    <x v="2"/>
    <s v="ZTE"/>
    <s v="CLI-00361"/>
    <n v="66"/>
    <x v="2"/>
    <n v="270"/>
    <n v="75.88"/>
    <n v="3"/>
    <n v="4.5"/>
    <n v="5"/>
    <n v="5.5"/>
    <n v="6"/>
    <n v="0"/>
    <n v="0"/>
    <n v="0"/>
  </r>
  <r>
    <d v="2023-10-15T00:00:00"/>
    <d v="1899-12-30T23:03:00"/>
    <s v="ANT-0258"/>
    <n v="38"/>
    <x v="0"/>
    <x v="24"/>
    <n v="-11.710407999999999"/>
    <n v="23.741330999999999"/>
    <x v="2"/>
    <s v="Huawei"/>
    <s v="CLI-01005"/>
    <n v="80"/>
    <x v="2"/>
    <n v="155"/>
    <n v="28.96"/>
    <n v="2"/>
    <n v="2.5833333333333335"/>
    <n v="3"/>
    <n v="6.666666666666667"/>
    <n v="7"/>
    <n v="0"/>
    <n v="0"/>
    <n v="0"/>
  </r>
  <r>
    <d v="2023-10-15T00:00:00"/>
    <d v="1899-12-30T20:25:00"/>
    <s v="ANT-0298"/>
    <n v="31"/>
    <x v="2"/>
    <x v="14"/>
    <n v="-5.4073029999999997"/>
    <n v="29.762294000000001"/>
    <x v="2"/>
    <s v="Ericsson"/>
    <s v="CLI-01837"/>
    <n v="97"/>
    <x v="0"/>
    <n v="319"/>
    <n v="31.25"/>
    <n v="1"/>
    <n v="5.3166666666666664"/>
    <n v="5"/>
    <n v="8.0833333333333339"/>
    <n v="8"/>
    <n v="3.125"/>
    <n v="3"/>
    <n v="93.75"/>
  </r>
  <r>
    <d v="2023-10-15T00:00:00"/>
    <d v="1899-12-30T04:08:00"/>
    <s v="ANT-0339"/>
    <n v="6"/>
    <x v="0"/>
    <x v="9"/>
    <n v="-3.6945459999999999"/>
    <n v="16.809108999999999"/>
    <x v="0"/>
    <s v="ZTE"/>
    <s v="CLI-00414"/>
    <n v="99"/>
    <x v="1"/>
    <n v="447"/>
    <n v="38.1"/>
    <n v="3"/>
    <n v="7.45"/>
    <n v="7"/>
    <n v="8.25"/>
    <n v="8"/>
    <n v="0"/>
    <n v="0"/>
    <n v="0"/>
  </r>
  <r>
    <d v="2023-10-15T00:00:00"/>
    <d v="1899-12-30T17:41:00"/>
    <s v="ANT-0363"/>
    <n v="34"/>
    <x v="2"/>
    <x v="5"/>
    <n v="5.3608999999999997E-2"/>
    <n v="28.346852999999999"/>
    <x v="2"/>
    <s v="ZTE"/>
    <s v="CLI-00996"/>
    <n v="119"/>
    <x v="2"/>
    <n v="228"/>
    <n v="94.72"/>
    <n v="3"/>
    <n v="3.8"/>
    <n v="4"/>
    <n v="9.9166666666666661"/>
    <n v="10"/>
    <n v="0"/>
    <n v="0"/>
    <n v="0"/>
  </r>
  <r>
    <d v="2023-10-15T00:00:00"/>
    <d v="1899-12-30T04:02:00"/>
    <s v="ANT-0505"/>
    <n v="106"/>
    <x v="0"/>
    <x v="6"/>
    <n v="-11.207139"/>
    <n v="18.702511999999999"/>
    <x v="0"/>
    <s v="Ericsson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15T00:00:00"/>
    <d v="1899-12-30T22:38:00"/>
    <s v="ANT-0511"/>
    <n v="16"/>
    <x v="0"/>
    <x v="8"/>
    <n v="1.210869"/>
    <n v="25.598741"/>
    <x v="1"/>
    <s v="Ericsson"/>
    <s v="CLI-01325"/>
    <n v="44"/>
    <x v="3"/>
    <n v="348"/>
    <n v="58.67"/>
    <n v="0"/>
    <n v="5.8"/>
    <n v="6"/>
    <n v="3.6666666666666665"/>
    <n v="4"/>
    <n v="0"/>
    <n v="0"/>
    <n v="0"/>
  </r>
  <r>
    <d v="2023-10-15T00:00:00"/>
    <d v="1899-12-30T05:39:00"/>
    <s v="ANT-0521"/>
    <n v="33"/>
    <x v="0"/>
    <x v="20"/>
    <n v="-10.318835"/>
    <n v="21.252382000000001"/>
    <x v="1"/>
    <s v="Ericsson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15T00:00:00"/>
    <d v="1899-12-30T15:14:00"/>
    <s v="ANT-0578"/>
    <n v="112"/>
    <x v="1"/>
    <x v="23"/>
    <n v="-6.1490739999999997"/>
    <n v="23.304411000000002"/>
    <x v="0"/>
    <s v="ZTE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15T00:00:00"/>
    <d v="1899-12-30T17:07:00"/>
    <s v="ANT-0624"/>
    <n v="25"/>
    <x v="0"/>
    <x v="7"/>
    <n v="0.172153"/>
    <n v="21.091376"/>
    <x v="2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15T00:00:00"/>
    <d v="1899-12-30T00:27:00"/>
    <s v="ANT-0662"/>
    <n v="115"/>
    <x v="1"/>
    <x v="15"/>
    <n v="-1.342476"/>
    <n v="15.986086"/>
    <x v="1"/>
    <s v="Ericsson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15T00:00:00"/>
    <d v="1899-12-30T06:58:00"/>
    <s v="ANT-0701"/>
    <n v="27"/>
    <x v="1"/>
    <x v="23"/>
    <n v="-12.839263000000001"/>
    <n v="12.355677"/>
    <x v="2"/>
    <s v="Huawei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15T00:00:00"/>
    <d v="1899-12-30T03:51:00"/>
    <s v="ANT-0715"/>
    <n v="108"/>
    <x v="2"/>
    <x v="16"/>
    <n v="-11.407966"/>
    <n v="28.378274000000001"/>
    <x v="1"/>
    <s v="ZTE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15T00:00:00"/>
    <d v="1899-12-30T17:47:00"/>
    <s v="ANT-0826"/>
    <n v="8"/>
    <x v="0"/>
    <x v="13"/>
    <n v="-10.846306999999999"/>
    <n v="19.201827999999999"/>
    <x v="1"/>
    <s v="Ericsson"/>
    <s v="CLI-00837"/>
    <n v="16"/>
    <x v="3"/>
    <n v="390"/>
    <n v="98.17"/>
    <n v="5"/>
    <n v="6.5"/>
    <n v="7"/>
    <n v="1.3333333333333333"/>
    <n v="1"/>
    <n v="0"/>
    <n v="0"/>
    <n v="0"/>
  </r>
  <r>
    <d v="2023-10-15T00:00:00"/>
    <d v="1899-12-30T10:26:00"/>
    <s v="ANT-0900"/>
    <n v="61"/>
    <x v="2"/>
    <x v="17"/>
    <n v="-10.776204"/>
    <n v="24.672934000000001"/>
    <x v="1"/>
    <s v="Ericsson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15T00:00:00"/>
    <d v="1899-12-30T16:25:00"/>
    <s v="ANT-0914"/>
    <n v="119"/>
    <x v="2"/>
    <x v="1"/>
    <n v="-11.218453999999999"/>
    <n v="28.230025000000001"/>
    <x v="0"/>
    <s v="ZTE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15T00:00:00"/>
    <d v="1899-12-30T18:35:00"/>
    <s v="ANT-0926"/>
    <n v="118"/>
    <x v="0"/>
    <x v="18"/>
    <n v="-10.914952"/>
    <n v="26.409648000000001"/>
    <x v="1"/>
    <s v="Huawei"/>
    <s v="CLI-00280"/>
    <n v="113"/>
    <x v="2"/>
    <n v="380"/>
    <n v="12.11"/>
    <n v="0"/>
    <n v="6.333333333333333"/>
    <n v="6"/>
    <n v="9.4166666666666661"/>
    <n v="9"/>
    <n v="0"/>
    <n v="0"/>
    <n v="0"/>
  </r>
  <r>
    <d v="2023-10-16T00:00:00"/>
    <d v="1899-12-30T06:55:00"/>
    <s v="ANT-0099"/>
    <n v="109"/>
    <x v="0"/>
    <x v="4"/>
    <n v="-11.157245"/>
    <n v="21.262627999999999"/>
    <x v="0"/>
    <s v="ZTE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16T00:00:00"/>
    <d v="1899-12-30T13:56:00"/>
    <s v="ANT-0180"/>
    <n v="102"/>
    <x v="2"/>
    <x v="22"/>
    <n v="2.4425979999999998"/>
    <n v="24.924308"/>
    <x v="0"/>
    <s v="Ericsson"/>
    <s v="CLI-00745"/>
    <n v="6"/>
    <x v="1"/>
    <n v="207"/>
    <n v="61.55"/>
    <n v="0"/>
    <n v="3.45"/>
    <n v="3"/>
    <n v="0.5"/>
    <n v="1"/>
    <n v="0"/>
    <n v="0"/>
    <n v="0"/>
  </r>
  <r>
    <d v="2023-10-16T00:00:00"/>
    <d v="1899-12-30T23:46:00"/>
    <s v="ANT-0205"/>
    <n v="66"/>
    <x v="2"/>
    <x v="0"/>
    <n v="-1.4110389999999999"/>
    <n v="21.261644"/>
    <x v="1"/>
    <s v="ZTE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16T00:00:00"/>
    <d v="1899-12-30T10:59:00"/>
    <s v="ANT-0357"/>
    <n v="100"/>
    <x v="0"/>
    <x v="17"/>
    <n v="-11.793894"/>
    <n v="20.433340999999999"/>
    <x v="0"/>
    <s v="Nokia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16T00:00:00"/>
    <d v="1899-12-30T02:14:00"/>
    <s v="ANT-0370"/>
    <n v="87"/>
    <x v="0"/>
    <x v="16"/>
    <n v="-7.6951369999999999"/>
    <n v="13.346605"/>
    <x v="1"/>
    <s v="Ericsson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16T00:00:00"/>
    <d v="1899-12-30T14:06:00"/>
    <s v="ANT-0407"/>
    <n v="24"/>
    <x v="1"/>
    <x v="20"/>
    <n v="2.5458379999999998"/>
    <n v="13.308655"/>
    <x v="0"/>
    <s v="ZTE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16T00:00:00"/>
    <d v="1899-12-30T01:11:00"/>
    <s v="ANT-0407"/>
    <n v="33"/>
    <x v="1"/>
    <x v="20"/>
    <n v="2.5458379999999998"/>
    <n v="13.308655"/>
    <x v="0"/>
    <s v="ZTE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16T00:00:00"/>
    <d v="1899-12-30T16:55:00"/>
    <s v="ANT-0494"/>
    <n v="107"/>
    <x v="0"/>
    <x v="4"/>
    <n v="-12.564277000000001"/>
    <n v="28.480798"/>
    <x v="0"/>
    <s v="ZTE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16T00:00:00"/>
    <d v="1899-12-30T01:22:00"/>
    <s v="ANT-0545"/>
    <n v="99"/>
    <x v="1"/>
    <x v="2"/>
    <n v="-2.6665070000000002"/>
    <n v="18.623692999999999"/>
    <x v="2"/>
    <s v="ZTE"/>
    <s v="CLI-00611"/>
    <n v="79"/>
    <x v="1"/>
    <n v="226"/>
    <n v="94.38"/>
    <n v="3"/>
    <n v="3.7666666666666666"/>
    <n v="4"/>
    <n v="6.583333333333333"/>
    <n v="7"/>
    <n v="0"/>
    <n v="0"/>
    <n v="0"/>
  </r>
  <r>
    <d v="2023-10-16T00:00:00"/>
    <d v="1899-12-30T18:36:00"/>
    <s v="ANT-0631"/>
    <n v="95"/>
    <x v="1"/>
    <x v="22"/>
    <n v="-0.85624699999999998"/>
    <n v="28.624870000000001"/>
    <x v="2"/>
    <s v="Ericsson"/>
    <s v="CLI-00745"/>
    <n v="6"/>
    <x v="1"/>
    <n v="207"/>
    <n v="61.55"/>
    <n v="0"/>
    <n v="3.45"/>
    <n v="3"/>
    <n v="0.5"/>
    <n v="1"/>
    <n v="0"/>
    <n v="0"/>
    <n v="0"/>
  </r>
  <r>
    <d v="2023-10-16T00:00:00"/>
    <d v="1899-12-30T18:38:00"/>
    <s v="ANT-0639"/>
    <n v="87"/>
    <x v="2"/>
    <x v="11"/>
    <n v="2.5665840000000002"/>
    <n v="15.764796"/>
    <x v="2"/>
    <s v="ZTE"/>
    <s v="CLI-00559"/>
    <n v="99"/>
    <x v="3"/>
    <n v="369"/>
    <n v="67.209999999999994"/>
    <n v="3"/>
    <n v="6.15"/>
    <n v="6"/>
    <n v="8.25"/>
    <n v="8"/>
    <n v="0"/>
    <n v="0"/>
    <n v="0"/>
  </r>
  <r>
    <d v="2023-10-16T00:00:00"/>
    <d v="1899-12-30T09:02:00"/>
    <s v="ANT-0641"/>
    <n v="65"/>
    <x v="2"/>
    <x v="1"/>
    <n v="-2.2371569999999998"/>
    <n v="25.926188"/>
    <x v="2"/>
    <s v="Nokia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16T00:00:00"/>
    <d v="1899-12-30T00:23:00"/>
    <s v="ANT-0735"/>
    <n v="74"/>
    <x v="0"/>
    <x v="21"/>
    <n v="-5.8352820000000003"/>
    <n v="26.603978000000001"/>
    <x v="1"/>
    <s v="Huawei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16T00:00:00"/>
    <d v="1899-12-30T16:09:00"/>
    <s v="ANT-0970"/>
    <n v="117"/>
    <x v="2"/>
    <x v="13"/>
    <n v="-11.866133"/>
    <n v="27.068932"/>
    <x v="2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16T00:00:00"/>
    <d v="1899-12-30T08:57:00"/>
    <s v="ANT-0990"/>
    <n v="70"/>
    <x v="1"/>
    <x v="4"/>
    <n v="-12.112399999999999"/>
    <n v="15.872226"/>
    <x v="1"/>
    <s v="Nokia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17T00:00:00"/>
    <d v="1899-12-30T14:00:00"/>
    <s v="ANT-0041"/>
    <n v="78"/>
    <x v="2"/>
    <x v="7"/>
    <n v="0.16841400000000001"/>
    <n v="30.029876999999999"/>
    <x v="0"/>
    <s v="Huawei"/>
    <s v="CLI-00076"/>
    <n v="46"/>
    <x v="1"/>
    <n v="283"/>
    <n v="56.05"/>
    <n v="1"/>
    <n v="4.7166666666666668"/>
    <n v="5"/>
    <n v="3.8333333333333335"/>
    <n v="4"/>
    <n v="0"/>
    <n v="0"/>
    <n v="0"/>
  </r>
  <r>
    <d v="2023-10-17T00:00:00"/>
    <d v="1899-12-30T17:01:00"/>
    <s v="ANT-0059"/>
    <n v="39"/>
    <x v="0"/>
    <x v="10"/>
    <n v="-0.34051900000000002"/>
    <n v="17.079799000000001"/>
    <x v="0"/>
    <s v="Ericsson"/>
    <s v="CLI-01147"/>
    <n v="29"/>
    <x v="1"/>
    <n v="214"/>
    <n v="74.7"/>
    <n v="3"/>
    <n v="3.5666666666666669"/>
    <n v="4"/>
    <n v="2.4166666666666665"/>
    <n v="2"/>
    <n v="0"/>
    <n v="0"/>
    <n v="0"/>
  </r>
  <r>
    <d v="2023-10-17T00:00:00"/>
    <d v="1899-12-30T16:10:00"/>
    <s v="ANT-0078"/>
    <n v="117"/>
    <x v="0"/>
    <x v="18"/>
    <n v="-12.141233"/>
    <n v="15.179043999999999"/>
    <x v="0"/>
    <s v="Ericsson"/>
    <s v="CLI-00280"/>
    <n v="113"/>
    <x v="2"/>
    <n v="380"/>
    <n v="12.11"/>
    <n v="0"/>
    <n v="6.333333333333333"/>
    <n v="6"/>
    <n v="9.4166666666666661"/>
    <n v="9"/>
    <n v="0"/>
    <n v="0"/>
    <n v="0"/>
  </r>
  <r>
    <d v="2023-10-17T00:00:00"/>
    <d v="1899-12-30T10:27:00"/>
    <s v="ANT-0117"/>
    <n v="88"/>
    <x v="0"/>
    <x v="20"/>
    <n v="1.938083"/>
    <n v="28.25281"/>
    <x v="1"/>
    <s v="Nokia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17T00:00:00"/>
    <d v="1899-12-30T06:36:00"/>
    <s v="ANT-0159"/>
    <n v="119"/>
    <x v="2"/>
    <x v="6"/>
    <n v="2.4414509999999998"/>
    <n v="30.167489"/>
    <x v="0"/>
    <s v="Nokia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17T00:00:00"/>
    <d v="1899-12-30T20:46:00"/>
    <s v="ANT-0162"/>
    <n v="10"/>
    <x v="1"/>
    <x v="14"/>
    <n v="-1.648326"/>
    <n v="25.528901999999999"/>
    <x v="1"/>
    <s v="Huawei"/>
    <s v="CLI-01837"/>
    <n v="97"/>
    <x v="0"/>
    <n v="319"/>
    <n v="31.25"/>
    <n v="1"/>
    <n v="5.3166666666666664"/>
    <n v="5"/>
    <n v="8.0833333333333339"/>
    <n v="8"/>
    <n v="3.125"/>
    <n v="3"/>
    <n v="93.75"/>
  </r>
  <r>
    <d v="2023-10-17T00:00:00"/>
    <d v="1899-12-30T01:53:00"/>
    <s v="ANT-0195"/>
    <n v="48"/>
    <x v="1"/>
    <x v="18"/>
    <n v="-8.0864899999999995"/>
    <n v="14.555277"/>
    <x v="2"/>
    <s v="Ericsson"/>
    <s v="CLI-00280"/>
    <n v="113"/>
    <x v="2"/>
    <n v="380"/>
    <n v="12.11"/>
    <n v="0"/>
    <n v="6.333333333333333"/>
    <n v="6"/>
    <n v="9.4166666666666661"/>
    <n v="9"/>
    <n v="0"/>
    <n v="0"/>
    <n v="0"/>
  </r>
  <r>
    <d v="2023-10-17T00:00:00"/>
    <d v="1899-12-30T06:24:00"/>
    <s v="ANT-0250"/>
    <n v="90"/>
    <x v="2"/>
    <x v="20"/>
    <n v="-2.3743210000000001"/>
    <n v="22.399491000000001"/>
    <x v="0"/>
    <s v="Ericsson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17T00:00:00"/>
    <d v="1899-12-30T16:50:00"/>
    <s v="ANT-0287"/>
    <n v="80"/>
    <x v="0"/>
    <x v="3"/>
    <n v="-11.622688999999999"/>
    <n v="18.483874"/>
    <x v="0"/>
    <s v="ZTE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17T00:00:00"/>
    <d v="1899-12-30T23:17:00"/>
    <s v="ANT-0292"/>
    <n v="13"/>
    <x v="2"/>
    <x v="9"/>
    <n v="-6.4197189999999997"/>
    <n v="22.287264"/>
    <x v="2"/>
    <s v="Ericsson"/>
    <s v="CLI-00414"/>
    <n v="99"/>
    <x v="1"/>
    <n v="447"/>
    <n v="38.1"/>
    <n v="3"/>
    <n v="7.45"/>
    <n v="7"/>
    <n v="8.25"/>
    <n v="8"/>
    <n v="0"/>
    <n v="0"/>
    <n v="0"/>
  </r>
  <r>
    <d v="2023-10-17T00:00:00"/>
    <d v="1899-12-30T10:59:00"/>
    <s v="ANT-0379"/>
    <n v="39"/>
    <x v="0"/>
    <x v="21"/>
    <n v="-9.5266249999999992"/>
    <n v="27.889690999999999"/>
    <x v="1"/>
    <s v="Ericsson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17T00:00:00"/>
    <d v="1899-12-30T23:03:00"/>
    <s v="ANT-0387"/>
    <n v="41"/>
    <x v="1"/>
    <x v="12"/>
    <n v="-7.5641280000000002"/>
    <n v="18.129529999999999"/>
    <x v="2"/>
    <s v="Huawei"/>
    <s v="CLI-00361"/>
    <n v="66"/>
    <x v="2"/>
    <n v="270"/>
    <n v="75.88"/>
    <n v="3"/>
    <n v="4.5"/>
    <n v="5"/>
    <n v="5.5"/>
    <n v="6"/>
    <n v="0"/>
    <n v="0"/>
    <n v="0"/>
  </r>
  <r>
    <d v="2023-10-17T00:00:00"/>
    <d v="1899-12-30T17:31:00"/>
    <s v="ANT-0424"/>
    <n v="78"/>
    <x v="1"/>
    <x v="24"/>
    <n v="-9.5243310000000001"/>
    <n v="30.541212000000002"/>
    <x v="2"/>
    <s v="Ericsson"/>
    <s v="CLI-01005"/>
    <n v="80"/>
    <x v="2"/>
    <n v="155"/>
    <n v="28.96"/>
    <n v="2"/>
    <n v="2.5833333333333335"/>
    <n v="3"/>
    <n v="6.666666666666667"/>
    <n v="7"/>
    <n v="0"/>
    <n v="0"/>
    <n v="0"/>
  </r>
  <r>
    <d v="2023-10-17T00:00:00"/>
    <d v="1899-12-30T03:24:00"/>
    <s v="ANT-0454"/>
    <n v="94"/>
    <x v="0"/>
    <x v="13"/>
    <n v="1.8103860000000001"/>
    <n v="15.175582"/>
    <x v="2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17T00:00:00"/>
    <d v="1899-12-30T03:18:00"/>
    <s v="ANT-0499"/>
    <n v="120"/>
    <x v="1"/>
    <x v="16"/>
    <n v="-7.2267089999999996"/>
    <n v="28.421362999999999"/>
    <x v="0"/>
    <s v="Ericsson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17T00:00:00"/>
    <d v="1899-12-30T04:24:00"/>
    <s v="ANT-0515"/>
    <n v="67"/>
    <x v="1"/>
    <x v="24"/>
    <n v="-10.967288"/>
    <n v="17.617781000000001"/>
    <x v="1"/>
    <s v="Ericsson"/>
    <s v="CLI-01005"/>
    <n v="80"/>
    <x v="2"/>
    <n v="155"/>
    <n v="28.96"/>
    <n v="2"/>
    <n v="2.5833333333333335"/>
    <n v="3"/>
    <n v="6.666666666666667"/>
    <n v="7"/>
    <n v="0"/>
    <n v="0"/>
    <n v="0"/>
  </r>
  <r>
    <d v="2023-10-17T00:00:00"/>
    <d v="1899-12-30T02:16:00"/>
    <s v="ANT-0533"/>
    <n v="74"/>
    <x v="0"/>
    <x v="1"/>
    <n v="4.8265669999999998"/>
    <n v="28.535277000000001"/>
    <x v="2"/>
    <s v="Huawei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17T00:00:00"/>
    <d v="1899-12-30T21:40:00"/>
    <s v="ANT-0642"/>
    <n v="20"/>
    <x v="2"/>
    <x v="5"/>
    <n v="-4.2408359999999998"/>
    <n v="26.210014000000001"/>
    <x v="1"/>
    <s v="Huawei"/>
    <s v="CLI-00996"/>
    <n v="119"/>
    <x v="2"/>
    <n v="228"/>
    <n v="94.72"/>
    <n v="3"/>
    <n v="3.8"/>
    <n v="4"/>
    <n v="9.9166666666666661"/>
    <n v="10"/>
    <n v="0"/>
    <n v="0"/>
    <n v="0"/>
  </r>
  <r>
    <d v="2023-10-17T00:00:00"/>
    <d v="1899-12-30T05:35:00"/>
    <s v="ANT-0794"/>
    <n v="11"/>
    <x v="2"/>
    <x v="11"/>
    <n v="-3.8119990000000001"/>
    <n v="20.420048000000001"/>
    <x v="2"/>
    <s v="ZTE"/>
    <s v="CLI-00559"/>
    <n v="99"/>
    <x v="3"/>
    <n v="369"/>
    <n v="67.209999999999994"/>
    <n v="3"/>
    <n v="6.15"/>
    <n v="6"/>
    <n v="8.25"/>
    <n v="8"/>
    <n v="0"/>
    <n v="0"/>
    <n v="0"/>
  </r>
  <r>
    <d v="2023-10-17T00:00:00"/>
    <d v="1899-12-30T16:39:00"/>
    <s v="ANT-0797"/>
    <n v="24"/>
    <x v="2"/>
    <x v="19"/>
    <n v="-12.100756000000001"/>
    <n v="21.938649999999999"/>
    <x v="1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17T00:00:00"/>
    <d v="1899-12-30T11:03:00"/>
    <s v="ANT-0918"/>
    <n v="36"/>
    <x v="2"/>
    <x v="13"/>
    <n v="-11.231472"/>
    <n v="25.388874000000001"/>
    <x v="1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17T00:00:00"/>
    <d v="1899-12-30T18:21:00"/>
    <s v="ANT-0926"/>
    <n v="53"/>
    <x v="1"/>
    <x v="18"/>
    <n v="-10.914952"/>
    <n v="26.409648000000001"/>
    <x v="1"/>
    <s v="Huawei"/>
    <s v="CLI-00280"/>
    <n v="113"/>
    <x v="2"/>
    <n v="380"/>
    <n v="12.11"/>
    <n v="0"/>
    <n v="6.333333333333333"/>
    <n v="6"/>
    <n v="9.4166666666666661"/>
    <n v="9"/>
    <n v="0"/>
    <n v="0"/>
    <n v="0"/>
  </r>
  <r>
    <d v="2023-10-17T00:00:00"/>
    <d v="1899-12-30T18:15:00"/>
    <s v="ANT-0934"/>
    <n v="48"/>
    <x v="0"/>
    <x v="10"/>
    <n v="-11.002602"/>
    <n v="23.918247999999998"/>
    <x v="0"/>
    <s v="ZTE"/>
    <s v="CLI-01147"/>
    <n v="29"/>
    <x v="1"/>
    <n v="214"/>
    <n v="74.7"/>
    <n v="3"/>
    <n v="3.5666666666666669"/>
    <n v="4"/>
    <n v="2.4166666666666665"/>
    <n v="2"/>
    <n v="0"/>
    <n v="0"/>
    <n v="0"/>
  </r>
  <r>
    <d v="2023-10-17T00:00:00"/>
    <d v="1899-12-30T11:08:00"/>
    <s v="ANT-0957"/>
    <n v="58"/>
    <x v="0"/>
    <x v="8"/>
    <n v="-7.1785899999999998"/>
    <n v="24.4404"/>
    <x v="1"/>
    <s v="Nokia"/>
    <s v="CLI-01325"/>
    <n v="44"/>
    <x v="3"/>
    <n v="348"/>
    <n v="58.67"/>
    <n v="0"/>
    <n v="5.8"/>
    <n v="6"/>
    <n v="3.6666666666666665"/>
    <n v="4"/>
    <n v="0"/>
    <n v="0"/>
    <n v="0"/>
  </r>
  <r>
    <d v="2023-10-17T00:00:00"/>
    <d v="1899-12-30T06:35:00"/>
    <s v="ANT-0988"/>
    <n v="30"/>
    <x v="1"/>
    <x v="23"/>
    <n v="-5.7200150000000001"/>
    <n v="25.022109"/>
    <x v="0"/>
    <s v="ZTE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17T00:00:00"/>
    <d v="1899-12-30T17:31:00"/>
    <s v="ANT-0997"/>
    <n v="109"/>
    <x v="2"/>
    <x v="14"/>
    <n v="0.639208"/>
    <n v="20.701739"/>
    <x v="1"/>
    <s v="Huawei"/>
    <s v="CLI-01837"/>
    <n v="97"/>
    <x v="0"/>
    <n v="319"/>
    <n v="31.25"/>
    <n v="1"/>
    <n v="5.3166666666666664"/>
    <n v="5"/>
    <n v="8.0833333333333339"/>
    <n v="8"/>
    <n v="3.125"/>
    <n v="3"/>
    <n v="93.75"/>
  </r>
  <r>
    <d v="2023-10-18T00:00:00"/>
    <d v="1899-12-30T23:15:00"/>
    <s v="ANT-0020"/>
    <n v="97"/>
    <x v="1"/>
    <x v="11"/>
    <n v="-10.059846"/>
    <n v="14.375757999999999"/>
    <x v="1"/>
    <s v="Huawei"/>
    <s v="CLI-00559"/>
    <n v="99"/>
    <x v="3"/>
    <n v="369"/>
    <n v="67.209999999999994"/>
    <n v="3"/>
    <n v="6.15"/>
    <n v="6"/>
    <n v="8.25"/>
    <n v="8"/>
    <n v="0"/>
    <n v="0"/>
    <n v="0"/>
  </r>
  <r>
    <d v="2023-10-18T00:00:00"/>
    <d v="1899-12-30T13:53:00"/>
    <s v="ANT-0042"/>
    <n v="93"/>
    <x v="1"/>
    <x v="21"/>
    <n v="-10.735106"/>
    <n v="27.868673999999999"/>
    <x v="2"/>
    <s v="Ericsson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18T00:00:00"/>
    <d v="1899-12-30T18:37:00"/>
    <s v="ANT-0250"/>
    <n v="84"/>
    <x v="0"/>
    <x v="20"/>
    <n v="-2.3743210000000001"/>
    <n v="22.399491000000001"/>
    <x v="0"/>
    <s v="Ericsson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18T00:00:00"/>
    <d v="1899-12-30T00:41:00"/>
    <s v="ANT-0257"/>
    <n v="120"/>
    <x v="2"/>
    <x v="6"/>
    <n v="-4.1694589999999998"/>
    <n v="23.376487000000001"/>
    <x v="2"/>
    <s v="Nokia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18T00:00:00"/>
    <d v="1899-12-30T04:10:00"/>
    <s v="ANT-0283"/>
    <n v="53"/>
    <x v="1"/>
    <x v="2"/>
    <n v="-1.6097570000000001"/>
    <n v="30.661662"/>
    <x v="1"/>
    <s v="Ericsson"/>
    <s v="CLI-00611"/>
    <n v="79"/>
    <x v="1"/>
    <n v="226"/>
    <n v="94.38"/>
    <n v="3"/>
    <n v="3.7666666666666666"/>
    <n v="4"/>
    <n v="6.583333333333333"/>
    <n v="7"/>
    <n v="0"/>
    <n v="0"/>
    <n v="0"/>
  </r>
  <r>
    <d v="2023-10-18T00:00:00"/>
    <d v="1899-12-30T15:03:00"/>
    <s v="ANT-0503"/>
    <n v="33"/>
    <x v="0"/>
    <x v="19"/>
    <n v="-1.8045979999999999"/>
    <n v="12.511096999999999"/>
    <x v="2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18T00:00:00"/>
    <d v="1899-12-30T23:59:00"/>
    <s v="ANT-0515"/>
    <n v="38"/>
    <x v="1"/>
    <x v="24"/>
    <n v="-10.967288"/>
    <n v="17.617781000000001"/>
    <x v="1"/>
    <s v="Ericsson"/>
    <s v="CLI-01005"/>
    <n v="80"/>
    <x v="2"/>
    <n v="155"/>
    <n v="28.96"/>
    <n v="2"/>
    <n v="2.5833333333333335"/>
    <n v="3"/>
    <n v="6.666666666666667"/>
    <n v="7"/>
    <n v="0"/>
    <n v="0"/>
    <n v="0"/>
  </r>
  <r>
    <d v="2023-10-18T00:00:00"/>
    <d v="1899-12-30T11:22:00"/>
    <s v="ANT-0530"/>
    <n v="37"/>
    <x v="2"/>
    <x v="5"/>
    <n v="-8.5675749999999997"/>
    <n v="26.994581"/>
    <x v="2"/>
    <s v="Nokia"/>
    <s v="CLI-00996"/>
    <n v="119"/>
    <x v="2"/>
    <n v="228"/>
    <n v="94.72"/>
    <n v="3"/>
    <n v="3.8"/>
    <n v="4"/>
    <n v="9.9166666666666661"/>
    <n v="10"/>
    <n v="0"/>
    <n v="0"/>
    <n v="0"/>
  </r>
  <r>
    <d v="2023-10-18T00:00:00"/>
    <d v="1899-12-30T09:14:00"/>
    <s v="ANT-0588"/>
    <n v="99"/>
    <x v="1"/>
    <x v="8"/>
    <n v="-4.8157019999999999"/>
    <n v="27.679798000000002"/>
    <x v="2"/>
    <s v="Ericsson"/>
    <s v="CLI-01325"/>
    <n v="44"/>
    <x v="3"/>
    <n v="348"/>
    <n v="58.67"/>
    <n v="0"/>
    <n v="5.8"/>
    <n v="6"/>
    <n v="3.6666666666666665"/>
    <n v="4"/>
    <n v="0"/>
    <n v="0"/>
    <n v="0"/>
  </r>
  <r>
    <d v="2023-10-18T00:00:00"/>
    <d v="1899-12-30T08:51:00"/>
    <s v="ANT-0620"/>
    <n v="8"/>
    <x v="0"/>
    <x v="13"/>
    <n v="-4.1754939999999996"/>
    <n v="16.704664999999999"/>
    <x v="2"/>
    <s v="Ericsson"/>
    <s v="CLI-00837"/>
    <n v="16"/>
    <x v="3"/>
    <n v="390"/>
    <n v="98.17"/>
    <n v="5"/>
    <n v="6.5"/>
    <n v="7"/>
    <n v="1.3333333333333333"/>
    <n v="1"/>
    <n v="0"/>
    <n v="0"/>
    <n v="0"/>
  </r>
  <r>
    <d v="2023-10-18T00:00:00"/>
    <d v="1899-12-30T18:08:00"/>
    <s v="ANT-0622"/>
    <n v="100"/>
    <x v="0"/>
    <x v="19"/>
    <n v="-3.003879"/>
    <n v="23.633893"/>
    <x v="0"/>
    <s v="Ericsson"/>
    <s v="CLI-00439"/>
    <n v="40"/>
    <x v="1"/>
    <n v="345"/>
    <n v="89.55"/>
    <n v="3"/>
    <n v="5.75"/>
    <n v="6"/>
    <n v="3.3333333333333335"/>
    <n v="3"/>
    <n v="0"/>
    <n v="0"/>
    <n v="0"/>
  </r>
  <r>
    <d v="2023-10-18T00:00:00"/>
    <d v="1899-12-30T21:24:00"/>
    <s v="ANT-0837"/>
    <n v="108"/>
    <x v="2"/>
    <x v="16"/>
    <n v="-5.3762689999999997"/>
    <n v="28.189575999999999"/>
    <x v="0"/>
    <s v="Huawei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18T00:00:00"/>
    <d v="1899-12-30T04:12:00"/>
    <s v="ANT-0883"/>
    <n v="18"/>
    <x v="2"/>
    <x v="6"/>
    <n v="-9.4702129999999993"/>
    <n v="12.826158"/>
    <x v="2"/>
    <s v="Ericsson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19T00:00:00"/>
    <d v="1899-12-30T02:08:00"/>
    <s v="ANT-0164"/>
    <n v="12"/>
    <x v="2"/>
    <x v="2"/>
    <n v="-11.389362"/>
    <n v="22.240174"/>
    <x v="0"/>
    <s v="ZTE"/>
    <s v="CLI-00611"/>
    <n v="79"/>
    <x v="1"/>
    <n v="226"/>
    <n v="94.38"/>
    <n v="3"/>
    <n v="3.7666666666666666"/>
    <n v="4"/>
    <n v="6.583333333333333"/>
    <n v="7"/>
    <n v="0"/>
    <n v="0"/>
    <n v="0"/>
  </r>
  <r>
    <d v="2023-10-19T00:00:00"/>
    <d v="1899-12-30T14:09:00"/>
    <s v="ANT-0211"/>
    <n v="21"/>
    <x v="0"/>
    <x v="6"/>
    <n v="-11.514817000000001"/>
    <n v="24.891375"/>
    <x v="2"/>
    <s v="Nokia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19T00:00:00"/>
    <d v="1899-12-30T16:13:00"/>
    <s v="ANT-0415"/>
    <n v="37"/>
    <x v="2"/>
    <x v="6"/>
    <n v="-2.9651529999999999"/>
    <n v="29.79908"/>
    <x v="1"/>
    <s v="Ericsson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19T00:00:00"/>
    <d v="1899-12-30T03:03:00"/>
    <s v="ANT-0472"/>
    <n v="58"/>
    <x v="1"/>
    <x v="6"/>
    <n v="1.2419519999999999"/>
    <n v="25.261382999999999"/>
    <x v="1"/>
    <s v="Huawei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19T00:00:00"/>
    <d v="1899-12-30T06:29:00"/>
    <s v="ANT-0503"/>
    <n v="40"/>
    <x v="1"/>
    <x v="19"/>
    <n v="-1.8045979999999999"/>
    <n v="12.511096999999999"/>
    <x v="2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19T00:00:00"/>
    <d v="1899-12-30T08:51:00"/>
    <s v="ANT-0520"/>
    <n v="70"/>
    <x v="0"/>
    <x v="1"/>
    <n v="-8.4227860000000003"/>
    <n v="16.781293000000002"/>
    <x v="1"/>
    <s v="Huawei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19T00:00:00"/>
    <d v="1899-12-30T09:05:00"/>
    <s v="ANT-0527"/>
    <n v="102"/>
    <x v="0"/>
    <x v="21"/>
    <n v="-4.4451280000000004"/>
    <n v="16.536944999999999"/>
    <x v="1"/>
    <s v="Ericsson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19T00:00:00"/>
    <d v="1899-12-30T07:58:00"/>
    <s v="ANT-0563"/>
    <n v="15"/>
    <x v="2"/>
    <x v="13"/>
    <n v="-1.8555980000000001"/>
    <n v="30.421918000000002"/>
    <x v="2"/>
    <s v="ZTE"/>
    <s v="CLI-00837"/>
    <n v="16"/>
    <x v="3"/>
    <n v="390"/>
    <n v="98.17"/>
    <n v="5"/>
    <n v="6.5"/>
    <n v="7"/>
    <n v="1.3333333333333333"/>
    <n v="1"/>
    <n v="0"/>
    <n v="0"/>
    <n v="0"/>
  </r>
  <r>
    <d v="2023-10-19T00:00:00"/>
    <d v="1899-12-30T06:52:00"/>
    <s v="ANT-0612"/>
    <n v="89"/>
    <x v="0"/>
    <x v="25"/>
    <n v="-7.5129409999999996"/>
    <n v="18.701522000000001"/>
    <x v="1"/>
    <s v="Nokia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19T00:00:00"/>
    <d v="1899-12-30T00:55:00"/>
    <s v="ANT-0708"/>
    <n v="6"/>
    <x v="0"/>
    <x v="25"/>
    <n v="-9.7712979999999998"/>
    <n v="19.827895999999999"/>
    <x v="2"/>
    <s v="ZTE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19T00:00:00"/>
    <d v="1899-12-30T09:10:00"/>
    <s v="ANT-0737"/>
    <n v="81"/>
    <x v="1"/>
    <x v="4"/>
    <n v="-2.8211520000000001"/>
    <n v="20.651419000000001"/>
    <x v="0"/>
    <s v="Ericsson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19T00:00:00"/>
    <d v="1899-12-30T23:48:00"/>
    <s v="ANT-0821"/>
    <n v="82"/>
    <x v="0"/>
    <x v="10"/>
    <n v="-3.7720639999999999"/>
    <n v="16.006277999999998"/>
    <x v="0"/>
    <s v="ZTE"/>
    <s v="CLI-01147"/>
    <n v="29"/>
    <x v="1"/>
    <n v="214"/>
    <n v="74.7"/>
    <n v="3"/>
    <n v="3.5666666666666669"/>
    <n v="4"/>
    <n v="2.4166666666666665"/>
    <n v="2"/>
    <n v="0"/>
    <n v="0"/>
    <n v="0"/>
  </r>
  <r>
    <d v="2023-10-19T00:00:00"/>
    <d v="1899-12-30T00:11:00"/>
    <s v="ANT-0883"/>
    <n v="44"/>
    <x v="1"/>
    <x v="6"/>
    <n v="-9.4702129999999993"/>
    <n v="12.826158"/>
    <x v="2"/>
    <s v="Ericsson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19T00:00:00"/>
    <d v="1899-12-30T15:10:00"/>
    <s v="ANT-0952"/>
    <n v="42"/>
    <x v="1"/>
    <x v="5"/>
    <n v="-0.77432100000000004"/>
    <n v="18.628658999999999"/>
    <x v="1"/>
    <s v="Huawei"/>
    <s v="CLI-00996"/>
    <n v="119"/>
    <x v="2"/>
    <n v="228"/>
    <n v="94.72"/>
    <n v="3"/>
    <n v="3.8"/>
    <n v="4"/>
    <n v="9.9166666666666661"/>
    <n v="10"/>
    <n v="0"/>
    <n v="0"/>
    <n v="0"/>
  </r>
  <r>
    <d v="2023-10-20T00:00:00"/>
    <d v="1899-12-30T02:26:00"/>
    <s v="ANT-0037"/>
    <n v="75"/>
    <x v="0"/>
    <x v="10"/>
    <n v="-7.0076900000000002"/>
    <n v="27.367121999999998"/>
    <x v="2"/>
    <s v="Nokia"/>
    <s v="CLI-01147"/>
    <n v="29"/>
    <x v="1"/>
    <n v="214"/>
    <n v="74.7"/>
    <n v="3"/>
    <n v="3.5666666666666669"/>
    <n v="4"/>
    <n v="2.4166666666666665"/>
    <n v="2"/>
    <n v="0"/>
    <n v="0"/>
    <n v="0"/>
  </r>
  <r>
    <d v="2023-10-20T00:00:00"/>
    <d v="1899-12-30T15:45:00"/>
    <s v="ANT-0081"/>
    <n v="118"/>
    <x v="1"/>
    <x v="3"/>
    <n v="-10.577049000000001"/>
    <n v="23.721854"/>
    <x v="1"/>
    <s v="ZTE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20T00:00:00"/>
    <d v="1899-12-30T10:32:00"/>
    <s v="ANT-0165"/>
    <n v="105"/>
    <x v="1"/>
    <x v="18"/>
    <n v="-0.54908599999999996"/>
    <n v="14.816867"/>
    <x v="0"/>
    <s v="ZTE"/>
    <s v="CLI-00280"/>
    <n v="113"/>
    <x v="2"/>
    <n v="380"/>
    <n v="12.11"/>
    <n v="0"/>
    <n v="6.333333333333333"/>
    <n v="6"/>
    <n v="9.4166666666666661"/>
    <n v="9"/>
    <n v="0"/>
    <n v="0"/>
    <n v="0"/>
  </r>
  <r>
    <d v="2023-10-20T00:00:00"/>
    <d v="1899-12-30T10:05:00"/>
    <s v="ANT-0245"/>
    <n v="63"/>
    <x v="2"/>
    <x v="1"/>
    <n v="-9.9875139999999991"/>
    <n v="12.013676999999999"/>
    <x v="2"/>
    <s v="ZTE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20T00:00:00"/>
    <d v="1899-12-30T02:29:00"/>
    <s v="ANT-0293"/>
    <n v="72"/>
    <x v="1"/>
    <x v="1"/>
    <n v="-5.7035130000000001"/>
    <n v="14.331479"/>
    <x v="0"/>
    <s v="Nokia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20T00:00:00"/>
    <d v="1899-12-30T02:18:00"/>
    <s v="ANT-0339"/>
    <n v="113"/>
    <x v="2"/>
    <x v="9"/>
    <n v="-3.6945459999999999"/>
    <n v="16.809108999999999"/>
    <x v="0"/>
    <s v="ZTE"/>
    <s v="CLI-00414"/>
    <n v="99"/>
    <x v="1"/>
    <n v="447"/>
    <n v="38.1"/>
    <n v="3"/>
    <n v="7.45"/>
    <n v="7"/>
    <n v="8.25"/>
    <n v="8"/>
    <n v="0"/>
    <n v="0"/>
    <n v="0"/>
  </r>
  <r>
    <d v="2023-10-20T00:00:00"/>
    <d v="1899-12-30T12:09:00"/>
    <s v="ANT-0417"/>
    <n v="41"/>
    <x v="1"/>
    <x v="3"/>
    <n v="-2.3677800000000002"/>
    <n v="18.790323999999998"/>
    <x v="0"/>
    <s v="Huawei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20T00:00:00"/>
    <d v="1899-12-30T16:24:00"/>
    <s v="ANT-0481"/>
    <n v="99"/>
    <x v="1"/>
    <x v="4"/>
    <n v="-9.5840350000000001"/>
    <n v="15.966024000000001"/>
    <x v="0"/>
    <s v="Nokia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20T00:00:00"/>
    <d v="1899-12-30T04:21:00"/>
    <s v="ANT-0620"/>
    <n v="97"/>
    <x v="1"/>
    <x v="13"/>
    <n v="-4.1754939999999996"/>
    <n v="16.704664999999999"/>
    <x v="2"/>
    <s v="Ericsson"/>
    <s v="CLI-00837"/>
    <n v="16"/>
    <x v="3"/>
    <n v="390"/>
    <n v="98.17"/>
    <n v="5"/>
    <n v="6.5"/>
    <n v="7"/>
    <n v="1.3333333333333333"/>
    <n v="1"/>
    <n v="0"/>
    <n v="0"/>
    <n v="0"/>
  </r>
  <r>
    <d v="2023-10-20T00:00:00"/>
    <d v="1899-12-30T12:39:00"/>
    <s v="ANT-0670"/>
    <n v="95"/>
    <x v="0"/>
    <x v="19"/>
    <n v="-7.1483749999999997"/>
    <n v="26.014271000000001"/>
    <x v="0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20T00:00:00"/>
    <d v="1899-12-30T19:14:00"/>
    <s v="ANT-0674"/>
    <n v="65"/>
    <x v="1"/>
    <x v="3"/>
    <n v="0.52897499999999997"/>
    <n v="13.849651"/>
    <x v="2"/>
    <s v="ZTE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20T00:00:00"/>
    <d v="1899-12-30T13:40:00"/>
    <s v="ANT-0679"/>
    <n v="96"/>
    <x v="0"/>
    <x v="4"/>
    <n v="-7.1587569999999996"/>
    <n v="18.975141000000001"/>
    <x v="0"/>
    <s v="Ericsson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20T00:00:00"/>
    <d v="1899-12-30T02:43:00"/>
    <s v="ANT-0708"/>
    <n v="19"/>
    <x v="0"/>
    <x v="25"/>
    <n v="-9.7712979999999998"/>
    <n v="19.827895999999999"/>
    <x v="2"/>
    <s v="ZTE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20T00:00:00"/>
    <d v="1899-12-30T11:26:00"/>
    <s v="ANT-0737"/>
    <n v="57"/>
    <x v="0"/>
    <x v="4"/>
    <n v="-2.8211520000000001"/>
    <n v="20.651419000000001"/>
    <x v="0"/>
    <s v="Ericsson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20T00:00:00"/>
    <d v="1899-12-30T19:50:00"/>
    <s v="ANT-0852"/>
    <n v="93"/>
    <x v="2"/>
    <x v="6"/>
    <n v="4.2493650000000001"/>
    <n v="28.355039999999999"/>
    <x v="2"/>
    <s v="ZTE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21T00:00:00"/>
    <d v="1899-12-30T16:15:00"/>
    <s v="ANT-0058"/>
    <n v="107"/>
    <x v="2"/>
    <x v="22"/>
    <n v="-6.4670189999999996"/>
    <n v="29.487309"/>
    <x v="1"/>
    <s v="ZTE"/>
    <s v="CLI-00745"/>
    <n v="6"/>
    <x v="1"/>
    <n v="207"/>
    <n v="61.55"/>
    <n v="0"/>
    <n v="3.45"/>
    <n v="3"/>
    <n v="0.5"/>
    <n v="1"/>
    <n v="0"/>
    <n v="0"/>
    <n v="0"/>
  </r>
  <r>
    <d v="2023-10-21T00:00:00"/>
    <d v="1899-12-30T18:06:00"/>
    <s v="ANT-0088"/>
    <n v="85"/>
    <x v="0"/>
    <x v="24"/>
    <n v="-9.7803979999999999"/>
    <n v="17.686595000000001"/>
    <x v="1"/>
    <s v="Ericsson"/>
    <s v="CLI-01005"/>
    <n v="80"/>
    <x v="2"/>
    <n v="155"/>
    <n v="28.96"/>
    <n v="2"/>
    <n v="2.5833333333333335"/>
    <n v="3"/>
    <n v="6.666666666666667"/>
    <n v="7"/>
    <n v="0"/>
    <n v="0"/>
    <n v="0"/>
  </r>
  <r>
    <d v="2023-10-21T00:00:00"/>
    <d v="1899-12-30T21:27:00"/>
    <s v="ANT-0106"/>
    <n v="101"/>
    <x v="2"/>
    <x v="9"/>
    <n v="-2.2876210000000001"/>
    <n v="27.582545"/>
    <x v="1"/>
    <s v="Huawei"/>
    <s v="CLI-00414"/>
    <n v="99"/>
    <x v="1"/>
    <n v="447"/>
    <n v="38.1"/>
    <n v="3"/>
    <n v="7.45"/>
    <n v="7"/>
    <n v="8.25"/>
    <n v="8"/>
    <n v="0"/>
    <n v="0"/>
    <n v="0"/>
  </r>
  <r>
    <d v="2023-10-21T00:00:00"/>
    <d v="1899-12-30T11:44:00"/>
    <s v="ANT-0131"/>
    <n v="49"/>
    <x v="2"/>
    <x v="18"/>
    <n v="-9.3652239999999995"/>
    <n v="22.593423999999999"/>
    <x v="0"/>
    <s v="Nokia"/>
    <s v="CLI-00280"/>
    <n v="113"/>
    <x v="2"/>
    <n v="380"/>
    <n v="12.11"/>
    <n v="0"/>
    <n v="6.333333333333333"/>
    <n v="6"/>
    <n v="9.4166666666666661"/>
    <n v="9"/>
    <n v="0"/>
    <n v="0"/>
    <n v="0"/>
  </r>
  <r>
    <d v="2023-10-21T00:00:00"/>
    <d v="1899-12-30T17:50:00"/>
    <s v="ANT-0239"/>
    <n v="54"/>
    <x v="1"/>
    <x v="13"/>
    <n v="-5.42171"/>
    <n v="24.202960999999998"/>
    <x v="0"/>
    <s v="Ericsson"/>
    <s v="CLI-00837"/>
    <n v="16"/>
    <x v="3"/>
    <n v="390"/>
    <n v="98.17"/>
    <n v="5"/>
    <n v="6.5"/>
    <n v="7"/>
    <n v="1.3333333333333333"/>
    <n v="1"/>
    <n v="0"/>
    <n v="0"/>
    <n v="0"/>
  </r>
  <r>
    <d v="2023-10-21T00:00:00"/>
    <d v="1899-12-30T10:29:00"/>
    <s v="ANT-0284"/>
    <n v="64"/>
    <x v="1"/>
    <x v="7"/>
    <n v="-5.5445120000000001"/>
    <n v="27.547335"/>
    <x v="1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21T00:00:00"/>
    <d v="1899-12-30T10:00:00"/>
    <s v="ANT-0353"/>
    <n v="32"/>
    <x v="1"/>
    <x v="2"/>
    <n v="-11.991020000000001"/>
    <n v="22.514747"/>
    <x v="0"/>
    <s v="ZTE"/>
    <s v="CLI-00611"/>
    <n v="79"/>
    <x v="1"/>
    <n v="226"/>
    <n v="94.38"/>
    <n v="3"/>
    <n v="3.7666666666666666"/>
    <n v="4"/>
    <n v="6.583333333333333"/>
    <n v="7"/>
    <n v="0"/>
    <n v="0"/>
    <n v="0"/>
  </r>
  <r>
    <d v="2023-10-21T00:00:00"/>
    <d v="1899-12-30T14:01:00"/>
    <s v="ANT-0402"/>
    <n v="92"/>
    <x v="2"/>
    <x v="15"/>
    <n v="-11.588665000000001"/>
    <n v="15.241552"/>
    <x v="1"/>
    <s v="Nokia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21T00:00:00"/>
    <d v="1899-12-30T21:03:00"/>
    <s v="ANT-0414"/>
    <n v="78"/>
    <x v="0"/>
    <x v="2"/>
    <n v="-7.5418399999999997"/>
    <n v="16.931206"/>
    <x v="2"/>
    <s v="Nokia"/>
    <s v="CLI-00611"/>
    <n v="79"/>
    <x v="1"/>
    <n v="226"/>
    <n v="94.38"/>
    <n v="3"/>
    <n v="3.7666666666666666"/>
    <n v="4"/>
    <n v="6.583333333333333"/>
    <n v="7"/>
    <n v="0"/>
    <n v="0"/>
    <n v="0"/>
  </r>
  <r>
    <d v="2023-10-21T00:00:00"/>
    <d v="1899-12-30T05:21:00"/>
    <s v="ANT-0423"/>
    <n v="65"/>
    <x v="2"/>
    <x v="8"/>
    <n v="-1.3938550000000001"/>
    <n v="15.097554000000001"/>
    <x v="1"/>
    <s v="Huawei"/>
    <s v="CLI-01325"/>
    <n v="44"/>
    <x v="3"/>
    <n v="348"/>
    <n v="58.67"/>
    <n v="0"/>
    <n v="5.8"/>
    <n v="6"/>
    <n v="3.6666666666666665"/>
    <n v="4"/>
    <n v="0"/>
    <n v="0"/>
    <n v="0"/>
  </r>
  <r>
    <d v="2023-10-21T00:00:00"/>
    <d v="1899-12-30T19:29:00"/>
    <s v="ANT-0458"/>
    <n v="100"/>
    <x v="2"/>
    <x v="5"/>
    <n v="-0.98830399999999996"/>
    <n v="28.099966999999999"/>
    <x v="2"/>
    <s v="Huawei"/>
    <s v="CLI-00996"/>
    <n v="119"/>
    <x v="2"/>
    <n v="228"/>
    <n v="94.72"/>
    <n v="3"/>
    <n v="3.8"/>
    <n v="4"/>
    <n v="9.9166666666666661"/>
    <n v="10"/>
    <n v="0"/>
    <n v="0"/>
    <n v="0"/>
  </r>
  <r>
    <d v="2023-10-21T00:00:00"/>
    <d v="1899-12-30T03:49:00"/>
    <s v="ANT-0526"/>
    <n v="60"/>
    <x v="2"/>
    <x v="22"/>
    <n v="-9.4133639999999996"/>
    <n v="15.682482"/>
    <x v="1"/>
    <s v="Huawei"/>
    <s v="CLI-00745"/>
    <n v="6"/>
    <x v="1"/>
    <n v="207"/>
    <n v="61.55"/>
    <n v="0"/>
    <n v="3.45"/>
    <n v="3"/>
    <n v="0.5"/>
    <n v="1"/>
    <n v="0"/>
    <n v="0"/>
    <n v="0"/>
  </r>
  <r>
    <d v="2023-10-21T00:00:00"/>
    <d v="1899-12-30T17:24:00"/>
    <s v="ANT-0534"/>
    <n v="28"/>
    <x v="2"/>
    <x v="17"/>
    <n v="-9.002459"/>
    <n v="25.182109000000001"/>
    <x v="0"/>
    <s v="Huawei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21T00:00:00"/>
    <d v="1899-12-30T14:51:00"/>
    <s v="ANT-0582"/>
    <n v="79"/>
    <x v="0"/>
    <x v="6"/>
    <n v="-1.4700059999999999"/>
    <n v="18.680958"/>
    <x v="2"/>
    <s v="Huawei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21T00:00:00"/>
    <d v="1899-12-30T03:43:00"/>
    <s v="ANT-0668"/>
    <n v="53"/>
    <x v="0"/>
    <x v="4"/>
    <n v="-9.8208710000000004"/>
    <n v="23.229807000000001"/>
    <x v="0"/>
    <s v="Nokia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21T00:00:00"/>
    <d v="1899-12-30T22:16:00"/>
    <s v="ANT-0788"/>
    <n v="22"/>
    <x v="1"/>
    <x v="11"/>
    <n v="1.5802860000000001"/>
    <n v="20.99053"/>
    <x v="1"/>
    <s v="ZTE"/>
    <s v="CLI-00559"/>
    <n v="99"/>
    <x v="3"/>
    <n v="369"/>
    <n v="67.209999999999994"/>
    <n v="3"/>
    <n v="6.15"/>
    <n v="6"/>
    <n v="8.25"/>
    <n v="8"/>
    <n v="0"/>
    <n v="0"/>
    <n v="0"/>
  </r>
  <r>
    <d v="2023-10-21T00:00:00"/>
    <d v="1899-12-30T02:39:00"/>
    <s v="ANT-0804"/>
    <n v="111"/>
    <x v="2"/>
    <x v="10"/>
    <n v="-4.1250960000000001"/>
    <n v="27.799897999999999"/>
    <x v="2"/>
    <s v="Nokia"/>
    <s v="CLI-01147"/>
    <n v="29"/>
    <x v="1"/>
    <n v="214"/>
    <n v="74.7"/>
    <n v="3"/>
    <n v="3.5666666666666669"/>
    <n v="4"/>
    <n v="2.4166666666666665"/>
    <n v="2"/>
    <n v="0"/>
    <n v="0"/>
    <n v="0"/>
  </r>
  <r>
    <d v="2023-10-21T00:00:00"/>
    <d v="1899-12-30T11:16:00"/>
    <s v="ANT-0813"/>
    <n v="17"/>
    <x v="1"/>
    <x v="6"/>
    <n v="-1.5419050000000001"/>
    <n v="14.730632999999999"/>
    <x v="2"/>
    <s v="ZTE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21T00:00:00"/>
    <d v="1899-12-30T04:58:00"/>
    <s v="ANT-0950"/>
    <n v="25"/>
    <x v="0"/>
    <x v="23"/>
    <n v="3.3289240000000002"/>
    <n v="24.412261000000001"/>
    <x v="0"/>
    <s v="Nokia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21T00:00:00"/>
    <d v="1899-12-30T20:21:00"/>
    <s v="ANT-0990"/>
    <n v="103"/>
    <x v="0"/>
    <x v="4"/>
    <n v="-12.112399999999999"/>
    <n v="15.872226"/>
    <x v="1"/>
    <s v="Nokia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22T00:00:00"/>
    <d v="1899-12-30T13:35:00"/>
    <s v="ANT-0007"/>
    <n v="87"/>
    <x v="1"/>
    <x v="22"/>
    <n v="4.7777349999999998"/>
    <n v="16.392204"/>
    <x v="0"/>
    <s v="ZTE"/>
    <s v="CLI-00745"/>
    <n v="6"/>
    <x v="1"/>
    <n v="207"/>
    <n v="61.55"/>
    <n v="0"/>
    <n v="3.45"/>
    <n v="3"/>
    <n v="0.5"/>
    <n v="1"/>
    <n v="0"/>
    <n v="0"/>
    <n v="0"/>
  </r>
  <r>
    <d v="2023-10-22T00:00:00"/>
    <d v="1899-12-30T12:08:00"/>
    <s v="ANT-0054"/>
    <n v="51"/>
    <x v="0"/>
    <x v="16"/>
    <n v="-1.231033"/>
    <n v="28.851388"/>
    <x v="2"/>
    <s v="Ericsson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22T00:00:00"/>
    <d v="1899-12-30T09:02:00"/>
    <s v="ANT-0079"/>
    <n v="59"/>
    <x v="2"/>
    <x v="20"/>
    <n v="-8.4824669999999998"/>
    <n v="21.897777999999999"/>
    <x v="0"/>
    <s v="Ericsson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22T00:00:00"/>
    <d v="1899-12-30T00:57:00"/>
    <s v="ANT-0264"/>
    <n v="33"/>
    <x v="1"/>
    <x v="2"/>
    <n v="0.48965500000000001"/>
    <n v="26.176860000000001"/>
    <x v="1"/>
    <s v="Huawei"/>
    <s v="CLI-00611"/>
    <n v="79"/>
    <x v="1"/>
    <n v="226"/>
    <n v="94.38"/>
    <n v="3"/>
    <n v="3.7666666666666666"/>
    <n v="4"/>
    <n v="6.583333333333333"/>
    <n v="7"/>
    <n v="0"/>
    <n v="0"/>
    <n v="0"/>
  </r>
  <r>
    <d v="2023-10-22T00:00:00"/>
    <d v="1899-12-30T04:20:00"/>
    <s v="ANT-0270"/>
    <n v="8"/>
    <x v="0"/>
    <x v="21"/>
    <n v="-1.648264"/>
    <n v="28.866143999999998"/>
    <x v="0"/>
    <s v="Ericsson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22T00:00:00"/>
    <d v="1899-12-30T20:04:00"/>
    <s v="ANT-0332"/>
    <n v="6"/>
    <x v="2"/>
    <x v="11"/>
    <n v="-4.9789079999999997"/>
    <n v="28.506295000000001"/>
    <x v="1"/>
    <s v="Huawei"/>
    <s v="CLI-00559"/>
    <n v="99"/>
    <x v="3"/>
    <n v="369"/>
    <n v="67.209999999999994"/>
    <n v="3"/>
    <n v="6.15"/>
    <n v="6"/>
    <n v="8.25"/>
    <n v="8"/>
    <n v="0"/>
    <n v="0"/>
    <n v="0"/>
  </r>
  <r>
    <d v="2023-10-22T00:00:00"/>
    <d v="1899-12-30T12:25:00"/>
    <s v="ANT-0415"/>
    <n v="83"/>
    <x v="2"/>
    <x v="6"/>
    <n v="-2.9651529999999999"/>
    <n v="29.79908"/>
    <x v="1"/>
    <s v="Ericsson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22T00:00:00"/>
    <d v="1899-12-30T06:23:00"/>
    <s v="ANT-0437"/>
    <n v="88"/>
    <x v="1"/>
    <x v="2"/>
    <n v="-1.339734"/>
    <n v="15.243098"/>
    <x v="2"/>
    <s v="Nokia"/>
    <s v="CLI-00611"/>
    <n v="79"/>
    <x v="1"/>
    <n v="226"/>
    <n v="94.38"/>
    <n v="3"/>
    <n v="3.7666666666666666"/>
    <n v="4"/>
    <n v="6.583333333333333"/>
    <n v="7"/>
    <n v="0"/>
    <n v="0"/>
    <n v="0"/>
  </r>
  <r>
    <d v="2023-10-22T00:00:00"/>
    <d v="1899-12-30T20:19:00"/>
    <s v="ANT-0441"/>
    <n v="96"/>
    <x v="2"/>
    <x v="6"/>
    <n v="-5.2526849999999996"/>
    <n v="12.374528"/>
    <x v="2"/>
    <s v="Nokia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22T00:00:00"/>
    <d v="1899-12-30T01:11:00"/>
    <s v="ANT-0446"/>
    <n v="53"/>
    <x v="1"/>
    <x v="24"/>
    <n v="1.286548"/>
    <n v="29.823702999999998"/>
    <x v="1"/>
    <s v="ZTE"/>
    <s v="CLI-01005"/>
    <n v="80"/>
    <x v="2"/>
    <n v="155"/>
    <n v="28.96"/>
    <n v="2"/>
    <n v="2.5833333333333335"/>
    <n v="3"/>
    <n v="6.666666666666667"/>
    <n v="7"/>
    <n v="0"/>
    <n v="0"/>
    <n v="0"/>
  </r>
  <r>
    <d v="2023-10-22T00:00:00"/>
    <d v="1899-12-30T18:32:00"/>
    <s v="ANT-0527"/>
    <n v="107"/>
    <x v="0"/>
    <x v="21"/>
    <n v="-4.4451280000000004"/>
    <n v="16.536944999999999"/>
    <x v="1"/>
    <s v="Ericsson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22T00:00:00"/>
    <d v="1899-12-30T06:48:00"/>
    <s v="ANT-0545"/>
    <n v="22"/>
    <x v="0"/>
    <x v="2"/>
    <n v="-2.6665070000000002"/>
    <n v="18.623692999999999"/>
    <x v="2"/>
    <s v="ZTE"/>
    <s v="CLI-00611"/>
    <n v="79"/>
    <x v="1"/>
    <n v="226"/>
    <n v="94.38"/>
    <n v="3"/>
    <n v="3.7666666666666666"/>
    <n v="4"/>
    <n v="6.583333333333333"/>
    <n v="7"/>
    <n v="0"/>
    <n v="0"/>
    <n v="0"/>
  </r>
  <r>
    <d v="2023-10-22T00:00:00"/>
    <d v="1899-12-30T18:44:00"/>
    <s v="ANT-0551"/>
    <n v="67"/>
    <x v="0"/>
    <x v="3"/>
    <n v="-7.789663"/>
    <n v="26.529098000000001"/>
    <x v="0"/>
    <s v="Nokia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22T00:00:00"/>
    <d v="1899-12-30T06:27:00"/>
    <s v="ANT-0563"/>
    <n v="18"/>
    <x v="1"/>
    <x v="13"/>
    <n v="-1.8555980000000001"/>
    <n v="30.421918000000002"/>
    <x v="2"/>
    <s v="ZTE"/>
    <s v="CLI-00837"/>
    <n v="16"/>
    <x v="3"/>
    <n v="390"/>
    <n v="98.17"/>
    <n v="5"/>
    <n v="6.5"/>
    <n v="7"/>
    <n v="1.3333333333333333"/>
    <n v="1"/>
    <n v="0"/>
    <n v="0"/>
    <n v="0"/>
  </r>
  <r>
    <d v="2023-10-22T00:00:00"/>
    <d v="1899-12-30T06:41:00"/>
    <s v="ANT-0600"/>
    <n v="83"/>
    <x v="2"/>
    <x v="3"/>
    <n v="-12.292039000000001"/>
    <n v="27.538202999999999"/>
    <x v="2"/>
    <s v="Huawei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22T00:00:00"/>
    <d v="1899-12-30T04:45:00"/>
    <s v="ANT-0612"/>
    <n v="61"/>
    <x v="2"/>
    <x v="25"/>
    <n v="-7.5129409999999996"/>
    <n v="18.701522000000001"/>
    <x v="1"/>
    <s v="Nokia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22T00:00:00"/>
    <d v="1899-12-30T20:41:00"/>
    <s v="ANT-0721"/>
    <n v="65"/>
    <x v="0"/>
    <x v="17"/>
    <n v="-3.9148719999999999"/>
    <n v="12.260933"/>
    <x v="1"/>
    <s v="Ericsson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22T00:00:00"/>
    <d v="1899-12-30T17:24:00"/>
    <s v="ANT-0750"/>
    <n v="55"/>
    <x v="1"/>
    <x v="14"/>
    <n v="-1.3976519999999999"/>
    <n v="14.098819000000001"/>
    <x v="2"/>
    <s v="Ericsson"/>
    <s v="CLI-01837"/>
    <n v="97"/>
    <x v="0"/>
    <n v="319"/>
    <n v="31.25"/>
    <n v="1"/>
    <n v="5.3166666666666664"/>
    <n v="5"/>
    <n v="8.0833333333333339"/>
    <n v="8"/>
    <n v="3.125"/>
    <n v="3"/>
    <n v="93.75"/>
  </r>
  <r>
    <d v="2023-10-22T00:00:00"/>
    <d v="1899-12-30T15:33:00"/>
    <s v="ANT-0754"/>
    <n v="67"/>
    <x v="0"/>
    <x v="19"/>
    <n v="-11.924048000000001"/>
    <n v="24.177174999999998"/>
    <x v="2"/>
    <s v="Nokia"/>
    <s v="CLI-00439"/>
    <n v="40"/>
    <x v="1"/>
    <n v="345"/>
    <n v="89.55"/>
    <n v="3"/>
    <n v="5.75"/>
    <n v="6"/>
    <n v="3.3333333333333335"/>
    <n v="3"/>
    <n v="0"/>
    <n v="0"/>
    <n v="0"/>
  </r>
  <r>
    <d v="2023-10-22T00:00:00"/>
    <d v="1899-12-30T04:01:00"/>
    <s v="ANT-0770"/>
    <n v="78"/>
    <x v="1"/>
    <x v="5"/>
    <n v="2.4741019999999998"/>
    <n v="29.297391000000001"/>
    <x v="1"/>
    <s v="Ericsson"/>
    <s v="CLI-00996"/>
    <n v="119"/>
    <x v="2"/>
    <n v="228"/>
    <n v="94.72"/>
    <n v="3"/>
    <n v="3.8"/>
    <n v="4"/>
    <n v="9.9166666666666661"/>
    <n v="10"/>
    <n v="0"/>
    <n v="0"/>
    <n v="0"/>
  </r>
  <r>
    <d v="2023-10-22T00:00:00"/>
    <d v="1899-12-30T13:25:00"/>
    <s v="ANT-0843"/>
    <n v="22"/>
    <x v="0"/>
    <x v="25"/>
    <n v="0.65288900000000005"/>
    <n v="24.243953999999999"/>
    <x v="0"/>
    <s v="Ericsson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22T00:00:00"/>
    <d v="1899-12-30T22:17:00"/>
    <s v="ANT-0852"/>
    <n v="21"/>
    <x v="0"/>
    <x v="6"/>
    <n v="4.2493650000000001"/>
    <n v="28.355039999999999"/>
    <x v="2"/>
    <s v="ZTE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22T00:00:00"/>
    <d v="1899-12-30T18:36:00"/>
    <s v="ANT-0855"/>
    <n v="24"/>
    <x v="0"/>
    <x v="16"/>
    <n v="-11.514188000000001"/>
    <n v="15.971181"/>
    <x v="0"/>
    <s v="Ericsson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22T00:00:00"/>
    <d v="1899-12-30T21:51:00"/>
    <s v="ANT-0902"/>
    <n v="60"/>
    <x v="1"/>
    <x v="21"/>
    <n v="-10.414493"/>
    <n v="12.333356999999999"/>
    <x v="2"/>
    <s v="Ericsson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22T00:00:00"/>
    <d v="1899-12-30T09:19:00"/>
    <s v="ANT-0923"/>
    <n v="64"/>
    <x v="1"/>
    <x v="22"/>
    <n v="-12.070842000000001"/>
    <n v="14.757847"/>
    <x v="1"/>
    <s v="ZTE"/>
    <s v="CLI-00745"/>
    <n v="6"/>
    <x v="1"/>
    <n v="207"/>
    <n v="61.55"/>
    <n v="0"/>
    <n v="3.45"/>
    <n v="3"/>
    <n v="0.5"/>
    <n v="1"/>
    <n v="0"/>
    <n v="0"/>
    <n v="0"/>
  </r>
  <r>
    <d v="2023-10-22T00:00:00"/>
    <d v="1899-12-30T20:41:00"/>
    <s v="ANT-0928"/>
    <n v="21"/>
    <x v="1"/>
    <x v="17"/>
    <n v="-1.864393"/>
    <n v="21.453434000000001"/>
    <x v="0"/>
    <s v="Ericsson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22T00:00:00"/>
    <d v="1899-12-30T07:31:00"/>
    <s v="ANT-0936"/>
    <n v="34"/>
    <x v="1"/>
    <x v="11"/>
    <n v="-10.165072"/>
    <n v="29.428024000000001"/>
    <x v="0"/>
    <s v="Huawei"/>
    <s v="CLI-00559"/>
    <n v="99"/>
    <x v="3"/>
    <n v="369"/>
    <n v="67.209999999999994"/>
    <n v="3"/>
    <n v="6.15"/>
    <n v="6"/>
    <n v="8.25"/>
    <n v="8"/>
    <n v="0"/>
    <n v="0"/>
    <n v="0"/>
  </r>
  <r>
    <d v="2023-10-22T00:00:00"/>
    <d v="1899-12-30T17:13:00"/>
    <s v="ANT-0941"/>
    <n v="14"/>
    <x v="0"/>
    <x v="17"/>
    <n v="-2.4662510000000002"/>
    <n v="18.007998000000001"/>
    <x v="0"/>
    <s v="Ericsson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23T00:00:00"/>
    <d v="1899-12-30T12:02:00"/>
    <s v="ANT-0008"/>
    <n v="39"/>
    <x v="0"/>
    <x v="8"/>
    <n v="-11.89448"/>
    <n v="19.216214999999998"/>
    <x v="2"/>
    <s v="ZTE"/>
    <s v="CLI-01325"/>
    <n v="44"/>
    <x v="3"/>
    <n v="348"/>
    <n v="58.67"/>
    <n v="0"/>
    <n v="5.8"/>
    <n v="6"/>
    <n v="3.6666666666666665"/>
    <n v="4"/>
    <n v="0"/>
    <n v="0"/>
    <n v="0"/>
  </r>
  <r>
    <d v="2023-10-23T00:00:00"/>
    <d v="1899-12-30T15:40:00"/>
    <s v="ANT-0032"/>
    <n v="46"/>
    <x v="2"/>
    <x v="1"/>
    <n v="-11.266565999999999"/>
    <n v="26.245055000000001"/>
    <x v="2"/>
    <s v="Ericsson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23T00:00:00"/>
    <d v="1899-12-30T15:55:00"/>
    <s v="ANT-0093"/>
    <n v="6"/>
    <x v="2"/>
    <x v="4"/>
    <n v="2.975352"/>
    <n v="22.535886000000001"/>
    <x v="1"/>
    <s v="Huawei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23T00:00:00"/>
    <d v="1899-12-30T11:30:00"/>
    <s v="ANT-0225"/>
    <n v="112"/>
    <x v="1"/>
    <x v="19"/>
    <n v="-8.8118569999999998"/>
    <n v="14.465711000000001"/>
    <x v="0"/>
    <s v="Nokia"/>
    <s v="CLI-00439"/>
    <n v="40"/>
    <x v="1"/>
    <n v="345"/>
    <n v="89.55"/>
    <n v="3"/>
    <n v="5.75"/>
    <n v="6"/>
    <n v="3.3333333333333335"/>
    <n v="3"/>
    <n v="0"/>
    <n v="0"/>
    <n v="0"/>
  </r>
  <r>
    <d v="2023-10-23T00:00:00"/>
    <d v="1899-12-30T18:19:00"/>
    <s v="ANT-0339"/>
    <n v="91"/>
    <x v="2"/>
    <x v="9"/>
    <n v="-3.6945459999999999"/>
    <n v="16.809108999999999"/>
    <x v="0"/>
    <s v="ZTE"/>
    <s v="CLI-00414"/>
    <n v="99"/>
    <x v="1"/>
    <n v="447"/>
    <n v="38.1"/>
    <n v="3"/>
    <n v="7.45"/>
    <n v="7"/>
    <n v="8.25"/>
    <n v="8"/>
    <n v="0"/>
    <n v="0"/>
    <n v="0"/>
  </r>
  <r>
    <d v="2023-10-23T00:00:00"/>
    <d v="1899-12-30T04:18:00"/>
    <s v="ANT-0362"/>
    <n v="28"/>
    <x v="1"/>
    <x v="2"/>
    <n v="-0.90854400000000002"/>
    <n v="17.154896999999998"/>
    <x v="2"/>
    <s v="Huawei"/>
    <s v="CLI-00611"/>
    <n v="79"/>
    <x v="1"/>
    <n v="226"/>
    <n v="94.38"/>
    <n v="3"/>
    <n v="3.7666666666666666"/>
    <n v="4"/>
    <n v="6.583333333333333"/>
    <n v="7"/>
    <n v="0"/>
    <n v="0"/>
    <n v="0"/>
  </r>
  <r>
    <d v="2023-10-23T00:00:00"/>
    <d v="1899-12-30T18:40:00"/>
    <s v="ANT-0423"/>
    <n v="102"/>
    <x v="2"/>
    <x v="8"/>
    <n v="-1.3938550000000001"/>
    <n v="15.097554000000001"/>
    <x v="1"/>
    <s v="Huawei"/>
    <s v="CLI-01325"/>
    <n v="44"/>
    <x v="3"/>
    <n v="348"/>
    <n v="58.67"/>
    <n v="0"/>
    <n v="5.8"/>
    <n v="6"/>
    <n v="3.6666666666666665"/>
    <n v="4"/>
    <n v="0"/>
    <n v="0"/>
    <n v="0"/>
  </r>
  <r>
    <d v="2023-10-23T00:00:00"/>
    <d v="1899-12-30T22:39:00"/>
    <s v="ANT-0466"/>
    <n v="114"/>
    <x v="0"/>
    <x v="8"/>
    <n v="-9.6407190000000007"/>
    <n v="21.336704999999998"/>
    <x v="1"/>
    <s v="ZTE"/>
    <s v="CLI-01325"/>
    <n v="44"/>
    <x v="3"/>
    <n v="348"/>
    <n v="58.67"/>
    <n v="0"/>
    <n v="5.8"/>
    <n v="6"/>
    <n v="3.6666666666666665"/>
    <n v="4"/>
    <n v="0"/>
    <n v="0"/>
    <n v="0"/>
  </r>
  <r>
    <d v="2023-10-23T00:00:00"/>
    <d v="1899-12-30T17:58:00"/>
    <s v="ANT-0558"/>
    <n v="28"/>
    <x v="1"/>
    <x v="7"/>
    <n v="-11.468578000000001"/>
    <n v="16.914501999999999"/>
    <x v="1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23T00:00:00"/>
    <d v="1899-12-30T14:20:00"/>
    <s v="ANT-0563"/>
    <n v="22"/>
    <x v="1"/>
    <x v="13"/>
    <n v="-1.8555980000000001"/>
    <n v="30.421918000000002"/>
    <x v="2"/>
    <s v="ZTE"/>
    <s v="CLI-00837"/>
    <n v="16"/>
    <x v="3"/>
    <n v="390"/>
    <n v="98.17"/>
    <n v="5"/>
    <n v="6.5"/>
    <n v="7"/>
    <n v="1.3333333333333333"/>
    <n v="1"/>
    <n v="0"/>
    <n v="0"/>
    <n v="0"/>
  </r>
  <r>
    <d v="2023-10-23T00:00:00"/>
    <d v="1899-12-30T15:09:00"/>
    <s v="ANT-0565"/>
    <n v="90"/>
    <x v="0"/>
    <x v="17"/>
    <n v="-2.099631"/>
    <n v="13.974640000000001"/>
    <x v="2"/>
    <s v="Nokia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23T00:00:00"/>
    <d v="1899-12-30T10:15:00"/>
    <s v="ANT-0566"/>
    <n v="82"/>
    <x v="0"/>
    <x v="9"/>
    <n v="-4.4697000000000001E-2"/>
    <n v="22.943373000000001"/>
    <x v="2"/>
    <s v="Huawei"/>
    <s v="CLI-00414"/>
    <n v="99"/>
    <x v="1"/>
    <n v="447"/>
    <n v="38.1"/>
    <n v="3"/>
    <n v="7.45"/>
    <n v="7"/>
    <n v="8.25"/>
    <n v="8"/>
    <n v="0"/>
    <n v="0"/>
    <n v="0"/>
  </r>
  <r>
    <d v="2023-10-23T00:00:00"/>
    <d v="1899-12-30T20:01:00"/>
    <s v="ANT-0790"/>
    <n v="109"/>
    <x v="1"/>
    <x v="7"/>
    <n v="-2.9417719999999998"/>
    <n v="18.587305000000001"/>
    <x v="0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23T00:00:00"/>
    <d v="1899-12-30T08:29:00"/>
    <s v="ANT-0826"/>
    <n v="101"/>
    <x v="1"/>
    <x v="13"/>
    <n v="-10.846306999999999"/>
    <n v="19.201827999999999"/>
    <x v="1"/>
    <s v="Ericsson"/>
    <s v="CLI-00837"/>
    <n v="16"/>
    <x v="3"/>
    <n v="390"/>
    <n v="98.17"/>
    <n v="5"/>
    <n v="6.5"/>
    <n v="7"/>
    <n v="1.3333333333333333"/>
    <n v="1"/>
    <n v="0"/>
    <n v="0"/>
    <n v="0"/>
  </r>
  <r>
    <d v="2023-10-23T00:00:00"/>
    <d v="1899-12-30T04:32:00"/>
    <s v="ANT-0837"/>
    <n v="33"/>
    <x v="0"/>
    <x v="16"/>
    <n v="-5.3762689999999997"/>
    <n v="28.189575999999999"/>
    <x v="0"/>
    <s v="Huawei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23T00:00:00"/>
    <d v="1899-12-30T14:02:00"/>
    <s v="ANT-0870"/>
    <n v="15"/>
    <x v="2"/>
    <x v="23"/>
    <n v="-9.1215879999999991"/>
    <n v="16.457916999999998"/>
    <x v="1"/>
    <s v="Nokia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23T00:00:00"/>
    <d v="1899-12-30T09:58:00"/>
    <s v="ANT-0942"/>
    <n v="73"/>
    <x v="0"/>
    <x v="15"/>
    <n v="-4.8128659999999996"/>
    <n v="18.559304999999998"/>
    <x v="0"/>
    <s v="ZTE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23T00:00:00"/>
    <d v="1899-12-30T21:40:00"/>
    <s v="ANT-0995"/>
    <n v="31"/>
    <x v="2"/>
    <x v="0"/>
    <n v="-7.5969509999999998"/>
    <n v="22.153986"/>
    <x v="2"/>
    <s v="Ericsson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24T00:00:00"/>
    <d v="1899-12-30T10:03:00"/>
    <s v="ANT-0010"/>
    <n v="89"/>
    <x v="0"/>
    <x v="7"/>
    <n v="4.4712560000000003"/>
    <n v="27.107028"/>
    <x v="2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24T00:00:00"/>
    <d v="1899-12-30T17:40:00"/>
    <s v="ANT-0041"/>
    <n v="116"/>
    <x v="1"/>
    <x v="7"/>
    <n v="0.16841400000000001"/>
    <n v="30.029876999999999"/>
    <x v="0"/>
    <s v="Huawei"/>
    <s v="CLI-00076"/>
    <n v="46"/>
    <x v="1"/>
    <n v="283"/>
    <n v="56.05"/>
    <n v="1"/>
    <n v="4.7166666666666668"/>
    <n v="5"/>
    <n v="3.8333333333333335"/>
    <n v="4"/>
    <n v="0"/>
    <n v="0"/>
    <n v="0"/>
  </r>
  <r>
    <d v="2023-10-24T00:00:00"/>
    <d v="1899-12-30T09:37:00"/>
    <s v="ANT-0054"/>
    <n v="41"/>
    <x v="2"/>
    <x v="16"/>
    <n v="-1.231033"/>
    <n v="28.851388"/>
    <x v="2"/>
    <s v="Ericsson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24T00:00:00"/>
    <d v="1899-12-30T13:41:00"/>
    <s v="ANT-0056"/>
    <n v="10"/>
    <x v="1"/>
    <x v="12"/>
    <n v="-9.3652280000000001"/>
    <n v="18.674116000000001"/>
    <x v="1"/>
    <s v="Huawei"/>
    <s v="CLI-00361"/>
    <n v="66"/>
    <x v="2"/>
    <n v="270"/>
    <n v="75.88"/>
    <n v="3"/>
    <n v="4.5"/>
    <n v="5"/>
    <n v="5.5"/>
    <n v="6"/>
    <n v="0"/>
    <n v="0"/>
    <n v="0"/>
  </r>
  <r>
    <d v="2023-10-24T00:00:00"/>
    <d v="1899-12-30T19:04:00"/>
    <s v="ANT-0101"/>
    <n v="97"/>
    <x v="0"/>
    <x v="19"/>
    <n v="1.0134879999999999"/>
    <n v="20.363515"/>
    <x v="1"/>
    <s v="Nokia"/>
    <s v="CLI-00439"/>
    <n v="40"/>
    <x v="1"/>
    <n v="345"/>
    <n v="89.55"/>
    <n v="3"/>
    <n v="5.75"/>
    <n v="6"/>
    <n v="3.3333333333333335"/>
    <n v="3"/>
    <n v="0"/>
    <n v="0"/>
    <n v="0"/>
  </r>
  <r>
    <d v="2023-10-24T00:00:00"/>
    <d v="1899-12-30T10:49:00"/>
    <s v="ANT-0411"/>
    <n v="14"/>
    <x v="2"/>
    <x v="3"/>
    <n v="-2.571777"/>
    <n v="12.120642"/>
    <x v="2"/>
    <s v="Huawei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24T00:00:00"/>
    <d v="1899-12-30T23:47:00"/>
    <s v="ANT-0517"/>
    <n v="23"/>
    <x v="0"/>
    <x v="0"/>
    <n v="-8.0922239999999999"/>
    <n v="15.483708"/>
    <x v="0"/>
    <s v="Nokia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24T00:00:00"/>
    <d v="1899-12-30T07:03:00"/>
    <s v="ANT-0543"/>
    <n v="42"/>
    <x v="2"/>
    <x v="7"/>
    <n v="-4.4958720000000003"/>
    <n v="18.514112000000001"/>
    <x v="1"/>
    <s v="Nokia"/>
    <s v="CLI-00076"/>
    <n v="46"/>
    <x v="1"/>
    <n v="283"/>
    <n v="56.05"/>
    <n v="1"/>
    <n v="4.7166666666666668"/>
    <n v="5"/>
    <n v="3.8333333333333335"/>
    <n v="4"/>
    <n v="0"/>
    <n v="0"/>
    <n v="0"/>
  </r>
  <r>
    <d v="2023-10-24T00:00:00"/>
    <d v="1899-12-30T13:18:00"/>
    <s v="ANT-0714"/>
    <n v="86"/>
    <x v="1"/>
    <x v="18"/>
    <n v="-12.050063"/>
    <n v="26.636987999999999"/>
    <x v="2"/>
    <s v="Nokia"/>
    <s v="CLI-00280"/>
    <n v="113"/>
    <x v="2"/>
    <n v="380"/>
    <n v="12.11"/>
    <n v="0"/>
    <n v="6.333333333333333"/>
    <n v="6"/>
    <n v="9.4166666666666661"/>
    <n v="9"/>
    <n v="0"/>
    <n v="0"/>
    <n v="0"/>
  </r>
  <r>
    <d v="2023-10-24T00:00:00"/>
    <d v="1899-12-30T10:28:00"/>
    <s v="ANT-0775"/>
    <n v="26"/>
    <x v="0"/>
    <x v="9"/>
    <n v="1.5278670000000001"/>
    <n v="13.899388999999999"/>
    <x v="2"/>
    <s v="Huawei"/>
    <s v="CLI-00414"/>
    <n v="99"/>
    <x v="1"/>
    <n v="447"/>
    <n v="38.1"/>
    <n v="3"/>
    <n v="7.45"/>
    <n v="7"/>
    <n v="8.25"/>
    <n v="8"/>
    <n v="0"/>
    <n v="0"/>
    <n v="0"/>
  </r>
  <r>
    <d v="2023-10-24T00:00:00"/>
    <d v="1899-12-30T06:03:00"/>
    <s v="ANT-0826"/>
    <n v="12"/>
    <x v="1"/>
    <x v="13"/>
    <n v="-10.846306999999999"/>
    <n v="19.201827999999999"/>
    <x v="1"/>
    <s v="Ericsson"/>
    <s v="CLI-00837"/>
    <n v="16"/>
    <x v="3"/>
    <n v="390"/>
    <n v="98.17"/>
    <n v="5"/>
    <n v="6.5"/>
    <n v="7"/>
    <n v="1.3333333333333333"/>
    <n v="1"/>
    <n v="0"/>
    <n v="0"/>
    <n v="0"/>
  </r>
  <r>
    <d v="2023-10-24T00:00:00"/>
    <d v="1899-12-30T18:14:00"/>
    <s v="ANT-0837"/>
    <n v="78"/>
    <x v="1"/>
    <x v="16"/>
    <n v="-5.3762689999999997"/>
    <n v="28.189575999999999"/>
    <x v="0"/>
    <s v="Huawei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24T00:00:00"/>
    <d v="1899-12-30T14:40:00"/>
    <s v="ANT-0869"/>
    <n v="88"/>
    <x v="0"/>
    <x v="24"/>
    <n v="-8.0301989999999996"/>
    <n v="24.122495000000001"/>
    <x v="0"/>
    <s v="ZTE"/>
    <s v="CLI-01005"/>
    <n v="80"/>
    <x v="2"/>
    <n v="155"/>
    <n v="28.96"/>
    <n v="2"/>
    <n v="2.5833333333333335"/>
    <n v="3"/>
    <n v="6.666666666666667"/>
    <n v="7"/>
    <n v="0"/>
    <n v="0"/>
    <n v="0"/>
  </r>
  <r>
    <d v="2023-10-25T00:00:00"/>
    <d v="1899-12-30T13:38:00"/>
    <s v="ANT-0002"/>
    <n v="27"/>
    <x v="0"/>
    <x v="12"/>
    <n v="-10.442425"/>
    <n v="23.243632000000002"/>
    <x v="1"/>
    <s v="Nokia"/>
    <s v="CLI-00361"/>
    <n v="66"/>
    <x v="2"/>
    <n v="270"/>
    <n v="75.88"/>
    <n v="3"/>
    <n v="4.5"/>
    <n v="5"/>
    <n v="5.5"/>
    <n v="6"/>
    <n v="0"/>
    <n v="0"/>
    <n v="0"/>
  </r>
  <r>
    <d v="2023-10-25T00:00:00"/>
    <d v="1899-12-30T23:36:00"/>
    <s v="ANT-0056"/>
    <n v="107"/>
    <x v="2"/>
    <x v="12"/>
    <n v="-9.3652280000000001"/>
    <n v="18.674116000000001"/>
    <x v="1"/>
    <s v="Huawei"/>
    <s v="CLI-00361"/>
    <n v="66"/>
    <x v="2"/>
    <n v="270"/>
    <n v="75.88"/>
    <n v="3"/>
    <n v="4.5"/>
    <n v="5"/>
    <n v="5.5"/>
    <n v="6"/>
    <n v="0"/>
    <n v="0"/>
    <n v="0"/>
  </r>
  <r>
    <d v="2023-10-25T00:00:00"/>
    <d v="1899-12-30T04:50:00"/>
    <s v="ANT-0302"/>
    <n v="43"/>
    <x v="2"/>
    <x v="20"/>
    <n v="-4.6818410000000004"/>
    <n v="17.541618"/>
    <x v="1"/>
    <s v="Ericsson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25T00:00:00"/>
    <d v="1899-12-30T08:21:00"/>
    <s v="ANT-0551"/>
    <n v="14"/>
    <x v="0"/>
    <x v="3"/>
    <n v="-7.789663"/>
    <n v="26.529098000000001"/>
    <x v="0"/>
    <s v="Nokia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25T00:00:00"/>
    <d v="1899-12-30T10:17:00"/>
    <s v="ANT-0624"/>
    <n v="65"/>
    <x v="1"/>
    <x v="7"/>
    <n v="0.172153"/>
    <n v="21.091376"/>
    <x v="2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25T00:00:00"/>
    <d v="1899-12-30T11:35:00"/>
    <s v="ANT-0641"/>
    <n v="95"/>
    <x v="1"/>
    <x v="1"/>
    <n v="-2.2371569999999998"/>
    <n v="25.926188"/>
    <x v="2"/>
    <s v="Nokia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25T00:00:00"/>
    <d v="1899-12-30T05:31:00"/>
    <s v="ANT-0678"/>
    <n v="20"/>
    <x v="0"/>
    <x v="13"/>
    <n v="-10.298385"/>
    <n v="29.698117"/>
    <x v="0"/>
    <s v="Nokia"/>
    <s v="CLI-00837"/>
    <n v="16"/>
    <x v="3"/>
    <n v="390"/>
    <n v="98.17"/>
    <n v="5"/>
    <n v="6.5"/>
    <n v="7"/>
    <n v="1.3333333333333333"/>
    <n v="1"/>
    <n v="0"/>
    <n v="0"/>
    <n v="0"/>
  </r>
  <r>
    <d v="2023-10-25T00:00:00"/>
    <d v="1899-12-30T02:31:00"/>
    <s v="ANT-0703"/>
    <n v="98"/>
    <x v="2"/>
    <x v="17"/>
    <n v="-7.0007840000000003"/>
    <n v="22.787997000000001"/>
    <x v="0"/>
    <s v="ZTE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25T00:00:00"/>
    <d v="1899-12-30T00:15:00"/>
    <s v="ANT-0708"/>
    <n v="114"/>
    <x v="2"/>
    <x v="25"/>
    <n v="-9.7712979999999998"/>
    <n v="19.827895999999999"/>
    <x v="2"/>
    <s v="ZTE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25T00:00:00"/>
    <d v="1899-12-30T13:16:00"/>
    <s v="ANT-0738"/>
    <n v="60"/>
    <x v="1"/>
    <x v="17"/>
    <n v="-10.439686999999999"/>
    <n v="20.714210000000001"/>
    <x v="1"/>
    <s v="ZTE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25T00:00:00"/>
    <d v="1899-12-30T02:46:00"/>
    <s v="ANT-0839"/>
    <n v="45"/>
    <x v="1"/>
    <x v="22"/>
    <n v="-11.265995"/>
    <n v="28.935514999999999"/>
    <x v="1"/>
    <s v="Ericsson"/>
    <s v="CLI-00745"/>
    <n v="6"/>
    <x v="1"/>
    <n v="207"/>
    <n v="61.55"/>
    <n v="0"/>
    <n v="3.45"/>
    <n v="3"/>
    <n v="0.5"/>
    <n v="1"/>
    <n v="0"/>
    <n v="0"/>
    <n v="0"/>
  </r>
  <r>
    <d v="2023-10-25T00:00:00"/>
    <d v="1899-12-30T04:41:00"/>
    <s v="ANT-0882"/>
    <n v="81"/>
    <x v="1"/>
    <x v="9"/>
    <n v="-1.500685"/>
    <n v="26.563376000000002"/>
    <x v="0"/>
    <s v="Nokia"/>
    <s v="CLI-00414"/>
    <n v="99"/>
    <x v="1"/>
    <n v="447"/>
    <n v="38.1"/>
    <n v="3"/>
    <n v="7.45"/>
    <n v="7"/>
    <n v="8.25"/>
    <n v="8"/>
    <n v="0"/>
    <n v="0"/>
    <n v="0"/>
  </r>
  <r>
    <d v="2023-10-25T00:00:00"/>
    <d v="1899-12-30T18:36:00"/>
    <s v="ANT-0988"/>
    <n v="107"/>
    <x v="2"/>
    <x v="23"/>
    <n v="-5.7200150000000001"/>
    <n v="25.022109"/>
    <x v="0"/>
    <s v="ZTE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26T00:00:00"/>
    <d v="1899-12-30T05:18:00"/>
    <s v="ANT-0075"/>
    <n v="104"/>
    <x v="1"/>
    <x v="21"/>
    <n v="-8.0800809999999998"/>
    <n v="30.147970999999998"/>
    <x v="0"/>
    <s v="Huawei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26T00:00:00"/>
    <d v="1899-12-30T23:30:00"/>
    <s v="ANT-0081"/>
    <n v="6"/>
    <x v="0"/>
    <x v="3"/>
    <n v="-10.577049000000001"/>
    <n v="23.721854"/>
    <x v="1"/>
    <s v="ZTE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26T00:00:00"/>
    <d v="1899-12-30T03:32:00"/>
    <s v="ANT-0086"/>
    <n v="44"/>
    <x v="0"/>
    <x v="6"/>
    <n v="4.2904629999999999"/>
    <n v="26.354195000000001"/>
    <x v="2"/>
    <s v="Ericsson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26T00:00:00"/>
    <d v="1899-12-30T18:46:00"/>
    <s v="ANT-0110"/>
    <n v="113"/>
    <x v="1"/>
    <x v="17"/>
    <n v="-7.9425049999999997"/>
    <n v="24.111059000000001"/>
    <x v="2"/>
    <s v="ZTE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26T00:00:00"/>
    <d v="1899-12-30T17:06:00"/>
    <s v="ANT-0284"/>
    <n v="25"/>
    <x v="0"/>
    <x v="7"/>
    <n v="-5.5445120000000001"/>
    <n v="27.547335"/>
    <x v="1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26T00:00:00"/>
    <d v="1899-12-30T04:07:00"/>
    <s v="ANT-0368"/>
    <n v="104"/>
    <x v="1"/>
    <x v="4"/>
    <n v="1.2463919999999999"/>
    <n v="13.266916999999999"/>
    <x v="0"/>
    <s v="Huawei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26T00:00:00"/>
    <d v="1899-12-30T05:10:00"/>
    <s v="ANT-0375"/>
    <n v="41"/>
    <x v="2"/>
    <x v="12"/>
    <n v="-4.9552579999999997"/>
    <n v="22.008103999999999"/>
    <x v="1"/>
    <s v="Huawei"/>
    <s v="CLI-00361"/>
    <n v="66"/>
    <x v="2"/>
    <n v="270"/>
    <n v="75.88"/>
    <n v="3"/>
    <n v="4.5"/>
    <n v="5"/>
    <n v="5.5"/>
    <n v="6"/>
    <n v="0"/>
    <n v="0"/>
    <n v="0"/>
  </r>
  <r>
    <d v="2023-10-26T00:00:00"/>
    <d v="1899-12-30T22:46:00"/>
    <s v="ANT-0386"/>
    <n v="30"/>
    <x v="0"/>
    <x v="25"/>
    <n v="-10.653247"/>
    <n v="14.685601"/>
    <x v="1"/>
    <s v="Ericsson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26T00:00:00"/>
    <d v="1899-12-30T15:01:00"/>
    <s v="ANT-0394"/>
    <n v="108"/>
    <x v="2"/>
    <x v="18"/>
    <n v="-10.611184"/>
    <n v="23.022268"/>
    <x v="0"/>
    <s v="ZTE"/>
    <s v="CLI-00280"/>
    <n v="113"/>
    <x v="2"/>
    <n v="380"/>
    <n v="12.11"/>
    <n v="0"/>
    <n v="6.333333333333333"/>
    <n v="6"/>
    <n v="9.4166666666666661"/>
    <n v="9"/>
    <n v="0"/>
    <n v="0"/>
    <n v="0"/>
  </r>
  <r>
    <d v="2023-10-26T00:00:00"/>
    <d v="1899-12-30T23:10:00"/>
    <s v="ANT-0534"/>
    <n v="36"/>
    <x v="0"/>
    <x v="17"/>
    <n v="-9.002459"/>
    <n v="25.182109000000001"/>
    <x v="0"/>
    <s v="Huawei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26T00:00:00"/>
    <d v="1899-12-30T14:58:00"/>
    <s v="ANT-0549"/>
    <n v="22"/>
    <x v="0"/>
    <x v="12"/>
    <n v="-0.47411900000000001"/>
    <n v="27.184329000000002"/>
    <x v="0"/>
    <s v="ZTE"/>
    <s v="CLI-00361"/>
    <n v="66"/>
    <x v="2"/>
    <n v="270"/>
    <n v="75.88"/>
    <n v="3"/>
    <n v="4.5"/>
    <n v="5"/>
    <n v="5.5"/>
    <n v="6"/>
    <n v="0"/>
    <n v="0"/>
    <n v="0"/>
  </r>
  <r>
    <d v="2023-10-26T00:00:00"/>
    <d v="1899-12-30T18:38:00"/>
    <s v="ANT-0653"/>
    <n v="71"/>
    <x v="0"/>
    <x v="13"/>
    <n v="0.82868600000000003"/>
    <n v="26.958843999999999"/>
    <x v="0"/>
    <s v="ZTE"/>
    <s v="CLI-00837"/>
    <n v="16"/>
    <x v="3"/>
    <n v="390"/>
    <n v="98.17"/>
    <n v="5"/>
    <n v="6.5"/>
    <n v="7"/>
    <n v="1.3333333333333333"/>
    <n v="1"/>
    <n v="0"/>
    <n v="0"/>
    <n v="0"/>
  </r>
  <r>
    <d v="2023-10-26T00:00:00"/>
    <d v="1899-12-30T09:46:00"/>
    <s v="ANT-0677"/>
    <n v="74"/>
    <x v="0"/>
    <x v="25"/>
    <n v="-4.6957509999999996"/>
    <n v="14.233525999999999"/>
    <x v="1"/>
    <s v="Nokia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26T00:00:00"/>
    <d v="1899-12-30T06:56:00"/>
    <s v="ANT-0695"/>
    <n v="89"/>
    <x v="0"/>
    <x v="8"/>
    <n v="0.16327700000000001"/>
    <n v="14.871577"/>
    <x v="1"/>
    <s v="Huawei"/>
    <s v="CLI-01325"/>
    <n v="44"/>
    <x v="3"/>
    <n v="348"/>
    <n v="58.67"/>
    <n v="0"/>
    <n v="5.8"/>
    <n v="6"/>
    <n v="3.6666666666666665"/>
    <n v="4"/>
    <n v="0"/>
    <n v="0"/>
    <n v="0"/>
  </r>
  <r>
    <d v="2023-10-26T00:00:00"/>
    <d v="1899-12-30T07:37:00"/>
    <s v="ANT-0719"/>
    <n v="56"/>
    <x v="1"/>
    <x v="15"/>
    <n v="-7.9987219999999999"/>
    <n v="12.779335"/>
    <x v="0"/>
    <s v="Nokia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26T00:00:00"/>
    <d v="1899-12-30T14:57:00"/>
    <s v="ANT-0936"/>
    <n v="86"/>
    <x v="0"/>
    <x v="11"/>
    <n v="-10.165072"/>
    <n v="29.428024000000001"/>
    <x v="0"/>
    <s v="Huawei"/>
    <s v="CLI-00559"/>
    <n v="99"/>
    <x v="3"/>
    <n v="369"/>
    <n v="67.209999999999994"/>
    <n v="3"/>
    <n v="6.15"/>
    <n v="6"/>
    <n v="8.25"/>
    <n v="8"/>
    <n v="0"/>
    <n v="0"/>
    <n v="0"/>
  </r>
  <r>
    <d v="2023-10-26T00:00:00"/>
    <d v="1899-12-30T01:18:00"/>
    <s v="ANT-0959"/>
    <n v="38"/>
    <x v="2"/>
    <x v="24"/>
    <n v="-4.2184999999999997"/>
    <n v="23.077093999999999"/>
    <x v="1"/>
    <s v="Ericsson"/>
    <s v="CLI-01005"/>
    <n v="80"/>
    <x v="2"/>
    <n v="155"/>
    <n v="28.96"/>
    <n v="2"/>
    <n v="2.5833333333333335"/>
    <n v="3"/>
    <n v="6.666666666666667"/>
    <n v="7"/>
    <n v="0"/>
    <n v="0"/>
    <n v="0"/>
  </r>
  <r>
    <d v="2023-10-26T00:00:00"/>
    <d v="1899-12-30T21:19:00"/>
    <s v="ANT-0975"/>
    <n v="87"/>
    <x v="2"/>
    <x v="8"/>
    <n v="-5.8145569999999998"/>
    <n v="21.942052"/>
    <x v="0"/>
    <s v="Huawei"/>
    <s v="CLI-01325"/>
    <n v="44"/>
    <x v="3"/>
    <n v="348"/>
    <n v="58.67"/>
    <n v="0"/>
    <n v="5.8"/>
    <n v="6"/>
    <n v="3.6666666666666665"/>
    <n v="4"/>
    <n v="0"/>
    <n v="0"/>
    <n v="0"/>
  </r>
  <r>
    <d v="2023-10-27T00:00:00"/>
    <d v="1899-12-30T12:44:00"/>
    <s v="ANT-0094"/>
    <n v="101"/>
    <x v="2"/>
    <x v="20"/>
    <n v="-10.650321"/>
    <n v="15.917044000000001"/>
    <x v="1"/>
    <s v="Nokia"/>
    <s v="CLI-00185"/>
    <n v="81"/>
    <x v="0"/>
    <n v="154"/>
    <n v="19.47"/>
    <n v="3"/>
    <n v="2.5666666666666669"/>
    <n v="3"/>
    <n v="6.75"/>
    <n v="7"/>
    <n v="1.9470000000000001"/>
    <n v="2"/>
    <n v="38.94"/>
  </r>
  <r>
    <d v="2023-10-27T00:00:00"/>
    <d v="1899-12-30T23:16:00"/>
    <s v="ANT-0096"/>
    <n v="68"/>
    <x v="0"/>
    <x v="22"/>
    <n v="3.0603760000000002"/>
    <n v="19.708034000000001"/>
    <x v="2"/>
    <s v="ZTE"/>
    <s v="CLI-00745"/>
    <n v="6"/>
    <x v="1"/>
    <n v="207"/>
    <n v="61.55"/>
    <n v="0"/>
    <n v="3.45"/>
    <n v="3"/>
    <n v="0.5"/>
    <n v="1"/>
    <n v="0"/>
    <n v="0"/>
    <n v="0"/>
  </r>
  <r>
    <d v="2023-10-27T00:00:00"/>
    <d v="1899-12-30T20:11:00"/>
    <s v="ANT-0164"/>
    <n v="74"/>
    <x v="1"/>
    <x v="2"/>
    <n v="-11.389362"/>
    <n v="22.240174"/>
    <x v="0"/>
    <s v="ZTE"/>
    <s v="CLI-00611"/>
    <n v="79"/>
    <x v="1"/>
    <n v="226"/>
    <n v="94.38"/>
    <n v="3"/>
    <n v="3.7666666666666666"/>
    <n v="4"/>
    <n v="6.583333333333333"/>
    <n v="7"/>
    <n v="0"/>
    <n v="0"/>
    <n v="0"/>
  </r>
  <r>
    <d v="2023-10-27T00:00:00"/>
    <d v="1899-12-30T04:06:00"/>
    <s v="ANT-0271"/>
    <n v="54"/>
    <x v="0"/>
    <x v="3"/>
    <n v="-5.1030600000000002"/>
    <n v="22.849231"/>
    <x v="0"/>
    <s v="ZTE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27T00:00:00"/>
    <d v="1899-12-30T05:24:00"/>
    <s v="ANT-0276"/>
    <n v="11"/>
    <x v="1"/>
    <x v="0"/>
    <n v="-0.157111"/>
    <n v="25.415125"/>
    <x v="1"/>
    <s v="Ericsson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27T00:00:00"/>
    <d v="1899-12-30T07:43:00"/>
    <s v="ANT-0282"/>
    <n v="22"/>
    <x v="2"/>
    <x v="13"/>
    <n v="-10.25074"/>
    <n v="26.099086"/>
    <x v="1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27T00:00:00"/>
    <d v="1899-12-30T02:30:00"/>
    <s v="ANT-0417"/>
    <n v="110"/>
    <x v="1"/>
    <x v="3"/>
    <n v="-2.3677800000000002"/>
    <n v="18.790323999999998"/>
    <x v="0"/>
    <s v="Huawei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27T00:00:00"/>
    <d v="1899-12-30T23:09:00"/>
    <s v="ANT-0580"/>
    <n v="27"/>
    <x v="1"/>
    <x v="24"/>
    <n v="-11.354772000000001"/>
    <n v="21.957325999999998"/>
    <x v="2"/>
    <s v="Nokia"/>
    <s v="CLI-01005"/>
    <n v="80"/>
    <x v="2"/>
    <n v="155"/>
    <n v="28.96"/>
    <n v="2"/>
    <n v="2.5833333333333335"/>
    <n v="3"/>
    <n v="6.666666666666667"/>
    <n v="7"/>
    <n v="0"/>
    <n v="0"/>
    <n v="0"/>
  </r>
  <r>
    <d v="2023-10-27T00:00:00"/>
    <d v="1899-12-30T05:01:00"/>
    <s v="ANT-0607"/>
    <n v="81"/>
    <x v="2"/>
    <x v="15"/>
    <n v="-8.4985189999999999"/>
    <n v="12.929456999999999"/>
    <x v="1"/>
    <s v="Ericsson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27T00:00:00"/>
    <d v="1899-12-30T14:05:00"/>
    <s v="ANT-0649"/>
    <n v="33"/>
    <x v="2"/>
    <x v="15"/>
    <n v="-7.7839049999999999"/>
    <n v="14.114281999999999"/>
    <x v="2"/>
    <s v="ZTE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27T00:00:00"/>
    <d v="1899-12-30T23:57:00"/>
    <s v="ANT-0671"/>
    <n v="53"/>
    <x v="2"/>
    <x v="15"/>
    <n v="-7.8373179999999998"/>
    <n v="20.527591999999999"/>
    <x v="1"/>
    <s v="Ericsson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27T00:00:00"/>
    <d v="1899-12-30T07:31:00"/>
    <s v="ANT-0701"/>
    <n v="66"/>
    <x v="2"/>
    <x v="23"/>
    <n v="-12.839263000000001"/>
    <n v="12.355677"/>
    <x v="2"/>
    <s v="Huawei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27T00:00:00"/>
    <d v="1899-12-30T18:58:00"/>
    <s v="ANT-0716"/>
    <n v="68"/>
    <x v="2"/>
    <x v="23"/>
    <n v="-0.37665700000000002"/>
    <n v="25.154807999999999"/>
    <x v="2"/>
    <s v="Nokia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27T00:00:00"/>
    <d v="1899-12-30T14:58:00"/>
    <s v="ANT-0719"/>
    <n v="98"/>
    <x v="2"/>
    <x v="15"/>
    <n v="-7.9987219999999999"/>
    <n v="12.779335"/>
    <x v="0"/>
    <s v="Nokia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27T00:00:00"/>
    <d v="1899-12-30T09:04:00"/>
    <s v="ANT-0829"/>
    <n v="74"/>
    <x v="2"/>
    <x v="16"/>
    <n v="4.6809229999999999"/>
    <n v="28.934242000000001"/>
    <x v="0"/>
    <s v="Nokia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27T00:00:00"/>
    <d v="1899-12-30T01:51:00"/>
    <s v="ANT-0852"/>
    <n v="101"/>
    <x v="0"/>
    <x v="6"/>
    <n v="4.2493650000000001"/>
    <n v="28.355039999999999"/>
    <x v="2"/>
    <s v="ZTE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27T00:00:00"/>
    <d v="1899-12-30T02:47:00"/>
    <s v="ANT-0872"/>
    <n v="5"/>
    <x v="2"/>
    <x v="14"/>
    <n v="2.486888"/>
    <n v="23.798074"/>
    <x v="0"/>
    <s v="ZTE"/>
    <s v="CLI-01837"/>
    <n v="97"/>
    <x v="0"/>
    <n v="319"/>
    <n v="31.25"/>
    <n v="1"/>
    <n v="5.3166666666666664"/>
    <n v="5"/>
    <n v="8.0833333333333339"/>
    <n v="8"/>
    <n v="3.125"/>
    <n v="3"/>
    <n v="93.75"/>
  </r>
  <r>
    <d v="2023-10-27T00:00:00"/>
    <d v="1899-12-30T15:50:00"/>
    <s v="ANT-0989"/>
    <n v="65"/>
    <x v="1"/>
    <x v="7"/>
    <n v="-11.594525000000001"/>
    <n v="29.744895"/>
    <x v="2"/>
    <s v="ZTE"/>
    <s v="CLI-00076"/>
    <n v="46"/>
    <x v="1"/>
    <n v="283"/>
    <n v="56.05"/>
    <n v="1"/>
    <n v="4.7166666666666668"/>
    <n v="5"/>
    <n v="3.8333333333333335"/>
    <n v="4"/>
    <n v="0"/>
    <n v="0"/>
    <n v="0"/>
  </r>
  <r>
    <d v="2023-10-27T00:00:00"/>
    <d v="1899-12-30T02:25:00"/>
    <s v="ANT-0994"/>
    <n v="110"/>
    <x v="1"/>
    <x v="1"/>
    <n v="-2.2681789999999999"/>
    <n v="25.699068"/>
    <x v="2"/>
    <s v="ZTE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28T00:00:00"/>
    <d v="1899-12-30T10:45:00"/>
    <s v="ANT-0159"/>
    <n v="84"/>
    <x v="1"/>
    <x v="6"/>
    <n v="2.4414509999999998"/>
    <n v="30.167489"/>
    <x v="0"/>
    <s v="Nokia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28T00:00:00"/>
    <d v="1899-12-30T03:28:00"/>
    <s v="ANT-0180"/>
    <n v="11"/>
    <x v="1"/>
    <x v="22"/>
    <n v="2.4425979999999998"/>
    <n v="24.924308"/>
    <x v="0"/>
    <s v="Ericsson"/>
    <s v="CLI-00745"/>
    <n v="6"/>
    <x v="1"/>
    <n v="207"/>
    <n v="61.55"/>
    <n v="0"/>
    <n v="3.45"/>
    <n v="3"/>
    <n v="0.5"/>
    <n v="1"/>
    <n v="0"/>
    <n v="0"/>
    <n v="0"/>
  </r>
  <r>
    <d v="2023-10-28T00:00:00"/>
    <d v="1899-12-30T02:12:00"/>
    <s v="ANT-0184"/>
    <n v="112"/>
    <x v="0"/>
    <x v="5"/>
    <n v="-10.161428000000001"/>
    <n v="19.362325999999999"/>
    <x v="2"/>
    <s v="Nokia"/>
    <s v="CLI-00996"/>
    <n v="119"/>
    <x v="2"/>
    <n v="228"/>
    <n v="94.72"/>
    <n v="3"/>
    <n v="3.8"/>
    <n v="4"/>
    <n v="9.9166666666666661"/>
    <n v="10"/>
    <n v="0"/>
    <n v="0"/>
    <n v="0"/>
  </r>
  <r>
    <d v="2023-10-28T00:00:00"/>
    <d v="1899-12-30T22:09:00"/>
    <s v="ANT-0282"/>
    <n v="26"/>
    <x v="2"/>
    <x v="13"/>
    <n v="-10.25074"/>
    <n v="26.099086"/>
    <x v="1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28T00:00:00"/>
    <d v="1899-12-30T04:42:00"/>
    <s v="ANT-0414"/>
    <n v="113"/>
    <x v="1"/>
    <x v="2"/>
    <n v="-7.5418399999999997"/>
    <n v="16.931206"/>
    <x v="2"/>
    <s v="Nokia"/>
    <s v="CLI-00611"/>
    <n v="79"/>
    <x v="1"/>
    <n v="226"/>
    <n v="94.38"/>
    <n v="3"/>
    <n v="3.7666666666666666"/>
    <n v="4"/>
    <n v="6.583333333333333"/>
    <n v="7"/>
    <n v="0"/>
    <n v="0"/>
    <n v="0"/>
  </r>
  <r>
    <d v="2023-10-28T00:00:00"/>
    <d v="1899-12-30T13:52:00"/>
    <s v="ANT-0436"/>
    <n v="50"/>
    <x v="2"/>
    <x v="22"/>
    <n v="-4.5603610000000003"/>
    <n v="24.113918999999999"/>
    <x v="0"/>
    <s v="ZTE"/>
    <s v="CLI-00745"/>
    <n v="6"/>
    <x v="1"/>
    <n v="207"/>
    <n v="61.55"/>
    <n v="0"/>
    <n v="3.45"/>
    <n v="3"/>
    <n v="0.5"/>
    <n v="1"/>
    <n v="0"/>
    <n v="0"/>
    <n v="0"/>
  </r>
  <r>
    <d v="2023-10-28T00:00:00"/>
    <d v="1899-12-30T12:39:00"/>
    <s v="ANT-0514"/>
    <n v="107"/>
    <x v="1"/>
    <x v="17"/>
    <n v="-1.50664"/>
    <n v="27.795642000000001"/>
    <x v="0"/>
    <s v="ZTE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28T00:00:00"/>
    <d v="1899-12-30T18:41:00"/>
    <s v="ANT-0549"/>
    <n v="67"/>
    <x v="2"/>
    <x v="12"/>
    <n v="-0.47411900000000001"/>
    <n v="27.184329000000002"/>
    <x v="0"/>
    <s v="ZTE"/>
    <s v="CLI-00361"/>
    <n v="66"/>
    <x v="2"/>
    <n v="270"/>
    <n v="75.88"/>
    <n v="3"/>
    <n v="4.5"/>
    <n v="5"/>
    <n v="5.5"/>
    <n v="6"/>
    <n v="0"/>
    <n v="0"/>
    <n v="0"/>
  </r>
  <r>
    <d v="2023-10-28T00:00:00"/>
    <d v="1899-12-30T14:06:00"/>
    <s v="ANT-0662"/>
    <n v="50"/>
    <x v="1"/>
    <x v="15"/>
    <n v="-1.342476"/>
    <n v="15.986086"/>
    <x v="1"/>
    <s v="Ericsson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28T00:00:00"/>
    <d v="1899-12-30T07:08:00"/>
    <s v="ANT-0663"/>
    <n v="92"/>
    <x v="2"/>
    <x v="8"/>
    <n v="-5.5559329999999996"/>
    <n v="13.508692999999999"/>
    <x v="2"/>
    <s v="Nokia"/>
    <s v="CLI-01325"/>
    <n v="44"/>
    <x v="3"/>
    <n v="348"/>
    <n v="58.67"/>
    <n v="0"/>
    <n v="5.8"/>
    <n v="6"/>
    <n v="3.6666666666666665"/>
    <n v="4"/>
    <n v="0"/>
    <n v="0"/>
    <n v="0"/>
  </r>
  <r>
    <d v="2023-10-28T00:00:00"/>
    <d v="1899-12-30T18:02:00"/>
    <s v="ANT-0714"/>
    <n v="42"/>
    <x v="0"/>
    <x v="18"/>
    <n v="-12.050063"/>
    <n v="26.636987999999999"/>
    <x v="2"/>
    <s v="Nokia"/>
    <s v="CLI-00280"/>
    <n v="113"/>
    <x v="2"/>
    <n v="380"/>
    <n v="12.11"/>
    <n v="0"/>
    <n v="6.333333333333333"/>
    <n v="6"/>
    <n v="9.4166666666666661"/>
    <n v="9"/>
    <n v="0"/>
    <n v="0"/>
    <n v="0"/>
  </r>
  <r>
    <d v="2023-10-28T00:00:00"/>
    <d v="1899-12-30T15:51:00"/>
    <s v="ANT-0811"/>
    <n v="67"/>
    <x v="2"/>
    <x v="11"/>
    <n v="-5.125"/>
    <n v="23.513119"/>
    <x v="0"/>
    <s v="Huawei"/>
    <s v="CLI-00559"/>
    <n v="99"/>
    <x v="3"/>
    <n v="369"/>
    <n v="67.209999999999994"/>
    <n v="3"/>
    <n v="6.15"/>
    <n v="6"/>
    <n v="8.25"/>
    <n v="8"/>
    <n v="0"/>
    <n v="0"/>
    <n v="0"/>
  </r>
  <r>
    <d v="2023-10-28T00:00:00"/>
    <d v="1899-12-30T21:58:00"/>
    <s v="ANT-0821"/>
    <n v="26"/>
    <x v="1"/>
    <x v="10"/>
    <n v="-3.7720639999999999"/>
    <n v="16.006277999999998"/>
    <x v="0"/>
    <s v="ZTE"/>
    <s v="CLI-01147"/>
    <n v="29"/>
    <x v="1"/>
    <n v="214"/>
    <n v="74.7"/>
    <n v="3"/>
    <n v="3.5666666666666669"/>
    <n v="4"/>
    <n v="2.4166666666666665"/>
    <n v="2"/>
    <n v="0"/>
    <n v="0"/>
    <n v="0"/>
  </r>
  <r>
    <d v="2023-10-28T00:00:00"/>
    <d v="1899-12-30T21:33:00"/>
    <s v="ANT-0846"/>
    <n v="61"/>
    <x v="0"/>
    <x v="2"/>
    <n v="-7.1079169999999996"/>
    <n v="13.636272"/>
    <x v="0"/>
    <s v="Nokia"/>
    <s v="CLI-00611"/>
    <n v="79"/>
    <x v="1"/>
    <n v="226"/>
    <n v="94.38"/>
    <n v="3"/>
    <n v="3.7666666666666666"/>
    <n v="4"/>
    <n v="6.583333333333333"/>
    <n v="7"/>
    <n v="0"/>
    <n v="0"/>
    <n v="0"/>
  </r>
  <r>
    <d v="2023-10-28T00:00:00"/>
    <d v="1899-12-30T07:25:00"/>
    <s v="ANT-0926"/>
    <n v="118"/>
    <x v="2"/>
    <x v="18"/>
    <n v="-10.914952"/>
    <n v="26.409648000000001"/>
    <x v="1"/>
    <s v="Huawei"/>
    <s v="CLI-00280"/>
    <n v="113"/>
    <x v="2"/>
    <n v="380"/>
    <n v="12.11"/>
    <n v="0"/>
    <n v="6.333333333333333"/>
    <n v="6"/>
    <n v="9.4166666666666661"/>
    <n v="9"/>
    <n v="0"/>
    <n v="0"/>
    <n v="0"/>
  </r>
  <r>
    <d v="2023-10-28T00:00:00"/>
    <d v="1899-12-30T00:48:00"/>
    <s v="ANT-0935"/>
    <n v="68"/>
    <x v="2"/>
    <x v="15"/>
    <n v="-10.375266999999999"/>
    <n v="17.993663000000002"/>
    <x v="0"/>
    <s v="ZTE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29T00:00:00"/>
    <d v="1899-12-30T14:55:00"/>
    <s v="ANT-0134"/>
    <n v="98"/>
    <x v="2"/>
    <x v="25"/>
    <n v="-10.963041"/>
    <n v="12.269857"/>
    <x v="1"/>
    <s v="Huawei"/>
    <s v="CLI-00569"/>
    <n v="110"/>
    <x v="0"/>
    <n v="423"/>
    <n v="37.35"/>
    <n v="4"/>
    <n v="7.05"/>
    <n v="7"/>
    <n v="9.1666666666666661"/>
    <n v="9"/>
    <n v="3.7350000000000003"/>
    <n v="4"/>
    <n v="149.4"/>
  </r>
  <r>
    <d v="2023-10-29T00:00:00"/>
    <d v="1899-12-30T00:02:00"/>
    <s v="ANT-0136"/>
    <n v="100"/>
    <x v="1"/>
    <x v="6"/>
    <n v="-9.3900009999999998"/>
    <n v="30.001517"/>
    <x v="2"/>
    <s v="Nokia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29T00:00:00"/>
    <d v="1899-12-30T16:08:00"/>
    <s v="ANT-0232"/>
    <n v="106"/>
    <x v="0"/>
    <x v="24"/>
    <n v="2.0392079999999999"/>
    <n v="19.090841999999999"/>
    <x v="1"/>
    <s v="Nokia"/>
    <s v="CLI-01005"/>
    <n v="80"/>
    <x v="2"/>
    <n v="155"/>
    <n v="28.96"/>
    <n v="2"/>
    <n v="2.5833333333333335"/>
    <n v="3"/>
    <n v="6.666666666666667"/>
    <n v="7"/>
    <n v="0"/>
    <n v="0"/>
    <n v="0"/>
  </r>
  <r>
    <d v="2023-10-29T00:00:00"/>
    <d v="1899-12-30T03:49:00"/>
    <s v="ANT-0238"/>
    <n v="30"/>
    <x v="0"/>
    <x v="5"/>
    <n v="0.62055499999999997"/>
    <n v="21.222035000000002"/>
    <x v="0"/>
    <s v="Nokia"/>
    <s v="CLI-00996"/>
    <n v="119"/>
    <x v="2"/>
    <n v="228"/>
    <n v="94.72"/>
    <n v="3"/>
    <n v="3.8"/>
    <n v="4"/>
    <n v="9.9166666666666661"/>
    <n v="10"/>
    <n v="0"/>
    <n v="0"/>
    <n v="0"/>
  </r>
  <r>
    <d v="2023-10-29T00:00:00"/>
    <d v="1899-12-30T12:17:00"/>
    <s v="ANT-0248"/>
    <n v="64"/>
    <x v="1"/>
    <x v="19"/>
    <n v="-4.4351269999999996"/>
    <n v="24.825467"/>
    <x v="1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29T00:00:00"/>
    <d v="1899-12-30T02:04:00"/>
    <s v="ANT-0255"/>
    <n v="43"/>
    <x v="2"/>
    <x v="0"/>
    <n v="-6.4883290000000002"/>
    <n v="25.103404000000001"/>
    <x v="0"/>
    <s v="ZTE"/>
    <s v="CLI-00530"/>
    <n v="35"/>
    <x v="0"/>
    <n v="465"/>
    <n v="58.59"/>
    <n v="5"/>
    <n v="7.75"/>
    <n v="8"/>
    <n v="2.9166666666666665"/>
    <n v="3"/>
    <n v="5.8590000000000009"/>
    <n v="6"/>
    <n v="351.54"/>
  </r>
  <r>
    <d v="2023-10-29T00:00:00"/>
    <d v="1899-12-30T14:45:00"/>
    <s v="ANT-0339"/>
    <n v="48"/>
    <x v="1"/>
    <x v="9"/>
    <n v="-3.6945459999999999"/>
    <n v="16.809108999999999"/>
    <x v="0"/>
    <s v="ZTE"/>
    <s v="CLI-00414"/>
    <n v="99"/>
    <x v="1"/>
    <n v="447"/>
    <n v="38.1"/>
    <n v="3"/>
    <n v="7.45"/>
    <n v="7"/>
    <n v="8.25"/>
    <n v="8"/>
    <n v="0"/>
    <n v="0"/>
    <n v="0"/>
  </r>
  <r>
    <d v="2023-10-29T00:00:00"/>
    <d v="1899-12-30T19:00:00"/>
    <s v="ANT-0465"/>
    <n v="63"/>
    <x v="0"/>
    <x v="17"/>
    <n v="-11.144149000000001"/>
    <n v="27.244658999999999"/>
    <x v="1"/>
    <s v="Nokia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29T00:00:00"/>
    <d v="1899-12-30T13:51:00"/>
    <s v="ANT-0503"/>
    <n v="80"/>
    <x v="2"/>
    <x v="19"/>
    <n v="-1.8045979999999999"/>
    <n v="12.511096999999999"/>
    <x v="2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29T00:00:00"/>
    <d v="1899-12-30T12:22:00"/>
    <s v="ANT-0536"/>
    <n v="105"/>
    <x v="0"/>
    <x v="22"/>
    <n v="-0.919767"/>
    <n v="18.905538"/>
    <x v="0"/>
    <s v="Ericsson"/>
    <s v="CLI-00745"/>
    <n v="6"/>
    <x v="1"/>
    <n v="207"/>
    <n v="61.55"/>
    <n v="0"/>
    <n v="3.45"/>
    <n v="3"/>
    <n v="0.5"/>
    <n v="1"/>
    <n v="0"/>
    <n v="0"/>
    <n v="0"/>
  </r>
  <r>
    <d v="2023-10-29T00:00:00"/>
    <d v="1899-12-30T17:40:00"/>
    <s v="ANT-0592"/>
    <n v="66"/>
    <x v="2"/>
    <x v="14"/>
    <n v="-4.4831099999999999"/>
    <n v="25.406548000000001"/>
    <x v="0"/>
    <s v="Nokia"/>
    <s v="CLI-01837"/>
    <n v="97"/>
    <x v="0"/>
    <n v="319"/>
    <n v="31.25"/>
    <n v="1"/>
    <n v="5.3166666666666664"/>
    <n v="5"/>
    <n v="8.0833333333333339"/>
    <n v="8"/>
    <n v="3.125"/>
    <n v="3"/>
    <n v="93.75"/>
  </r>
  <r>
    <d v="2023-10-29T00:00:00"/>
    <d v="1899-12-30T21:08:00"/>
    <s v="ANT-0804"/>
    <n v="112"/>
    <x v="2"/>
    <x v="10"/>
    <n v="-4.1250960000000001"/>
    <n v="27.799897999999999"/>
    <x v="2"/>
    <s v="Nokia"/>
    <s v="CLI-01147"/>
    <n v="29"/>
    <x v="1"/>
    <n v="214"/>
    <n v="74.7"/>
    <n v="3"/>
    <n v="3.5666666666666669"/>
    <n v="4"/>
    <n v="2.4166666666666665"/>
    <n v="2"/>
    <n v="0"/>
    <n v="0"/>
    <n v="0"/>
  </r>
  <r>
    <d v="2023-10-29T00:00:00"/>
    <d v="1899-12-30T13:31:00"/>
    <s v="ANT-0839"/>
    <n v="44"/>
    <x v="0"/>
    <x v="22"/>
    <n v="-11.265995"/>
    <n v="28.935514999999999"/>
    <x v="1"/>
    <s v="Ericsson"/>
    <s v="CLI-00745"/>
    <n v="6"/>
    <x v="1"/>
    <n v="207"/>
    <n v="61.55"/>
    <n v="0"/>
    <n v="3.45"/>
    <n v="3"/>
    <n v="0.5"/>
    <n v="1"/>
    <n v="0"/>
    <n v="0"/>
    <n v="0"/>
  </r>
  <r>
    <d v="2023-10-29T00:00:00"/>
    <d v="1899-12-30T17:57:00"/>
    <s v="ANT-0869"/>
    <n v="27"/>
    <x v="0"/>
    <x v="24"/>
    <n v="-8.0301989999999996"/>
    <n v="24.122495000000001"/>
    <x v="0"/>
    <s v="ZTE"/>
    <s v="CLI-01005"/>
    <n v="80"/>
    <x v="2"/>
    <n v="155"/>
    <n v="28.96"/>
    <n v="2"/>
    <n v="2.5833333333333335"/>
    <n v="3"/>
    <n v="6.666666666666667"/>
    <n v="7"/>
    <n v="0"/>
    <n v="0"/>
    <n v="0"/>
  </r>
  <r>
    <d v="2023-10-29T00:00:00"/>
    <d v="1899-12-30T20:29:00"/>
    <s v="ANT-0900"/>
    <n v="42"/>
    <x v="0"/>
    <x v="17"/>
    <n v="-10.776204"/>
    <n v="24.672934000000001"/>
    <x v="1"/>
    <s v="Ericsson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29T00:00:00"/>
    <d v="1899-12-30T15:38:00"/>
    <s v="ant-0745"/>
    <n v="119"/>
    <x v="0"/>
    <x v="6"/>
    <n v="2.453036"/>
    <n v="20.555484"/>
    <x v="0"/>
    <s v="Ericsson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30T00:00:00"/>
    <d v="1899-12-30T14:18:00"/>
    <s v="ANT-0166"/>
    <n v="88"/>
    <x v="2"/>
    <x v="18"/>
    <n v="-10.56448"/>
    <n v="19.792876"/>
    <x v="0"/>
    <s v="Ericsson"/>
    <s v="CLI-00280"/>
    <n v="113"/>
    <x v="2"/>
    <n v="380"/>
    <n v="12.11"/>
    <n v="0"/>
    <n v="6.333333333333333"/>
    <n v="6"/>
    <n v="9.4166666666666661"/>
    <n v="9"/>
    <n v="0"/>
    <n v="0"/>
    <n v="0"/>
  </r>
  <r>
    <d v="2023-10-30T00:00:00"/>
    <d v="1899-12-30T09:24:00"/>
    <s v="ANT-0515"/>
    <n v="28"/>
    <x v="2"/>
    <x v="24"/>
    <n v="-10.967288"/>
    <n v="17.617781000000001"/>
    <x v="1"/>
    <s v="Ericsson"/>
    <s v="CLI-01005"/>
    <n v="80"/>
    <x v="2"/>
    <n v="155"/>
    <n v="28.96"/>
    <n v="2"/>
    <n v="2.5833333333333335"/>
    <n v="3"/>
    <n v="6.666666666666667"/>
    <n v="7"/>
    <n v="0"/>
    <n v="0"/>
    <n v="0"/>
  </r>
  <r>
    <d v="2023-10-30T00:00:00"/>
    <d v="1899-12-30T23:20:00"/>
    <s v="ANT-0607"/>
    <n v="5"/>
    <x v="2"/>
    <x v="15"/>
    <n v="-8.4985189999999999"/>
    <n v="12.929456999999999"/>
    <x v="1"/>
    <s v="Ericsson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30T00:00:00"/>
    <d v="1899-12-30T01:35:00"/>
    <s v="ANT-0653"/>
    <n v="93"/>
    <x v="0"/>
    <x v="13"/>
    <n v="0.82868600000000003"/>
    <n v="26.958843999999999"/>
    <x v="0"/>
    <s v="ZTE"/>
    <s v="CLI-00837"/>
    <n v="16"/>
    <x v="3"/>
    <n v="390"/>
    <n v="98.17"/>
    <n v="5"/>
    <n v="6.5"/>
    <n v="7"/>
    <n v="1.3333333333333333"/>
    <n v="1"/>
    <n v="0"/>
    <n v="0"/>
    <n v="0"/>
  </r>
  <r>
    <d v="2023-10-30T00:00:00"/>
    <d v="1899-12-30T17:21:00"/>
    <s v="ANT-0662"/>
    <n v="76"/>
    <x v="1"/>
    <x v="15"/>
    <n v="-1.342476"/>
    <n v="15.986086"/>
    <x v="1"/>
    <s v="Ericsson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30T00:00:00"/>
    <d v="1899-12-30T15:09:00"/>
    <s v="ANT-0685"/>
    <n v="81"/>
    <x v="0"/>
    <x v="3"/>
    <n v="-10.574821"/>
    <n v="25.324966"/>
    <x v="0"/>
    <s v="Ericsson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30T00:00:00"/>
    <d v="1899-12-30T14:54:00"/>
    <s v="ANT-0691"/>
    <n v="74"/>
    <x v="2"/>
    <x v="19"/>
    <n v="-12.488033"/>
    <n v="16.139648000000001"/>
    <x v="1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30T00:00:00"/>
    <d v="1899-12-30T17:43:00"/>
    <s v="ANT-0914"/>
    <n v="36"/>
    <x v="1"/>
    <x v="1"/>
    <n v="-11.218453999999999"/>
    <n v="28.230025000000001"/>
    <x v="0"/>
    <s v="ZTE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30T00:00:00"/>
    <d v="1899-12-30T10:39:00"/>
    <s v="ANT-0929"/>
    <n v="5"/>
    <x v="0"/>
    <x v="21"/>
    <n v="-6.6803710000000001"/>
    <n v="21.955673000000001"/>
    <x v="1"/>
    <s v="Nokia"/>
    <s v="CLI-00060"/>
    <n v="72"/>
    <x v="0"/>
    <n v="160"/>
    <n v="90.13"/>
    <n v="2"/>
    <n v="2.6666666666666665"/>
    <n v="3"/>
    <n v="6"/>
    <n v="6"/>
    <n v="9.0129999999999999"/>
    <n v="9"/>
    <n v="811.17"/>
  </r>
  <r>
    <d v="2023-10-30T00:00:00"/>
    <d v="1899-12-30T16:05:00"/>
    <s v="ANT-0957"/>
    <n v="41"/>
    <x v="2"/>
    <x v="8"/>
    <n v="-7.1785899999999998"/>
    <n v="24.4404"/>
    <x v="1"/>
    <s v="Nokia"/>
    <s v="CLI-01325"/>
    <n v="44"/>
    <x v="3"/>
    <n v="348"/>
    <n v="58.67"/>
    <n v="0"/>
    <n v="5.8"/>
    <n v="6"/>
    <n v="3.6666666666666665"/>
    <n v="4"/>
    <n v="0"/>
    <n v="0"/>
    <n v="0"/>
  </r>
  <r>
    <d v="2023-10-31T00:00:00"/>
    <d v="1899-12-30T20:50:00"/>
    <s v="ANT-0006"/>
    <n v="103"/>
    <x v="2"/>
    <x v="9"/>
    <n v="-2.8532869999999999"/>
    <n v="22.117896000000002"/>
    <x v="0"/>
    <s v="Huawei"/>
    <s v="CLI-00414"/>
    <n v="99"/>
    <x v="1"/>
    <n v="447"/>
    <n v="38.1"/>
    <n v="3"/>
    <n v="7.45"/>
    <n v="7"/>
    <n v="8.25"/>
    <n v="8"/>
    <n v="0"/>
    <n v="0"/>
    <n v="0"/>
  </r>
  <r>
    <d v="2023-10-31T00:00:00"/>
    <d v="1899-12-30T10:18:00"/>
    <s v="ANT-0006"/>
    <n v="11"/>
    <x v="2"/>
    <x v="9"/>
    <n v="-2.8532869999999999"/>
    <n v="22.117896000000002"/>
    <x v="0"/>
    <s v="Huawei"/>
    <s v="CLI-00414"/>
    <n v="99"/>
    <x v="1"/>
    <n v="447"/>
    <n v="38.1"/>
    <n v="3"/>
    <n v="7.45"/>
    <n v="7"/>
    <n v="8.25"/>
    <n v="8"/>
    <n v="0"/>
    <n v="0"/>
    <n v="0"/>
  </r>
  <r>
    <d v="2023-10-31T00:00:00"/>
    <d v="1899-12-30T20:09:00"/>
    <s v="ANT-0103"/>
    <n v="83"/>
    <x v="2"/>
    <x v="23"/>
    <n v="-0.79459900000000006"/>
    <n v="26.775570999999999"/>
    <x v="0"/>
    <s v="Huawei"/>
    <s v="CLI-00643"/>
    <n v="14"/>
    <x v="0"/>
    <n v="316"/>
    <n v="62.34"/>
    <n v="4"/>
    <n v="5.2666666666666666"/>
    <n v="5"/>
    <n v="1.1666666666666667"/>
    <n v="1"/>
    <n v="6.2340000000000009"/>
    <n v="6"/>
    <n v="374.04"/>
  </r>
  <r>
    <d v="2023-10-31T00:00:00"/>
    <d v="1899-12-30T09:29:00"/>
    <s v="ANT-0121"/>
    <n v="89"/>
    <x v="2"/>
    <x v="9"/>
    <n v="-7.3952039999999997"/>
    <n v="21.651043999999999"/>
    <x v="1"/>
    <s v="Huawei"/>
    <s v="CLI-00414"/>
    <n v="99"/>
    <x v="1"/>
    <n v="447"/>
    <n v="38.1"/>
    <n v="3"/>
    <n v="7.45"/>
    <n v="7"/>
    <n v="8.25"/>
    <n v="8"/>
    <n v="0"/>
    <n v="0"/>
    <n v="0"/>
  </r>
  <r>
    <d v="2023-10-31T00:00:00"/>
    <d v="1899-12-30T00:13:00"/>
    <s v="ANT-0153"/>
    <n v="11"/>
    <x v="1"/>
    <x v="15"/>
    <n v="0.94539899999999999"/>
    <n v="14.401821999999999"/>
    <x v="0"/>
    <s v="Nokia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31T00:00:00"/>
    <d v="1899-12-30T21:55:00"/>
    <s v="ANT-0229"/>
    <n v="62"/>
    <x v="0"/>
    <x v="3"/>
    <n v="-1.9540519999999999"/>
    <n v="12.667945"/>
    <x v="1"/>
    <s v="Huawei"/>
    <s v="CLI-00894"/>
    <n v="63"/>
    <x v="0"/>
    <n v="205"/>
    <n v="89.19"/>
    <n v="0"/>
    <n v="3.4166666666666665"/>
    <n v="3"/>
    <n v="5.25"/>
    <n v="5"/>
    <n v="8.9190000000000005"/>
    <n v="9"/>
    <n v="802.71"/>
  </r>
  <r>
    <d v="2023-10-31T00:00:00"/>
    <d v="1899-12-30T09:49:00"/>
    <s v="ANT-0238"/>
    <n v="80"/>
    <x v="1"/>
    <x v="5"/>
    <n v="0.62055499999999997"/>
    <n v="21.222035000000002"/>
    <x v="0"/>
    <s v="Nokia"/>
    <s v="CLI-00996"/>
    <n v="119"/>
    <x v="2"/>
    <n v="228"/>
    <n v="94.72"/>
    <n v="3"/>
    <n v="3.8"/>
    <n v="4"/>
    <n v="9.9166666666666661"/>
    <n v="10"/>
    <n v="0"/>
    <n v="0"/>
    <n v="0"/>
  </r>
  <r>
    <d v="2023-10-31T00:00:00"/>
    <d v="1899-12-30T07:46:00"/>
    <s v="ANT-0248"/>
    <n v="105"/>
    <x v="0"/>
    <x v="19"/>
    <n v="-4.4351269999999996"/>
    <n v="24.825467"/>
    <x v="1"/>
    <s v="Huawei"/>
    <s v="CLI-00439"/>
    <n v="40"/>
    <x v="1"/>
    <n v="345"/>
    <n v="89.55"/>
    <n v="3"/>
    <n v="5.75"/>
    <n v="6"/>
    <n v="3.3333333333333335"/>
    <n v="3"/>
    <n v="0"/>
    <n v="0"/>
    <n v="0"/>
  </r>
  <r>
    <d v="2023-10-31T00:00:00"/>
    <d v="1899-12-30T20:44:00"/>
    <s v="ANT-0257"/>
    <n v="57"/>
    <x v="0"/>
    <x v="6"/>
    <n v="-4.1694589999999998"/>
    <n v="23.376487000000001"/>
    <x v="2"/>
    <s v="Nokia"/>
    <s v="CLI-01855"/>
    <n v="101"/>
    <x v="2"/>
    <n v="358"/>
    <n v="29.24"/>
    <n v="3"/>
    <n v="5.9666666666666668"/>
    <n v="6"/>
    <n v="8.4166666666666661"/>
    <n v="8"/>
    <n v="0"/>
    <n v="0"/>
    <n v="0"/>
  </r>
  <r>
    <d v="2023-10-31T00:00:00"/>
    <d v="1899-12-30T15:24:00"/>
    <s v="ANT-0277"/>
    <n v="106"/>
    <x v="0"/>
    <x v="15"/>
    <n v="-6.8149179999999996"/>
    <n v="23.258102000000001"/>
    <x v="0"/>
    <s v="Huawei"/>
    <s v="CLI-01170"/>
    <n v="98"/>
    <x v="0"/>
    <n v="482"/>
    <n v="55.04"/>
    <n v="5"/>
    <n v="8.0333333333333332"/>
    <n v="8"/>
    <n v="8.1666666666666661"/>
    <n v="8"/>
    <n v="5.5040000000000004"/>
    <n v="6"/>
    <n v="330.24"/>
  </r>
  <r>
    <d v="2023-10-31T00:00:00"/>
    <d v="1899-12-30T05:29:00"/>
    <s v="ANT-0293"/>
    <n v="39"/>
    <x v="2"/>
    <x v="1"/>
    <n v="-5.7035130000000001"/>
    <n v="14.331479"/>
    <x v="0"/>
    <s v="Nokia"/>
    <s v="CLI-00131"/>
    <n v="101"/>
    <x v="0"/>
    <n v="176"/>
    <n v="86"/>
    <n v="3"/>
    <n v="2.9333333333333331"/>
    <n v="3"/>
    <n v="8.4166666666666661"/>
    <n v="8"/>
    <n v="8.6"/>
    <n v="9"/>
    <n v="774"/>
  </r>
  <r>
    <d v="2023-10-31T00:00:00"/>
    <d v="1899-12-30T02:52:00"/>
    <s v="ANT-0424"/>
    <n v="8"/>
    <x v="1"/>
    <x v="24"/>
    <n v="-9.5243310000000001"/>
    <n v="30.541212000000002"/>
    <x v="2"/>
    <s v="Ericsson"/>
    <s v="CLI-01005"/>
    <n v="80"/>
    <x v="2"/>
    <n v="155"/>
    <n v="28.96"/>
    <n v="2"/>
    <n v="2.5833333333333335"/>
    <n v="3"/>
    <n v="6.666666666666667"/>
    <n v="7"/>
    <n v="0"/>
    <n v="0"/>
    <n v="0"/>
  </r>
  <r>
    <d v="2023-10-31T00:00:00"/>
    <d v="1899-12-30T11:37:00"/>
    <s v="ANT-0494"/>
    <n v="37"/>
    <x v="1"/>
    <x v="4"/>
    <n v="-12.564277000000001"/>
    <n v="28.480798"/>
    <x v="0"/>
    <s v="ZTE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31T00:00:00"/>
    <d v="1899-12-30T06:21:00"/>
    <s v="ANT-0529"/>
    <n v="62"/>
    <x v="0"/>
    <x v="16"/>
    <n v="3.6344850000000002"/>
    <n v="12.158348999999999"/>
    <x v="0"/>
    <s v="Ericsson"/>
    <s v="CLI-00865"/>
    <n v="34"/>
    <x v="0"/>
    <n v="453"/>
    <n v="56.84"/>
    <n v="0"/>
    <n v="7.55"/>
    <n v="8"/>
    <n v="2.8333333333333335"/>
    <n v="3"/>
    <n v="5.6840000000000011"/>
    <n v="6"/>
    <n v="341.04"/>
  </r>
  <r>
    <d v="2023-10-31T00:00:00"/>
    <d v="1899-12-30T11:40:00"/>
    <s v="ANT-0564"/>
    <n v="38"/>
    <x v="0"/>
    <x v="13"/>
    <n v="-12.336202"/>
    <n v="13.693683999999999"/>
    <x v="0"/>
    <s v="Huawei"/>
    <s v="CLI-00837"/>
    <n v="16"/>
    <x v="3"/>
    <n v="390"/>
    <n v="98.17"/>
    <n v="5"/>
    <n v="6.5"/>
    <n v="7"/>
    <n v="1.3333333333333333"/>
    <n v="1"/>
    <n v="0"/>
    <n v="0"/>
    <n v="0"/>
  </r>
  <r>
    <d v="2023-10-31T00:00:00"/>
    <d v="1899-12-30T20:42:00"/>
    <s v="ANT-0565"/>
    <n v="67"/>
    <x v="0"/>
    <x v="17"/>
    <n v="-2.099631"/>
    <n v="13.974640000000001"/>
    <x v="2"/>
    <s v="Nokia"/>
    <s v="CLI-01618"/>
    <n v="115"/>
    <x v="3"/>
    <n v="176"/>
    <n v="33.28"/>
    <n v="4"/>
    <n v="2.9333333333333331"/>
    <n v="3"/>
    <n v="9.5833333333333339"/>
    <n v="10"/>
    <n v="0"/>
    <n v="0"/>
    <n v="0"/>
  </r>
  <r>
    <d v="2023-10-31T00:00:00"/>
    <d v="1899-12-30T00:07:00"/>
    <s v="ANT-0573"/>
    <n v="58"/>
    <x v="0"/>
    <x v="24"/>
    <n v="-7.4608439999999998"/>
    <n v="23.268619999999999"/>
    <x v="1"/>
    <s v="Huawei"/>
    <s v="CLI-01005"/>
    <n v="80"/>
    <x v="2"/>
    <n v="155"/>
    <n v="28.96"/>
    <n v="2"/>
    <n v="2.5833333333333335"/>
    <n v="3"/>
    <n v="6.666666666666667"/>
    <n v="7"/>
    <n v="0"/>
    <n v="0"/>
    <n v="0"/>
  </r>
  <r>
    <d v="2023-10-31T00:00:00"/>
    <d v="1899-12-30T03:04:00"/>
    <s v="ANT-0587"/>
    <n v="87"/>
    <x v="2"/>
    <x v="7"/>
    <n v="-10.945031"/>
    <n v="27.922274000000002"/>
    <x v="1"/>
    <s v="Ericsson"/>
    <s v="CLI-00076"/>
    <n v="46"/>
    <x v="1"/>
    <n v="283"/>
    <n v="56.05"/>
    <n v="1"/>
    <n v="4.7166666666666668"/>
    <n v="5"/>
    <n v="3.8333333333333335"/>
    <n v="4"/>
    <n v="0"/>
    <n v="0"/>
    <n v="0"/>
  </r>
  <r>
    <d v="2023-10-31T00:00:00"/>
    <d v="1899-12-30T07:17:00"/>
    <s v="ANT-0668"/>
    <n v="83"/>
    <x v="2"/>
    <x v="4"/>
    <n v="-9.8208710000000004"/>
    <n v="23.229807000000001"/>
    <x v="0"/>
    <s v="Nokia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31T00:00:00"/>
    <d v="1899-12-30T00:57:00"/>
    <s v="ANT-0718"/>
    <n v="117"/>
    <x v="1"/>
    <x v="4"/>
    <n v="1.981107"/>
    <n v="23.932569000000001"/>
    <x v="2"/>
    <s v="Nokia"/>
    <s v="CLI-01233"/>
    <n v="101"/>
    <x v="0"/>
    <n v="333"/>
    <n v="74.319999999999993"/>
    <n v="1"/>
    <n v="5.55"/>
    <n v="6"/>
    <n v="8.4166666666666661"/>
    <n v="8"/>
    <n v="7.4319999999999995"/>
    <n v="7"/>
    <n v="520.24"/>
  </r>
  <r>
    <d v="2023-10-31T00:00:00"/>
    <d v="1899-12-30T14:17:00"/>
    <s v="ANT-0846"/>
    <n v="14"/>
    <x v="0"/>
    <x v="2"/>
    <n v="-7.1079169999999996"/>
    <n v="13.636272"/>
    <x v="0"/>
    <s v="Nokia"/>
    <s v="CLI-00611"/>
    <n v="79"/>
    <x v="1"/>
    <n v="226"/>
    <n v="94.38"/>
    <n v="3"/>
    <n v="3.7666666666666666"/>
    <n v="4"/>
    <n v="6.583333333333333"/>
    <n v="7"/>
    <n v="0"/>
    <n v="0"/>
    <n v="0"/>
  </r>
  <r>
    <d v="2023-10-31T00:00:00"/>
    <d v="1899-12-30T20:20:00"/>
    <s v="ANT-0850"/>
    <n v="58"/>
    <x v="2"/>
    <x v="5"/>
    <n v="-5.9021970000000001"/>
    <n v="20.551169999999999"/>
    <x v="2"/>
    <s v="Huawei"/>
    <s v="CLI-00996"/>
    <n v="119"/>
    <x v="2"/>
    <n v="228"/>
    <n v="94.72"/>
    <n v="3"/>
    <n v="3.8"/>
    <n v="4"/>
    <n v="9.9166666666666661"/>
    <n v="10"/>
    <n v="0"/>
    <n v="0"/>
    <n v="0"/>
  </r>
  <r>
    <d v="2023-10-31T00:00:00"/>
    <d v="1899-12-30T23:57:00"/>
    <s v="ANT-0856"/>
    <n v="72"/>
    <x v="2"/>
    <x v="10"/>
    <n v="-1.9120569999999999"/>
    <n v="15.236072999999999"/>
    <x v="0"/>
    <s v="Huawei"/>
    <s v="CLI-01147"/>
    <n v="29"/>
    <x v="1"/>
    <n v="214"/>
    <n v="74.7"/>
    <n v="3"/>
    <n v="3.5666666666666669"/>
    <n v="4"/>
    <n v="2.4166666666666665"/>
    <n v="2"/>
    <n v="0"/>
    <n v="0"/>
    <n v="0"/>
  </r>
  <r>
    <d v="2023-10-31T00:00:00"/>
    <d v="1899-12-30T15:12:00"/>
    <s v="ANT-0872"/>
    <n v="34"/>
    <x v="0"/>
    <x v="14"/>
    <n v="2.486888"/>
    <n v="23.798074"/>
    <x v="0"/>
    <s v="ZTE"/>
    <s v="CLI-01837"/>
    <n v="97"/>
    <x v="0"/>
    <n v="319"/>
    <n v="31.25"/>
    <n v="1"/>
    <n v="5.3166666666666664"/>
    <n v="5"/>
    <n v="8.0833333333333339"/>
    <n v="8"/>
    <n v="3.125"/>
    <n v="3"/>
    <n v="93.75"/>
  </r>
  <r>
    <d v="2023-10-31T00:00:00"/>
    <d v="1899-12-30T15:20:00"/>
    <s v="ANT-0964"/>
    <n v="77"/>
    <x v="1"/>
    <x v="2"/>
    <n v="-0.57104900000000003"/>
    <n v="15.317663"/>
    <x v="0"/>
    <s v="Nokia"/>
    <s v="CLI-00611"/>
    <n v="79"/>
    <x v="1"/>
    <n v="226"/>
    <n v="94.38"/>
    <n v="3"/>
    <n v="3.7666666666666666"/>
    <n v="4"/>
    <n v="6.583333333333333"/>
    <n v="7"/>
    <n v="0"/>
    <n v="0"/>
    <n v="0"/>
  </r>
  <r>
    <d v="2023-10-31T00:00:00"/>
    <d v="1899-12-30T12:04:00"/>
    <s v="ANT-0988"/>
    <n v="99"/>
    <x v="0"/>
    <x v="23"/>
    <n v="-5.7200150000000001"/>
    <n v="25.022109"/>
    <x v="0"/>
    <s v="ZTE"/>
    <s v="CLI-00643"/>
    <n v="14"/>
    <x v="0"/>
    <n v="316"/>
    <n v="62.34"/>
    <n v="4"/>
    <n v="5.2666666666666666"/>
    <n v="5"/>
    <n v="1.1666666666666667"/>
    <n v="1"/>
    <n v="6.2340000000000009"/>
    <n v="6"/>
    <n v="374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FDFC8-0F89-43F9-A8AF-E339A3A3E145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12" firstHeaderRow="0" firstDataRow="1" firstDataCol="1"/>
  <pivotFields count="23">
    <pivotField numFmtId="14" showAll="0"/>
    <pivotField numFmtId="16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27">
        <item x="9"/>
        <item x="23"/>
        <item x="7"/>
        <item x="8"/>
        <item x="19"/>
        <item x="10"/>
        <item x="11"/>
        <item x="21"/>
        <item x="14"/>
        <item x="2"/>
        <item x="4"/>
        <item x="25"/>
        <item x="5"/>
        <item x="1"/>
        <item x="24"/>
        <item x="12"/>
        <item x="20"/>
        <item x="16"/>
        <item x="13"/>
        <item x="15"/>
        <item x="0"/>
        <item x="6"/>
        <item x="18"/>
        <item x="17"/>
        <item x="22"/>
        <item x="3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Fields count="3">
    <field x="5"/>
    <field x="8"/>
    <field x="4"/>
  </rowFields>
  <rowItems count="309">
    <i>
      <x/>
    </i>
    <i r="1">
      <x/>
    </i>
    <i r="2">
      <x/>
    </i>
    <i r="2">
      <x v="2"/>
    </i>
    <i r="1">
      <x v="1"/>
    </i>
    <i r="2">
      <x/>
    </i>
    <i r="2">
      <x v="1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>
      <x v="4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>
      <x v="5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1">
      <x v="2"/>
    </i>
    <i r="2">
      <x/>
    </i>
    <i r="2">
      <x v="1"/>
    </i>
    <i r="2">
      <x v="2"/>
    </i>
    <i>
      <x v="6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2">
      <x v="2"/>
    </i>
    <i>
      <x v="7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8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2">
      <x v="2"/>
    </i>
    <i>
      <x v="9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1">
      <x v="2"/>
    </i>
    <i r="2">
      <x/>
    </i>
    <i r="2">
      <x v="1"/>
    </i>
    <i r="2">
      <x v="2"/>
    </i>
    <i>
      <x v="10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1"/>
    </i>
    <i r="1">
      <x/>
    </i>
    <i r="2">
      <x/>
    </i>
    <i r="2">
      <x v="2"/>
    </i>
    <i r="1">
      <x v="1"/>
    </i>
    <i r="2">
      <x/>
    </i>
    <i r="2">
      <x v="2"/>
    </i>
    <i r="1">
      <x v="2"/>
    </i>
    <i r="2">
      <x/>
    </i>
    <i r="2">
      <x v="1"/>
    </i>
    <i r="2">
      <x v="2"/>
    </i>
    <i>
      <x v="1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>
      <x v="1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>
      <x v="14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5"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2"/>
    </i>
    <i>
      <x v="16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7"/>
    </i>
    <i r="1">
      <x/>
    </i>
    <i r="2">
      <x/>
    </i>
    <i r="2">
      <x v="2"/>
    </i>
    <i r="1">
      <x v="1"/>
    </i>
    <i r="2">
      <x/>
    </i>
    <i r="2">
      <x v="2"/>
    </i>
    <i r="1">
      <x v="2"/>
    </i>
    <i r="2">
      <x/>
    </i>
    <i r="2">
      <x v="1"/>
    </i>
    <i r="2">
      <x v="2"/>
    </i>
    <i>
      <x v="18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9"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0"/>
    </i>
    <i r="1">
      <x/>
    </i>
    <i r="2">
      <x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3"/>
    </i>
    <i r="1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4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5"/>
    </i>
    <i r="1">
      <x/>
    </i>
    <i r="2">
      <x/>
    </i>
    <i r="2">
      <x v="1"/>
    </i>
    <i r="1">
      <x v="1"/>
    </i>
    <i r="2">
      <x v="1"/>
    </i>
    <i r="2">
      <x v="2"/>
    </i>
    <i r="1">
      <x v="2"/>
    </i>
    <i r="2">
      <x/>
    </i>
    <i r="2">
      <x v="1"/>
    </i>
    <i r="2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urée_cumulée _ panne_en heure2" fld="17" baseField="0" baseItem="0"/>
    <dataField name="%_clients_impactés" fld="10" subtotal="count" showDataAs="percentOfTotal" baseField="8" baseItem="1" numFmtId="10"/>
    <dataField name="nombre d'abonné impacté" fld="10" subtotal="count" baseField="5" baseItem="0"/>
    <dataField name="Sum of perte financière" fld="22" baseField="0" baseItem="0"/>
  </dataField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8AACA030-9C8B-4BBD-B49E-669C2FB1767B}" autoFormatId="16" applyNumberFormats="0" applyBorderFormats="0" applyFontFormats="0" applyPatternFormats="0" applyAlignmentFormats="0" applyWidthHeightFormats="0">
  <queryTableRefresh nextId="7">
    <queryTableFields count="6">
      <queryTableField id="1" name="ID_Antenne" tableColumnId="1"/>
      <queryTableField id="2" name="zone" tableColumnId="2"/>
      <queryTableField id="3" name="Latitude" tableColumnId="3"/>
      <queryTableField id="4" name="Longitude" tableColumnId="4"/>
      <queryTableField id="5" name="Technologie" tableColumnId="5"/>
      <queryTableField id="6" name="Equipementie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DBA0E6AF-75F9-4F96-A84B-15F23ABEA078}" autoFormatId="16" applyNumberFormats="0" applyBorderFormats="0" applyFontFormats="0" applyPatternFormats="0" applyAlignmentFormats="0" applyWidthHeightFormats="0">
  <queryTableRefresh nextId="6">
    <queryTableFields count="5">
      <queryTableField id="1" name="Date_Heure_Panne.1" tableColumnId="1"/>
      <queryTableField id="2" name="Date_Heure_Panne.2" tableColumnId="2"/>
      <queryTableField id="3" name="Cell_ID" tableColumnId="3"/>
      <queryTableField id="4" name="Duree_Panne_Min" tableColumnId="4"/>
      <queryTableField id="5" name="Statut_Resolut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54C0118-77A1-4539-9936-88688B79E08E}" autoFormatId="16" applyNumberFormats="0" applyBorderFormats="0" applyFontFormats="0" applyPatternFormats="0" applyAlignmentFormats="0" applyWidthHeightFormats="0">
  <queryTableRefresh nextId="17">
    <queryTableFields count="16">
      <queryTableField id="1" name="Date_Heure_Panne.1" tableColumnId="1"/>
      <queryTableField id="2" name="Date_Heure_Panne.2" tableColumnId="2"/>
      <queryTableField id="3" name="Cell_ID" tableColumnId="3"/>
      <queryTableField id="4" name="Duree_Panne_Min" tableColumnId="4"/>
      <queryTableField id="5" name="Statut_Resolution" tableColumnId="5"/>
      <queryTableField id="6" name="province RDC" tableColumnId="6"/>
      <queryTableField id="7" name="Latitude" tableColumnId="7"/>
      <queryTableField id="8" name="Longitude" tableColumnId="8"/>
      <queryTableField id="9" name="Technologie" tableColumnId="9"/>
      <queryTableField id="10" name="Equipementier" tableColumnId="10"/>
      <queryTableField id="11" name="ID_clients" tableColumnId="11"/>
      <queryTableField id="12" name="Anciennété_mois" tableColumnId="12"/>
      <queryTableField id="13" name="Type de forfait" tableColumnId="13"/>
      <queryTableField id="14" name="Durée cumulée_panne_minu" tableColumnId="14"/>
      <queryTableField id="15" name="Facture mensuelle" tableColumnId="15"/>
      <queryTableField id="16" name="plaintes _ service_clients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A6F5A93-2720-47AE-8E28-356D7171BBFC}" autoFormatId="16" applyNumberFormats="0" applyBorderFormats="0" applyFontFormats="0" applyPatternFormats="0" applyAlignmentFormats="0" applyWidthHeightFormats="0">
  <queryTableRefresh nextId="29" unboundColumnsRight="7">
    <queryTableFields count="23">
      <queryTableField id="1" name="Date_Heure_Panne.1" tableColumnId="1"/>
      <queryTableField id="2" name="Date_Heure_Panne.2" tableColumnId="2"/>
      <queryTableField id="3" name="Cell_ID" tableColumnId="3"/>
      <queryTableField id="4" name="Duree_Panne_Min" tableColumnId="4"/>
      <queryTableField id="5" name="Statut_Resolution" tableColumnId="5"/>
      <queryTableField id="6" name="province RDC" tableColumnId="6"/>
      <queryTableField id="7" name="Latitude" tableColumnId="7"/>
      <queryTableField id="8" name="Longitude" tableColumnId="8"/>
      <queryTableField id="9" name="Technologie" tableColumnId="9"/>
      <queryTableField id="10" name="Equipementier" tableColumnId="10"/>
      <queryTableField id="11" name="ID_clients" tableColumnId="11"/>
      <queryTableField id="12" name="Anciennété_mois" tableColumnId="12"/>
      <queryTableField id="13" name="Type de forfait" tableColumnId="13"/>
      <queryTableField id="14" name="Durée cumulée_panne_minu" tableColumnId="14"/>
      <queryTableField id="15" name="Facture mensuelle" tableColumnId="15"/>
      <queryTableField id="16" name="plaintes _ service_clients" tableColumnId="16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6" dataBound="0" tableColumnId="25"/>
      <queryTableField id="27" dataBound="0" tableColumnId="26"/>
      <queryTableField id="28" dataBound="0" tableColumnId="2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51516DB6-24C3-412A-B6D2-0E1A89EEAFC4}" autoFormatId="16" applyNumberFormats="0" applyBorderFormats="0" applyFontFormats="0" applyPatternFormats="0" applyAlignmentFormats="0" applyWidthHeightFormats="0">
  <queryTableRefresh nextId="19" unboundColumnsRight="11">
    <queryTableFields count="16">
      <queryTableField id="1" name="Date_Heure_Panne.1" tableColumnId="1"/>
      <queryTableField id="2" name="Date_Heure_Panne.2" tableColumnId="2"/>
      <queryTableField id="3" name="Cell_ID" tableColumnId="3"/>
      <queryTableField id="4" name="Duree_Panne_Min" tableColumnId="4"/>
      <queryTableField id="5" name="Statut_Resolution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6" dataBound="0" tableColumnId="16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0DE85B6-3607-4A52-84AE-E3C7476DEDEF}" autoFormatId="16" applyNumberFormats="0" applyBorderFormats="0" applyFontFormats="0" applyPatternFormats="0" applyAlignmentFormats="0" applyWidthHeightFormats="0">
  <queryTableRefresh nextId="9">
    <queryTableFields count="8">
      <queryTableField id="1" name="Source.Name" tableColumnId="1"/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B05C52-EB90-4780-ACA4-4899F23CEC1A}" name="_26_03_2026_Registre_Maintenance_v1" displayName="_26_03_2026_Registre_Maintenance_v1" ref="A1:F499" tableType="queryTable" totalsRowShown="0">
  <autoFilter ref="A1:F499" xr:uid="{63B05C52-EB90-4780-ACA4-4899F23CEC1A}"/>
  <tableColumns count="6">
    <tableColumn id="1" xr3:uid="{4A1F4435-E85A-4010-8378-918D6EB591BE}" uniqueName="1" name="ID_Antenne" queryTableFieldId="1" dataDxfId="51"/>
    <tableColumn id="2" xr3:uid="{6D0D1CEB-E047-4F77-B49A-E5912FCE771A}" uniqueName="2" name="zone" queryTableFieldId="2" dataDxfId="50"/>
    <tableColumn id="3" xr3:uid="{6659BCD7-92E6-4281-B2F7-F499543252E2}" uniqueName="3" name="Latitude" queryTableFieldId="3"/>
    <tableColumn id="4" xr3:uid="{F096875D-83A8-4EC7-ABA1-4BD8F015B859}" uniqueName="4" name="Longitude" queryTableFieldId="4"/>
    <tableColumn id="5" xr3:uid="{0B0FCD0E-62AB-49C0-A58C-63F257EB8BCF}" uniqueName="5" name="Technologie" queryTableFieldId="5" dataDxfId="49"/>
    <tableColumn id="6" xr3:uid="{E396DF84-FBE4-42BF-AEA9-AEBAFF243A61}" uniqueName="6" name="Equipementier" queryTableFieldId="6" dataDxfId="48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F70583-C1F1-4113-A04E-553B66AE4A3A}" name="_26_03_2026_Log_Reseau_v1" displayName="_26_03_2026_Log_Reseau_v1" ref="A1:E1075" tableType="queryTable" totalsRowShown="0">
  <autoFilter ref="A1:E1075" xr:uid="{6FF70583-C1F1-4113-A04E-553B66AE4A3A}"/>
  <tableColumns count="5">
    <tableColumn id="1" xr3:uid="{19BA4F18-CF23-4C3B-8260-CA986DA1E16C}" uniqueName="1" name="Date_Heure_Panne.1" queryTableFieldId="1" dataDxfId="47"/>
    <tableColumn id="2" xr3:uid="{9F7553E9-357E-4394-9E44-F5307ABADE40}" uniqueName="2" name="Date_Heure_Panne.2" queryTableFieldId="2" dataDxfId="46"/>
    <tableColumn id="3" xr3:uid="{CB19F650-FE1E-404E-9CDE-2095D5AAE524}" uniqueName="3" name="Cell_ID" queryTableFieldId="3" dataDxfId="45"/>
    <tableColumn id="4" xr3:uid="{D296CA9E-BBE8-478D-8E10-889D1655DB55}" uniqueName="4" name="Duree_Panne_Min" queryTableFieldId="4"/>
    <tableColumn id="5" xr3:uid="{CDF9B08A-441E-450F-9B9C-4291A2A0BF1C}" uniqueName="5" name="Statut_Resolution" queryTableFieldId="5" dataDxfId="4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62E043-BA02-4940-8376-BDEB69176FAE}" name="_26_03_2026_Log_Reseau_v15_" displayName="_26_03_2026_Log_Reseau_v15_" ref="A1:P548" tableType="queryTable" totalsRowShown="0">
  <autoFilter ref="A1:P548" xr:uid="{C462E043-BA02-4940-8376-BDEB69176FAE}"/>
  <tableColumns count="16">
    <tableColumn id="1" xr3:uid="{72F4BFBC-7818-40FA-A222-0CDA7AFE1B7D}" uniqueName="1" name="Date_Heure_Panne.1" queryTableFieldId="1" dataDxfId="43"/>
    <tableColumn id="2" xr3:uid="{725385C3-311F-4C3E-A1E8-197C7F9C21D1}" uniqueName="2" name="Date_Heure_Panne.2" queryTableFieldId="2" dataDxfId="42"/>
    <tableColumn id="3" xr3:uid="{DEFCFA40-6048-4554-8189-1B6D5CCAB0F2}" uniqueName="3" name="Cell_ID" queryTableFieldId="3" dataDxfId="41"/>
    <tableColumn id="4" xr3:uid="{951F0C09-30C6-4338-91A3-7CB6E96DA75F}" uniqueName="4" name="Duree_Panne_Min" queryTableFieldId="4"/>
    <tableColumn id="5" xr3:uid="{11C59D24-BB8A-4283-993B-4496C2EA8D56}" uniqueName="5" name="Statut_Resolution" queryTableFieldId="5" dataDxfId="40"/>
    <tableColumn id="6" xr3:uid="{C45FCA6A-8418-41BF-BF8F-D9C9C0885EAC}" uniqueName="6" name="province Clients" queryTableFieldId="6" dataDxfId="39"/>
    <tableColumn id="7" xr3:uid="{56E92272-9E6E-40E5-9380-46DA9677BB29}" uniqueName="7" name="Latitude" queryTableFieldId="7"/>
    <tableColumn id="8" xr3:uid="{CA7405F6-664D-4212-91EA-22C9E767368D}" uniqueName="8" name="Longitude" queryTableFieldId="8"/>
    <tableColumn id="9" xr3:uid="{030E04ED-1E53-4CED-B0BB-8E3BC2C6A2F1}" uniqueName="9" name="Technologie" queryTableFieldId="9" dataDxfId="38"/>
    <tableColumn id="10" xr3:uid="{9F9D9498-F801-4504-9F7D-92CC24FFE529}" uniqueName="10" name="Equipementier" queryTableFieldId="10" dataDxfId="37"/>
    <tableColumn id="11" xr3:uid="{C5483995-CF79-458E-8E2D-4D320377FDDB}" uniqueName="11" name="ID_clients" queryTableFieldId="11" dataDxfId="36"/>
    <tableColumn id="12" xr3:uid="{927DE15A-2DD3-4E7F-9C9B-84DF12DEEBCB}" uniqueName="12" name="Anciennété_mois" queryTableFieldId="12"/>
    <tableColumn id="13" xr3:uid="{2C0DACC8-34F5-40C7-8255-B5BC75ECC574}" uniqueName="13" name="Type de forfait" queryTableFieldId="13" dataDxfId="35"/>
    <tableColumn id="14" xr3:uid="{6C2F9061-334F-4AED-948E-C273AFE3FA76}" uniqueName="14" name="Durée cumulée_panne_minu" queryTableFieldId="14"/>
    <tableColumn id="15" xr3:uid="{F8FF5109-AF37-4FD5-91B7-8B9583907498}" uniqueName="15" name="Facture mensuelle" queryTableFieldId="15"/>
    <tableColumn id="16" xr3:uid="{786BE3F2-D5D2-4416-971A-A8FBB652C6DD}" uniqueName="16" name="plaintes _ service_clients" queryTableFieldId="16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462713-672A-439F-97E7-87C012E45818}" name="_26_03_2026_Log_Reseau_v15_7" displayName="_26_03_2026_Log_Reseau_v15_7" ref="A1:W548" tableType="queryTable" totalsRowShown="0">
  <autoFilter ref="A1:W548" xr:uid="{A1462713-672A-439F-97E7-87C012E45818}"/>
  <sortState xmlns:xlrd2="http://schemas.microsoft.com/office/spreadsheetml/2017/richdata2" ref="A2:P548">
    <sortCondition ref="A1:A548"/>
  </sortState>
  <tableColumns count="23">
    <tableColumn id="1" xr3:uid="{CD42ADFB-A592-4D0D-8EDC-FDFC77CE5956}" uniqueName="1" name="Date_Heure_Panne.1" queryTableFieldId="1" dataDxfId="15"/>
    <tableColumn id="2" xr3:uid="{72A20621-E6CA-4316-81C1-649087D247D6}" uniqueName="2" name="Date_Heure_Panne.2" queryTableFieldId="2" dataDxfId="14"/>
    <tableColumn id="3" xr3:uid="{BD65816A-6EBA-49F9-91E1-9C37AA6166E7}" uniqueName="3" name="Cell_ID" queryTableFieldId="3" dataDxfId="13"/>
    <tableColumn id="4" xr3:uid="{C7523AB6-FBF4-45AB-B554-C05A01D37707}" uniqueName="4" name="Duree_Panne_Min" queryTableFieldId="4"/>
    <tableColumn id="5" xr3:uid="{B7E827FA-22AF-4F20-9344-72BF73A0ED97}" uniqueName="5" name="Statut_Resolution" queryTableFieldId="5" dataDxfId="12"/>
    <tableColumn id="6" xr3:uid="{C7BEF1B1-D5E0-47E0-AECC-AA71BAF71CDC}" uniqueName="6" name="province Clients" queryTableFieldId="6" dataDxfId="11"/>
    <tableColumn id="7" xr3:uid="{838B7936-7A21-4FF4-8C4E-BE7158B1A279}" uniqueName="7" name="Latitude" queryTableFieldId="7"/>
    <tableColumn id="8" xr3:uid="{3B09AB32-FEB2-42F9-AFA3-A0640979C524}" uniqueName="8" name="Longitude" queryTableFieldId="8"/>
    <tableColumn id="9" xr3:uid="{DBFFAFE3-F290-4D2B-A716-EB24A1FE9995}" uniqueName="9" name="Technologie" queryTableFieldId="9" dataDxfId="10"/>
    <tableColumn id="10" xr3:uid="{3C6A0F5A-A5EA-4C67-A21A-D1E61B525BEE}" uniqueName="10" name="Equipementier" queryTableFieldId="10" dataDxfId="9"/>
    <tableColumn id="11" xr3:uid="{AD793377-448A-4A01-B76A-26B4A220533A}" uniqueName="11" name="ID_clients" queryTableFieldId="11" dataDxfId="8"/>
    <tableColumn id="12" xr3:uid="{8BA87D10-33D1-47E0-AE58-39FDCA070559}" uniqueName="12" name="Anciennété_mois" queryTableFieldId="12"/>
    <tableColumn id="13" xr3:uid="{31181827-38EF-4F73-9F88-3054B81BD60D}" uniqueName="13" name="Type de forfait" queryTableFieldId="13" dataDxfId="7"/>
    <tableColumn id="14" xr3:uid="{291BF89F-A892-4C06-974B-8B15F1E1B438}" uniqueName="14" name="Durée cumulée_panne_minu" queryTableFieldId="14"/>
    <tableColumn id="15" xr3:uid="{9B165518-EC29-4467-91F7-9BADF0D4AF1B}" uniqueName="15" name="Facture mensuelle" queryTableFieldId="15"/>
    <tableColumn id="16" xr3:uid="{42C366E1-D5EA-4C16-83D0-99F99F012E7D}" uniqueName="16" name="plaintes _ service_clients" queryTableFieldId="16"/>
    <tableColumn id="18" xr3:uid="{9413F6C5-BDE0-4108-9081-B5A3FF1C4572}" uniqueName="18" name="Durée_cumulée _ panne_en heure" queryTableFieldId="18" dataDxfId="6">
      <calculatedColumnFormula>_26_03_2026_Log_Reseau_v15_7[[#This Row],[Durée cumulée_panne_minu]]/60</calculatedColumnFormula>
    </tableColumn>
    <tableColumn id="19" xr3:uid="{B4F5580D-611F-4C45-945E-71F0EFC87F93}" uniqueName="19" name="Durée_cumulée _ panne_en heure2" queryTableFieldId="19" dataDxfId="5">
      <calculatedColumnFormula>ROUND(_26_03_2026_Log_Reseau_v15_7[[#This Row],[Durée_cumulée _ panne_en heure]],0)</calculatedColumnFormula>
    </tableColumn>
    <tableColumn id="20" xr3:uid="{D9783ABD-DFD5-4C0E-8F6E-65FDDF5CA8AC}" uniqueName="20" name="anciennete_ en année" queryTableFieldId="20" dataDxfId="4">
      <calculatedColumnFormula>_26_03_2026_Log_Reseau_v15_7[[#This Row],[Anciennété_mois]]/12</calculatedColumnFormula>
    </tableColumn>
    <tableColumn id="21" xr3:uid="{DD3BA404-06BB-45ED-AA39-C4115E2C2854}" uniqueName="21" name="anciennete_en année" queryTableFieldId="21" dataDxfId="3">
      <calculatedColumnFormula>ROUND(_26_03_2026_Log_Reseau_v15_7[[#This Row],[anciennete_ en année]],0)</calculatedColumnFormula>
    </tableColumn>
    <tableColumn id="25" xr3:uid="{9A96AA87-D551-44A5-85BE-C8C5BCE4AE7D}" uniqueName="25" name="remise 10%_70%_45%" queryTableFieldId="26" dataDxfId="2">
      <calculatedColumnFormula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calculatedColumnFormula>
    </tableColumn>
    <tableColumn id="26" xr3:uid="{A08140DA-3BAF-4DB6-AD63-06145C0C5724}" uniqueName="26" name="remise 10_70_45" queryTableFieldId="27" dataDxfId="1">
      <calculatedColumnFormula>ROUND(_26_03_2026_Log_Reseau_v15_7[[#This Row],[remise 10%_70%_45%]],0)</calculatedColumnFormula>
    </tableColumn>
    <tableColumn id="27" xr3:uid="{691CCDC7-FB1E-4648-8E04-F1C11E9BCCD4}" uniqueName="27" name="perte financière" queryTableFieldId="28" dataDxfId="0">
      <calculatedColumnFormula>_26_03_2026_Log_Reseau_v15_7[[#This Row],[Facture mensuelle]]*_26_03_2026_Log_Reseau_v15_7[[#This Row],[remise 10_70_45]]</calculatedColumnFormula>
    </tableColumn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E6ED48-CA88-440F-B320-5F7FA003FD87}" name="_26_03_2026_Log_Reseau_v15" displayName="_26_03_2026_Log_Reseau_v15" ref="A1:P1075" tableType="queryTable" totalsRowShown="0">
  <autoFilter ref="A1:P1075" xr:uid="{FFE6ED48-CA88-440F-B320-5F7FA003FD87}">
    <filterColumn colId="9">
      <filters>
        <filter val="Ericsson"/>
        <filter val="Huawei"/>
        <filter val="Nokia"/>
        <filter val="ZTE"/>
      </filters>
    </filterColumn>
  </autoFilter>
  <tableColumns count="16">
    <tableColumn id="1" xr3:uid="{4FBBD6CD-B6CD-4DE8-A2D0-3CA742E1BB1E}" uniqueName="1" name="Date_Heure_Panne.1" queryTableFieldId="1" dataDxfId="34"/>
    <tableColumn id="2" xr3:uid="{FD07E467-59D5-49D3-AF42-345B3C0976C7}" uniqueName="2" name="Date_Heure_Panne.2" queryTableFieldId="2" dataDxfId="33"/>
    <tableColumn id="3" xr3:uid="{2F80E0A4-18AF-4A20-8930-33C9C85D3B34}" uniqueName="3" name="Cell_ID" queryTableFieldId="3" dataDxfId="32"/>
    <tableColumn id="4" xr3:uid="{ADE65265-54E8-4D3B-9497-DE554C2D3ED4}" uniqueName="4" name="Duree_Panne_Min" queryTableFieldId="4"/>
    <tableColumn id="5" xr3:uid="{5429365D-E2FD-489F-909C-99ADEA7B20C4}" uniqueName="5" name="Statut_Resolution" queryTableFieldId="5" dataDxfId="31"/>
    <tableColumn id="6" xr3:uid="{CFCA120D-0848-4F53-A0AB-C5664B5D62D3}" uniqueName="6" name="province RDC" queryTableFieldId="6" dataDxfId="30">
      <calculatedColumnFormula>_xlfn.XLOOKUP(_26_03_2026_Log_Reseau_v15[[#This Row],[Cell_ID]],_26_03_2026_Registre_Maintenance_v1[ID_Antenne],_26_03_2026_Registre_Maintenance_v1[zone],"pas trouvé")</calculatedColumnFormula>
    </tableColumn>
    <tableColumn id="7" xr3:uid="{C8A69A78-8440-4091-8674-79360ACB46D9}" uniqueName="7" name="Latitude" queryTableFieldId="7" dataDxfId="29">
      <calculatedColumnFormula>_xlfn.XLOOKUP(_26_03_2026_Log_Reseau_v15[[#This Row],[Cell_ID]],_26_03_2026_Registre_Maintenance_v1[ID_Antenne],_26_03_2026_Registre_Maintenance_v1[Latitude],"non trouvé")</calculatedColumnFormula>
    </tableColumn>
    <tableColumn id="8" xr3:uid="{703325EA-E088-4D65-9BF8-0D3F8BA0E41E}" uniqueName="8" name="Longitude" queryTableFieldId="8" dataDxfId="28">
      <calculatedColumnFormula>_xlfn.XLOOKUP(_26_03_2026_Log_Reseau_v15[[#This Row],[Cell_ID]],_26_03_2026_Registre_Maintenance_v1[ID_Antenne],_26_03_2026_Registre_Maintenance_v1[Longitude],"pas trouvé")</calculatedColumnFormula>
    </tableColumn>
    <tableColumn id="9" xr3:uid="{D97F2136-BA1C-4467-8E86-7FA7B16479A3}" uniqueName="9" name="Technologie" queryTableFieldId="9" dataDxfId="27">
      <calculatedColumnFormula>_xlfn.XLOOKUP(_26_03_2026_Log_Reseau_v15[[#This Row],[Cell_ID]],_26_03_2026_Registre_Maintenance_v1[ID_Antenne],_26_03_2026_Registre_Maintenance_v1[Technologie],"non trouvé")</calculatedColumnFormula>
    </tableColumn>
    <tableColumn id="10" xr3:uid="{E900CA5B-D318-4904-A836-1B6B2B4748E3}" uniqueName="10" name="Equipementier" queryTableFieldId="10" dataDxfId="26">
      <calculatedColumnFormula>_xlfn.XLOOKUP(_26_03_2026_Log_Reseau_v15[[#This Row],[Cell_ID]],_26_03_2026_Registre_Maintenance_v1[ID_Antenne],_26_03_2026_Registre_Maintenance_v1[Equipementier],"pas trouvé")</calculatedColumnFormula>
    </tableColumn>
    <tableColumn id="16" xr3:uid="{BB32A519-1F84-46D8-AEA0-0487D8808A48}" uniqueName="16" name="ID_clients" queryTableFieldId="16" dataDxfId="25">
      <calculatedColumnFormula>_xlfn.XLOOKUP(_26_03_2026_Log_Reseau_v15[[#This Row],[province RDC]],_26_03_2026_Client_Churn_v1[Province_Client],_26_03_2026_Client_Churn_v1[ID_Client],"non trouvé")</calculatedColumnFormula>
    </tableColumn>
    <tableColumn id="11" xr3:uid="{070325FC-3338-4240-A349-BFC93698E7E9}" uniqueName="11" name="Anciennété_mois" queryTableFieldId="11" dataDxfId="24">
      <calculatedColumnFormula>_xlfn.XLOOKUP(_26_03_2026_Log_Reseau_v15[[#This Row],[province RDC]],_26_03_2026_Client_Churn_v1[Province_Client],_26_03_2026_Client_Churn_v1[Anciennete_Mois],"non trouvé")</calculatedColumnFormula>
    </tableColumn>
    <tableColumn id="12" xr3:uid="{2BD4EB43-E843-4A63-A2B9-AC9189D33B4D}" uniqueName="12" name="Type de forfait" queryTableFieldId="12" dataDxfId="23">
      <calculatedColumnFormula>_xlfn.XLOOKUP(_26_03_2026_Log_Reseau_v15[[#This Row],[province RDC]],_26_03_2026_Client_Churn_v1[Province_Client],_26_03_2026_Client_Churn_v1[Type_Forfait],"non trouvé")</calculatedColumnFormula>
    </tableColumn>
    <tableColumn id="13" xr3:uid="{246C3DC9-2BA9-44CE-A0F5-653BBF9675BC}" uniqueName="13" name="Durée cumulée_panne_minu" queryTableFieldId="13" dataDxfId="22">
      <calculatedColumnFormula>_xlfn.XLOOKUP(_26_03_2026_Log_Reseau_v15[[#This Row],[province RDC]],_26_03_2026_Client_Churn_v1[Province_Client],_26_03_2026_Client_Churn_v1[Duree_Cumulee_Panne_Min],"non trouvé")</calculatedColumnFormula>
    </tableColumn>
    <tableColumn id="14" xr3:uid="{E7F817D1-5AF3-4D24-A848-962F4CF24A64}" uniqueName="14" name="Facture mensuelle" queryTableFieldId="14" dataDxfId="21">
      <calculatedColumnFormula>_xlfn.XLOOKUP(_26_03_2026_Log_Reseau_v15[[#This Row],[province RDC]],_26_03_2026_Client_Churn_v1[Province_Client],_26_03_2026_Client_Churn_v1[Facture_Mensuelle],"non trouvé")</calculatedColumnFormula>
    </tableColumn>
    <tableColumn id="15" xr3:uid="{54ECDC69-E58C-4FDB-8625-56630C6A58BC}" uniqueName="15" name="plaintes _ service_clients" queryTableFieldId="15" dataDxfId="20">
      <calculatedColumnFormula>_xlfn.XLOOKUP(_26_03_2026_Log_Reseau_v15[[#This Row],[province RDC]],_26_03_2026_Client_Churn_v1[Province_Client],_26_03_2026_Client_Churn_v1[Plaintes_Service_Client],"non trouvé")</calculatedColumnFormula>
    </tableColumn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0726D-B93C-42CC-A11E-C83DA46B60B8}" name="_26_03_2026_Client_Churn_v1" displayName="_26_03_2026_Client_Churn_v1" ref="A1:H749" tableType="queryTable" totalsRowShown="0">
  <autoFilter ref="A1:H749" xr:uid="{2780726D-B93C-42CC-A11E-C83DA46B60B8}"/>
  <tableColumns count="8">
    <tableColumn id="1" xr3:uid="{FE2C0E78-80EA-46F3-B949-FA8158F91713}" uniqueName="1" name="Source.Name" queryTableFieldId="1" dataDxfId="19"/>
    <tableColumn id="2" xr3:uid="{23AA8375-880C-4B7C-AC11-FA74DFE7F03B}" uniqueName="2" name="ID_Client" queryTableFieldId="2" dataDxfId="18"/>
    <tableColumn id="3" xr3:uid="{CFD7994F-C2D1-44EC-9CF0-B0009FAB5FB8}" uniqueName="3" name="Province_Client" queryTableFieldId="3" dataDxfId="17"/>
    <tableColumn id="4" xr3:uid="{1F2441B4-6A28-4334-95E4-BB5A9071C392}" uniqueName="4" name="Anciennete_Mois" queryTableFieldId="4"/>
    <tableColumn id="5" xr3:uid="{76E6EE1C-3C83-4624-9519-8460BFA2BB9D}" uniqueName="5" name="Type_Forfait" queryTableFieldId="5" dataDxfId="16"/>
    <tableColumn id="6" xr3:uid="{339B8BF3-5ADC-407D-B666-141E3DAC5C7F}" uniqueName="6" name="Duree_Cumulee_Panne_Min" queryTableFieldId="6"/>
    <tableColumn id="7" xr3:uid="{B01E49D0-80F1-4F5D-8992-455C7002CB24}" uniqueName="7" name="Facture_Mensuelle" queryTableFieldId="7"/>
    <tableColumn id="8" xr3:uid="{22B7795E-6E73-4B39-94C5-E4AC9E71ACB6}" uniqueName="8" name="Plaintes_Service_Client" queryTableFieldId="8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A473-8249-403F-AF66-8FA0CAF46406}">
  <dimension ref="A1:F499"/>
  <sheetViews>
    <sheetView workbookViewId="0">
      <selection activeCell="F3" sqref="F3"/>
    </sheetView>
  </sheetViews>
  <sheetFormatPr defaultRowHeight="15" x14ac:dyDescent="0.25"/>
  <cols>
    <col min="1" max="1" width="13.140625" bestFit="1" customWidth="1"/>
    <col min="2" max="2" width="14" bestFit="1" customWidth="1"/>
    <col min="3" max="3" width="10.7109375" bestFit="1" customWidth="1"/>
    <col min="4" max="4" width="11.85546875" bestFit="1" customWidth="1"/>
    <col min="5" max="5" width="14" bestFit="1" customWidth="1"/>
    <col min="6" max="6" width="16.140625" bestFit="1" customWidth="1"/>
  </cols>
  <sheetData>
    <row r="1" spans="1:6" x14ac:dyDescent="0.25">
      <c r="A1" t="s">
        <v>1471</v>
      </c>
      <c r="B1" t="s">
        <v>1472</v>
      </c>
      <c r="C1" t="s">
        <v>1473</v>
      </c>
      <c r="D1" t="s">
        <v>1474</v>
      </c>
      <c r="E1" t="s">
        <v>1475</v>
      </c>
      <c r="F1" t="s">
        <v>1476</v>
      </c>
    </row>
    <row r="2" spans="1:6" x14ac:dyDescent="0.25">
      <c r="A2" t="s">
        <v>1224</v>
      </c>
      <c r="B2" t="s">
        <v>127</v>
      </c>
      <c r="C2">
        <v>-3.003879</v>
      </c>
      <c r="D2">
        <v>23.633893</v>
      </c>
      <c r="E2" t="s">
        <v>1477</v>
      </c>
      <c r="F2" t="s">
        <v>1478</v>
      </c>
    </row>
    <row r="3" spans="1:6" x14ac:dyDescent="0.25">
      <c r="A3" t="s">
        <v>1479</v>
      </c>
      <c r="B3" t="s">
        <v>51</v>
      </c>
      <c r="C3">
        <v>2.413557</v>
      </c>
      <c r="D3">
        <v>19.690681999999999</v>
      </c>
      <c r="E3" t="s">
        <v>1480</v>
      </c>
      <c r="F3" t="s">
        <v>1481</v>
      </c>
    </row>
    <row r="4" spans="1:6" x14ac:dyDescent="0.25">
      <c r="A4" t="s">
        <v>1375</v>
      </c>
      <c r="B4" t="s">
        <v>37</v>
      </c>
      <c r="C4">
        <v>-9.4708620000000003</v>
      </c>
      <c r="D4">
        <v>29.234387999999999</v>
      </c>
      <c r="E4" t="s">
        <v>1482</v>
      </c>
      <c r="F4" t="s">
        <v>1483</v>
      </c>
    </row>
    <row r="5" spans="1:6" x14ac:dyDescent="0.25">
      <c r="A5" t="s">
        <v>992</v>
      </c>
      <c r="B5" t="s">
        <v>73</v>
      </c>
      <c r="C5">
        <v>1.400674</v>
      </c>
      <c r="D5">
        <v>13.503126999999999</v>
      </c>
      <c r="E5" t="s">
        <v>1477</v>
      </c>
      <c r="F5" t="s">
        <v>1483</v>
      </c>
    </row>
    <row r="6" spans="1:6" x14ac:dyDescent="0.25">
      <c r="A6" t="s">
        <v>1484</v>
      </c>
      <c r="B6" t="s">
        <v>127</v>
      </c>
      <c r="C6">
        <v>0.29375600000000002</v>
      </c>
      <c r="D6">
        <v>18.528884000000001</v>
      </c>
      <c r="E6" t="s">
        <v>1477</v>
      </c>
      <c r="F6" t="s">
        <v>1483</v>
      </c>
    </row>
    <row r="7" spans="1:6" x14ac:dyDescent="0.25">
      <c r="A7" t="s">
        <v>1485</v>
      </c>
      <c r="B7" t="s">
        <v>78</v>
      </c>
      <c r="C7">
        <v>-4.4862339999999996</v>
      </c>
      <c r="D7">
        <v>17.956159</v>
      </c>
      <c r="E7" t="s">
        <v>1482</v>
      </c>
      <c r="F7" t="s">
        <v>1481</v>
      </c>
    </row>
    <row r="8" spans="1:6" x14ac:dyDescent="0.25">
      <c r="A8" t="s">
        <v>1486</v>
      </c>
      <c r="B8" t="s">
        <v>37</v>
      </c>
      <c r="C8">
        <v>-12.824638999999999</v>
      </c>
      <c r="D8">
        <v>24.407249</v>
      </c>
      <c r="E8" t="s">
        <v>1477</v>
      </c>
      <c r="F8" t="s">
        <v>1481</v>
      </c>
    </row>
    <row r="9" spans="1:6" x14ac:dyDescent="0.25">
      <c r="A9" t="s">
        <v>1407</v>
      </c>
      <c r="B9" t="s">
        <v>64</v>
      </c>
      <c r="C9">
        <v>-5.4126279999999998</v>
      </c>
      <c r="D9">
        <v>25.498235999999999</v>
      </c>
      <c r="E9" t="s">
        <v>1477</v>
      </c>
      <c r="F9" t="s">
        <v>1483</v>
      </c>
    </row>
    <row r="10" spans="1:6" x14ac:dyDescent="0.25">
      <c r="A10" t="s">
        <v>1487</v>
      </c>
      <c r="B10" t="s">
        <v>64</v>
      </c>
      <c r="C10">
        <v>-10.579510000000001</v>
      </c>
      <c r="D10">
        <v>23.502313999999998</v>
      </c>
      <c r="E10" t="s">
        <v>1480</v>
      </c>
      <c r="F10" t="s">
        <v>1483</v>
      </c>
    </row>
    <row r="11" spans="1:6" x14ac:dyDescent="0.25">
      <c r="A11" t="s">
        <v>1488</v>
      </c>
      <c r="B11" t="s">
        <v>13</v>
      </c>
      <c r="C11">
        <v>3.0788669999999998</v>
      </c>
      <c r="D11">
        <v>19.513650999999999</v>
      </c>
      <c r="E11" t="s">
        <v>1477</v>
      </c>
      <c r="F11" t="s">
        <v>1481</v>
      </c>
    </row>
    <row r="12" spans="1:6" x14ac:dyDescent="0.25">
      <c r="A12" t="s">
        <v>980</v>
      </c>
      <c r="B12" t="s">
        <v>33</v>
      </c>
      <c r="C12">
        <v>-1.648264</v>
      </c>
      <c r="D12">
        <v>28.866143999999998</v>
      </c>
      <c r="E12" t="s">
        <v>1477</v>
      </c>
      <c r="F12" t="s">
        <v>1478</v>
      </c>
    </row>
    <row r="13" spans="1:6" x14ac:dyDescent="0.25">
      <c r="A13" t="s">
        <v>1489</v>
      </c>
      <c r="B13" t="s">
        <v>131</v>
      </c>
      <c r="C13">
        <v>-3.3883130000000001</v>
      </c>
      <c r="D13">
        <v>26.838507</v>
      </c>
      <c r="E13" t="s">
        <v>1477</v>
      </c>
      <c r="F13" t="s">
        <v>1490</v>
      </c>
    </row>
    <row r="14" spans="1:6" x14ac:dyDescent="0.25">
      <c r="A14" t="s">
        <v>1491</v>
      </c>
      <c r="B14" t="s">
        <v>89</v>
      </c>
      <c r="C14">
        <v>-7.31691</v>
      </c>
      <c r="D14">
        <v>29.836627</v>
      </c>
      <c r="E14" t="s">
        <v>1477</v>
      </c>
      <c r="F14" t="s">
        <v>1483</v>
      </c>
    </row>
    <row r="15" spans="1:6" x14ac:dyDescent="0.25">
      <c r="A15" t="s">
        <v>1237</v>
      </c>
      <c r="B15" t="s">
        <v>51</v>
      </c>
      <c r="C15">
        <v>-4.2408359999999998</v>
      </c>
      <c r="D15">
        <v>26.210014000000001</v>
      </c>
      <c r="E15" t="s">
        <v>1480</v>
      </c>
      <c r="F15" t="s">
        <v>1481</v>
      </c>
    </row>
    <row r="16" spans="1:6" x14ac:dyDescent="0.25">
      <c r="A16" t="s">
        <v>862</v>
      </c>
      <c r="B16" t="s">
        <v>78</v>
      </c>
      <c r="C16">
        <v>-8.4824669999999998</v>
      </c>
      <c r="D16">
        <v>21.897777999999999</v>
      </c>
      <c r="E16" t="s">
        <v>1477</v>
      </c>
      <c r="F16" t="s">
        <v>1478</v>
      </c>
    </row>
    <row r="17" spans="1:6" x14ac:dyDescent="0.25">
      <c r="A17" t="s">
        <v>1302</v>
      </c>
      <c r="B17" t="s">
        <v>21</v>
      </c>
      <c r="C17">
        <v>2.453036</v>
      </c>
      <c r="D17">
        <v>20.555484</v>
      </c>
      <c r="E17" t="s">
        <v>1477</v>
      </c>
      <c r="F17" t="s">
        <v>1478</v>
      </c>
    </row>
    <row r="18" spans="1:6" x14ac:dyDescent="0.25">
      <c r="A18" t="s">
        <v>861</v>
      </c>
      <c r="B18" t="s">
        <v>31</v>
      </c>
      <c r="C18">
        <v>-12.141233</v>
      </c>
      <c r="D18">
        <v>15.179043999999999</v>
      </c>
      <c r="E18" t="s">
        <v>1477</v>
      </c>
      <c r="F18" t="s">
        <v>1478</v>
      </c>
    </row>
    <row r="19" spans="1:6" x14ac:dyDescent="0.25">
      <c r="A19" t="s">
        <v>1408</v>
      </c>
      <c r="B19" t="s">
        <v>67</v>
      </c>
      <c r="C19">
        <v>-11.218453999999999</v>
      </c>
      <c r="D19">
        <v>28.230025000000001</v>
      </c>
      <c r="E19" t="s">
        <v>1477</v>
      </c>
      <c r="F19" t="s">
        <v>1483</v>
      </c>
    </row>
    <row r="20" spans="1:6" x14ac:dyDescent="0.25">
      <c r="A20" t="s">
        <v>820</v>
      </c>
      <c r="B20" t="s">
        <v>29</v>
      </c>
      <c r="C20">
        <v>-10.059846</v>
      </c>
      <c r="D20">
        <v>14.375757999999999</v>
      </c>
      <c r="E20" t="s">
        <v>1480</v>
      </c>
      <c r="F20" t="s">
        <v>1481</v>
      </c>
    </row>
    <row r="21" spans="1:6" x14ac:dyDescent="0.25">
      <c r="A21" t="s">
        <v>1382</v>
      </c>
      <c r="B21" t="s">
        <v>60</v>
      </c>
      <c r="C21">
        <v>-9.1215879999999991</v>
      </c>
      <c r="D21">
        <v>16.457916999999998</v>
      </c>
      <c r="E21" t="s">
        <v>1480</v>
      </c>
      <c r="F21" t="s">
        <v>1490</v>
      </c>
    </row>
    <row r="22" spans="1:6" x14ac:dyDescent="0.25">
      <c r="A22" t="s">
        <v>1146</v>
      </c>
      <c r="B22" t="s">
        <v>67</v>
      </c>
      <c r="C22">
        <v>-8.4227860000000003</v>
      </c>
      <c r="D22">
        <v>16.781293000000002</v>
      </c>
      <c r="E22" t="s">
        <v>1480</v>
      </c>
      <c r="F22" t="s">
        <v>1481</v>
      </c>
    </row>
    <row r="23" spans="1:6" x14ac:dyDescent="0.25">
      <c r="A23" t="s">
        <v>1492</v>
      </c>
      <c r="B23" t="s">
        <v>57</v>
      </c>
      <c r="C23">
        <v>2.1014910000000002</v>
      </c>
      <c r="D23">
        <v>26.133631999999999</v>
      </c>
      <c r="E23" t="s">
        <v>1477</v>
      </c>
      <c r="F23" t="s">
        <v>1481</v>
      </c>
    </row>
    <row r="24" spans="1:6" x14ac:dyDescent="0.25">
      <c r="A24" t="s">
        <v>827</v>
      </c>
      <c r="B24" t="s">
        <v>67</v>
      </c>
      <c r="C24">
        <v>-11.266565999999999</v>
      </c>
      <c r="D24">
        <v>26.245055000000001</v>
      </c>
      <c r="E24" t="s">
        <v>1482</v>
      </c>
      <c r="F24" t="s">
        <v>1478</v>
      </c>
    </row>
    <row r="25" spans="1:6" x14ac:dyDescent="0.25">
      <c r="A25" t="s">
        <v>1355</v>
      </c>
      <c r="B25" t="s">
        <v>26</v>
      </c>
      <c r="C25">
        <v>0.40267799999999998</v>
      </c>
      <c r="D25">
        <v>16.000858000000001</v>
      </c>
      <c r="E25" t="s">
        <v>1482</v>
      </c>
      <c r="F25" t="s">
        <v>1490</v>
      </c>
    </row>
    <row r="26" spans="1:6" x14ac:dyDescent="0.25">
      <c r="A26" t="s">
        <v>1206</v>
      </c>
      <c r="B26" t="s">
        <v>31</v>
      </c>
      <c r="C26">
        <v>-8.3241560000000003</v>
      </c>
      <c r="D26">
        <v>19.543866000000001</v>
      </c>
      <c r="E26" t="s">
        <v>1480</v>
      </c>
      <c r="F26" t="s">
        <v>1483</v>
      </c>
    </row>
    <row r="27" spans="1:6" x14ac:dyDescent="0.25">
      <c r="A27" t="s">
        <v>1493</v>
      </c>
      <c r="B27" t="s">
        <v>78</v>
      </c>
      <c r="C27">
        <v>-6.5144820000000001</v>
      </c>
      <c r="D27">
        <v>13.815521</v>
      </c>
      <c r="E27" t="s">
        <v>1480</v>
      </c>
      <c r="F27" t="s">
        <v>1483</v>
      </c>
    </row>
    <row r="28" spans="1:6" x14ac:dyDescent="0.25">
      <c r="A28" t="s">
        <v>1074</v>
      </c>
      <c r="B28" t="s">
        <v>21</v>
      </c>
      <c r="C28">
        <v>-2.9651529999999999</v>
      </c>
      <c r="D28">
        <v>29.79908</v>
      </c>
      <c r="E28" t="s">
        <v>1480</v>
      </c>
      <c r="F28" t="s">
        <v>1478</v>
      </c>
    </row>
    <row r="29" spans="1:6" x14ac:dyDescent="0.25">
      <c r="A29" t="s">
        <v>1327</v>
      </c>
      <c r="B29" t="s">
        <v>29</v>
      </c>
      <c r="C29">
        <v>1.5802860000000001</v>
      </c>
      <c r="D29">
        <v>20.99053</v>
      </c>
      <c r="E29" t="s">
        <v>1480</v>
      </c>
      <c r="F29" t="s">
        <v>1483</v>
      </c>
    </row>
    <row r="30" spans="1:6" x14ac:dyDescent="0.25">
      <c r="A30" t="s">
        <v>1494</v>
      </c>
      <c r="B30" t="s">
        <v>26</v>
      </c>
      <c r="C30">
        <v>-6.8054750000000004</v>
      </c>
      <c r="D30">
        <v>13.022683000000001</v>
      </c>
      <c r="E30" t="s">
        <v>1480</v>
      </c>
      <c r="F30" t="s">
        <v>1481</v>
      </c>
    </row>
    <row r="31" spans="1:6" x14ac:dyDescent="0.25">
      <c r="A31" t="s">
        <v>1495</v>
      </c>
      <c r="B31" t="s">
        <v>10</v>
      </c>
      <c r="C31">
        <v>-5.5883039999999999</v>
      </c>
      <c r="D31">
        <v>26.647739999999999</v>
      </c>
      <c r="E31" t="s">
        <v>1482</v>
      </c>
      <c r="F31" t="s">
        <v>1478</v>
      </c>
    </row>
    <row r="32" spans="1:6" x14ac:dyDescent="0.25">
      <c r="A32" t="s">
        <v>1420</v>
      </c>
      <c r="B32" t="s">
        <v>33</v>
      </c>
      <c r="C32">
        <v>-6.6803710000000001</v>
      </c>
      <c r="D32">
        <v>21.955673000000001</v>
      </c>
      <c r="E32" t="s">
        <v>1480</v>
      </c>
      <c r="F32" t="s">
        <v>1490</v>
      </c>
    </row>
    <row r="33" spans="1:6" x14ac:dyDescent="0.25">
      <c r="A33" t="s">
        <v>1496</v>
      </c>
      <c r="B33" t="s">
        <v>10</v>
      </c>
      <c r="C33">
        <v>-0.767455</v>
      </c>
      <c r="D33">
        <v>30.924261000000001</v>
      </c>
      <c r="E33" t="s">
        <v>1482</v>
      </c>
      <c r="F33" t="s">
        <v>1481</v>
      </c>
    </row>
    <row r="34" spans="1:6" x14ac:dyDescent="0.25">
      <c r="A34" t="s">
        <v>1182</v>
      </c>
      <c r="B34" t="s">
        <v>37</v>
      </c>
      <c r="C34">
        <v>-2.099631</v>
      </c>
      <c r="D34">
        <v>13.974640000000001</v>
      </c>
      <c r="E34" t="s">
        <v>1482</v>
      </c>
      <c r="F34" t="s">
        <v>1490</v>
      </c>
    </row>
    <row r="35" spans="1:6" x14ac:dyDescent="0.25">
      <c r="A35" t="s">
        <v>1497</v>
      </c>
      <c r="B35" t="s">
        <v>137</v>
      </c>
      <c r="C35">
        <v>-2.6166320000000001</v>
      </c>
      <c r="D35">
        <v>23.743941</v>
      </c>
      <c r="E35" t="s">
        <v>1477</v>
      </c>
      <c r="F35" t="s">
        <v>1490</v>
      </c>
    </row>
    <row r="36" spans="1:6" x14ac:dyDescent="0.25">
      <c r="A36" t="s">
        <v>1174</v>
      </c>
      <c r="B36" t="s">
        <v>21</v>
      </c>
      <c r="C36">
        <v>-1.3024210000000001</v>
      </c>
      <c r="D36">
        <v>13.601914000000001</v>
      </c>
      <c r="E36" t="s">
        <v>1482</v>
      </c>
      <c r="F36" t="s">
        <v>1481</v>
      </c>
    </row>
    <row r="37" spans="1:6" x14ac:dyDescent="0.25">
      <c r="A37" t="s">
        <v>1498</v>
      </c>
      <c r="B37" t="s">
        <v>21</v>
      </c>
      <c r="C37">
        <v>-3.3081109999999998</v>
      </c>
      <c r="D37">
        <v>29.700202000000001</v>
      </c>
      <c r="E37" t="s">
        <v>1480</v>
      </c>
      <c r="F37" t="s">
        <v>1490</v>
      </c>
    </row>
    <row r="38" spans="1:6" x14ac:dyDescent="0.25">
      <c r="A38" t="s">
        <v>1171</v>
      </c>
      <c r="B38" t="s">
        <v>131</v>
      </c>
      <c r="C38">
        <v>4.6287159999999998</v>
      </c>
      <c r="D38">
        <v>19.407077999999998</v>
      </c>
      <c r="E38" t="s">
        <v>1480</v>
      </c>
      <c r="F38" t="s">
        <v>1478</v>
      </c>
    </row>
    <row r="39" spans="1:6" x14ac:dyDescent="0.25">
      <c r="A39" t="s">
        <v>1121</v>
      </c>
      <c r="B39" t="s">
        <v>67</v>
      </c>
      <c r="C39">
        <v>-7.8770429999999996</v>
      </c>
      <c r="D39">
        <v>16.357762999999998</v>
      </c>
      <c r="E39" t="s">
        <v>1480</v>
      </c>
      <c r="F39" t="s">
        <v>1478</v>
      </c>
    </row>
    <row r="40" spans="1:6" x14ac:dyDescent="0.25">
      <c r="A40" t="s">
        <v>1254</v>
      </c>
      <c r="B40" t="s">
        <v>127</v>
      </c>
      <c r="C40">
        <v>-7.1483749999999997</v>
      </c>
      <c r="D40">
        <v>26.014271000000001</v>
      </c>
      <c r="E40" t="s">
        <v>1477</v>
      </c>
      <c r="F40" t="s">
        <v>1481</v>
      </c>
    </row>
    <row r="41" spans="1:6" x14ac:dyDescent="0.25">
      <c r="A41" t="s">
        <v>1331</v>
      </c>
      <c r="B41" t="s">
        <v>29</v>
      </c>
      <c r="C41">
        <v>-3.8119990000000001</v>
      </c>
      <c r="D41">
        <v>20.420048000000001</v>
      </c>
      <c r="E41" t="s">
        <v>1482</v>
      </c>
      <c r="F41" t="s">
        <v>1483</v>
      </c>
    </row>
    <row r="42" spans="1:6" x14ac:dyDescent="0.25">
      <c r="A42" t="s">
        <v>915</v>
      </c>
      <c r="B42" t="s">
        <v>89</v>
      </c>
      <c r="C42">
        <v>0.94539899999999999</v>
      </c>
      <c r="D42">
        <v>14.401821999999999</v>
      </c>
      <c r="E42" t="s">
        <v>1477</v>
      </c>
      <c r="F42" t="s">
        <v>1490</v>
      </c>
    </row>
    <row r="43" spans="1:6" x14ac:dyDescent="0.25">
      <c r="A43" t="s">
        <v>1048</v>
      </c>
      <c r="B43" t="s">
        <v>44</v>
      </c>
      <c r="C43">
        <v>-4.9552579999999997</v>
      </c>
      <c r="D43">
        <v>22.008103999999999</v>
      </c>
      <c r="E43" t="s">
        <v>1480</v>
      </c>
      <c r="F43" t="s">
        <v>1481</v>
      </c>
    </row>
    <row r="44" spans="1:6" x14ac:dyDescent="0.25">
      <c r="A44" t="s">
        <v>1066</v>
      </c>
      <c r="B44" t="s">
        <v>89</v>
      </c>
      <c r="C44">
        <v>-11.588665000000001</v>
      </c>
      <c r="D44">
        <v>15.241552</v>
      </c>
      <c r="E44" t="s">
        <v>1480</v>
      </c>
      <c r="F44" t="s">
        <v>1490</v>
      </c>
    </row>
    <row r="45" spans="1:6" x14ac:dyDescent="0.25">
      <c r="A45" t="s">
        <v>954</v>
      </c>
      <c r="B45" t="s">
        <v>13</v>
      </c>
      <c r="C45">
        <v>-1.9540519999999999</v>
      </c>
      <c r="D45">
        <v>12.667945</v>
      </c>
      <c r="E45" t="s">
        <v>1480</v>
      </c>
      <c r="F45" t="s">
        <v>1481</v>
      </c>
    </row>
    <row r="46" spans="1:6" x14ac:dyDescent="0.25">
      <c r="A46" t="s">
        <v>1499</v>
      </c>
      <c r="B46" t="s">
        <v>57</v>
      </c>
      <c r="C46">
        <v>-4.652463</v>
      </c>
      <c r="D46">
        <v>18.779983999999999</v>
      </c>
      <c r="E46" t="s">
        <v>1482</v>
      </c>
      <c r="F46" t="s">
        <v>1490</v>
      </c>
    </row>
    <row r="47" spans="1:6" x14ac:dyDescent="0.25">
      <c r="A47" t="s">
        <v>1500</v>
      </c>
      <c r="B47" t="s">
        <v>51</v>
      </c>
      <c r="C47">
        <v>4.2187000000000001</v>
      </c>
      <c r="D47">
        <v>29.390174999999999</v>
      </c>
      <c r="E47" t="s">
        <v>1480</v>
      </c>
      <c r="F47" t="s">
        <v>1483</v>
      </c>
    </row>
    <row r="48" spans="1:6" x14ac:dyDescent="0.25">
      <c r="A48" t="s">
        <v>1211</v>
      </c>
      <c r="B48" t="s">
        <v>18</v>
      </c>
      <c r="C48">
        <v>2.628638</v>
      </c>
      <c r="D48">
        <v>28.420582</v>
      </c>
      <c r="E48" t="s">
        <v>1480</v>
      </c>
      <c r="F48" t="s">
        <v>1481</v>
      </c>
    </row>
    <row r="49" spans="1:6" x14ac:dyDescent="0.25">
      <c r="A49" t="s">
        <v>1501</v>
      </c>
      <c r="B49" t="s">
        <v>67</v>
      </c>
      <c r="C49">
        <v>-1.4695480000000001</v>
      </c>
      <c r="D49">
        <v>20.876676</v>
      </c>
      <c r="E49" t="s">
        <v>1477</v>
      </c>
      <c r="F49" t="s">
        <v>1478</v>
      </c>
    </row>
    <row r="50" spans="1:6" x14ac:dyDescent="0.25">
      <c r="A50" t="s">
        <v>1502</v>
      </c>
      <c r="B50" t="s">
        <v>24</v>
      </c>
      <c r="C50">
        <v>3.7141999999999999</v>
      </c>
      <c r="D50">
        <v>28.547066999999998</v>
      </c>
      <c r="E50" t="s">
        <v>1482</v>
      </c>
      <c r="F50" t="s">
        <v>1483</v>
      </c>
    </row>
    <row r="51" spans="1:6" x14ac:dyDescent="0.25">
      <c r="A51" t="s">
        <v>1000</v>
      </c>
      <c r="B51" t="s">
        <v>57</v>
      </c>
      <c r="C51">
        <v>-5.4073029999999997</v>
      </c>
      <c r="D51">
        <v>29.762294000000001</v>
      </c>
      <c r="E51" t="s">
        <v>1482</v>
      </c>
      <c r="F51" t="s">
        <v>1478</v>
      </c>
    </row>
    <row r="52" spans="1:6" x14ac:dyDescent="0.25">
      <c r="A52" t="s">
        <v>1503</v>
      </c>
      <c r="B52" t="s">
        <v>21</v>
      </c>
      <c r="C52">
        <v>-3.6233270000000002</v>
      </c>
      <c r="D52">
        <v>25.915645999999999</v>
      </c>
      <c r="E52" t="s">
        <v>1482</v>
      </c>
      <c r="F52" t="s">
        <v>1481</v>
      </c>
    </row>
    <row r="53" spans="1:6" x14ac:dyDescent="0.25">
      <c r="A53" t="s">
        <v>1504</v>
      </c>
      <c r="B53" t="s">
        <v>127</v>
      </c>
      <c r="C53">
        <v>-8.4403710000000007</v>
      </c>
      <c r="D53">
        <v>17.231165000000001</v>
      </c>
      <c r="E53" t="s">
        <v>1480</v>
      </c>
      <c r="F53" t="s">
        <v>1481</v>
      </c>
    </row>
    <row r="54" spans="1:6" x14ac:dyDescent="0.25">
      <c r="A54" t="s">
        <v>1142</v>
      </c>
      <c r="B54" t="s">
        <v>37</v>
      </c>
      <c r="C54">
        <v>-1.50664</v>
      </c>
      <c r="D54">
        <v>27.795642000000001</v>
      </c>
      <c r="E54" t="s">
        <v>1477</v>
      </c>
      <c r="F54" t="s">
        <v>1483</v>
      </c>
    </row>
    <row r="55" spans="1:6" x14ac:dyDescent="0.25">
      <c r="A55" t="s">
        <v>1149</v>
      </c>
      <c r="B55" t="s">
        <v>24</v>
      </c>
      <c r="C55">
        <v>-9.4229749999999992</v>
      </c>
      <c r="D55">
        <v>29.375005999999999</v>
      </c>
      <c r="E55" t="s">
        <v>1482</v>
      </c>
      <c r="F55" t="s">
        <v>1478</v>
      </c>
    </row>
    <row r="56" spans="1:6" x14ac:dyDescent="0.25">
      <c r="A56" t="s">
        <v>872</v>
      </c>
      <c r="B56" t="s">
        <v>62</v>
      </c>
      <c r="C56">
        <v>2.975352</v>
      </c>
      <c r="D56">
        <v>22.535886000000001</v>
      </c>
      <c r="E56" t="s">
        <v>1480</v>
      </c>
      <c r="F56" t="s">
        <v>1481</v>
      </c>
    </row>
    <row r="57" spans="1:6" x14ac:dyDescent="0.25">
      <c r="A57" t="s">
        <v>1071</v>
      </c>
      <c r="B57" t="s">
        <v>78</v>
      </c>
      <c r="C57">
        <v>2.5458379999999998</v>
      </c>
      <c r="D57">
        <v>13.308655</v>
      </c>
      <c r="E57" t="s">
        <v>1477</v>
      </c>
      <c r="F57" t="s">
        <v>1483</v>
      </c>
    </row>
    <row r="58" spans="1:6" x14ac:dyDescent="0.25">
      <c r="A58" t="s">
        <v>1046</v>
      </c>
      <c r="B58" t="s">
        <v>40</v>
      </c>
      <c r="C58">
        <v>-9.0798120000000004</v>
      </c>
      <c r="D58">
        <v>14.945484</v>
      </c>
      <c r="E58" t="s">
        <v>1477</v>
      </c>
      <c r="F58" t="s">
        <v>1478</v>
      </c>
    </row>
    <row r="59" spans="1:6" x14ac:dyDescent="0.25">
      <c r="A59" t="s">
        <v>1143</v>
      </c>
      <c r="B59" t="s">
        <v>137</v>
      </c>
      <c r="C59">
        <v>-10.967288</v>
      </c>
      <c r="D59">
        <v>17.617781000000001</v>
      </c>
      <c r="E59" t="s">
        <v>1480</v>
      </c>
      <c r="F59" t="s">
        <v>1478</v>
      </c>
    </row>
    <row r="60" spans="1:6" x14ac:dyDescent="0.25">
      <c r="A60" t="s">
        <v>816</v>
      </c>
      <c r="B60" t="s">
        <v>44</v>
      </c>
      <c r="C60">
        <v>-1.607639</v>
      </c>
      <c r="D60">
        <v>17.003636</v>
      </c>
      <c r="E60" t="s">
        <v>1480</v>
      </c>
      <c r="F60" t="s">
        <v>1478</v>
      </c>
    </row>
    <row r="61" spans="1:6" x14ac:dyDescent="0.25">
      <c r="A61" t="s">
        <v>1261</v>
      </c>
      <c r="B61" t="s">
        <v>62</v>
      </c>
      <c r="C61">
        <v>-7.1587569999999996</v>
      </c>
      <c r="D61">
        <v>18.975141000000001</v>
      </c>
      <c r="E61" t="s">
        <v>1477</v>
      </c>
      <c r="F61" t="s">
        <v>1478</v>
      </c>
    </row>
    <row r="62" spans="1:6" x14ac:dyDescent="0.25">
      <c r="A62" t="s">
        <v>965</v>
      </c>
      <c r="B62" t="s">
        <v>67</v>
      </c>
      <c r="C62">
        <v>-9.9875139999999991</v>
      </c>
      <c r="D62">
        <v>12.013676999999999</v>
      </c>
      <c r="E62" t="s">
        <v>1482</v>
      </c>
      <c r="F62" t="s">
        <v>1483</v>
      </c>
    </row>
    <row r="63" spans="1:6" x14ac:dyDescent="0.25">
      <c r="A63" t="s">
        <v>1381</v>
      </c>
      <c r="B63" t="s">
        <v>137</v>
      </c>
      <c r="C63">
        <v>-8.0301989999999996</v>
      </c>
      <c r="D63">
        <v>24.122495000000001</v>
      </c>
      <c r="E63" t="s">
        <v>1477</v>
      </c>
      <c r="F63" t="s">
        <v>1483</v>
      </c>
    </row>
    <row r="64" spans="1:6" x14ac:dyDescent="0.25">
      <c r="A64" t="s">
        <v>1351</v>
      </c>
      <c r="B64" t="s">
        <v>131</v>
      </c>
      <c r="C64">
        <v>-10.846306999999999</v>
      </c>
      <c r="D64">
        <v>19.201827999999999</v>
      </c>
      <c r="E64" t="s">
        <v>1480</v>
      </c>
      <c r="F64" t="s">
        <v>1478</v>
      </c>
    </row>
    <row r="65" spans="1:6" x14ac:dyDescent="0.25">
      <c r="A65" t="s">
        <v>1505</v>
      </c>
      <c r="B65" t="s">
        <v>40</v>
      </c>
      <c r="C65">
        <v>1.204588</v>
      </c>
      <c r="D65">
        <v>15.525152</v>
      </c>
      <c r="E65" t="s">
        <v>1477</v>
      </c>
      <c r="F65" t="s">
        <v>1481</v>
      </c>
    </row>
    <row r="66" spans="1:6" x14ac:dyDescent="0.25">
      <c r="A66" t="s">
        <v>1273</v>
      </c>
      <c r="B66" t="s">
        <v>60</v>
      </c>
      <c r="C66">
        <v>-12.839263000000001</v>
      </c>
      <c r="D66">
        <v>12.355677</v>
      </c>
      <c r="E66" t="s">
        <v>1482</v>
      </c>
      <c r="F66" t="s">
        <v>1481</v>
      </c>
    </row>
    <row r="67" spans="1:6" x14ac:dyDescent="0.25">
      <c r="A67" t="s">
        <v>1506</v>
      </c>
      <c r="B67" t="s">
        <v>26</v>
      </c>
      <c r="C67">
        <v>-12.244119</v>
      </c>
      <c r="D67">
        <v>28.279755999999999</v>
      </c>
      <c r="E67" t="s">
        <v>1477</v>
      </c>
      <c r="F67" t="s">
        <v>1483</v>
      </c>
    </row>
    <row r="68" spans="1:6" x14ac:dyDescent="0.25">
      <c r="A68" t="s">
        <v>1507</v>
      </c>
      <c r="B68" t="s">
        <v>29</v>
      </c>
      <c r="C68">
        <v>1.102554</v>
      </c>
      <c r="D68">
        <v>26.744315</v>
      </c>
      <c r="E68" t="s">
        <v>1482</v>
      </c>
      <c r="F68" t="s">
        <v>1478</v>
      </c>
    </row>
    <row r="69" spans="1:6" x14ac:dyDescent="0.25">
      <c r="A69" t="s">
        <v>1152</v>
      </c>
      <c r="B69" t="s">
        <v>33</v>
      </c>
      <c r="C69">
        <v>-4.4451280000000004</v>
      </c>
      <c r="D69">
        <v>16.536944999999999</v>
      </c>
      <c r="E69" t="s">
        <v>1480</v>
      </c>
      <c r="F69" t="s">
        <v>1478</v>
      </c>
    </row>
    <row r="70" spans="1:6" x14ac:dyDescent="0.25">
      <c r="A70" t="s">
        <v>1462</v>
      </c>
      <c r="B70" t="s">
        <v>67</v>
      </c>
      <c r="C70">
        <v>-2.2681789999999999</v>
      </c>
      <c r="D70">
        <v>25.699068</v>
      </c>
      <c r="E70" t="s">
        <v>1482</v>
      </c>
      <c r="F70" t="s">
        <v>1483</v>
      </c>
    </row>
    <row r="71" spans="1:6" x14ac:dyDescent="0.25">
      <c r="A71" t="s">
        <v>1104</v>
      </c>
      <c r="B71" t="s">
        <v>131</v>
      </c>
      <c r="C71">
        <v>-6.3148239999999998</v>
      </c>
      <c r="D71">
        <v>24.507498999999999</v>
      </c>
      <c r="E71" t="s">
        <v>1482</v>
      </c>
      <c r="F71" t="s">
        <v>1483</v>
      </c>
    </row>
    <row r="72" spans="1:6" x14ac:dyDescent="0.25">
      <c r="A72" t="s">
        <v>923</v>
      </c>
      <c r="B72" t="s">
        <v>64</v>
      </c>
      <c r="C72">
        <v>-11.389362</v>
      </c>
      <c r="D72">
        <v>22.240174</v>
      </c>
      <c r="E72" t="s">
        <v>1477</v>
      </c>
      <c r="F72" t="s">
        <v>1483</v>
      </c>
    </row>
    <row r="73" spans="1:6" x14ac:dyDescent="0.25">
      <c r="A73" t="s">
        <v>931</v>
      </c>
      <c r="B73" t="s">
        <v>51</v>
      </c>
      <c r="C73">
        <v>-10.161428000000001</v>
      </c>
      <c r="D73">
        <v>19.362325999999999</v>
      </c>
      <c r="E73" t="s">
        <v>1482</v>
      </c>
      <c r="F73" t="s">
        <v>1490</v>
      </c>
    </row>
    <row r="74" spans="1:6" x14ac:dyDescent="0.25">
      <c r="A74" t="s">
        <v>1196</v>
      </c>
      <c r="B74" t="s">
        <v>137</v>
      </c>
      <c r="C74">
        <v>-11.354772000000001</v>
      </c>
      <c r="D74">
        <v>21.957325999999998</v>
      </c>
      <c r="E74" t="s">
        <v>1482</v>
      </c>
      <c r="F74" t="s">
        <v>1490</v>
      </c>
    </row>
    <row r="75" spans="1:6" x14ac:dyDescent="0.25">
      <c r="A75" t="s">
        <v>1419</v>
      </c>
      <c r="B75" t="s">
        <v>37</v>
      </c>
      <c r="C75">
        <v>-1.864393</v>
      </c>
      <c r="D75">
        <v>21.453434000000001</v>
      </c>
      <c r="E75" t="s">
        <v>1477</v>
      </c>
      <c r="F75" t="s">
        <v>1478</v>
      </c>
    </row>
    <row r="76" spans="1:6" x14ac:dyDescent="0.25">
      <c r="A76" t="s">
        <v>1508</v>
      </c>
      <c r="B76" t="s">
        <v>57</v>
      </c>
      <c r="C76">
        <v>3.7552780000000001</v>
      </c>
      <c r="D76">
        <v>22.477888</v>
      </c>
      <c r="E76" t="s">
        <v>1482</v>
      </c>
      <c r="F76" t="s">
        <v>1490</v>
      </c>
    </row>
    <row r="77" spans="1:6" x14ac:dyDescent="0.25">
      <c r="A77" t="s">
        <v>1396</v>
      </c>
      <c r="B77" t="s">
        <v>131</v>
      </c>
      <c r="C77">
        <v>4.9455159999999996</v>
      </c>
      <c r="D77">
        <v>23.647746000000001</v>
      </c>
      <c r="E77" t="s">
        <v>1477</v>
      </c>
      <c r="F77" t="s">
        <v>1481</v>
      </c>
    </row>
    <row r="78" spans="1:6" x14ac:dyDescent="0.25">
      <c r="A78" t="s">
        <v>1509</v>
      </c>
      <c r="B78" t="s">
        <v>137</v>
      </c>
      <c r="C78">
        <v>-1.7476179999999999</v>
      </c>
      <c r="D78">
        <v>18.129401000000001</v>
      </c>
      <c r="E78" t="s">
        <v>1480</v>
      </c>
      <c r="F78" t="s">
        <v>1478</v>
      </c>
    </row>
    <row r="79" spans="1:6" x14ac:dyDescent="0.25">
      <c r="A79" t="s">
        <v>1306</v>
      </c>
      <c r="B79" t="s">
        <v>127</v>
      </c>
      <c r="C79">
        <v>-11.924048000000001</v>
      </c>
      <c r="D79">
        <v>24.177174999999998</v>
      </c>
      <c r="E79" t="s">
        <v>1482</v>
      </c>
      <c r="F79" t="s">
        <v>1490</v>
      </c>
    </row>
    <row r="80" spans="1:6" x14ac:dyDescent="0.25">
      <c r="A80" t="s">
        <v>1304</v>
      </c>
      <c r="B80" t="s">
        <v>57</v>
      </c>
      <c r="C80">
        <v>-1.3976519999999999</v>
      </c>
      <c r="D80">
        <v>14.098819000000001</v>
      </c>
      <c r="E80" t="s">
        <v>1482</v>
      </c>
      <c r="F80" t="s">
        <v>1478</v>
      </c>
    </row>
    <row r="81" spans="1:6" x14ac:dyDescent="0.25">
      <c r="A81" t="s">
        <v>1510</v>
      </c>
      <c r="B81" t="s">
        <v>18</v>
      </c>
      <c r="C81">
        <v>-0.37609300000000001</v>
      </c>
      <c r="D81">
        <v>21.940809999999999</v>
      </c>
      <c r="E81" t="s">
        <v>1477</v>
      </c>
      <c r="F81" t="s">
        <v>1481</v>
      </c>
    </row>
    <row r="82" spans="1:6" x14ac:dyDescent="0.25">
      <c r="A82" t="s">
        <v>1042</v>
      </c>
      <c r="B82" t="s">
        <v>62</v>
      </c>
      <c r="C82">
        <v>1.2463919999999999</v>
      </c>
      <c r="D82">
        <v>13.266916999999999</v>
      </c>
      <c r="E82" t="s">
        <v>1477</v>
      </c>
      <c r="F82" t="s">
        <v>1481</v>
      </c>
    </row>
    <row r="83" spans="1:6" x14ac:dyDescent="0.25">
      <c r="A83" t="s">
        <v>835</v>
      </c>
      <c r="B83" t="s">
        <v>33</v>
      </c>
      <c r="C83">
        <v>-10.735106</v>
      </c>
      <c r="D83">
        <v>27.868673999999999</v>
      </c>
      <c r="E83" t="s">
        <v>1482</v>
      </c>
      <c r="F83" t="s">
        <v>1478</v>
      </c>
    </row>
    <row r="84" spans="1:6" x14ac:dyDescent="0.25">
      <c r="A84" t="s">
        <v>951</v>
      </c>
      <c r="B84" t="s">
        <v>127</v>
      </c>
      <c r="C84">
        <v>-8.8118569999999998</v>
      </c>
      <c r="D84">
        <v>14.465711000000001</v>
      </c>
      <c r="E84" t="s">
        <v>1477</v>
      </c>
      <c r="F84" t="s">
        <v>1490</v>
      </c>
    </row>
    <row r="85" spans="1:6" x14ac:dyDescent="0.25">
      <c r="A85" t="s">
        <v>1511</v>
      </c>
      <c r="B85" t="s">
        <v>18</v>
      </c>
      <c r="C85">
        <v>4.6701629999999996</v>
      </c>
      <c r="D85">
        <v>28.596363</v>
      </c>
      <c r="E85" t="s">
        <v>1477</v>
      </c>
      <c r="F85" t="s">
        <v>1478</v>
      </c>
    </row>
    <row r="86" spans="1:6" x14ac:dyDescent="0.25">
      <c r="A86" t="s">
        <v>1512</v>
      </c>
      <c r="B86" t="s">
        <v>137</v>
      </c>
      <c r="C86">
        <v>1.194113</v>
      </c>
      <c r="D86">
        <v>15.839502</v>
      </c>
      <c r="E86" t="s">
        <v>1482</v>
      </c>
      <c r="F86" t="s">
        <v>1481</v>
      </c>
    </row>
    <row r="87" spans="1:6" x14ac:dyDescent="0.25">
      <c r="A87" t="s">
        <v>959</v>
      </c>
      <c r="B87" t="s">
        <v>51</v>
      </c>
      <c r="C87">
        <v>0.62055499999999997</v>
      </c>
      <c r="D87">
        <v>21.222035000000002</v>
      </c>
      <c r="E87" t="s">
        <v>1477</v>
      </c>
      <c r="F87" t="s">
        <v>1490</v>
      </c>
    </row>
    <row r="88" spans="1:6" x14ac:dyDescent="0.25">
      <c r="A88" t="s">
        <v>1513</v>
      </c>
      <c r="B88" t="s">
        <v>73</v>
      </c>
      <c r="C88">
        <v>1.499457</v>
      </c>
      <c r="D88">
        <v>13.876317999999999</v>
      </c>
      <c r="E88" t="s">
        <v>1477</v>
      </c>
      <c r="F88" t="s">
        <v>1490</v>
      </c>
    </row>
    <row r="89" spans="1:6" x14ac:dyDescent="0.25">
      <c r="A89" t="s">
        <v>981</v>
      </c>
      <c r="B89" t="s">
        <v>13</v>
      </c>
      <c r="C89">
        <v>-5.1030600000000002</v>
      </c>
      <c r="D89">
        <v>22.849231</v>
      </c>
      <c r="E89" t="s">
        <v>1477</v>
      </c>
      <c r="F89" t="s">
        <v>1483</v>
      </c>
    </row>
    <row r="90" spans="1:6" x14ac:dyDescent="0.25">
      <c r="A90" t="s">
        <v>1052</v>
      </c>
      <c r="B90" t="s">
        <v>33</v>
      </c>
      <c r="C90">
        <v>-9.5266249999999992</v>
      </c>
      <c r="D90">
        <v>27.889690999999999</v>
      </c>
      <c r="E90" t="s">
        <v>1480</v>
      </c>
      <c r="F90" t="s">
        <v>1478</v>
      </c>
    </row>
    <row r="91" spans="1:6" x14ac:dyDescent="0.25">
      <c r="A91" t="s">
        <v>1514</v>
      </c>
      <c r="B91" t="s">
        <v>26</v>
      </c>
      <c r="C91">
        <v>-0.59350000000000003</v>
      </c>
      <c r="D91">
        <v>24.500503999999999</v>
      </c>
      <c r="E91" t="s">
        <v>1477</v>
      </c>
      <c r="F91" t="s">
        <v>1481</v>
      </c>
    </row>
    <row r="92" spans="1:6" x14ac:dyDescent="0.25">
      <c r="A92" t="s">
        <v>837</v>
      </c>
      <c r="B92" t="s">
        <v>131</v>
      </c>
      <c r="C92">
        <v>-6.5529849999999996</v>
      </c>
      <c r="D92">
        <v>21.990606</v>
      </c>
      <c r="E92" t="s">
        <v>1482</v>
      </c>
      <c r="F92" t="s">
        <v>1481</v>
      </c>
    </row>
    <row r="93" spans="1:6" x14ac:dyDescent="0.25">
      <c r="A93" t="s">
        <v>1264</v>
      </c>
      <c r="B93" t="s">
        <v>13</v>
      </c>
      <c r="C93">
        <v>-10.574821</v>
      </c>
      <c r="D93">
        <v>25.324966</v>
      </c>
      <c r="E93" t="s">
        <v>1477</v>
      </c>
      <c r="F93" t="s">
        <v>1478</v>
      </c>
    </row>
    <row r="94" spans="1:6" x14ac:dyDescent="0.25">
      <c r="A94" t="s">
        <v>947</v>
      </c>
      <c r="B94" t="s">
        <v>35</v>
      </c>
      <c r="C94">
        <v>3.175935</v>
      </c>
      <c r="D94">
        <v>16.862832000000001</v>
      </c>
      <c r="E94" t="s">
        <v>1477</v>
      </c>
      <c r="F94" t="s">
        <v>1478</v>
      </c>
    </row>
    <row r="95" spans="1:6" x14ac:dyDescent="0.25">
      <c r="A95" t="s">
        <v>1156</v>
      </c>
      <c r="B95" t="s">
        <v>78</v>
      </c>
      <c r="C95">
        <v>-4.2645619999999997</v>
      </c>
      <c r="D95">
        <v>18.960726000000001</v>
      </c>
      <c r="E95" t="s">
        <v>1480</v>
      </c>
      <c r="F95" t="s">
        <v>1481</v>
      </c>
    </row>
    <row r="96" spans="1:6" x14ac:dyDescent="0.25">
      <c r="A96" t="s">
        <v>1342</v>
      </c>
      <c r="B96" t="s">
        <v>29</v>
      </c>
      <c r="C96">
        <v>-5.125</v>
      </c>
      <c r="D96">
        <v>23.513119</v>
      </c>
      <c r="E96" t="s">
        <v>1477</v>
      </c>
      <c r="F96" t="s">
        <v>1481</v>
      </c>
    </row>
    <row r="97" spans="1:6" x14ac:dyDescent="0.25">
      <c r="A97" t="s">
        <v>1043</v>
      </c>
      <c r="B97" t="s">
        <v>16</v>
      </c>
      <c r="C97">
        <v>-7.6951369999999999</v>
      </c>
      <c r="D97">
        <v>13.346605</v>
      </c>
      <c r="E97" t="s">
        <v>1480</v>
      </c>
      <c r="F97" t="s">
        <v>1478</v>
      </c>
    </row>
    <row r="98" spans="1:6" x14ac:dyDescent="0.25">
      <c r="A98" t="s">
        <v>1515</v>
      </c>
      <c r="B98" t="s">
        <v>18</v>
      </c>
      <c r="C98">
        <v>-0.45332</v>
      </c>
      <c r="D98">
        <v>29.674009999999999</v>
      </c>
      <c r="E98" t="s">
        <v>1477</v>
      </c>
      <c r="F98" t="s">
        <v>1478</v>
      </c>
    </row>
    <row r="99" spans="1:6" x14ac:dyDescent="0.25">
      <c r="A99" t="s">
        <v>1120</v>
      </c>
      <c r="B99" t="s">
        <v>62</v>
      </c>
      <c r="C99">
        <v>-9.5840350000000001</v>
      </c>
      <c r="D99">
        <v>15.966024000000001</v>
      </c>
      <c r="E99" t="s">
        <v>1477</v>
      </c>
      <c r="F99" t="s">
        <v>1490</v>
      </c>
    </row>
    <row r="100" spans="1:6" x14ac:dyDescent="0.25">
      <c r="A100" t="s">
        <v>1109</v>
      </c>
      <c r="B100" t="s">
        <v>18</v>
      </c>
      <c r="C100">
        <v>-9.6407190000000007</v>
      </c>
      <c r="D100">
        <v>21.336704999999998</v>
      </c>
      <c r="E100" t="s">
        <v>1480</v>
      </c>
      <c r="F100" t="s">
        <v>1483</v>
      </c>
    </row>
    <row r="101" spans="1:6" x14ac:dyDescent="0.25">
      <c r="A101" t="s">
        <v>1516</v>
      </c>
      <c r="B101" t="s">
        <v>60</v>
      </c>
      <c r="C101">
        <v>-6.7420359999999997</v>
      </c>
      <c r="D101">
        <v>28.905578999999999</v>
      </c>
      <c r="E101" t="s">
        <v>1482</v>
      </c>
      <c r="F101" t="s">
        <v>1481</v>
      </c>
    </row>
    <row r="102" spans="1:6" x14ac:dyDescent="0.25">
      <c r="A102" t="s">
        <v>834</v>
      </c>
      <c r="B102" t="s">
        <v>24</v>
      </c>
      <c r="C102">
        <v>0.16841400000000001</v>
      </c>
      <c r="D102">
        <v>30.029876999999999</v>
      </c>
      <c r="E102" t="s">
        <v>1477</v>
      </c>
      <c r="F102" t="s">
        <v>1481</v>
      </c>
    </row>
    <row r="103" spans="1:6" x14ac:dyDescent="0.25">
      <c r="A103" t="s">
        <v>1517</v>
      </c>
      <c r="B103" t="s">
        <v>26</v>
      </c>
      <c r="C103">
        <v>-5.9281110000000004</v>
      </c>
      <c r="D103">
        <v>29.607863999999999</v>
      </c>
      <c r="E103" t="s">
        <v>1480</v>
      </c>
      <c r="F103" t="s">
        <v>1481</v>
      </c>
    </row>
    <row r="104" spans="1:6" x14ac:dyDescent="0.25">
      <c r="A104" t="s">
        <v>1022</v>
      </c>
      <c r="B104" t="s">
        <v>29</v>
      </c>
      <c r="C104">
        <v>-4.9789079999999997</v>
      </c>
      <c r="D104">
        <v>28.506295000000001</v>
      </c>
      <c r="E104" t="s">
        <v>1480</v>
      </c>
      <c r="F104" t="s">
        <v>1481</v>
      </c>
    </row>
    <row r="105" spans="1:6" x14ac:dyDescent="0.25">
      <c r="A105" t="s">
        <v>884</v>
      </c>
      <c r="B105" t="s">
        <v>26</v>
      </c>
      <c r="C105">
        <v>-2.2876210000000001</v>
      </c>
      <c r="D105">
        <v>27.582545</v>
      </c>
      <c r="E105" t="s">
        <v>1480</v>
      </c>
      <c r="F105" t="s">
        <v>1481</v>
      </c>
    </row>
    <row r="106" spans="1:6" x14ac:dyDescent="0.25">
      <c r="A106" t="s">
        <v>1286</v>
      </c>
      <c r="B106" t="s">
        <v>37</v>
      </c>
      <c r="C106">
        <v>-3.9148719999999999</v>
      </c>
      <c r="D106">
        <v>12.260933</v>
      </c>
      <c r="E106" t="s">
        <v>1480</v>
      </c>
      <c r="F106" t="s">
        <v>1478</v>
      </c>
    </row>
    <row r="107" spans="1:6" x14ac:dyDescent="0.25">
      <c r="A107" t="s">
        <v>1158</v>
      </c>
      <c r="B107" t="s">
        <v>37</v>
      </c>
      <c r="C107">
        <v>-9.002459</v>
      </c>
      <c r="D107">
        <v>25.182109000000001</v>
      </c>
      <c r="E107" t="s">
        <v>1477</v>
      </c>
      <c r="F107" t="s">
        <v>1481</v>
      </c>
    </row>
    <row r="108" spans="1:6" x14ac:dyDescent="0.25">
      <c r="A108" t="s">
        <v>1241</v>
      </c>
      <c r="B108" t="s">
        <v>89</v>
      </c>
      <c r="C108">
        <v>-7.7839049999999999</v>
      </c>
      <c r="D108">
        <v>14.114281999999999</v>
      </c>
      <c r="E108" t="s">
        <v>1482</v>
      </c>
      <c r="F108" t="s">
        <v>1483</v>
      </c>
    </row>
    <row r="109" spans="1:6" x14ac:dyDescent="0.25">
      <c r="A109" t="s">
        <v>1366</v>
      </c>
      <c r="B109" t="s">
        <v>51</v>
      </c>
      <c r="C109">
        <v>-5.9021970000000001</v>
      </c>
      <c r="D109">
        <v>20.551169999999999</v>
      </c>
      <c r="E109" t="s">
        <v>1482</v>
      </c>
      <c r="F109" t="s">
        <v>1481</v>
      </c>
    </row>
    <row r="110" spans="1:6" x14ac:dyDescent="0.25">
      <c r="A110" t="s">
        <v>1518</v>
      </c>
      <c r="B110" t="s">
        <v>31</v>
      </c>
      <c r="C110">
        <v>-10.620597</v>
      </c>
      <c r="D110">
        <v>12.432214</v>
      </c>
      <c r="E110" t="s">
        <v>1480</v>
      </c>
      <c r="F110" t="s">
        <v>1481</v>
      </c>
    </row>
    <row r="111" spans="1:6" x14ac:dyDescent="0.25">
      <c r="A111" t="s">
        <v>1369</v>
      </c>
      <c r="B111" t="s">
        <v>16</v>
      </c>
      <c r="C111">
        <v>-11.514188000000001</v>
      </c>
      <c r="D111">
        <v>15.971181</v>
      </c>
      <c r="E111" t="s">
        <v>1477</v>
      </c>
      <c r="F111" t="s">
        <v>1478</v>
      </c>
    </row>
    <row r="112" spans="1:6" x14ac:dyDescent="0.25">
      <c r="A112" t="s">
        <v>1309</v>
      </c>
      <c r="B112" t="s">
        <v>35</v>
      </c>
      <c r="C112">
        <v>-2.7140689999999998</v>
      </c>
      <c r="D112">
        <v>22.222104000000002</v>
      </c>
      <c r="E112" t="s">
        <v>1480</v>
      </c>
      <c r="F112" t="s">
        <v>1490</v>
      </c>
    </row>
    <row r="113" spans="1:6" x14ac:dyDescent="0.25">
      <c r="A113" t="s">
        <v>1460</v>
      </c>
      <c r="B113" t="s">
        <v>62</v>
      </c>
      <c r="C113">
        <v>-12.112399999999999</v>
      </c>
      <c r="D113">
        <v>15.872226</v>
      </c>
      <c r="E113" t="s">
        <v>1480</v>
      </c>
      <c r="F113" t="s">
        <v>1490</v>
      </c>
    </row>
    <row r="114" spans="1:6" x14ac:dyDescent="0.25">
      <c r="A114" t="s">
        <v>1449</v>
      </c>
      <c r="B114" t="s">
        <v>18</v>
      </c>
      <c r="C114">
        <v>-5.8145569999999998</v>
      </c>
      <c r="D114">
        <v>21.942052</v>
      </c>
      <c r="E114" t="s">
        <v>1477</v>
      </c>
      <c r="F114" t="s">
        <v>1481</v>
      </c>
    </row>
    <row r="115" spans="1:6" x14ac:dyDescent="0.25">
      <c r="A115" t="s">
        <v>1175</v>
      </c>
      <c r="B115" t="s">
        <v>24</v>
      </c>
      <c r="C115">
        <v>-11.468578000000001</v>
      </c>
      <c r="D115">
        <v>16.914501999999999</v>
      </c>
      <c r="E115" t="s">
        <v>1480</v>
      </c>
      <c r="F115" t="s">
        <v>1478</v>
      </c>
    </row>
    <row r="116" spans="1:6" x14ac:dyDescent="0.25">
      <c r="A116" t="s">
        <v>1519</v>
      </c>
      <c r="B116" t="s">
        <v>89</v>
      </c>
      <c r="C116">
        <v>-3.967184</v>
      </c>
      <c r="D116">
        <v>21.177499999999998</v>
      </c>
      <c r="E116" t="s">
        <v>1482</v>
      </c>
      <c r="F116" t="s">
        <v>1481</v>
      </c>
    </row>
    <row r="117" spans="1:6" x14ac:dyDescent="0.25">
      <c r="A117" t="s">
        <v>1520</v>
      </c>
      <c r="B117" t="s">
        <v>131</v>
      </c>
      <c r="C117">
        <v>0.92885200000000001</v>
      </c>
      <c r="D117">
        <v>25.868548000000001</v>
      </c>
      <c r="E117" t="s">
        <v>1477</v>
      </c>
      <c r="F117" t="s">
        <v>1490</v>
      </c>
    </row>
    <row r="118" spans="1:6" x14ac:dyDescent="0.25">
      <c r="A118" t="s">
        <v>1057</v>
      </c>
      <c r="B118" t="s">
        <v>40</v>
      </c>
      <c r="C118">
        <v>-10.653247</v>
      </c>
      <c r="D118">
        <v>14.685601</v>
      </c>
      <c r="E118" t="s">
        <v>1480</v>
      </c>
      <c r="F118" t="s">
        <v>1478</v>
      </c>
    </row>
    <row r="119" spans="1:6" x14ac:dyDescent="0.25">
      <c r="A119" t="s">
        <v>1521</v>
      </c>
      <c r="B119" t="s">
        <v>137</v>
      </c>
      <c r="C119">
        <v>-10.572326</v>
      </c>
      <c r="D119">
        <v>25.276349</v>
      </c>
      <c r="E119" t="s">
        <v>1482</v>
      </c>
      <c r="F119" t="s">
        <v>1483</v>
      </c>
    </row>
    <row r="120" spans="1:6" x14ac:dyDescent="0.25">
      <c r="A120" t="s">
        <v>1522</v>
      </c>
      <c r="B120" t="s">
        <v>62</v>
      </c>
      <c r="C120">
        <v>-2.9326690000000002</v>
      </c>
      <c r="D120">
        <v>12.349382</v>
      </c>
      <c r="E120" t="s">
        <v>1477</v>
      </c>
      <c r="F120" t="s">
        <v>1483</v>
      </c>
    </row>
    <row r="121" spans="1:6" x14ac:dyDescent="0.25">
      <c r="A121" t="s">
        <v>1436</v>
      </c>
      <c r="B121" t="s">
        <v>137</v>
      </c>
      <c r="C121">
        <v>-4.2184999999999997</v>
      </c>
      <c r="D121">
        <v>23.077093999999999</v>
      </c>
      <c r="E121" t="s">
        <v>1480</v>
      </c>
      <c r="F121" t="s">
        <v>1478</v>
      </c>
    </row>
    <row r="122" spans="1:6" x14ac:dyDescent="0.25">
      <c r="A122" t="s">
        <v>1523</v>
      </c>
      <c r="B122" t="s">
        <v>78</v>
      </c>
      <c r="C122">
        <v>-1.259528</v>
      </c>
      <c r="D122">
        <v>24.607037999999999</v>
      </c>
      <c r="E122" t="s">
        <v>1480</v>
      </c>
      <c r="F122" t="s">
        <v>1483</v>
      </c>
    </row>
    <row r="123" spans="1:6" x14ac:dyDescent="0.25">
      <c r="A123" t="s">
        <v>1389</v>
      </c>
      <c r="B123" t="s">
        <v>21</v>
      </c>
      <c r="C123">
        <v>-9.4702129999999993</v>
      </c>
      <c r="D123">
        <v>12.826158</v>
      </c>
      <c r="E123" t="s">
        <v>1482</v>
      </c>
      <c r="F123" t="s">
        <v>1478</v>
      </c>
    </row>
    <row r="124" spans="1:6" x14ac:dyDescent="0.25">
      <c r="A124" t="s">
        <v>1370</v>
      </c>
      <c r="B124" t="s">
        <v>10</v>
      </c>
      <c r="C124">
        <v>-1.9120569999999999</v>
      </c>
      <c r="D124">
        <v>15.236072999999999</v>
      </c>
      <c r="E124" t="s">
        <v>1477</v>
      </c>
      <c r="F124" t="s">
        <v>1481</v>
      </c>
    </row>
    <row r="125" spans="1:6" x14ac:dyDescent="0.25">
      <c r="A125" t="s">
        <v>863</v>
      </c>
      <c r="B125" t="s">
        <v>10</v>
      </c>
      <c r="C125">
        <v>0.24202000000000001</v>
      </c>
      <c r="D125">
        <v>17.396256999999999</v>
      </c>
      <c r="E125" t="s">
        <v>1480</v>
      </c>
      <c r="F125" t="s">
        <v>1481</v>
      </c>
    </row>
    <row r="126" spans="1:6" x14ac:dyDescent="0.25">
      <c r="A126" t="s">
        <v>1155</v>
      </c>
      <c r="B126" t="s">
        <v>51</v>
      </c>
      <c r="C126">
        <v>-8.5675749999999997</v>
      </c>
      <c r="D126">
        <v>26.994581</v>
      </c>
      <c r="E126" t="s">
        <v>1482</v>
      </c>
      <c r="F126" t="s">
        <v>1490</v>
      </c>
    </row>
    <row r="127" spans="1:6" x14ac:dyDescent="0.25">
      <c r="A127" t="s">
        <v>973</v>
      </c>
      <c r="B127" t="s">
        <v>137</v>
      </c>
      <c r="C127">
        <v>-11.710407999999999</v>
      </c>
      <c r="D127">
        <v>23.741330999999999</v>
      </c>
      <c r="E127" t="s">
        <v>1482</v>
      </c>
      <c r="F127" t="s">
        <v>1481</v>
      </c>
    </row>
    <row r="128" spans="1:6" x14ac:dyDescent="0.25">
      <c r="A128" t="s">
        <v>1524</v>
      </c>
      <c r="B128" t="s">
        <v>57</v>
      </c>
      <c r="C128">
        <v>0.98189400000000004</v>
      </c>
      <c r="D128">
        <v>13.008620000000001</v>
      </c>
      <c r="E128" t="s">
        <v>1480</v>
      </c>
      <c r="F128" t="s">
        <v>1481</v>
      </c>
    </row>
    <row r="129" spans="1:6" x14ac:dyDescent="0.25">
      <c r="A129" t="s">
        <v>1434</v>
      </c>
      <c r="B129" t="s">
        <v>18</v>
      </c>
      <c r="C129">
        <v>-7.1785899999999998</v>
      </c>
      <c r="D129">
        <v>24.4404</v>
      </c>
      <c r="E129" t="s">
        <v>1480</v>
      </c>
      <c r="F129" t="s">
        <v>1490</v>
      </c>
    </row>
    <row r="130" spans="1:6" x14ac:dyDescent="0.25">
      <c r="A130" t="s">
        <v>1154</v>
      </c>
      <c r="B130" t="s">
        <v>16</v>
      </c>
      <c r="C130">
        <v>3.6344850000000002</v>
      </c>
      <c r="D130">
        <v>12.158348999999999</v>
      </c>
      <c r="E130" t="s">
        <v>1477</v>
      </c>
      <c r="F130" t="s">
        <v>1478</v>
      </c>
    </row>
    <row r="131" spans="1:6" x14ac:dyDescent="0.25">
      <c r="A131" t="s">
        <v>1075</v>
      </c>
      <c r="B131" t="s">
        <v>31</v>
      </c>
      <c r="C131">
        <v>-11.387295999999999</v>
      </c>
      <c r="D131">
        <v>19.384257999999999</v>
      </c>
      <c r="E131" t="s">
        <v>1482</v>
      </c>
      <c r="F131" t="s">
        <v>1481</v>
      </c>
    </row>
    <row r="132" spans="1:6" x14ac:dyDescent="0.25">
      <c r="A132" t="s">
        <v>1038</v>
      </c>
      <c r="B132" t="s">
        <v>64</v>
      </c>
      <c r="C132">
        <v>-0.90854400000000002</v>
      </c>
      <c r="D132">
        <v>17.154896999999998</v>
      </c>
      <c r="E132" t="s">
        <v>1482</v>
      </c>
      <c r="F132" t="s">
        <v>1481</v>
      </c>
    </row>
    <row r="133" spans="1:6" x14ac:dyDescent="0.25">
      <c r="A133" t="s">
        <v>1358</v>
      </c>
      <c r="B133" t="s">
        <v>16</v>
      </c>
      <c r="C133">
        <v>-5.3762689999999997</v>
      </c>
      <c r="D133">
        <v>28.189575999999999</v>
      </c>
      <c r="E133" t="s">
        <v>1477</v>
      </c>
      <c r="F133" t="s">
        <v>1481</v>
      </c>
    </row>
    <row r="134" spans="1:6" x14ac:dyDescent="0.25">
      <c r="A134" t="s">
        <v>1525</v>
      </c>
      <c r="B134" t="s">
        <v>137</v>
      </c>
      <c r="C134">
        <v>-6.7304589999999997</v>
      </c>
      <c r="D134">
        <v>24.541906999999998</v>
      </c>
      <c r="E134" t="s">
        <v>1480</v>
      </c>
      <c r="F134" t="s">
        <v>1490</v>
      </c>
    </row>
    <row r="135" spans="1:6" x14ac:dyDescent="0.25">
      <c r="A135" t="s">
        <v>1131</v>
      </c>
      <c r="B135" t="s">
        <v>16</v>
      </c>
      <c r="C135">
        <v>-7.2267089999999996</v>
      </c>
      <c r="D135">
        <v>28.421362999999999</v>
      </c>
      <c r="E135" t="s">
        <v>1477</v>
      </c>
      <c r="F135" t="s">
        <v>1478</v>
      </c>
    </row>
    <row r="136" spans="1:6" x14ac:dyDescent="0.25">
      <c r="A136" t="s">
        <v>1343</v>
      </c>
      <c r="B136" t="s">
        <v>131</v>
      </c>
      <c r="C136">
        <v>-2.3102109999999998</v>
      </c>
      <c r="D136">
        <v>12.362488000000001</v>
      </c>
      <c r="E136" t="s">
        <v>1477</v>
      </c>
      <c r="F136" t="s">
        <v>1490</v>
      </c>
    </row>
    <row r="137" spans="1:6" x14ac:dyDescent="0.25">
      <c r="A137" t="s">
        <v>1129</v>
      </c>
      <c r="B137" t="s">
        <v>62</v>
      </c>
      <c r="C137">
        <v>-12.564277000000001</v>
      </c>
      <c r="D137">
        <v>28.480798</v>
      </c>
      <c r="E137" t="s">
        <v>1477</v>
      </c>
      <c r="F137" t="s">
        <v>1483</v>
      </c>
    </row>
    <row r="138" spans="1:6" x14ac:dyDescent="0.25">
      <c r="A138" t="s">
        <v>1221</v>
      </c>
      <c r="B138" t="s">
        <v>35</v>
      </c>
      <c r="C138">
        <v>-7.513261</v>
      </c>
      <c r="D138">
        <v>24.338812000000001</v>
      </c>
      <c r="E138" t="s">
        <v>1477</v>
      </c>
      <c r="F138" t="s">
        <v>1481</v>
      </c>
    </row>
    <row r="139" spans="1:6" x14ac:dyDescent="0.25">
      <c r="A139" t="s">
        <v>813</v>
      </c>
      <c r="B139" t="s">
        <v>73</v>
      </c>
      <c r="C139">
        <v>4.7777349999999998</v>
      </c>
      <c r="D139">
        <v>16.392204</v>
      </c>
      <c r="E139" t="s">
        <v>1477</v>
      </c>
      <c r="F139" t="s">
        <v>1483</v>
      </c>
    </row>
    <row r="140" spans="1:6" x14ac:dyDescent="0.25">
      <c r="A140" t="s">
        <v>1526</v>
      </c>
      <c r="B140" t="s">
        <v>62</v>
      </c>
      <c r="C140">
        <v>-1.9080220000000001</v>
      </c>
      <c r="D140">
        <v>19.233322999999999</v>
      </c>
      <c r="E140" t="s">
        <v>1482</v>
      </c>
      <c r="F140" t="s">
        <v>1478</v>
      </c>
    </row>
    <row r="141" spans="1:6" x14ac:dyDescent="0.25">
      <c r="A141" t="s">
        <v>910</v>
      </c>
      <c r="B141" t="s">
        <v>78</v>
      </c>
      <c r="C141">
        <v>4.8228650000000002</v>
      </c>
      <c r="D141">
        <v>30.555627000000001</v>
      </c>
      <c r="E141" t="s">
        <v>1480</v>
      </c>
      <c r="F141" t="s">
        <v>1481</v>
      </c>
    </row>
    <row r="142" spans="1:6" x14ac:dyDescent="0.25">
      <c r="A142" t="s">
        <v>1099</v>
      </c>
      <c r="B142" t="s">
        <v>60</v>
      </c>
      <c r="C142">
        <v>-5.0402180000000003</v>
      </c>
      <c r="D142">
        <v>13.892471</v>
      </c>
      <c r="E142" t="s">
        <v>1482</v>
      </c>
      <c r="F142" t="s">
        <v>1483</v>
      </c>
    </row>
    <row r="143" spans="1:6" x14ac:dyDescent="0.25">
      <c r="A143" t="s">
        <v>1424</v>
      </c>
      <c r="B143" t="s">
        <v>89</v>
      </c>
      <c r="C143">
        <v>-10.375266999999999</v>
      </c>
      <c r="D143">
        <v>17.993663000000002</v>
      </c>
      <c r="E143" t="s">
        <v>1477</v>
      </c>
      <c r="F143" t="s">
        <v>1483</v>
      </c>
    </row>
    <row r="144" spans="1:6" x14ac:dyDescent="0.25">
      <c r="A144" t="s">
        <v>958</v>
      </c>
      <c r="B144" t="s">
        <v>44</v>
      </c>
      <c r="C144">
        <v>-12.192204</v>
      </c>
      <c r="D144">
        <v>28.468682000000001</v>
      </c>
      <c r="E144" t="s">
        <v>1482</v>
      </c>
      <c r="F144" t="s">
        <v>1483</v>
      </c>
    </row>
    <row r="145" spans="1:6" x14ac:dyDescent="0.25">
      <c r="A145" t="s">
        <v>1456</v>
      </c>
      <c r="B145" t="s">
        <v>78</v>
      </c>
      <c r="C145">
        <v>1.727095</v>
      </c>
      <c r="D145">
        <v>22.099651999999999</v>
      </c>
      <c r="E145" t="s">
        <v>1480</v>
      </c>
      <c r="F145" t="s">
        <v>1481</v>
      </c>
    </row>
    <row r="146" spans="1:6" x14ac:dyDescent="0.25">
      <c r="A146" t="s">
        <v>1527</v>
      </c>
      <c r="B146" t="s">
        <v>73</v>
      </c>
      <c r="C146">
        <v>-9.4056660000000001</v>
      </c>
      <c r="D146">
        <v>15.541930000000001</v>
      </c>
      <c r="E146" t="s">
        <v>1480</v>
      </c>
      <c r="F146" t="s">
        <v>1481</v>
      </c>
    </row>
    <row r="147" spans="1:6" x14ac:dyDescent="0.25">
      <c r="A147" t="s">
        <v>1528</v>
      </c>
      <c r="B147" t="s">
        <v>37</v>
      </c>
      <c r="C147">
        <v>-6.2712260000000004</v>
      </c>
      <c r="D147">
        <v>21.512366</v>
      </c>
      <c r="E147" t="s">
        <v>1477</v>
      </c>
      <c r="F147" t="s">
        <v>1481</v>
      </c>
    </row>
    <row r="148" spans="1:6" x14ac:dyDescent="0.25">
      <c r="A148" t="s">
        <v>1465</v>
      </c>
      <c r="B148" t="s">
        <v>57</v>
      </c>
      <c r="C148">
        <v>0.639208</v>
      </c>
      <c r="D148">
        <v>20.701739</v>
      </c>
      <c r="E148" t="s">
        <v>1480</v>
      </c>
      <c r="F148" t="s">
        <v>1481</v>
      </c>
    </row>
    <row r="149" spans="1:6" x14ac:dyDescent="0.25">
      <c r="A149" t="s">
        <v>1529</v>
      </c>
      <c r="B149" t="s">
        <v>44</v>
      </c>
      <c r="C149">
        <v>2.349755</v>
      </c>
      <c r="D149">
        <v>29.600649000000001</v>
      </c>
      <c r="E149" t="s">
        <v>1480</v>
      </c>
      <c r="F149" t="s">
        <v>1490</v>
      </c>
    </row>
    <row r="150" spans="1:6" x14ac:dyDescent="0.25">
      <c r="A150" t="s">
        <v>916</v>
      </c>
      <c r="B150" t="s">
        <v>62</v>
      </c>
      <c r="C150">
        <v>-10.977309</v>
      </c>
      <c r="D150">
        <v>12.408281000000001</v>
      </c>
      <c r="E150" t="s">
        <v>1477</v>
      </c>
      <c r="F150" t="s">
        <v>1483</v>
      </c>
    </row>
    <row r="151" spans="1:6" x14ac:dyDescent="0.25">
      <c r="A151" t="s">
        <v>1530</v>
      </c>
      <c r="B151" t="s">
        <v>13</v>
      </c>
      <c r="C151">
        <v>-12.018316</v>
      </c>
      <c r="D151">
        <v>16.700451000000001</v>
      </c>
      <c r="E151" t="s">
        <v>1482</v>
      </c>
      <c r="F151" t="s">
        <v>1490</v>
      </c>
    </row>
    <row r="152" spans="1:6" x14ac:dyDescent="0.25">
      <c r="A152" t="s">
        <v>921</v>
      </c>
      <c r="B152" t="s">
        <v>57</v>
      </c>
      <c r="C152">
        <v>-1.648326</v>
      </c>
      <c r="D152">
        <v>25.528901999999999</v>
      </c>
      <c r="E152" t="s">
        <v>1480</v>
      </c>
      <c r="F152" t="s">
        <v>1481</v>
      </c>
    </row>
    <row r="153" spans="1:6" x14ac:dyDescent="0.25">
      <c r="A153" t="s">
        <v>1044</v>
      </c>
      <c r="B153" t="s">
        <v>18</v>
      </c>
      <c r="C153">
        <v>-12.112682</v>
      </c>
      <c r="D153">
        <v>19.972052000000001</v>
      </c>
      <c r="E153" t="s">
        <v>1480</v>
      </c>
      <c r="F153" t="s">
        <v>1481</v>
      </c>
    </row>
    <row r="154" spans="1:6" x14ac:dyDescent="0.25">
      <c r="A154" t="s">
        <v>1220</v>
      </c>
      <c r="B154" t="s">
        <v>13</v>
      </c>
      <c r="C154">
        <v>-7.7587710000000003</v>
      </c>
      <c r="D154">
        <v>17.880848</v>
      </c>
      <c r="E154" t="s">
        <v>1482</v>
      </c>
      <c r="F154" t="s">
        <v>1478</v>
      </c>
    </row>
    <row r="155" spans="1:6" x14ac:dyDescent="0.25">
      <c r="A155" t="s">
        <v>1295</v>
      </c>
      <c r="B155" t="s">
        <v>33</v>
      </c>
      <c r="C155">
        <v>-5.8352820000000003</v>
      </c>
      <c r="D155">
        <v>26.603978000000001</v>
      </c>
      <c r="E155" t="s">
        <v>1480</v>
      </c>
      <c r="F155" t="s">
        <v>1481</v>
      </c>
    </row>
    <row r="156" spans="1:6" x14ac:dyDescent="0.25">
      <c r="A156" t="s">
        <v>1531</v>
      </c>
      <c r="B156" t="s">
        <v>137</v>
      </c>
      <c r="C156">
        <v>-7.5180249999999997</v>
      </c>
      <c r="D156">
        <v>20.478905999999998</v>
      </c>
      <c r="E156" t="s">
        <v>1477</v>
      </c>
      <c r="F156" t="s">
        <v>1490</v>
      </c>
    </row>
    <row r="157" spans="1:6" x14ac:dyDescent="0.25">
      <c r="A157" t="s">
        <v>895</v>
      </c>
      <c r="B157" t="s">
        <v>33</v>
      </c>
      <c r="C157">
        <v>1.897178</v>
      </c>
      <c r="D157">
        <v>23.902604</v>
      </c>
      <c r="E157" t="s">
        <v>1482</v>
      </c>
      <c r="F157" t="s">
        <v>1490</v>
      </c>
    </row>
    <row r="158" spans="1:6" x14ac:dyDescent="0.25">
      <c r="A158" t="s">
        <v>1259</v>
      </c>
      <c r="B158" t="s">
        <v>40</v>
      </c>
      <c r="C158">
        <v>-4.6957509999999996</v>
      </c>
      <c r="D158">
        <v>14.233525999999999</v>
      </c>
      <c r="E158" t="s">
        <v>1480</v>
      </c>
      <c r="F158" t="s">
        <v>1490</v>
      </c>
    </row>
    <row r="159" spans="1:6" x14ac:dyDescent="0.25">
      <c r="A159" t="s">
        <v>1532</v>
      </c>
      <c r="B159" t="s">
        <v>29</v>
      </c>
      <c r="C159">
        <v>-5.3956809999999997</v>
      </c>
      <c r="D159">
        <v>14.49985</v>
      </c>
      <c r="E159" t="s">
        <v>1480</v>
      </c>
      <c r="F159" t="s">
        <v>1483</v>
      </c>
    </row>
    <row r="160" spans="1:6" x14ac:dyDescent="0.25">
      <c r="A160" t="s">
        <v>1533</v>
      </c>
      <c r="B160" t="s">
        <v>127</v>
      </c>
      <c r="C160">
        <v>-1.9635830000000001</v>
      </c>
      <c r="D160">
        <v>15.854182</v>
      </c>
      <c r="E160" t="s">
        <v>1482</v>
      </c>
      <c r="F160" t="s">
        <v>1490</v>
      </c>
    </row>
    <row r="161" spans="1:6" x14ac:dyDescent="0.25">
      <c r="A161" t="s">
        <v>1534</v>
      </c>
      <c r="B161" t="s">
        <v>31</v>
      </c>
      <c r="C161">
        <v>-12.01816</v>
      </c>
      <c r="D161">
        <v>23.828645999999999</v>
      </c>
      <c r="E161" t="s">
        <v>1482</v>
      </c>
      <c r="F161" t="s">
        <v>1481</v>
      </c>
    </row>
    <row r="162" spans="1:6" x14ac:dyDescent="0.25">
      <c r="A162" t="s">
        <v>1027</v>
      </c>
      <c r="B162" t="s">
        <v>26</v>
      </c>
      <c r="C162">
        <v>-3.6945459999999999</v>
      </c>
      <c r="D162">
        <v>16.809108999999999</v>
      </c>
      <c r="E162" t="s">
        <v>1477</v>
      </c>
      <c r="F162" t="s">
        <v>1483</v>
      </c>
    </row>
    <row r="163" spans="1:6" x14ac:dyDescent="0.25">
      <c r="A163" t="s">
        <v>1297</v>
      </c>
      <c r="B163" t="s">
        <v>37</v>
      </c>
      <c r="C163">
        <v>-10.439686999999999</v>
      </c>
      <c r="D163">
        <v>20.714210000000001</v>
      </c>
      <c r="E163" t="s">
        <v>1480</v>
      </c>
      <c r="F163" t="s">
        <v>1483</v>
      </c>
    </row>
    <row r="164" spans="1:6" x14ac:dyDescent="0.25">
      <c r="A164" t="s">
        <v>891</v>
      </c>
      <c r="B164" t="s">
        <v>78</v>
      </c>
      <c r="C164">
        <v>1.938083</v>
      </c>
      <c r="D164">
        <v>28.25281</v>
      </c>
      <c r="E164" t="s">
        <v>1480</v>
      </c>
      <c r="F164" t="s">
        <v>1490</v>
      </c>
    </row>
    <row r="165" spans="1:6" x14ac:dyDescent="0.25">
      <c r="A165" t="s">
        <v>1377</v>
      </c>
      <c r="B165" t="s">
        <v>127</v>
      </c>
      <c r="C165">
        <v>-4.869434</v>
      </c>
      <c r="D165">
        <v>22.326522000000001</v>
      </c>
      <c r="E165" t="s">
        <v>1477</v>
      </c>
      <c r="F165" t="s">
        <v>1478</v>
      </c>
    </row>
    <row r="166" spans="1:6" x14ac:dyDescent="0.25">
      <c r="A166" t="s">
        <v>1535</v>
      </c>
      <c r="B166" t="s">
        <v>57</v>
      </c>
      <c r="C166">
        <v>7.6420000000000004E-3</v>
      </c>
      <c r="D166">
        <v>12.109260000000001</v>
      </c>
      <c r="E166" t="s">
        <v>1480</v>
      </c>
      <c r="F166" t="s">
        <v>1478</v>
      </c>
    </row>
    <row r="167" spans="1:6" x14ac:dyDescent="0.25">
      <c r="A167" t="s">
        <v>1536</v>
      </c>
      <c r="B167" t="s">
        <v>10</v>
      </c>
      <c r="C167">
        <v>-10.962911</v>
      </c>
      <c r="D167">
        <v>28.771355</v>
      </c>
      <c r="E167" t="s">
        <v>1477</v>
      </c>
      <c r="F167" t="s">
        <v>1481</v>
      </c>
    </row>
    <row r="168" spans="1:6" x14ac:dyDescent="0.25">
      <c r="A168" t="s">
        <v>1357</v>
      </c>
      <c r="B168" t="s">
        <v>131</v>
      </c>
      <c r="C168">
        <v>1.017161</v>
      </c>
      <c r="D168">
        <v>16.519689</v>
      </c>
      <c r="E168" t="s">
        <v>1482</v>
      </c>
      <c r="F168" t="s">
        <v>1490</v>
      </c>
    </row>
    <row r="169" spans="1:6" x14ac:dyDescent="0.25">
      <c r="A169" t="s">
        <v>1537</v>
      </c>
      <c r="B169" t="s">
        <v>137</v>
      </c>
      <c r="C169">
        <v>3.8811640000000001</v>
      </c>
      <c r="D169">
        <v>23.188383999999999</v>
      </c>
      <c r="E169" t="s">
        <v>1477</v>
      </c>
      <c r="F169" t="s">
        <v>1481</v>
      </c>
    </row>
    <row r="170" spans="1:6" x14ac:dyDescent="0.25">
      <c r="A170" t="s">
        <v>1446</v>
      </c>
      <c r="B170" t="s">
        <v>62</v>
      </c>
      <c r="C170">
        <v>-0.469945</v>
      </c>
      <c r="D170">
        <v>21.038527999999999</v>
      </c>
      <c r="E170" t="s">
        <v>1482</v>
      </c>
      <c r="F170" t="s">
        <v>1478</v>
      </c>
    </row>
    <row r="171" spans="1:6" x14ac:dyDescent="0.25">
      <c r="A171" t="s">
        <v>925</v>
      </c>
      <c r="B171" t="s">
        <v>31</v>
      </c>
      <c r="C171">
        <v>-10.56448</v>
      </c>
      <c r="D171">
        <v>19.792876</v>
      </c>
      <c r="E171" t="s">
        <v>1477</v>
      </c>
      <c r="F171" t="s">
        <v>1478</v>
      </c>
    </row>
    <row r="172" spans="1:6" x14ac:dyDescent="0.25">
      <c r="A172" t="s">
        <v>1250</v>
      </c>
      <c r="B172" t="s">
        <v>18</v>
      </c>
      <c r="C172">
        <v>-5.5559329999999996</v>
      </c>
      <c r="D172">
        <v>13.508692999999999</v>
      </c>
      <c r="E172" t="s">
        <v>1482</v>
      </c>
      <c r="F172" t="s">
        <v>1490</v>
      </c>
    </row>
    <row r="173" spans="1:6" x14ac:dyDescent="0.25">
      <c r="A173" t="s">
        <v>1538</v>
      </c>
      <c r="B173" t="s">
        <v>131</v>
      </c>
      <c r="C173">
        <v>-4.884055</v>
      </c>
      <c r="D173">
        <v>23.40194</v>
      </c>
      <c r="E173" t="s">
        <v>1482</v>
      </c>
      <c r="F173" t="s">
        <v>1478</v>
      </c>
    </row>
    <row r="174" spans="1:6" x14ac:dyDescent="0.25">
      <c r="A174" t="s">
        <v>1539</v>
      </c>
      <c r="B174" t="s">
        <v>18</v>
      </c>
      <c r="C174">
        <v>-9.7801860000000005</v>
      </c>
      <c r="D174">
        <v>16.649550000000001</v>
      </c>
      <c r="E174" t="s">
        <v>1477</v>
      </c>
      <c r="F174" t="s">
        <v>1478</v>
      </c>
    </row>
    <row r="175" spans="1:6" x14ac:dyDescent="0.25">
      <c r="A175" t="s">
        <v>969</v>
      </c>
      <c r="B175" t="s">
        <v>78</v>
      </c>
      <c r="C175">
        <v>-2.3743210000000001</v>
      </c>
      <c r="D175">
        <v>22.399491000000001</v>
      </c>
      <c r="E175" t="s">
        <v>1477</v>
      </c>
      <c r="F175" t="s">
        <v>1478</v>
      </c>
    </row>
    <row r="176" spans="1:6" x14ac:dyDescent="0.25">
      <c r="A176" t="s">
        <v>838</v>
      </c>
      <c r="B176" t="s">
        <v>131</v>
      </c>
      <c r="C176">
        <v>-0.17258100000000001</v>
      </c>
      <c r="D176">
        <v>23.775555000000001</v>
      </c>
      <c r="E176" t="s">
        <v>1477</v>
      </c>
      <c r="F176" t="s">
        <v>1490</v>
      </c>
    </row>
    <row r="177" spans="1:6" x14ac:dyDescent="0.25">
      <c r="A177" t="s">
        <v>902</v>
      </c>
      <c r="B177" t="s">
        <v>31</v>
      </c>
      <c r="C177">
        <v>-9.3652239999999995</v>
      </c>
      <c r="D177">
        <v>22.593423999999999</v>
      </c>
      <c r="E177" t="s">
        <v>1477</v>
      </c>
      <c r="F177" t="s">
        <v>1490</v>
      </c>
    </row>
    <row r="178" spans="1:6" x14ac:dyDescent="0.25">
      <c r="A178" t="s">
        <v>1202</v>
      </c>
      <c r="B178" t="s">
        <v>18</v>
      </c>
      <c r="C178">
        <v>-4.8157019999999999</v>
      </c>
      <c r="D178">
        <v>27.679798000000002</v>
      </c>
      <c r="E178" t="s">
        <v>1482</v>
      </c>
      <c r="F178" t="s">
        <v>1478</v>
      </c>
    </row>
    <row r="179" spans="1:6" x14ac:dyDescent="0.25">
      <c r="A179" t="s">
        <v>1213</v>
      </c>
      <c r="B179" t="s">
        <v>89</v>
      </c>
      <c r="C179">
        <v>-8.4985189999999999</v>
      </c>
      <c r="D179">
        <v>12.929456999999999</v>
      </c>
      <c r="E179" t="s">
        <v>1480</v>
      </c>
      <c r="F179" t="s">
        <v>1478</v>
      </c>
    </row>
    <row r="180" spans="1:6" x14ac:dyDescent="0.25">
      <c r="A180" t="s">
        <v>924</v>
      </c>
      <c r="B180" t="s">
        <v>31</v>
      </c>
      <c r="C180">
        <v>-0.54908599999999996</v>
      </c>
      <c r="D180">
        <v>14.816867</v>
      </c>
      <c r="E180" t="s">
        <v>1477</v>
      </c>
      <c r="F180" t="s">
        <v>1483</v>
      </c>
    </row>
    <row r="181" spans="1:6" x14ac:dyDescent="0.25">
      <c r="A181" t="s">
        <v>1430</v>
      </c>
      <c r="B181" t="s">
        <v>60</v>
      </c>
      <c r="C181">
        <v>3.3289240000000002</v>
      </c>
      <c r="D181">
        <v>24.412261000000001</v>
      </c>
      <c r="E181" t="s">
        <v>1477</v>
      </c>
      <c r="F181" t="s">
        <v>1490</v>
      </c>
    </row>
    <row r="182" spans="1:6" x14ac:dyDescent="0.25">
      <c r="A182" t="s">
        <v>1540</v>
      </c>
      <c r="B182" t="s">
        <v>73</v>
      </c>
      <c r="C182">
        <v>1.3367519999999999</v>
      </c>
      <c r="D182">
        <v>12.697699999999999</v>
      </c>
      <c r="E182" t="s">
        <v>1477</v>
      </c>
      <c r="F182" t="s">
        <v>1481</v>
      </c>
    </row>
    <row r="183" spans="1:6" x14ac:dyDescent="0.25">
      <c r="A183" t="s">
        <v>1541</v>
      </c>
      <c r="B183" t="s">
        <v>16</v>
      </c>
      <c r="C183">
        <v>-6.9254999999999997E-2</v>
      </c>
      <c r="D183">
        <v>28.222756</v>
      </c>
      <c r="E183" t="s">
        <v>1477</v>
      </c>
      <c r="F183" t="s">
        <v>1481</v>
      </c>
    </row>
    <row r="184" spans="1:6" x14ac:dyDescent="0.25">
      <c r="A184" t="s">
        <v>1400</v>
      </c>
      <c r="B184" t="s">
        <v>37</v>
      </c>
      <c r="C184">
        <v>-10.776204</v>
      </c>
      <c r="D184">
        <v>24.672934000000001</v>
      </c>
      <c r="E184" t="s">
        <v>1480</v>
      </c>
      <c r="F184" t="s">
        <v>1478</v>
      </c>
    </row>
    <row r="185" spans="1:6" x14ac:dyDescent="0.25">
      <c r="A185" t="s">
        <v>1201</v>
      </c>
      <c r="B185" t="s">
        <v>24</v>
      </c>
      <c r="C185">
        <v>-10.945031</v>
      </c>
      <c r="D185">
        <v>27.922274000000002</v>
      </c>
      <c r="E185" t="s">
        <v>1480</v>
      </c>
      <c r="F185" t="s">
        <v>1478</v>
      </c>
    </row>
    <row r="186" spans="1:6" x14ac:dyDescent="0.25">
      <c r="A186" t="s">
        <v>1542</v>
      </c>
      <c r="B186" t="s">
        <v>62</v>
      </c>
      <c r="C186">
        <v>-4.9108280000000004</v>
      </c>
      <c r="D186">
        <v>17.670389</v>
      </c>
      <c r="E186" t="s">
        <v>1477</v>
      </c>
      <c r="F186" t="s">
        <v>1483</v>
      </c>
    </row>
    <row r="187" spans="1:6" x14ac:dyDescent="0.25">
      <c r="A187" t="s">
        <v>845</v>
      </c>
      <c r="B187" t="s">
        <v>73</v>
      </c>
      <c r="C187">
        <v>-6.4670189999999996</v>
      </c>
      <c r="D187">
        <v>29.487309</v>
      </c>
      <c r="E187" t="s">
        <v>1480</v>
      </c>
      <c r="F187" t="s">
        <v>1483</v>
      </c>
    </row>
    <row r="188" spans="1:6" x14ac:dyDescent="0.25">
      <c r="A188" t="s">
        <v>1543</v>
      </c>
      <c r="B188" t="s">
        <v>51</v>
      </c>
      <c r="C188">
        <v>-3.571288</v>
      </c>
      <c r="D188">
        <v>12.931596000000001</v>
      </c>
      <c r="E188" t="s">
        <v>1480</v>
      </c>
      <c r="F188" t="s">
        <v>1490</v>
      </c>
    </row>
    <row r="189" spans="1:6" x14ac:dyDescent="0.25">
      <c r="A189" t="s">
        <v>1544</v>
      </c>
      <c r="B189" t="s">
        <v>127</v>
      </c>
      <c r="C189">
        <v>-6.0864269999999996</v>
      </c>
      <c r="D189">
        <v>19.922181999999999</v>
      </c>
      <c r="E189" t="s">
        <v>1477</v>
      </c>
      <c r="F189" t="s">
        <v>1481</v>
      </c>
    </row>
    <row r="190" spans="1:6" x14ac:dyDescent="0.25">
      <c r="A190" t="s">
        <v>932</v>
      </c>
      <c r="B190" t="s">
        <v>127</v>
      </c>
      <c r="C190">
        <v>1.2391989999999999</v>
      </c>
      <c r="D190">
        <v>15.386718999999999</v>
      </c>
      <c r="E190" t="s">
        <v>1477</v>
      </c>
      <c r="F190" t="s">
        <v>1483</v>
      </c>
    </row>
    <row r="191" spans="1:6" x14ac:dyDescent="0.25">
      <c r="A191" t="s">
        <v>1545</v>
      </c>
      <c r="B191" t="s">
        <v>62</v>
      </c>
      <c r="C191">
        <v>-3.7900040000000002</v>
      </c>
      <c r="D191">
        <v>24.769718999999998</v>
      </c>
      <c r="E191" t="s">
        <v>1477</v>
      </c>
      <c r="F191" t="s">
        <v>1481</v>
      </c>
    </row>
    <row r="192" spans="1:6" x14ac:dyDescent="0.25">
      <c r="A192" t="s">
        <v>1546</v>
      </c>
      <c r="B192" t="s">
        <v>57</v>
      </c>
      <c r="C192">
        <v>4.0955700000000004</v>
      </c>
      <c r="D192">
        <v>23.610704999999999</v>
      </c>
      <c r="E192" t="s">
        <v>1480</v>
      </c>
      <c r="F192" t="s">
        <v>1483</v>
      </c>
    </row>
    <row r="193" spans="1:6" x14ac:dyDescent="0.25">
      <c r="A193" t="s">
        <v>1218</v>
      </c>
      <c r="B193" t="s">
        <v>73</v>
      </c>
      <c r="C193">
        <v>-6.1837850000000003</v>
      </c>
      <c r="D193">
        <v>25.138759</v>
      </c>
      <c r="E193" t="s">
        <v>1482</v>
      </c>
      <c r="F193" t="s">
        <v>1478</v>
      </c>
    </row>
    <row r="194" spans="1:6" x14ac:dyDescent="0.25">
      <c r="A194" t="s">
        <v>1194</v>
      </c>
      <c r="B194" t="s">
        <v>60</v>
      </c>
      <c r="C194">
        <v>-6.1490739999999997</v>
      </c>
      <c r="D194">
        <v>23.304411000000002</v>
      </c>
      <c r="E194" t="s">
        <v>1477</v>
      </c>
      <c r="F194" t="s">
        <v>1483</v>
      </c>
    </row>
    <row r="195" spans="1:6" x14ac:dyDescent="0.25">
      <c r="A195" t="s">
        <v>1243</v>
      </c>
      <c r="B195" t="s">
        <v>131</v>
      </c>
      <c r="C195">
        <v>0.82868600000000003</v>
      </c>
      <c r="D195">
        <v>26.958843999999999</v>
      </c>
      <c r="E195" t="s">
        <v>1477</v>
      </c>
      <c r="F195" t="s">
        <v>1483</v>
      </c>
    </row>
    <row r="196" spans="1:6" x14ac:dyDescent="0.25">
      <c r="A196" t="s">
        <v>1547</v>
      </c>
      <c r="B196" t="s">
        <v>18</v>
      </c>
      <c r="C196">
        <v>3.42055</v>
      </c>
      <c r="D196">
        <v>15.370965999999999</v>
      </c>
      <c r="E196" t="s">
        <v>1480</v>
      </c>
      <c r="F196" t="s">
        <v>1490</v>
      </c>
    </row>
    <row r="197" spans="1:6" x14ac:dyDescent="0.25">
      <c r="A197" t="s">
        <v>1296</v>
      </c>
      <c r="B197" t="s">
        <v>62</v>
      </c>
      <c r="C197">
        <v>-2.8211520000000001</v>
      </c>
      <c r="D197">
        <v>20.651419000000001</v>
      </c>
      <c r="E197" t="s">
        <v>1477</v>
      </c>
      <c r="F197" t="s">
        <v>1478</v>
      </c>
    </row>
    <row r="198" spans="1:6" x14ac:dyDescent="0.25">
      <c r="A198" t="s">
        <v>1303</v>
      </c>
      <c r="B198" t="s">
        <v>60</v>
      </c>
      <c r="C198">
        <v>-1.1284540000000001</v>
      </c>
      <c r="D198">
        <v>23.000360000000001</v>
      </c>
      <c r="E198" t="s">
        <v>1477</v>
      </c>
      <c r="F198" t="s">
        <v>1478</v>
      </c>
    </row>
    <row r="199" spans="1:6" x14ac:dyDescent="0.25">
      <c r="A199" t="s">
        <v>1260</v>
      </c>
      <c r="B199" t="s">
        <v>131</v>
      </c>
      <c r="C199">
        <v>-10.298385</v>
      </c>
      <c r="D199">
        <v>29.698117</v>
      </c>
      <c r="E199" t="s">
        <v>1477</v>
      </c>
      <c r="F199" t="s">
        <v>1490</v>
      </c>
    </row>
    <row r="200" spans="1:6" x14ac:dyDescent="0.25">
      <c r="A200" t="s">
        <v>1548</v>
      </c>
      <c r="B200" t="s">
        <v>73</v>
      </c>
      <c r="C200">
        <v>2.6387339999999999</v>
      </c>
      <c r="D200">
        <v>13.769399</v>
      </c>
      <c r="E200" t="s">
        <v>1480</v>
      </c>
      <c r="F200" t="s">
        <v>1481</v>
      </c>
    </row>
    <row r="201" spans="1:6" x14ac:dyDescent="0.25">
      <c r="A201" t="s">
        <v>868</v>
      </c>
      <c r="B201" t="s">
        <v>137</v>
      </c>
      <c r="C201">
        <v>-9.7803979999999999</v>
      </c>
      <c r="D201">
        <v>17.686595000000001</v>
      </c>
      <c r="E201" t="s">
        <v>1480</v>
      </c>
      <c r="F201" t="s">
        <v>1478</v>
      </c>
    </row>
    <row r="202" spans="1:6" x14ac:dyDescent="0.25">
      <c r="A202" t="s">
        <v>1549</v>
      </c>
      <c r="B202" t="s">
        <v>21</v>
      </c>
      <c r="C202">
        <v>-6.8779139999999996</v>
      </c>
      <c r="D202">
        <v>12.550860999999999</v>
      </c>
      <c r="E202" t="s">
        <v>1477</v>
      </c>
      <c r="F202" t="s">
        <v>1483</v>
      </c>
    </row>
    <row r="203" spans="1:6" x14ac:dyDescent="0.25">
      <c r="A203" t="s">
        <v>1550</v>
      </c>
      <c r="B203" t="s">
        <v>40</v>
      </c>
      <c r="C203">
        <v>-4.2975050000000001</v>
      </c>
      <c r="D203">
        <v>29.162555999999999</v>
      </c>
      <c r="E203" t="s">
        <v>1477</v>
      </c>
      <c r="F203" t="s">
        <v>1478</v>
      </c>
    </row>
    <row r="204" spans="1:6" x14ac:dyDescent="0.25">
      <c r="A204" t="s">
        <v>1551</v>
      </c>
      <c r="B204" t="s">
        <v>44</v>
      </c>
      <c r="C204">
        <v>2.7298239999999998</v>
      </c>
      <c r="D204">
        <v>12.958664000000001</v>
      </c>
      <c r="E204" t="s">
        <v>1482</v>
      </c>
      <c r="F204" t="s">
        <v>1483</v>
      </c>
    </row>
    <row r="205" spans="1:6" x14ac:dyDescent="0.25">
      <c r="A205" t="s">
        <v>1552</v>
      </c>
      <c r="B205" t="s">
        <v>67</v>
      </c>
      <c r="C205">
        <v>-7.4135429999999998</v>
      </c>
      <c r="D205">
        <v>19.288392999999999</v>
      </c>
      <c r="E205" t="s">
        <v>1480</v>
      </c>
      <c r="F205" t="s">
        <v>1490</v>
      </c>
    </row>
    <row r="206" spans="1:6" x14ac:dyDescent="0.25">
      <c r="A206" t="s">
        <v>1364</v>
      </c>
      <c r="B206" t="s">
        <v>64</v>
      </c>
      <c r="C206">
        <v>-7.1079169999999996</v>
      </c>
      <c r="D206">
        <v>13.636272</v>
      </c>
      <c r="E206" t="s">
        <v>1477</v>
      </c>
      <c r="F206" t="s">
        <v>1490</v>
      </c>
    </row>
    <row r="207" spans="1:6" x14ac:dyDescent="0.25">
      <c r="A207" t="s">
        <v>1553</v>
      </c>
      <c r="B207" t="s">
        <v>78</v>
      </c>
      <c r="C207">
        <v>0.850665</v>
      </c>
      <c r="D207">
        <v>19.446418000000001</v>
      </c>
      <c r="E207" t="s">
        <v>1480</v>
      </c>
      <c r="F207" t="s">
        <v>1481</v>
      </c>
    </row>
    <row r="208" spans="1:6" x14ac:dyDescent="0.25">
      <c r="A208" t="s">
        <v>1409</v>
      </c>
      <c r="B208" t="s">
        <v>131</v>
      </c>
      <c r="C208">
        <v>-11.231472</v>
      </c>
      <c r="D208">
        <v>25.388874000000001</v>
      </c>
      <c r="E208" t="s">
        <v>1480</v>
      </c>
      <c r="F208" t="s">
        <v>1481</v>
      </c>
    </row>
    <row r="209" spans="1:6" x14ac:dyDescent="0.25">
      <c r="A209" t="s">
        <v>1353</v>
      </c>
      <c r="B209" t="s">
        <v>16</v>
      </c>
      <c r="C209">
        <v>4.6809229999999999</v>
      </c>
      <c r="D209">
        <v>28.934242000000001</v>
      </c>
      <c r="E209" t="s">
        <v>1477</v>
      </c>
      <c r="F209" t="s">
        <v>1490</v>
      </c>
    </row>
    <row r="210" spans="1:6" x14ac:dyDescent="0.25">
      <c r="A210" t="s">
        <v>1554</v>
      </c>
      <c r="B210" t="s">
        <v>60</v>
      </c>
      <c r="C210">
        <v>-3.7093609999999999</v>
      </c>
      <c r="D210">
        <v>23.959942999999999</v>
      </c>
      <c r="E210" t="s">
        <v>1480</v>
      </c>
      <c r="F210" t="s">
        <v>1481</v>
      </c>
    </row>
    <row r="211" spans="1:6" x14ac:dyDescent="0.25">
      <c r="A211" t="s">
        <v>913</v>
      </c>
      <c r="B211" t="s">
        <v>29</v>
      </c>
      <c r="C211">
        <v>4.8689660000000003</v>
      </c>
      <c r="D211">
        <v>25.112373000000002</v>
      </c>
      <c r="E211" t="s">
        <v>1482</v>
      </c>
      <c r="F211" t="s">
        <v>1481</v>
      </c>
    </row>
    <row r="212" spans="1:6" x14ac:dyDescent="0.25">
      <c r="A212" t="s">
        <v>1207</v>
      </c>
      <c r="B212" t="s">
        <v>89</v>
      </c>
      <c r="C212">
        <v>-9.3066320000000005</v>
      </c>
      <c r="D212">
        <v>20.470889</v>
      </c>
      <c r="E212" t="s">
        <v>1477</v>
      </c>
      <c r="F212" t="s">
        <v>1483</v>
      </c>
    </row>
    <row r="213" spans="1:6" x14ac:dyDescent="0.25">
      <c r="A213" t="s">
        <v>1325</v>
      </c>
      <c r="B213" t="s">
        <v>31</v>
      </c>
      <c r="C213">
        <v>-12.342053999999999</v>
      </c>
      <c r="D213">
        <v>18.756862000000002</v>
      </c>
      <c r="E213" t="s">
        <v>1482</v>
      </c>
      <c r="F213" t="s">
        <v>1478</v>
      </c>
    </row>
    <row r="214" spans="1:6" x14ac:dyDescent="0.25">
      <c r="A214" t="s">
        <v>1555</v>
      </c>
      <c r="B214" t="s">
        <v>131</v>
      </c>
      <c r="C214">
        <v>-6.0234120000000004</v>
      </c>
      <c r="D214">
        <v>18.314309999999999</v>
      </c>
      <c r="E214" t="s">
        <v>1477</v>
      </c>
      <c r="F214" t="s">
        <v>1483</v>
      </c>
    </row>
    <row r="215" spans="1:6" x14ac:dyDescent="0.25">
      <c r="A215" t="s">
        <v>1234</v>
      </c>
      <c r="B215" t="s">
        <v>29</v>
      </c>
      <c r="C215">
        <v>2.5665840000000002</v>
      </c>
      <c r="D215">
        <v>15.764796</v>
      </c>
      <c r="E215" t="s">
        <v>1482</v>
      </c>
      <c r="F215" t="s">
        <v>1483</v>
      </c>
    </row>
    <row r="216" spans="1:6" x14ac:dyDescent="0.25">
      <c r="A216" t="s">
        <v>1417</v>
      </c>
      <c r="B216" t="s">
        <v>31</v>
      </c>
      <c r="C216">
        <v>-10.914952</v>
      </c>
      <c r="D216">
        <v>26.409648000000001</v>
      </c>
      <c r="E216" t="s">
        <v>1480</v>
      </c>
      <c r="F216" t="s">
        <v>1481</v>
      </c>
    </row>
    <row r="217" spans="1:6" x14ac:dyDescent="0.25">
      <c r="A217" t="s">
        <v>1150</v>
      </c>
      <c r="B217" t="s">
        <v>51</v>
      </c>
      <c r="C217">
        <v>-7.402336</v>
      </c>
      <c r="D217">
        <v>27.376697</v>
      </c>
      <c r="E217" t="s">
        <v>1480</v>
      </c>
      <c r="F217" t="s">
        <v>1481</v>
      </c>
    </row>
    <row r="218" spans="1:6" x14ac:dyDescent="0.25">
      <c r="A218" t="s">
        <v>1556</v>
      </c>
      <c r="B218" t="s">
        <v>24</v>
      </c>
      <c r="C218">
        <v>-12.207461</v>
      </c>
      <c r="D218">
        <v>13.492367</v>
      </c>
      <c r="E218" t="s">
        <v>1482</v>
      </c>
      <c r="F218" t="s">
        <v>1478</v>
      </c>
    </row>
    <row r="219" spans="1:6" x14ac:dyDescent="0.25">
      <c r="A219" t="s">
        <v>1557</v>
      </c>
      <c r="B219" t="s">
        <v>137</v>
      </c>
      <c r="C219">
        <v>2.266232</v>
      </c>
      <c r="D219">
        <v>29.532896000000001</v>
      </c>
      <c r="E219" t="s">
        <v>1480</v>
      </c>
      <c r="F219" t="s">
        <v>1478</v>
      </c>
    </row>
    <row r="220" spans="1:6" x14ac:dyDescent="0.25">
      <c r="A220" t="s">
        <v>1558</v>
      </c>
      <c r="B220" t="s">
        <v>35</v>
      </c>
      <c r="C220">
        <v>2.6937519999999999</v>
      </c>
      <c r="D220">
        <v>26.524137</v>
      </c>
      <c r="E220" t="s">
        <v>1482</v>
      </c>
      <c r="F220" t="s">
        <v>1478</v>
      </c>
    </row>
    <row r="221" spans="1:6" x14ac:dyDescent="0.25">
      <c r="A221" t="s">
        <v>1274</v>
      </c>
      <c r="B221" t="s">
        <v>37</v>
      </c>
      <c r="C221">
        <v>-7.0007840000000003</v>
      </c>
      <c r="D221">
        <v>22.787997000000001</v>
      </c>
      <c r="E221" t="s">
        <v>1477</v>
      </c>
      <c r="F221" t="s">
        <v>1483</v>
      </c>
    </row>
    <row r="222" spans="1:6" x14ac:dyDescent="0.25">
      <c r="A222" t="s">
        <v>1559</v>
      </c>
      <c r="B222" t="s">
        <v>78</v>
      </c>
      <c r="C222">
        <v>3.0053459999999999</v>
      </c>
      <c r="D222">
        <v>13.765407</v>
      </c>
      <c r="E222" t="s">
        <v>1477</v>
      </c>
      <c r="F222" t="s">
        <v>1478</v>
      </c>
    </row>
    <row r="223" spans="1:6" x14ac:dyDescent="0.25">
      <c r="A223" t="s">
        <v>1108</v>
      </c>
      <c r="B223" t="s">
        <v>37</v>
      </c>
      <c r="C223">
        <v>-11.144149000000001</v>
      </c>
      <c r="D223">
        <v>27.244658999999999</v>
      </c>
      <c r="E223" t="s">
        <v>1480</v>
      </c>
      <c r="F223" t="s">
        <v>1490</v>
      </c>
    </row>
    <row r="224" spans="1:6" x14ac:dyDescent="0.25">
      <c r="A224" t="s">
        <v>1216</v>
      </c>
      <c r="B224" t="s">
        <v>62</v>
      </c>
      <c r="C224">
        <v>0.79124300000000003</v>
      </c>
      <c r="D224">
        <v>25.273389000000002</v>
      </c>
      <c r="E224" t="s">
        <v>1480</v>
      </c>
      <c r="F224" t="s">
        <v>1490</v>
      </c>
    </row>
    <row r="225" spans="1:6" x14ac:dyDescent="0.25">
      <c r="A225" t="s">
        <v>1560</v>
      </c>
      <c r="B225" t="s">
        <v>67</v>
      </c>
      <c r="C225">
        <v>0.419985</v>
      </c>
      <c r="D225">
        <v>13.847996999999999</v>
      </c>
      <c r="E225" t="s">
        <v>1477</v>
      </c>
      <c r="F225" t="s">
        <v>1483</v>
      </c>
    </row>
    <row r="226" spans="1:6" x14ac:dyDescent="0.25">
      <c r="A226" t="s">
        <v>856</v>
      </c>
      <c r="B226" t="s">
        <v>10</v>
      </c>
      <c r="C226">
        <v>-12.595355</v>
      </c>
      <c r="D226">
        <v>17.897442000000002</v>
      </c>
      <c r="E226" t="s">
        <v>1480</v>
      </c>
      <c r="F226" t="s">
        <v>1481</v>
      </c>
    </row>
    <row r="227" spans="1:6" x14ac:dyDescent="0.25">
      <c r="A227" t="s">
        <v>1361</v>
      </c>
      <c r="B227" t="s">
        <v>40</v>
      </c>
      <c r="C227">
        <v>0.65288900000000005</v>
      </c>
      <c r="D227">
        <v>24.243953999999999</v>
      </c>
      <c r="E227" t="s">
        <v>1477</v>
      </c>
      <c r="F227" t="s">
        <v>1478</v>
      </c>
    </row>
    <row r="228" spans="1:6" x14ac:dyDescent="0.25">
      <c r="A228" t="s">
        <v>1388</v>
      </c>
      <c r="B228" t="s">
        <v>26</v>
      </c>
      <c r="C228">
        <v>-1.500685</v>
      </c>
      <c r="D228">
        <v>26.563376000000002</v>
      </c>
      <c r="E228" t="s">
        <v>1477</v>
      </c>
      <c r="F228" t="s">
        <v>1490</v>
      </c>
    </row>
    <row r="229" spans="1:6" x14ac:dyDescent="0.25">
      <c r="A229" t="s">
        <v>1561</v>
      </c>
      <c r="B229" t="s">
        <v>57</v>
      </c>
      <c r="C229">
        <v>-9.2227779999999999</v>
      </c>
      <c r="D229">
        <v>20.940372</v>
      </c>
      <c r="E229" t="s">
        <v>1482</v>
      </c>
      <c r="F229" t="s">
        <v>1478</v>
      </c>
    </row>
    <row r="230" spans="1:6" x14ac:dyDescent="0.25">
      <c r="A230" t="s">
        <v>906</v>
      </c>
      <c r="B230" t="s">
        <v>21</v>
      </c>
      <c r="C230">
        <v>-9.3900009999999998</v>
      </c>
      <c r="D230">
        <v>30.001517</v>
      </c>
      <c r="E230" t="s">
        <v>1482</v>
      </c>
      <c r="F230" t="s">
        <v>1490</v>
      </c>
    </row>
    <row r="231" spans="1:6" x14ac:dyDescent="0.25">
      <c r="A231" t="s">
        <v>1562</v>
      </c>
      <c r="B231" t="s">
        <v>127</v>
      </c>
      <c r="C231">
        <v>-7.8417870000000001</v>
      </c>
      <c r="D231">
        <v>14.730712</v>
      </c>
      <c r="E231" t="s">
        <v>1477</v>
      </c>
      <c r="F231" t="s">
        <v>1490</v>
      </c>
    </row>
    <row r="232" spans="1:6" x14ac:dyDescent="0.25">
      <c r="A232" t="s">
        <v>1563</v>
      </c>
      <c r="B232" t="s">
        <v>35</v>
      </c>
      <c r="C232">
        <v>-3.419035</v>
      </c>
      <c r="D232">
        <v>29.018315999999999</v>
      </c>
      <c r="E232" t="s">
        <v>1477</v>
      </c>
      <c r="F232" t="s">
        <v>1478</v>
      </c>
    </row>
    <row r="233" spans="1:6" x14ac:dyDescent="0.25">
      <c r="A233" t="s">
        <v>1564</v>
      </c>
      <c r="B233" t="s">
        <v>33</v>
      </c>
      <c r="C233">
        <v>0.91016799999999998</v>
      </c>
      <c r="D233">
        <v>16.903002999999998</v>
      </c>
      <c r="E233" t="s">
        <v>1482</v>
      </c>
      <c r="F233" t="s">
        <v>1490</v>
      </c>
    </row>
    <row r="234" spans="1:6" x14ac:dyDescent="0.25">
      <c r="A234" t="s">
        <v>1159</v>
      </c>
      <c r="B234" t="s">
        <v>73</v>
      </c>
      <c r="C234">
        <v>-0.919767</v>
      </c>
      <c r="D234">
        <v>18.905538</v>
      </c>
      <c r="E234" t="s">
        <v>1477</v>
      </c>
      <c r="F234" t="s">
        <v>1478</v>
      </c>
    </row>
    <row r="235" spans="1:6" x14ac:dyDescent="0.25">
      <c r="A235" t="s">
        <v>1144</v>
      </c>
      <c r="B235" t="s">
        <v>35</v>
      </c>
      <c r="C235">
        <v>-8.0922239999999999</v>
      </c>
      <c r="D235">
        <v>15.483708</v>
      </c>
      <c r="E235" t="s">
        <v>1477</v>
      </c>
      <c r="F235" t="s">
        <v>1490</v>
      </c>
    </row>
    <row r="236" spans="1:6" x14ac:dyDescent="0.25">
      <c r="A236" t="s">
        <v>1425</v>
      </c>
      <c r="B236" t="s">
        <v>29</v>
      </c>
      <c r="C236">
        <v>-10.165072</v>
      </c>
      <c r="D236">
        <v>29.428024000000001</v>
      </c>
      <c r="E236" t="s">
        <v>1477</v>
      </c>
      <c r="F236" t="s">
        <v>1481</v>
      </c>
    </row>
    <row r="237" spans="1:6" x14ac:dyDescent="0.25">
      <c r="A237" t="s">
        <v>1085</v>
      </c>
      <c r="B237" t="s">
        <v>51</v>
      </c>
      <c r="C237">
        <v>-10.939712999999999</v>
      </c>
      <c r="D237">
        <v>18.276230999999999</v>
      </c>
      <c r="E237" t="s">
        <v>1480</v>
      </c>
      <c r="F237" t="s">
        <v>1483</v>
      </c>
    </row>
    <row r="238" spans="1:6" x14ac:dyDescent="0.25">
      <c r="A238" t="s">
        <v>1368</v>
      </c>
      <c r="B238" t="s">
        <v>21</v>
      </c>
      <c r="C238">
        <v>4.2493650000000001</v>
      </c>
      <c r="D238">
        <v>28.355039999999999</v>
      </c>
      <c r="E238" t="s">
        <v>1482</v>
      </c>
      <c r="F238" t="s">
        <v>1483</v>
      </c>
    </row>
    <row r="239" spans="1:6" x14ac:dyDescent="0.25">
      <c r="A239" t="s">
        <v>1223</v>
      </c>
      <c r="B239" t="s">
        <v>24</v>
      </c>
      <c r="C239">
        <v>-2.926736</v>
      </c>
      <c r="D239">
        <v>18.170461</v>
      </c>
      <c r="E239" t="s">
        <v>1477</v>
      </c>
      <c r="F239" t="s">
        <v>1478</v>
      </c>
    </row>
    <row r="240" spans="1:6" x14ac:dyDescent="0.25">
      <c r="A240" t="s">
        <v>877</v>
      </c>
      <c r="B240" t="s">
        <v>62</v>
      </c>
      <c r="C240">
        <v>-11.157245</v>
      </c>
      <c r="D240">
        <v>21.262627999999999</v>
      </c>
      <c r="E240" t="s">
        <v>1477</v>
      </c>
      <c r="F240" t="s">
        <v>1483</v>
      </c>
    </row>
    <row r="241" spans="1:6" x14ac:dyDescent="0.25">
      <c r="A241" t="s">
        <v>1565</v>
      </c>
      <c r="B241" t="s">
        <v>137</v>
      </c>
      <c r="C241">
        <v>-3.234483</v>
      </c>
      <c r="D241">
        <v>13.241939</v>
      </c>
      <c r="E241" t="s">
        <v>1480</v>
      </c>
      <c r="F241" t="s">
        <v>1483</v>
      </c>
    </row>
    <row r="242" spans="1:6" x14ac:dyDescent="0.25">
      <c r="A242" t="s">
        <v>1125</v>
      </c>
      <c r="B242" t="s">
        <v>33</v>
      </c>
      <c r="C242">
        <v>-3.111418</v>
      </c>
      <c r="D242">
        <v>14.144854</v>
      </c>
      <c r="E242" t="s">
        <v>1480</v>
      </c>
      <c r="F242" t="s">
        <v>1483</v>
      </c>
    </row>
    <row r="243" spans="1:6" x14ac:dyDescent="0.25">
      <c r="A243" t="s">
        <v>1228</v>
      </c>
      <c r="B243" t="s">
        <v>40</v>
      </c>
      <c r="C243">
        <v>-8.1210620000000002</v>
      </c>
      <c r="D243">
        <v>21.094390000000001</v>
      </c>
      <c r="E243" t="s">
        <v>1477</v>
      </c>
      <c r="F243" t="s">
        <v>1483</v>
      </c>
    </row>
    <row r="244" spans="1:6" x14ac:dyDescent="0.25">
      <c r="A244" t="s">
        <v>1566</v>
      </c>
      <c r="B244" t="s">
        <v>73</v>
      </c>
      <c r="C244">
        <v>1.472051</v>
      </c>
      <c r="D244">
        <v>17.36289</v>
      </c>
      <c r="E244" t="s">
        <v>1480</v>
      </c>
      <c r="F244" t="s">
        <v>1481</v>
      </c>
    </row>
    <row r="245" spans="1:6" x14ac:dyDescent="0.25">
      <c r="A245" t="s">
        <v>1167</v>
      </c>
      <c r="B245" t="s">
        <v>64</v>
      </c>
      <c r="C245">
        <v>-2.6665070000000002</v>
      </c>
      <c r="D245">
        <v>18.623692999999999</v>
      </c>
      <c r="E245" t="s">
        <v>1482</v>
      </c>
      <c r="F245" t="s">
        <v>1483</v>
      </c>
    </row>
    <row r="246" spans="1:6" x14ac:dyDescent="0.25">
      <c r="A246" t="s">
        <v>1567</v>
      </c>
      <c r="B246" t="s">
        <v>24</v>
      </c>
      <c r="C246">
        <v>-9.9170499999999997</v>
      </c>
      <c r="D246">
        <v>22.918887000000002</v>
      </c>
      <c r="E246" t="s">
        <v>1480</v>
      </c>
      <c r="F246" t="s">
        <v>1481</v>
      </c>
    </row>
    <row r="247" spans="1:6" x14ac:dyDescent="0.25">
      <c r="A247" t="s">
        <v>894</v>
      </c>
      <c r="B247" t="s">
        <v>26</v>
      </c>
      <c r="C247">
        <v>-7.3952039999999997</v>
      </c>
      <c r="D247">
        <v>21.651043999999999</v>
      </c>
      <c r="E247" t="s">
        <v>1480</v>
      </c>
      <c r="F247" t="s">
        <v>1481</v>
      </c>
    </row>
    <row r="248" spans="1:6" x14ac:dyDescent="0.25">
      <c r="A248" t="s">
        <v>875</v>
      </c>
      <c r="B248" t="s">
        <v>73</v>
      </c>
      <c r="C248">
        <v>3.0603760000000002</v>
      </c>
      <c r="D248">
        <v>19.708034000000001</v>
      </c>
      <c r="E248" t="s">
        <v>1482</v>
      </c>
      <c r="F248" t="s">
        <v>1483</v>
      </c>
    </row>
    <row r="249" spans="1:6" x14ac:dyDescent="0.25">
      <c r="A249" t="s">
        <v>1568</v>
      </c>
      <c r="B249" t="s">
        <v>44</v>
      </c>
      <c r="C249">
        <v>-3.269612</v>
      </c>
      <c r="D249">
        <v>25.571189</v>
      </c>
      <c r="E249" t="s">
        <v>1477</v>
      </c>
      <c r="F249" t="s">
        <v>1478</v>
      </c>
    </row>
    <row r="250" spans="1:6" x14ac:dyDescent="0.25">
      <c r="A250" t="s">
        <v>1569</v>
      </c>
      <c r="B250" t="s">
        <v>33</v>
      </c>
      <c r="C250">
        <v>-12.086929</v>
      </c>
      <c r="D250">
        <v>14.032645</v>
      </c>
      <c r="E250" t="s">
        <v>1482</v>
      </c>
      <c r="F250" t="s">
        <v>1483</v>
      </c>
    </row>
    <row r="251" spans="1:6" x14ac:dyDescent="0.25">
      <c r="A251" t="s">
        <v>904</v>
      </c>
      <c r="B251" t="s">
        <v>40</v>
      </c>
      <c r="C251">
        <v>-10.963041</v>
      </c>
      <c r="D251">
        <v>12.269857</v>
      </c>
      <c r="E251" t="s">
        <v>1480</v>
      </c>
      <c r="F251" t="s">
        <v>1481</v>
      </c>
    </row>
    <row r="252" spans="1:6" x14ac:dyDescent="0.25">
      <c r="A252" t="s">
        <v>1570</v>
      </c>
      <c r="B252" t="s">
        <v>16</v>
      </c>
      <c r="C252">
        <v>-4.332408</v>
      </c>
      <c r="D252">
        <v>14.119439</v>
      </c>
      <c r="E252" t="s">
        <v>1477</v>
      </c>
      <c r="F252" t="s">
        <v>1490</v>
      </c>
    </row>
    <row r="253" spans="1:6" x14ac:dyDescent="0.25">
      <c r="A253" t="s">
        <v>1439</v>
      </c>
      <c r="B253" t="s">
        <v>64</v>
      </c>
      <c r="C253">
        <v>-0.57104900000000003</v>
      </c>
      <c r="D253">
        <v>15.317663</v>
      </c>
      <c r="E253" t="s">
        <v>1477</v>
      </c>
      <c r="F253" t="s">
        <v>1490</v>
      </c>
    </row>
    <row r="254" spans="1:6" x14ac:dyDescent="0.25">
      <c r="A254" t="s">
        <v>809</v>
      </c>
      <c r="B254" t="s">
        <v>44</v>
      </c>
      <c r="C254">
        <v>-10.442425</v>
      </c>
      <c r="D254">
        <v>23.243632000000002</v>
      </c>
      <c r="E254" t="s">
        <v>1480</v>
      </c>
      <c r="F254" t="s">
        <v>1490</v>
      </c>
    </row>
    <row r="255" spans="1:6" x14ac:dyDescent="0.25">
      <c r="A255" t="s">
        <v>1269</v>
      </c>
      <c r="B255" t="s">
        <v>18</v>
      </c>
      <c r="C255">
        <v>0.16327700000000001</v>
      </c>
      <c r="D255">
        <v>14.871577</v>
      </c>
      <c r="E255" t="s">
        <v>1480</v>
      </c>
      <c r="F255" t="s">
        <v>1481</v>
      </c>
    </row>
    <row r="256" spans="1:6" x14ac:dyDescent="0.25">
      <c r="A256" t="s">
        <v>1571</v>
      </c>
      <c r="B256" t="s">
        <v>26</v>
      </c>
      <c r="C256">
        <v>4.7044240000000004</v>
      </c>
      <c r="D256">
        <v>20.486409999999999</v>
      </c>
      <c r="E256" t="s">
        <v>1480</v>
      </c>
      <c r="F256" t="s">
        <v>1483</v>
      </c>
    </row>
    <row r="257" spans="1:6" x14ac:dyDescent="0.25">
      <c r="A257" t="s">
        <v>1572</v>
      </c>
      <c r="B257" t="s">
        <v>13</v>
      </c>
      <c r="C257">
        <v>4.7060310000000003</v>
      </c>
      <c r="D257">
        <v>27.348973000000001</v>
      </c>
      <c r="E257" t="s">
        <v>1480</v>
      </c>
      <c r="F257" t="s">
        <v>1481</v>
      </c>
    </row>
    <row r="258" spans="1:6" x14ac:dyDescent="0.25">
      <c r="A258" t="s">
        <v>1573</v>
      </c>
      <c r="B258" t="s">
        <v>10</v>
      </c>
      <c r="C258">
        <v>1.019657</v>
      </c>
      <c r="D258">
        <v>16.963799000000002</v>
      </c>
      <c r="E258" t="s">
        <v>1482</v>
      </c>
      <c r="F258" t="s">
        <v>1490</v>
      </c>
    </row>
    <row r="259" spans="1:6" x14ac:dyDescent="0.25">
      <c r="A259" t="s">
        <v>1086</v>
      </c>
      <c r="B259" t="s">
        <v>44</v>
      </c>
      <c r="C259">
        <v>-4.6311460000000002</v>
      </c>
      <c r="D259">
        <v>25.314723000000001</v>
      </c>
      <c r="E259" t="s">
        <v>1480</v>
      </c>
      <c r="F259" t="s">
        <v>1481</v>
      </c>
    </row>
    <row r="260" spans="1:6" x14ac:dyDescent="0.25">
      <c r="A260" t="s">
        <v>1574</v>
      </c>
      <c r="B260" t="s">
        <v>40</v>
      </c>
      <c r="C260">
        <v>-11.591777</v>
      </c>
      <c r="D260">
        <v>21.213452</v>
      </c>
      <c r="E260" t="s">
        <v>1477</v>
      </c>
      <c r="F260" t="s">
        <v>1478</v>
      </c>
    </row>
    <row r="261" spans="1:6" x14ac:dyDescent="0.25">
      <c r="A261" t="s">
        <v>1575</v>
      </c>
      <c r="B261" t="s">
        <v>44</v>
      </c>
      <c r="C261">
        <v>3.0184790000000001</v>
      </c>
      <c r="D261">
        <v>27.188068000000001</v>
      </c>
      <c r="E261" t="s">
        <v>1477</v>
      </c>
      <c r="F261" t="s">
        <v>1478</v>
      </c>
    </row>
    <row r="262" spans="1:6" x14ac:dyDescent="0.25">
      <c r="A262" t="s">
        <v>1282</v>
      </c>
      <c r="B262" t="s">
        <v>16</v>
      </c>
      <c r="C262">
        <v>-11.407966</v>
      </c>
      <c r="D262">
        <v>28.378274000000001</v>
      </c>
      <c r="E262" t="s">
        <v>1480</v>
      </c>
      <c r="F262" t="s">
        <v>1483</v>
      </c>
    </row>
    <row r="263" spans="1:6" x14ac:dyDescent="0.25">
      <c r="A263" t="s">
        <v>1165</v>
      </c>
      <c r="B263" t="s">
        <v>24</v>
      </c>
      <c r="C263">
        <v>-4.4958720000000003</v>
      </c>
      <c r="D263">
        <v>18.514112000000001</v>
      </c>
      <c r="E263" t="s">
        <v>1480</v>
      </c>
      <c r="F263" t="s">
        <v>1490</v>
      </c>
    </row>
    <row r="264" spans="1:6" x14ac:dyDescent="0.25">
      <c r="A264" t="s">
        <v>1576</v>
      </c>
      <c r="B264" t="s">
        <v>10</v>
      </c>
      <c r="C264">
        <v>0.35034999999999999</v>
      </c>
      <c r="D264">
        <v>13.603628</v>
      </c>
      <c r="E264" t="s">
        <v>1477</v>
      </c>
      <c r="F264" t="s">
        <v>1483</v>
      </c>
    </row>
    <row r="265" spans="1:6" x14ac:dyDescent="0.25">
      <c r="A265" t="s">
        <v>1577</v>
      </c>
      <c r="B265" t="s">
        <v>127</v>
      </c>
      <c r="C265">
        <v>4.2873989999999997</v>
      </c>
      <c r="D265">
        <v>14.756335</v>
      </c>
      <c r="E265" t="s">
        <v>1477</v>
      </c>
      <c r="F265" t="s">
        <v>1478</v>
      </c>
    </row>
    <row r="266" spans="1:6" x14ac:dyDescent="0.25">
      <c r="A266" t="s">
        <v>1459</v>
      </c>
      <c r="B266" t="s">
        <v>24</v>
      </c>
      <c r="C266">
        <v>-11.594525000000001</v>
      </c>
      <c r="D266">
        <v>29.744895</v>
      </c>
      <c r="E266" t="s">
        <v>1482</v>
      </c>
      <c r="F266" t="s">
        <v>1483</v>
      </c>
    </row>
    <row r="267" spans="1:6" x14ac:dyDescent="0.25">
      <c r="A267" t="s">
        <v>1061</v>
      </c>
      <c r="B267" t="s">
        <v>37</v>
      </c>
      <c r="C267">
        <v>-1.5936220000000001</v>
      </c>
      <c r="D267">
        <v>14.928856</v>
      </c>
      <c r="E267" t="s">
        <v>1477</v>
      </c>
      <c r="F267" t="s">
        <v>1478</v>
      </c>
    </row>
    <row r="268" spans="1:6" x14ac:dyDescent="0.25">
      <c r="A268" t="s">
        <v>1578</v>
      </c>
      <c r="B268" t="s">
        <v>31</v>
      </c>
      <c r="C268">
        <v>1.3657680000000001</v>
      </c>
      <c r="D268">
        <v>21.423017000000002</v>
      </c>
      <c r="E268" t="s">
        <v>1477</v>
      </c>
      <c r="F268" t="s">
        <v>1478</v>
      </c>
    </row>
    <row r="269" spans="1:6" x14ac:dyDescent="0.25">
      <c r="A269" t="s">
        <v>1579</v>
      </c>
      <c r="B269" t="s">
        <v>10</v>
      </c>
      <c r="C269">
        <v>-7.3750049999999998</v>
      </c>
      <c r="D269">
        <v>30.878126000000002</v>
      </c>
      <c r="E269" t="s">
        <v>1477</v>
      </c>
      <c r="F269" t="s">
        <v>1481</v>
      </c>
    </row>
    <row r="270" spans="1:6" x14ac:dyDescent="0.25">
      <c r="A270" t="s">
        <v>1281</v>
      </c>
      <c r="B270" t="s">
        <v>31</v>
      </c>
      <c r="C270">
        <v>-12.050063</v>
      </c>
      <c r="D270">
        <v>26.636987999999999</v>
      </c>
      <c r="E270" t="s">
        <v>1482</v>
      </c>
      <c r="F270" t="s">
        <v>1490</v>
      </c>
    </row>
    <row r="271" spans="1:6" x14ac:dyDescent="0.25">
      <c r="A271" t="s">
        <v>1580</v>
      </c>
      <c r="B271" t="s">
        <v>29</v>
      </c>
      <c r="C271">
        <v>-6.8161690000000004</v>
      </c>
      <c r="D271">
        <v>16.521000999999998</v>
      </c>
      <c r="E271" t="s">
        <v>1477</v>
      </c>
      <c r="F271" t="s">
        <v>1478</v>
      </c>
    </row>
    <row r="272" spans="1:6" x14ac:dyDescent="0.25">
      <c r="A272" t="s">
        <v>879</v>
      </c>
      <c r="B272" t="s">
        <v>127</v>
      </c>
      <c r="C272">
        <v>1.0134879999999999</v>
      </c>
      <c r="D272">
        <v>20.363515</v>
      </c>
      <c r="E272" t="s">
        <v>1480</v>
      </c>
      <c r="F272" t="s">
        <v>1490</v>
      </c>
    </row>
    <row r="273" spans="1:6" x14ac:dyDescent="0.25">
      <c r="A273" t="s">
        <v>1089</v>
      </c>
      <c r="B273" t="s">
        <v>73</v>
      </c>
      <c r="C273">
        <v>-4.5603610000000003</v>
      </c>
      <c r="D273">
        <v>24.113918999999999</v>
      </c>
      <c r="E273" t="s">
        <v>1477</v>
      </c>
      <c r="F273" t="s">
        <v>1483</v>
      </c>
    </row>
    <row r="274" spans="1:6" x14ac:dyDescent="0.25">
      <c r="A274" t="s">
        <v>1349</v>
      </c>
      <c r="B274" t="s">
        <v>10</v>
      </c>
      <c r="C274">
        <v>-3.7720639999999999</v>
      </c>
      <c r="D274">
        <v>16.006277999999998</v>
      </c>
      <c r="E274" t="s">
        <v>1477</v>
      </c>
      <c r="F274" t="s">
        <v>1483</v>
      </c>
    </row>
    <row r="275" spans="1:6" x14ac:dyDescent="0.25">
      <c r="A275" t="s">
        <v>1581</v>
      </c>
      <c r="B275" t="s">
        <v>60</v>
      </c>
      <c r="C275">
        <v>-4.5538169999999996</v>
      </c>
      <c r="D275">
        <v>25.952860999999999</v>
      </c>
      <c r="E275" t="s">
        <v>1482</v>
      </c>
      <c r="F275" t="s">
        <v>1478</v>
      </c>
    </row>
    <row r="276" spans="1:6" x14ac:dyDescent="0.25">
      <c r="A276" t="s">
        <v>1126</v>
      </c>
      <c r="B276" t="s">
        <v>127</v>
      </c>
      <c r="C276">
        <v>0.20866199999999999</v>
      </c>
      <c r="D276">
        <v>18.556439000000001</v>
      </c>
      <c r="E276" t="s">
        <v>1480</v>
      </c>
      <c r="F276" t="s">
        <v>1490</v>
      </c>
    </row>
    <row r="277" spans="1:6" x14ac:dyDescent="0.25">
      <c r="A277" t="s">
        <v>960</v>
      </c>
      <c r="B277" t="s">
        <v>131</v>
      </c>
      <c r="C277">
        <v>-5.42171</v>
      </c>
      <c r="D277">
        <v>24.202960999999998</v>
      </c>
      <c r="E277" t="s">
        <v>1477</v>
      </c>
      <c r="F277" t="s">
        <v>1478</v>
      </c>
    </row>
    <row r="278" spans="1:6" x14ac:dyDescent="0.25">
      <c r="A278" t="s">
        <v>866</v>
      </c>
      <c r="B278" t="s">
        <v>21</v>
      </c>
      <c r="C278">
        <v>4.2904629999999999</v>
      </c>
      <c r="D278">
        <v>26.354195000000001</v>
      </c>
      <c r="E278" t="s">
        <v>1482</v>
      </c>
      <c r="F278" t="s">
        <v>1478</v>
      </c>
    </row>
    <row r="279" spans="1:6" x14ac:dyDescent="0.25">
      <c r="A279" t="s">
        <v>1582</v>
      </c>
      <c r="B279" t="s">
        <v>57</v>
      </c>
      <c r="C279">
        <v>1.368018</v>
      </c>
      <c r="D279">
        <v>14.203893000000001</v>
      </c>
      <c r="E279" t="s">
        <v>1477</v>
      </c>
      <c r="F279" t="s">
        <v>1481</v>
      </c>
    </row>
    <row r="280" spans="1:6" x14ac:dyDescent="0.25">
      <c r="A280" t="s">
        <v>1583</v>
      </c>
      <c r="B280" t="s">
        <v>29</v>
      </c>
      <c r="C280">
        <v>-7.7942479999999996</v>
      </c>
      <c r="D280">
        <v>15.184407999999999</v>
      </c>
      <c r="E280" t="s">
        <v>1482</v>
      </c>
      <c r="F280" t="s">
        <v>1483</v>
      </c>
    </row>
    <row r="281" spans="1:6" x14ac:dyDescent="0.25">
      <c r="A281" t="s">
        <v>1440</v>
      </c>
      <c r="B281" t="s">
        <v>10</v>
      </c>
      <c r="C281">
        <v>-12.364127999999999</v>
      </c>
      <c r="D281">
        <v>19.576150999999999</v>
      </c>
      <c r="E281" t="s">
        <v>1482</v>
      </c>
      <c r="F281" t="s">
        <v>1490</v>
      </c>
    </row>
    <row r="282" spans="1:6" x14ac:dyDescent="0.25">
      <c r="A282" t="s">
        <v>1077</v>
      </c>
      <c r="B282" t="s">
        <v>31</v>
      </c>
      <c r="C282">
        <v>3.611561</v>
      </c>
      <c r="D282">
        <v>17.725974999999998</v>
      </c>
      <c r="E282" t="s">
        <v>1482</v>
      </c>
      <c r="F282" t="s">
        <v>1483</v>
      </c>
    </row>
    <row r="283" spans="1:6" x14ac:dyDescent="0.25">
      <c r="A283" t="s">
        <v>976</v>
      </c>
      <c r="B283" t="s">
        <v>64</v>
      </c>
      <c r="C283">
        <v>0.48965500000000001</v>
      </c>
      <c r="D283">
        <v>26.176860000000001</v>
      </c>
      <c r="E283" t="s">
        <v>1480</v>
      </c>
      <c r="F283" t="s">
        <v>1481</v>
      </c>
    </row>
    <row r="284" spans="1:6" x14ac:dyDescent="0.25">
      <c r="A284" t="s">
        <v>936</v>
      </c>
      <c r="B284" t="s">
        <v>89</v>
      </c>
      <c r="C284">
        <v>8.5490999999999998E-2</v>
      </c>
      <c r="D284">
        <v>26.296129000000001</v>
      </c>
      <c r="E284" t="s">
        <v>1482</v>
      </c>
      <c r="F284" t="s">
        <v>1483</v>
      </c>
    </row>
    <row r="285" spans="1:6" x14ac:dyDescent="0.25">
      <c r="A285" t="s">
        <v>811</v>
      </c>
      <c r="B285" t="s">
        <v>26</v>
      </c>
      <c r="C285">
        <v>-2.8532869999999999</v>
      </c>
      <c r="D285">
        <v>22.117896000000002</v>
      </c>
      <c r="E285" t="s">
        <v>1477</v>
      </c>
      <c r="F285" t="s">
        <v>1481</v>
      </c>
    </row>
    <row r="286" spans="1:6" x14ac:dyDescent="0.25">
      <c r="A286" t="s">
        <v>814</v>
      </c>
      <c r="B286" t="s">
        <v>18</v>
      </c>
      <c r="C286">
        <v>-11.89448</v>
      </c>
      <c r="D286">
        <v>19.216214999999998</v>
      </c>
      <c r="E286" t="s">
        <v>1482</v>
      </c>
      <c r="F286" t="s">
        <v>1483</v>
      </c>
    </row>
    <row r="287" spans="1:6" x14ac:dyDescent="0.25">
      <c r="A287" t="s">
        <v>1203</v>
      </c>
      <c r="B287" t="s">
        <v>57</v>
      </c>
      <c r="C287">
        <v>-4.4831099999999999</v>
      </c>
      <c r="D287">
        <v>25.406548000000001</v>
      </c>
      <c r="E287" t="s">
        <v>1477</v>
      </c>
      <c r="F287" t="s">
        <v>1490</v>
      </c>
    </row>
    <row r="288" spans="1:6" x14ac:dyDescent="0.25">
      <c r="A288" t="s">
        <v>1314</v>
      </c>
      <c r="B288" t="s">
        <v>37</v>
      </c>
      <c r="C288">
        <v>-9.9565739999999998</v>
      </c>
      <c r="D288">
        <v>21.017202000000001</v>
      </c>
      <c r="E288" t="s">
        <v>1480</v>
      </c>
      <c r="F288" t="s">
        <v>1481</v>
      </c>
    </row>
    <row r="289" spans="1:6" x14ac:dyDescent="0.25">
      <c r="A289" t="s">
        <v>1414</v>
      </c>
      <c r="B289" t="s">
        <v>73</v>
      </c>
      <c r="C289">
        <v>-12.070842000000001</v>
      </c>
      <c r="D289">
        <v>14.757847</v>
      </c>
      <c r="E289" t="s">
        <v>1480</v>
      </c>
      <c r="F289" t="s">
        <v>1483</v>
      </c>
    </row>
    <row r="290" spans="1:6" x14ac:dyDescent="0.25">
      <c r="A290" t="s">
        <v>1157</v>
      </c>
      <c r="B290" t="s">
        <v>67</v>
      </c>
      <c r="C290">
        <v>4.8265669999999998</v>
      </c>
      <c r="D290">
        <v>28.535277000000001</v>
      </c>
      <c r="E290" t="s">
        <v>1482</v>
      </c>
      <c r="F290" t="s">
        <v>1481</v>
      </c>
    </row>
    <row r="291" spans="1:6" x14ac:dyDescent="0.25">
      <c r="A291" t="s">
        <v>1584</v>
      </c>
      <c r="B291" t="s">
        <v>10</v>
      </c>
      <c r="C291">
        <v>1.5601240000000001</v>
      </c>
      <c r="D291">
        <v>12.225398</v>
      </c>
      <c r="E291" t="s">
        <v>1477</v>
      </c>
      <c r="F291" t="s">
        <v>1490</v>
      </c>
    </row>
    <row r="292" spans="1:6" x14ac:dyDescent="0.25">
      <c r="A292" t="s">
        <v>1585</v>
      </c>
      <c r="B292" t="s">
        <v>60</v>
      </c>
      <c r="C292">
        <v>-1.762294</v>
      </c>
      <c r="D292">
        <v>29.617228000000001</v>
      </c>
      <c r="E292" t="s">
        <v>1480</v>
      </c>
      <c r="F292" t="s">
        <v>1483</v>
      </c>
    </row>
    <row r="293" spans="1:6" x14ac:dyDescent="0.25">
      <c r="A293" t="s">
        <v>1255</v>
      </c>
      <c r="B293" t="s">
        <v>89</v>
      </c>
      <c r="C293">
        <v>-7.8373179999999998</v>
      </c>
      <c r="D293">
        <v>20.527591999999999</v>
      </c>
      <c r="E293" t="s">
        <v>1480</v>
      </c>
      <c r="F293" t="s">
        <v>1478</v>
      </c>
    </row>
    <row r="294" spans="1:6" x14ac:dyDescent="0.25">
      <c r="A294" t="s">
        <v>946</v>
      </c>
      <c r="B294" t="s">
        <v>21</v>
      </c>
      <c r="C294">
        <v>-11.514817000000001</v>
      </c>
      <c r="D294">
        <v>24.891375</v>
      </c>
      <c r="E294" t="s">
        <v>1482</v>
      </c>
      <c r="F294" t="s">
        <v>1490</v>
      </c>
    </row>
    <row r="295" spans="1:6" x14ac:dyDescent="0.25">
      <c r="A295" t="s">
        <v>1586</v>
      </c>
      <c r="B295" t="s">
        <v>62</v>
      </c>
      <c r="C295">
        <v>-3.89927</v>
      </c>
      <c r="D295">
        <v>30.273492000000001</v>
      </c>
      <c r="E295" t="s">
        <v>1482</v>
      </c>
      <c r="F295" t="s">
        <v>1490</v>
      </c>
    </row>
    <row r="296" spans="1:6" x14ac:dyDescent="0.25">
      <c r="A296" t="s">
        <v>1587</v>
      </c>
      <c r="B296" t="s">
        <v>62</v>
      </c>
      <c r="C296">
        <v>2.3260149999999999</v>
      </c>
      <c r="D296">
        <v>24.97465</v>
      </c>
      <c r="E296" t="s">
        <v>1482</v>
      </c>
      <c r="F296" t="s">
        <v>1490</v>
      </c>
    </row>
    <row r="297" spans="1:6" x14ac:dyDescent="0.25">
      <c r="A297" t="s">
        <v>1285</v>
      </c>
      <c r="B297" t="s">
        <v>89</v>
      </c>
      <c r="C297">
        <v>-7.9987219999999999</v>
      </c>
      <c r="D297">
        <v>12.779335</v>
      </c>
      <c r="E297" t="s">
        <v>1477</v>
      </c>
      <c r="F297" t="s">
        <v>1490</v>
      </c>
    </row>
    <row r="298" spans="1:6" x14ac:dyDescent="0.25">
      <c r="A298" t="s">
        <v>1588</v>
      </c>
      <c r="B298" t="s">
        <v>26</v>
      </c>
      <c r="C298">
        <v>-10.614302</v>
      </c>
      <c r="D298">
        <v>29.436530999999999</v>
      </c>
      <c r="E298" t="s">
        <v>1482</v>
      </c>
      <c r="F298" t="s">
        <v>1478</v>
      </c>
    </row>
    <row r="299" spans="1:6" x14ac:dyDescent="0.25">
      <c r="A299" t="s">
        <v>887</v>
      </c>
      <c r="B299" t="s">
        <v>37</v>
      </c>
      <c r="C299">
        <v>-7.9425049999999997</v>
      </c>
      <c r="D299">
        <v>24.111059000000001</v>
      </c>
      <c r="E299" t="s">
        <v>1482</v>
      </c>
      <c r="F299" t="s">
        <v>1483</v>
      </c>
    </row>
    <row r="300" spans="1:6" x14ac:dyDescent="0.25">
      <c r="A300" t="s">
        <v>920</v>
      </c>
      <c r="B300" t="s">
        <v>21</v>
      </c>
      <c r="C300">
        <v>2.4414509999999998</v>
      </c>
      <c r="D300">
        <v>30.167489</v>
      </c>
      <c r="E300" t="s">
        <v>1477</v>
      </c>
      <c r="F300" t="s">
        <v>1490</v>
      </c>
    </row>
    <row r="301" spans="1:6" x14ac:dyDescent="0.25">
      <c r="A301" t="s">
        <v>1090</v>
      </c>
      <c r="B301" t="s">
        <v>64</v>
      </c>
      <c r="C301">
        <v>-1.339734</v>
      </c>
      <c r="D301">
        <v>15.243098</v>
      </c>
      <c r="E301" t="s">
        <v>1482</v>
      </c>
      <c r="F301" t="s">
        <v>1490</v>
      </c>
    </row>
    <row r="302" spans="1:6" x14ac:dyDescent="0.25">
      <c r="A302" t="s">
        <v>1252</v>
      </c>
      <c r="B302" t="s">
        <v>62</v>
      </c>
      <c r="C302">
        <v>-9.8208710000000004</v>
      </c>
      <c r="D302">
        <v>23.229807000000001</v>
      </c>
      <c r="E302" t="s">
        <v>1477</v>
      </c>
      <c r="F302" t="s">
        <v>1490</v>
      </c>
    </row>
    <row r="303" spans="1:6" x14ac:dyDescent="0.25">
      <c r="A303" t="s">
        <v>1210</v>
      </c>
      <c r="B303" t="s">
        <v>13</v>
      </c>
      <c r="C303">
        <v>-12.292039000000001</v>
      </c>
      <c r="D303">
        <v>27.538202999999999</v>
      </c>
      <c r="E303" t="s">
        <v>1482</v>
      </c>
      <c r="F303" t="s">
        <v>1481</v>
      </c>
    </row>
    <row r="304" spans="1:6" x14ac:dyDescent="0.25">
      <c r="A304" t="s">
        <v>1589</v>
      </c>
      <c r="B304" t="s">
        <v>131</v>
      </c>
      <c r="C304">
        <v>-6.0850540000000004</v>
      </c>
      <c r="D304">
        <v>14.020293000000001</v>
      </c>
      <c r="E304" t="s">
        <v>1477</v>
      </c>
      <c r="F304" t="s">
        <v>1481</v>
      </c>
    </row>
    <row r="305" spans="1:6" x14ac:dyDescent="0.25">
      <c r="A305" t="s">
        <v>978</v>
      </c>
      <c r="B305" t="s">
        <v>67</v>
      </c>
      <c r="C305">
        <v>-9.5619429999999994</v>
      </c>
      <c r="D305">
        <v>21.445726000000001</v>
      </c>
      <c r="E305" t="s">
        <v>1480</v>
      </c>
      <c r="F305" t="s">
        <v>1490</v>
      </c>
    </row>
    <row r="306" spans="1:6" x14ac:dyDescent="0.25">
      <c r="A306" t="s">
        <v>1169</v>
      </c>
      <c r="B306" t="s">
        <v>44</v>
      </c>
      <c r="C306">
        <v>-0.47411900000000001</v>
      </c>
      <c r="D306">
        <v>27.184329000000002</v>
      </c>
      <c r="E306" t="s">
        <v>1477</v>
      </c>
      <c r="F306" t="s">
        <v>1483</v>
      </c>
    </row>
    <row r="307" spans="1:6" x14ac:dyDescent="0.25">
      <c r="A307" t="s">
        <v>1087</v>
      </c>
      <c r="B307" t="s">
        <v>37</v>
      </c>
      <c r="C307">
        <v>3.1362930000000002</v>
      </c>
      <c r="D307">
        <v>16.190878000000001</v>
      </c>
      <c r="E307" t="s">
        <v>1482</v>
      </c>
      <c r="F307" t="s">
        <v>1490</v>
      </c>
    </row>
    <row r="308" spans="1:6" x14ac:dyDescent="0.25">
      <c r="A308" t="s">
        <v>1195</v>
      </c>
      <c r="B308" t="s">
        <v>78</v>
      </c>
      <c r="C308">
        <v>-1.6488929999999999</v>
      </c>
      <c r="D308">
        <v>27.284617000000001</v>
      </c>
      <c r="E308" t="s">
        <v>1477</v>
      </c>
      <c r="F308" t="s">
        <v>1490</v>
      </c>
    </row>
    <row r="309" spans="1:6" x14ac:dyDescent="0.25">
      <c r="A309" t="s">
        <v>1387</v>
      </c>
      <c r="B309" t="s">
        <v>131</v>
      </c>
      <c r="C309">
        <v>-6.5332999999999997</v>
      </c>
      <c r="D309">
        <v>20.098018</v>
      </c>
      <c r="E309" t="s">
        <v>1480</v>
      </c>
      <c r="F309" t="s">
        <v>1481</v>
      </c>
    </row>
    <row r="310" spans="1:6" x14ac:dyDescent="0.25">
      <c r="A310" t="s">
        <v>1590</v>
      </c>
      <c r="B310" t="s">
        <v>89</v>
      </c>
      <c r="C310">
        <v>-11.472474999999999</v>
      </c>
      <c r="D310">
        <v>27.418900000000001</v>
      </c>
      <c r="E310" t="s">
        <v>1480</v>
      </c>
      <c r="F310" t="s">
        <v>1483</v>
      </c>
    </row>
    <row r="311" spans="1:6" x14ac:dyDescent="0.25">
      <c r="A311" t="s">
        <v>988</v>
      </c>
      <c r="B311" t="s">
        <v>64</v>
      </c>
      <c r="C311">
        <v>-1.6097570000000001</v>
      </c>
      <c r="D311">
        <v>30.661662</v>
      </c>
      <c r="E311" t="s">
        <v>1480</v>
      </c>
      <c r="F311" t="s">
        <v>1478</v>
      </c>
    </row>
    <row r="312" spans="1:6" x14ac:dyDescent="0.25">
      <c r="A312" t="s">
        <v>1429</v>
      </c>
      <c r="B312" t="s">
        <v>73</v>
      </c>
      <c r="C312">
        <v>0.23583499999999999</v>
      </c>
      <c r="D312">
        <v>24.889558999999998</v>
      </c>
      <c r="E312" t="s">
        <v>1482</v>
      </c>
      <c r="F312" t="s">
        <v>1483</v>
      </c>
    </row>
    <row r="313" spans="1:6" x14ac:dyDescent="0.25">
      <c r="A313" t="s">
        <v>945</v>
      </c>
      <c r="B313" t="s">
        <v>37</v>
      </c>
      <c r="C313">
        <v>-10.481026999999999</v>
      </c>
      <c r="D313">
        <v>18.160464000000001</v>
      </c>
      <c r="E313" t="s">
        <v>1477</v>
      </c>
      <c r="F313" t="s">
        <v>1481</v>
      </c>
    </row>
    <row r="314" spans="1:6" x14ac:dyDescent="0.25">
      <c r="A314" t="s">
        <v>1080</v>
      </c>
      <c r="B314" t="s">
        <v>137</v>
      </c>
      <c r="C314">
        <v>-9.5243310000000001</v>
      </c>
      <c r="D314">
        <v>30.541212000000002</v>
      </c>
      <c r="E314" t="s">
        <v>1482</v>
      </c>
      <c r="F314" t="s">
        <v>1478</v>
      </c>
    </row>
    <row r="315" spans="1:6" x14ac:dyDescent="0.25">
      <c r="A315" t="s">
        <v>1183</v>
      </c>
      <c r="B315" t="s">
        <v>26</v>
      </c>
      <c r="C315">
        <v>-4.4697000000000001E-2</v>
      </c>
      <c r="D315">
        <v>22.943373000000001</v>
      </c>
      <c r="E315" t="s">
        <v>1482</v>
      </c>
      <c r="F315" t="s">
        <v>1481</v>
      </c>
    </row>
    <row r="316" spans="1:6" x14ac:dyDescent="0.25">
      <c r="A316" t="s">
        <v>1188</v>
      </c>
      <c r="B316" t="s">
        <v>26</v>
      </c>
      <c r="C316">
        <v>-2.3269820000000001</v>
      </c>
      <c r="D316">
        <v>14.609259</v>
      </c>
      <c r="E316" t="s">
        <v>1482</v>
      </c>
      <c r="F316" t="s">
        <v>1490</v>
      </c>
    </row>
    <row r="317" spans="1:6" x14ac:dyDescent="0.25">
      <c r="A317" t="s">
        <v>1591</v>
      </c>
      <c r="B317" t="s">
        <v>10</v>
      </c>
      <c r="C317">
        <v>-4.1938139999999997</v>
      </c>
      <c r="D317">
        <v>27.892115</v>
      </c>
      <c r="E317" t="s">
        <v>1477</v>
      </c>
      <c r="F317" t="s">
        <v>1478</v>
      </c>
    </row>
    <row r="318" spans="1:6" x14ac:dyDescent="0.25">
      <c r="A318" t="s">
        <v>1444</v>
      </c>
      <c r="B318" t="s">
        <v>131</v>
      </c>
      <c r="C318">
        <v>-11.866133</v>
      </c>
      <c r="D318">
        <v>27.068932</v>
      </c>
      <c r="E318" t="s">
        <v>1482</v>
      </c>
      <c r="F318" t="s">
        <v>1481</v>
      </c>
    </row>
    <row r="319" spans="1:6" x14ac:dyDescent="0.25">
      <c r="A319" t="s">
        <v>1592</v>
      </c>
      <c r="B319" t="s">
        <v>18</v>
      </c>
      <c r="C319">
        <v>-3.2700629999999999</v>
      </c>
      <c r="D319">
        <v>26.520330000000001</v>
      </c>
      <c r="E319" t="s">
        <v>1477</v>
      </c>
      <c r="F319" t="s">
        <v>1490</v>
      </c>
    </row>
    <row r="320" spans="1:6" x14ac:dyDescent="0.25">
      <c r="A320" t="s">
        <v>1189</v>
      </c>
      <c r="B320" t="s">
        <v>137</v>
      </c>
      <c r="C320">
        <v>-7.4608439999999998</v>
      </c>
      <c r="D320">
        <v>23.268619999999999</v>
      </c>
      <c r="E320" t="s">
        <v>1480</v>
      </c>
      <c r="F320" t="s">
        <v>1481</v>
      </c>
    </row>
    <row r="321" spans="1:6" x14ac:dyDescent="0.25">
      <c r="A321" t="s">
        <v>1186</v>
      </c>
      <c r="B321" t="s">
        <v>24</v>
      </c>
      <c r="C321">
        <v>-3.3890790000000002</v>
      </c>
      <c r="D321">
        <v>18.374571</v>
      </c>
      <c r="E321" t="s">
        <v>1477</v>
      </c>
      <c r="F321" t="s">
        <v>1483</v>
      </c>
    </row>
    <row r="322" spans="1:6" x14ac:dyDescent="0.25">
      <c r="A322" t="s">
        <v>1412</v>
      </c>
      <c r="B322" t="s">
        <v>24</v>
      </c>
      <c r="C322">
        <v>2.016505</v>
      </c>
      <c r="D322">
        <v>14.294164</v>
      </c>
      <c r="E322" t="s">
        <v>1477</v>
      </c>
      <c r="F322" t="s">
        <v>1481</v>
      </c>
    </row>
    <row r="323" spans="1:6" x14ac:dyDescent="0.25">
      <c r="A323" t="s">
        <v>1593</v>
      </c>
      <c r="B323" t="s">
        <v>40</v>
      </c>
      <c r="C323">
        <v>-4.9124689999999998</v>
      </c>
      <c r="D323">
        <v>14.683498999999999</v>
      </c>
      <c r="E323" t="s">
        <v>1482</v>
      </c>
      <c r="F323" t="s">
        <v>1483</v>
      </c>
    </row>
    <row r="324" spans="1:6" x14ac:dyDescent="0.25">
      <c r="A324" t="s">
        <v>1012</v>
      </c>
      <c r="B324" t="s">
        <v>60</v>
      </c>
      <c r="C324">
        <v>4.9250049999999996</v>
      </c>
      <c r="D324">
        <v>19.887931999999999</v>
      </c>
      <c r="E324" t="s">
        <v>1480</v>
      </c>
      <c r="F324" t="s">
        <v>1481</v>
      </c>
    </row>
    <row r="325" spans="1:6" x14ac:dyDescent="0.25">
      <c r="A325" t="s">
        <v>1293</v>
      </c>
      <c r="B325" t="s">
        <v>57</v>
      </c>
      <c r="C325">
        <v>-12.333232000000001</v>
      </c>
      <c r="D325">
        <v>25.229620000000001</v>
      </c>
      <c r="E325" t="s">
        <v>1477</v>
      </c>
      <c r="F325" t="s">
        <v>1490</v>
      </c>
    </row>
    <row r="326" spans="1:6" x14ac:dyDescent="0.25">
      <c r="A326" t="s">
        <v>1033</v>
      </c>
      <c r="B326" t="s">
        <v>64</v>
      </c>
      <c r="C326">
        <v>-11.991020000000001</v>
      </c>
      <c r="D326">
        <v>22.514747</v>
      </c>
      <c r="E326" t="s">
        <v>1477</v>
      </c>
      <c r="F326" t="s">
        <v>1483</v>
      </c>
    </row>
    <row r="327" spans="1:6" x14ac:dyDescent="0.25">
      <c r="A327" t="s">
        <v>1594</v>
      </c>
      <c r="B327" t="s">
        <v>131</v>
      </c>
      <c r="C327">
        <v>1.1800139999999999</v>
      </c>
      <c r="D327">
        <v>20.334562999999999</v>
      </c>
      <c r="E327" t="s">
        <v>1482</v>
      </c>
      <c r="F327" t="s">
        <v>1483</v>
      </c>
    </row>
    <row r="328" spans="1:6" x14ac:dyDescent="0.25">
      <c r="A328" t="s">
        <v>909</v>
      </c>
      <c r="B328" t="s">
        <v>37</v>
      </c>
      <c r="C328">
        <v>-12.229338</v>
      </c>
      <c r="D328">
        <v>29.587834999999998</v>
      </c>
      <c r="E328" t="s">
        <v>1480</v>
      </c>
      <c r="F328" t="s">
        <v>1490</v>
      </c>
    </row>
    <row r="329" spans="1:6" x14ac:dyDescent="0.25">
      <c r="A329" t="s">
        <v>1363</v>
      </c>
      <c r="B329" t="s">
        <v>137</v>
      </c>
      <c r="C329">
        <v>-10.872631999999999</v>
      </c>
      <c r="D329">
        <v>12.773279</v>
      </c>
      <c r="E329" t="s">
        <v>1482</v>
      </c>
      <c r="F329" t="s">
        <v>1483</v>
      </c>
    </row>
    <row r="330" spans="1:6" x14ac:dyDescent="0.25">
      <c r="A330" t="s">
        <v>1318</v>
      </c>
      <c r="B330" t="s">
        <v>26</v>
      </c>
      <c r="C330">
        <v>1.5278670000000001</v>
      </c>
      <c r="D330">
        <v>13.899388999999999</v>
      </c>
      <c r="E330" t="s">
        <v>1482</v>
      </c>
      <c r="F330" t="s">
        <v>1481</v>
      </c>
    </row>
    <row r="331" spans="1:6" x14ac:dyDescent="0.25">
      <c r="A331" t="s">
        <v>1105</v>
      </c>
      <c r="B331" t="s">
        <v>51</v>
      </c>
      <c r="C331">
        <v>-0.98830399999999996</v>
      </c>
      <c r="D331">
        <v>28.099966999999999</v>
      </c>
      <c r="E331" t="s">
        <v>1482</v>
      </c>
      <c r="F331" t="s">
        <v>1481</v>
      </c>
    </row>
    <row r="332" spans="1:6" x14ac:dyDescent="0.25">
      <c r="A332" t="s">
        <v>1595</v>
      </c>
      <c r="B332" t="s">
        <v>89</v>
      </c>
      <c r="C332">
        <v>-4.749333</v>
      </c>
      <c r="D332">
        <v>23.636389000000001</v>
      </c>
      <c r="E332" t="s">
        <v>1482</v>
      </c>
      <c r="F332" t="s">
        <v>1483</v>
      </c>
    </row>
    <row r="333" spans="1:6" x14ac:dyDescent="0.25">
      <c r="A333" t="s">
        <v>881</v>
      </c>
      <c r="B333" t="s">
        <v>60</v>
      </c>
      <c r="C333">
        <v>-0.79459900000000006</v>
      </c>
      <c r="D333">
        <v>26.775570999999999</v>
      </c>
      <c r="E333" t="s">
        <v>1477</v>
      </c>
      <c r="F333" t="s">
        <v>1481</v>
      </c>
    </row>
    <row r="334" spans="1:6" x14ac:dyDescent="0.25">
      <c r="A334" t="s">
        <v>1596</v>
      </c>
      <c r="B334" t="s">
        <v>21</v>
      </c>
      <c r="C334">
        <v>2.7365970000000002</v>
      </c>
      <c r="D334">
        <v>12.296976000000001</v>
      </c>
      <c r="E334" t="s">
        <v>1480</v>
      </c>
      <c r="F334" t="s">
        <v>1483</v>
      </c>
    </row>
    <row r="335" spans="1:6" x14ac:dyDescent="0.25">
      <c r="A335" t="s">
        <v>1147</v>
      </c>
      <c r="B335" t="s">
        <v>78</v>
      </c>
      <c r="C335">
        <v>-10.318835</v>
      </c>
      <c r="D335">
        <v>21.252382000000001</v>
      </c>
      <c r="E335" t="s">
        <v>1480</v>
      </c>
      <c r="F335" t="s">
        <v>1478</v>
      </c>
    </row>
    <row r="336" spans="1:6" x14ac:dyDescent="0.25">
      <c r="A336" t="s">
        <v>1072</v>
      </c>
      <c r="B336" t="s">
        <v>13</v>
      </c>
      <c r="C336">
        <v>-2.571777</v>
      </c>
      <c r="D336">
        <v>12.120642</v>
      </c>
      <c r="E336" t="s">
        <v>1482</v>
      </c>
      <c r="F336" t="s">
        <v>1481</v>
      </c>
    </row>
    <row r="337" spans="1:6" x14ac:dyDescent="0.25">
      <c r="A337" t="s">
        <v>1597</v>
      </c>
      <c r="B337" t="s">
        <v>35</v>
      </c>
      <c r="C337">
        <v>3.6466850000000002</v>
      </c>
      <c r="D337">
        <v>15.408844</v>
      </c>
      <c r="E337" t="s">
        <v>1482</v>
      </c>
      <c r="F337" t="s">
        <v>1483</v>
      </c>
    </row>
    <row r="338" spans="1:6" x14ac:dyDescent="0.25">
      <c r="A338" t="s">
        <v>1181</v>
      </c>
      <c r="B338" t="s">
        <v>131</v>
      </c>
      <c r="C338">
        <v>-12.336202</v>
      </c>
      <c r="D338">
        <v>13.693683999999999</v>
      </c>
      <c r="E338" t="s">
        <v>1477</v>
      </c>
      <c r="F338" t="s">
        <v>1481</v>
      </c>
    </row>
    <row r="339" spans="1:6" x14ac:dyDescent="0.25">
      <c r="A339" t="s">
        <v>1598</v>
      </c>
      <c r="B339" t="s">
        <v>62</v>
      </c>
      <c r="C339">
        <v>-10.451371</v>
      </c>
      <c r="D339">
        <v>24.38336</v>
      </c>
      <c r="E339" t="s">
        <v>1482</v>
      </c>
      <c r="F339" t="s">
        <v>1478</v>
      </c>
    </row>
    <row r="340" spans="1:6" x14ac:dyDescent="0.25">
      <c r="A340" t="s">
        <v>843</v>
      </c>
      <c r="B340" t="s">
        <v>16</v>
      </c>
      <c r="C340">
        <v>-1.231033</v>
      </c>
      <c r="D340">
        <v>28.851388</v>
      </c>
      <c r="E340" t="s">
        <v>1482</v>
      </c>
      <c r="F340" t="s">
        <v>1478</v>
      </c>
    </row>
    <row r="341" spans="1:6" x14ac:dyDescent="0.25">
      <c r="A341" t="s">
        <v>1599</v>
      </c>
      <c r="B341" t="s">
        <v>16</v>
      </c>
      <c r="C341">
        <v>-4.5180470000000001</v>
      </c>
      <c r="D341">
        <v>19.908223</v>
      </c>
      <c r="E341" t="s">
        <v>1477</v>
      </c>
      <c r="F341" t="s">
        <v>1481</v>
      </c>
    </row>
    <row r="342" spans="1:6" x14ac:dyDescent="0.25">
      <c r="A342" t="s">
        <v>1600</v>
      </c>
      <c r="B342" t="s">
        <v>40</v>
      </c>
      <c r="C342">
        <v>3.524343</v>
      </c>
      <c r="D342">
        <v>27.340824000000001</v>
      </c>
      <c r="E342" t="s">
        <v>1480</v>
      </c>
      <c r="F342" t="s">
        <v>1478</v>
      </c>
    </row>
    <row r="343" spans="1:6" x14ac:dyDescent="0.25">
      <c r="A343" t="s">
        <v>1601</v>
      </c>
      <c r="B343" t="s">
        <v>21</v>
      </c>
      <c r="C343">
        <v>-12.17557</v>
      </c>
      <c r="D343">
        <v>26.678691000000001</v>
      </c>
      <c r="E343" t="s">
        <v>1480</v>
      </c>
      <c r="F343" t="s">
        <v>1481</v>
      </c>
    </row>
    <row r="344" spans="1:6" x14ac:dyDescent="0.25">
      <c r="A344" t="s">
        <v>1283</v>
      </c>
      <c r="B344" t="s">
        <v>60</v>
      </c>
      <c r="C344">
        <v>-0.37665700000000002</v>
      </c>
      <c r="D344">
        <v>25.154807999999999</v>
      </c>
      <c r="E344" t="s">
        <v>1482</v>
      </c>
      <c r="F344" t="s">
        <v>1490</v>
      </c>
    </row>
    <row r="345" spans="1:6" x14ac:dyDescent="0.25">
      <c r="A345" t="s">
        <v>873</v>
      </c>
      <c r="B345" t="s">
        <v>78</v>
      </c>
      <c r="C345">
        <v>-10.650321</v>
      </c>
      <c r="D345">
        <v>15.917044000000001</v>
      </c>
      <c r="E345" t="s">
        <v>1480</v>
      </c>
      <c r="F345" t="s">
        <v>1490</v>
      </c>
    </row>
    <row r="346" spans="1:6" x14ac:dyDescent="0.25">
      <c r="A346" t="s">
        <v>1602</v>
      </c>
      <c r="B346" t="s">
        <v>40</v>
      </c>
      <c r="C346">
        <v>-9.8995180000000005</v>
      </c>
      <c r="D346">
        <v>24.156687999999999</v>
      </c>
      <c r="E346" t="s">
        <v>1480</v>
      </c>
      <c r="F346" t="s">
        <v>1478</v>
      </c>
    </row>
    <row r="347" spans="1:6" x14ac:dyDescent="0.25">
      <c r="A347" t="s">
        <v>1332</v>
      </c>
      <c r="B347" t="s">
        <v>127</v>
      </c>
      <c r="C347">
        <v>-12.100756000000001</v>
      </c>
      <c r="D347">
        <v>21.938649999999999</v>
      </c>
      <c r="E347" t="s">
        <v>1480</v>
      </c>
      <c r="F347" t="s">
        <v>1481</v>
      </c>
    </row>
    <row r="348" spans="1:6" x14ac:dyDescent="0.25">
      <c r="A348" t="s">
        <v>1603</v>
      </c>
      <c r="B348" t="s">
        <v>137</v>
      </c>
      <c r="C348">
        <v>-7.4679279999999997</v>
      </c>
      <c r="D348">
        <v>19.828595</v>
      </c>
      <c r="E348" t="s">
        <v>1477</v>
      </c>
      <c r="F348" t="s">
        <v>1490</v>
      </c>
    </row>
    <row r="349" spans="1:6" x14ac:dyDescent="0.25">
      <c r="A349" t="s">
        <v>1094</v>
      </c>
      <c r="B349" t="s">
        <v>137</v>
      </c>
      <c r="C349">
        <v>1.286548</v>
      </c>
      <c r="D349">
        <v>29.823702999999998</v>
      </c>
      <c r="E349" t="s">
        <v>1480</v>
      </c>
      <c r="F349" t="s">
        <v>1483</v>
      </c>
    </row>
    <row r="350" spans="1:6" x14ac:dyDescent="0.25">
      <c r="A350" t="s">
        <v>870</v>
      </c>
      <c r="B350" t="s">
        <v>35</v>
      </c>
      <c r="C350">
        <v>-4.7886769999999999</v>
      </c>
      <c r="D350">
        <v>23.600221999999999</v>
      </c>
      <c r="E350" t="s">
        <v>1482</v>
      </c>
      <c r="F350" t="s">
        <v>1483</v>
      </c>
    </row>
    <row r="351" spans="1:6" x14ac:dyDescent="0.25">
      <c r="A351" t="s">
        <v>852</v>
      </c>
      <c r="B351" t="s">
        <v>57</v>
      </c>
      <c r="C351">
        <v>1.7832440000000001</v>
      </c>
      <c r="D351">
        <v>25.477405999999998</v>
      </c>
      <c r="E351" t="s">
        <v>1477</v>
      </c>
      <c r="F351" t="s">
        <v>1481</v>
      </c>
    </row>
    <row r="352" spans="1:6" x14ac:dyDescent="0.25">
      <c r="A352" t="s">
        <v>1604</v>
      </c>
      <c r="B352" t="s">
        <v>35</v>
      </c>
      <c r="C352">
        <v>-4.8560549999999996</v>
      </c>
      <c r="D352">
        <v>15.889538999999999</v>
      </c>
      <c r="E352" t="s">
        <v>1482</v>
      </c>
      <c r="F352" t="s">
        <v>1481</v>
      </c>
    </row>
    <row r="353" spans="1:6" x14ac:dyDescent="0.25">
      <c r="A353" t="s">
        <v>1605</v>
      </c>
      <c r="B353" t="s">
        <v>31</v>
      </c>
      <c r="C353">
        <v>-8.6707929999999998</v>
      </c>
      <c r="D353">
        <v>30.643781000000001</v>
      </c>
      <c r="E353" t="s">
        <v>1480</v>
      </c>
      <c r="F353" t="s">
        <v>1481</v>
      </c>
    </row>
    <row r="354" spans="1:6" x14ac:dyDescent="0.25">
      <c r="A354" t="s">
        <v>1606</v>
      </c>
      <c r="B354" t="s">
        <v>29</v>
      </c>
      <c r="C354">
        <v>-2.947235</v>
      </c>
      <c r="D354">
        <v>16.534020999999999</v>
      </c>
      <c r="E354" t="s">
        <v>1482</v>
      </c>
      <c r="F354" t="s">
        <v>1490</v>
      </c>
    </row>
    <row r="355" spans="1:6" x14ac:dyDescent="0.25">
      <c r="A355" t="s">
        <v>1607</v>
      </c>
      <c r="B355" t="s">
        <v>24</v>
      </c>
      <c r="C355">
        <v>-12.776386</v>
      </c>
      <c r="D355">
        <v>14.157596</v>
      </c>
      <c r="E355" t="s">
        <v>1482</v>
      </c>
      <c r="F355" t="s">
        <v>1490</v>
      </c>
    </row>
    <row r="356" spans="1:6" x14ac:dyDescent="0.25">
      <c r="A356" t="s">
        <v>1226</v>
      </c>
      <c r="B356" t="s">
        <v>24</v>
      </c>
      <c r="C356">
        <v>0.172153</v>
      </c>
      <c r="D356">
        <v>21.091376</v>
      </c>
      <c r="E356" t="s">
        <v>1482</v>
      </c>
      <c r="F356" t="s">
        <v>1478</v>
      </c>
    </row>
    <row r="357" spans="1:6" x14ac:dyDescent="0.25">
      <c r="A357" t="s">
        <v>833</v>
      </c>
      <c r="B357" t="s">
        <v>16</v>
      </c>
      <c r="C357">
        <v>4.0988100000000003</v>
      </c>
      <c r="D357">
        <v>29.843810999999999</v>
      </c>
      <c r="E357" t="s">
        <v>1482</v>
      </c>
      <c r="F357" t="s">
        <v>1481</v>
      </c>
    </row>
    <row r="358" spans="1:6" x14ac:dyDescent="0.25">
      <c r="A358" t="s">
        <v>1063</v>
      </c>
      <c r="B358" t="s">
        <v>31</v>
      </c>
      <c r="C358">
        <v>-10.611184</v>
      </c>
      <c r="D358">
        <v>23.022268</v>
      </c>
      <c r="E358" t="s">
        <v>1477</v>
      </c>
      <c r="F358" t="s">
        <v>1483</v>
      </c>
    </row>
    <row r="359" spans="1:6" x14ac:dyDescent="0.25">
      <c r="A359" t="s">
        <v>1455</v>
      </c>
      <c r="B359" t="s">
        <v>29</v>
      </c>
      <c r="C359">
        <v>-7.6757720000000003</v>
      </c>
      <c r="D359">
        <v>30.222971000000001</v>
      </c>
      <c r="E359" t="s">
        <v>1477</v>
      </c>
      <c r="F359" t="s">
        <v>1478</v>
      </c>
    </row>
    <row r="360" spans="1:6" x14ac:dyDescent="0.25">
      <c r="A360" t="s">
        <v>1249</v>
      </c>
      <c r="B360" t="s">
        <v>89</v>
      </c>
      <c r="C360">
        <v>-1.342476</v>
      </c>
      <c r="D360">
        <v>15.986086</v>
      </c>
      <c r="E360" t="s">
        <v>1480</v>
      </c>
      <c r="F360" t="s">
        <v>1478</v>
      </c>
    </row>
    <row r="361" spans="1:6" x14ac:dyDescent="0.25">
      <c r="A361" t="s">
        <v>1608</v>
      </c>
      <c r="B361" t="s">
        <v>60</v>
      </c>
      <c r="C361">
        <v>-11.366868999999999</v>
      </c>
      <c r="D361">
        <v>26.155318000000001</v>
      </c>
      <c r="E361" t="s">
        <v>1480</v>
      </c>
      <c r="F361" t="s">
        <v>1481</v>
      </c>
    </row>
    <row r="362" spans="1:6" x14ac:dyDescent="0.25">
      <c r="A362" t="s">
        <v>997</v>
      </c>
      <c r="B362" t="s">
        <v>57</v>
      </c>
      <c r="C362">
        <v>-4.3639070000000002</v>
      </c>
      <c r="D362">
        <v>16.283307000000001</v>
      </c>
      <c r="E362" t="s">
        <v>1477</v>
      </c>
      <c r="F362" t="s">
        <v>1481</v>
      </c>
    </row>
    <row r="363" spans="1:6" x14ac:dyDescent="0.25">
      <c r="A363" t="s">
        <v>1217</v>
      </c>
      <c r="B363" t="s">
        <v>40</v>
      </c>
      <c r="C363">
        <v>-7.5129409999999996</v>
      </c>
      <c r="D363">
        <v>18.701522000000001</v>
      </c>
      <c r="E363" t="s">
        <v>1480</v>
      </c>
      <c r="F363" t="s">
        <v>1490</v>
      </c>
    </row>
    <row r="364" spans="1:6" x14ac:dyDescent="0.25">
      <c r="A364" t="s">
        <v>846</v>
      </c>
      <c r="B364" t="s">
        <v>10</v>
      </c>
      <c r="C364">
        <v>-0.34051900000000002</v>
      </c>
      <c r="D364">
        <v>17.079799000000001</v>
      </c>
      <c r="E364" t="s">
        <v>1477</v>
      </c>
      <c r="F364" t="s">
        <v>1478</v>
      </c>
    </row>
    <row r="365" spans="1:6" x14ac:dyDescent="0.25">
      <c r="A365" t="s">
        <v>929</v>
      </c>
      <c r="B365" t="s">
        <v>73</v>
      </c>
      <c r="C365">
        <v>2.4425979999999998</v>
      </c>
      <c r="D365">
        <v>24.924308</v>
      </c>
      <c r="E365" t="s">
        <v>1477</v>
      </c>
      <c r="F365" t="s">
        <v>1478</v>
      </c>
    </row>
    <row r="366" spans="1:6" x14ac:dyDescent="0.25">
      <c r="A366" t="s">
        <v>1136</v>
      </c>
      <c r="B366" t="s">
        <v>26</v>
      </c>
      <c r="C366">
        <v>0.45116099999999998</v>
      </c>
      <c r="D366">
        <v>17.265761000000001</v>
      </c>
      <c r="E366" t="s">
        <v>1480</v>
      </c>
      <c r="F366" t="s">
        <v>1481</v>
      </c>
    </row>
    <row r="367" spans="1:6" x14ac:dyDescent="0.25">
      <c r="A367" t="s">
        <v>1098</v>
      </c>
      <c r="B367" t="s">
        <v>33</v>
      </c>
      <c r="C367">
        <v>-12.560556999999999</v>
      </c>
      <c r="D367">
        <v>13.204014000000001</v>
      </c>
      <c r="E367" t="s">
        <v>1480</v>
      </c>
      <c r="F367" t="s">
        <v>1478</v>
      </c>
    </row>
    <row r="368" spans="1:6" x14ac:dyDescent="0.25">
      <c r="A368" t="s">
        <v>1427</v>
      </c>
      <c r="B368" t="s">
        <v>89</v>
      </c>
      <c r="C368">
        <v>-4.8128659999999996</v>
      </c>
      <c r="D368">
        <v>18.559304999999998</v>
      </c>
      <c r="E368" t="s">
        <v>1477</v>
      </c>
      <c r="F368" t="s">
        <v>1483</v>
      </c>
    </row>
    <row r="369" spans="1:6" x14ac:dyDescent="0.25">
      <c r="A369" t="s">
        <v>1609</v>
      </c>
      <c r="B369" t="s">
        <v>26</v>
      </c>
      <c r="C369">
        <v>0.89302999999999999</v>
      </c>
      <c r="D369">
        <v>21.238310999999999</v>
      </c>
      <c r="E369" t="s">
        <v>1477</v>
      </c>
      <c r="F369" t="s">
        <v>1481</v>
      </c>
    </row>
    <row r="370" spans="1:6" x14ac:dyDescent="0.25">
      <c r="A370" t="s">
        <v>1610</v>
      </c>
      <c r="B370" t="s">
        <v>127</v>
      </c>
      <c r="C370">
        <v>2.7355830000000001</v>
      </c>
      <c r="D370">
        <v>22.006969000000002</v>
      </c>
      <c r="E370" t="s">
        <v>1477</v>
      </c>
      <c r="F370" t="s">
        <v>1478</v>
      </c>
    </row>
    <row r="371" spans="1:6" x14ac:dyDescent="0.25">
      <c r="A371" t="s">
        <v>996</v>
      </c>
      <c r="B371" t="s">
        <v>67</v>
      </c>
      <c r="C371">
        <v>-5.7035130000000001</v>
      </c>
      <c r="D371">
        <v>14.331479</v>
      </c>
      <c r="E371" t="s">
        <v>1477</v>
      </c>
      <c r="F371" t="s">
        <v>1490</v>
      </c>
    </row>
    <row r="372" spans="1:6" x14ac:dyDescent="0.25">
      <c r="A372" t="s">
        <v>1611</v>
      </c>
      <c r="B372" t="s">
        <v>64</v>
      </c>
      <c r="C372">
        <v>1.217457</v>
      </c>
      <c r="D372">
        <v>25.48668</v>
      </c>
      <c r="E372" t="s">
        <v>1477</v>
      </c>
      <c r="F372" t="s">
        <v>1490</v>
      </c>
    </row>
    <row r="373" spans="1:6" x14ac:dyDescent="0.25">
      <c r="A373" t="s">
        <v>830</v>
      </c>
      <c r="B373" t="s">
        <v>18</v>
      </c>
      <c r="C373">
        <v>-6.3324319999999998</v>
      </c>
      <c r="D373">
        <v>24.887858000000001</v>
      </c>
      <c r="E373" t="s">
        <v>1480</v>
      </c>
      <c r="F373" t="s">
        <v>1483</v>
      </c>
    </row>
    <row r="374" spans="1:6" x14ac:dyDescent="0.25">
      <c r="A374" t="s">
        <v>1341</v>
      </c>
      <c r="B374" t="s">
        <v>10</v>
      </c>
      <c r="C374">
        <v>-4.6426759999999998</v>
      </c>
      <c r="D374">
        <v>22.124254000000001</v>
      </c>
      <c r="E374" t="s">
        <v>1480</v>
      </c>
      <c r="F374" t="s">
        <v>1483</v>
      </c>
    </row>
    <row r="375" spans="1:6" x14ac:dyDescent="0.25">
      <c r="A375" t="s">
        <v>1612</v>
      </c>
      <c r="B375" t="s">
        <v>18</v>
      </c>
      <c r="C375">
        <v>-1.598759</v>
      </c>
      <c r="D375">
        <v>17.553023</v>
      </c>
      <c r="E375" t="s">
        <v>1480</v>
      </c>
      <c r="F375" t="s">
        <v>1481</v>
      </c>
    </row>
    <row r="376" spans="1:6" x14ac:dyDescent="0.25">
      <c r="A376" t="s">
        <v>1383</v>
      </c>
      <c r="B376" t="s">
        <v>57</v>
      </c>
      <c r="C376">
        <v>2.486888</v>
      </c>
      <c r="D376">
        <v>23.798074</v>
      </c>
      <c r="E376" t="s">
        <v>1477</v>
      </c>
      <c r="F376" t="s">
        <v>1483</v>
      </c>
    </row>
    <row r="377" spans="1:6" x14ac:dyDescent="0.25">
      <c r="A377" t="s">
        <v>1613</v>
      </c>
      <c r="B377" t="s">
        <v>57</v>
      </c>
      <c r="C377">
        <v>-11.727425</v>
      </c>
      <c r="D377">
        <v>27.198173000000001</v>
      </c>
      <c r="E377" t="s">
        <v>1482</v>
      </c>
      <c r="F377" t="s">
        <v>1478</v>
      </c>
    </row>
    <row r="378" spans="1:6" x14ac:dyDescent="0.25">
      <c r="A378" t="s">
        <v>1614</v>
      </c>
      <c r="B378" t="s">
        <v>78</v>
      </c>
      <c r="C378">
        <v>3.08182</v>
      </c>
      <c r="D378">
        <v>29.961940999999999</v>
      </c>
      <c r="E378" t="s">
        <v>1480</v>
      </c>
      <c r="F378" t="s">
        <v>1481</v>
      </c>
    </row>
    <row r="379" spans="1:6" x14ac:dyDescent="0.25">
      <c r="A379" t="s">
        <v>832</v>
      </c>
      <c r="B379" t="s">
        <v>10</v>
      </c>
      <c r="C379">
        <v>-7.0076900000000002</v>
      </c>
      <c r="D379">
        <v>27.367121999999998</v>
      </c>
      <c r="E379" t="s">
        <v>1482</v>
      </c>
      <c r="F379" t="s">
        <v>1490</v>
      </c>
    </row>
    <row r="380" spans="1:6" x14ac:dyDescent="0.25">
      <c r="A380" t="s">
        <v>1615</v>
      </c>
      <c r="B380" t="s">
        <v>89</v>
      </c>
      <c r="C380">
        <v>-12.411144999999999</v>
      </c>
      <c r="D380">
        <v>29.876642</v>
      </c>
      <c r="E380" t="s">
        <v>1480</v>
      </c>
      <c r="F380" t="s">
        <v>1478</v>
      </c>
    </row>
    <row r="381" spans="1:6" x14ac:dyDescent="0.25">
      <c r="A381" t="s">
        <v>1616</v>
      </c>
      <c r="B381" t="s">
        <v>57</v>
      </c>
      <c r="C381">
        <v>-5.3337589999999997</v>
      </c>
      <c r="D381">
        <v>13.246924</v>
      </c>
      <c r="E381" t="s">
        <v>1482</v>
      </c>
      <c r="F381" t="s">
        <v>1478</v>
      </c>
    </row>
    <row r="382" spans="1:6" x14ac:dyDescent="0.25">
      <c r="A382" t="s">
        <v>806</v>
      </c>
      <c r="B382" t="s">
        <v>89</v>
      </c>
      <c r="C382">
        <v>-8.1437910000000002</v>
      </c>
      <c r="D382">
        <v>28.946161</v>
      </c>
      <c r="E382" t="s">
        <v>1480</v>
      </c>
      <c r="F382" t="s">
        <v>1483</v>
      </c>
    </row>
    <row r="383" spans="1:6" x14ac:dyDescent="0.25">
      <c r="A383" t="s">
        <v>1617</v>
      </c>
      <c r="B383" t="s">
        <v>44</v>
      </c>
      <c r="C383">
        <v>4.0297190000000001</v>
      </c>
      <c r="D383">
        <v>20.699608000000001</v>
      </c>
      <c r="E383" t="s">
        <v>1480</v>
      </c>
      <c r="F383" t="s">
        <v>1478</v>
      </c>
    </row>
    <row r="384" spans="1:6" x14ac:dyDescent="0.25">
      <c r="A384" t="s">
        <v>1618</v>
      </c>
      <c r="B384" t="s">
        <v>89</v>
      </c>
      <c r="C384">
        <v>-3.2361680000000002</v>
      </c>
      <c r="D384">
        <v>13.523237999999999</v>
      </c>
      <c r="E384" t="s">
        <v>1480</v>
      </c>
      <c r="F384" t="s">
        <v>1481</v>
      </c>
    </row>
    <row r="385" spans="1:6" x14ac:dyDescent="0.25">
      <c r="A385" t="s">
        <v>1267</v>
      </c>
      <c r="B385" t="s">
        <v>64</v>
      </c>
      <c r="C385">
        <v>1.3006180000000001</v>
      </c>
      <c r="D385">
        <v>29.060970999999999</v>
      </c>
      <c r="E385" t="s">
        <v>1482</v>
      </c>
      <c r="F385" t="s">
        <v>1483</v>
      </c>
    </row>
    <row r="386" spans="1:6" x14ac:dyDescent="0.25">
      <c r="A386" t="s">
        <v>1619</v>
      </c>
      <c r="B386" t="s">
        <v>10</v>
      </c>
      <c r="C386">
        <v>1.178453</v>
      </c>
      <c r="D386">
        <v>17.479081000000001</v>
      </c>
      <c r="E386" t="s">
        <v>1482</v>
      </c>
      <c r="F386" t="s">
        <v>1478</v>
      </c>
    </row>
    <row r="387" spans="1:6" x14ac:dyDescent="0.25">
      <c r="A387" t="s">
        <v>1620</v>
      </c>
      <c r="B387" t="s">
        <v>62</v>
      </c>
      <c r="C387">
        <v>-11.542737000000001</v>
      </c>
      <c r="D387">
        <v>30.175912</v>
      </c>
      <c r="E387" t="s">
        <v>1480</v>
      </c>
      <c r="F387" t="s">
        <v>1490</v>
      </c>
    </row>
    <row r="388" spans="1:6" x14ac:dyDescent="0.25">
      <c r="A388" t="s">
        <v>1069</v>
      </c>
      <c r="B388" t="s">
        <v>62</v>
      </c>
      <c r="C388">
        <v>2.8552499999999998</v>
      </c>
      <c r="D388">
        <v>14.077933</v>
      </c>
      <c r="E388" t="s">
        <v>1480</v>
      </c>
      <c r="F388" t="s">
        <v>1483</v>
      </c>
    </row>
    <row r="389" spans="1:6" x14ac:dyDescent="0.25">
      <c r="A389" t="s">
        <v>1621</v>
      </c>
      <c r="B389" t="s">
        <v>26</v>
      </c>
      <c r="C389">
        <v>0.24369399999999999</v>
      </c>
      <c r="D389">
        <v>17.242912</v>
      </c>
      <c r="E389" t="s">
        <v>1480</v>
      </c>
      <c r="F389" t="s">
        <v>1490</v>
      </c>
    </row>
    <row r="390" spans="1:6" x14ac:dyDescent="0.25">
      <c r="A390" t="s">
        <v>1622</v>
      </c>
      <c r="B390" t="s">
        <v>18</v>
      </c>
      <c r="C390">
        <v>-12.013389999999999</v>
      </c>
      <c r="D390">
        <v>25.24456</v>
      </c>
      <c r="E390" t="s">
        <v>1482</v>
      </c>
      <c r="F390" t="s">
        <v>1481</v>
      </c>
    </row>
    <row r="391" spans="1:6" x14ac:dyDescent="0.25">
      <c r="A391" t="s">
        <v>944</v>
      </c>
      <c r="B391" t="s">
        <v>137</v>
      </c>
      <c r="C391">
        <v>4.0157999999999996</v>
      </c>
      <c r="D391">
        <v>21.430246</v>
      </c>
      <c r="E391" t="s">
        <v>1477</v>
      </c>
      <c r="F391" t="s">
        <v>1490</v>
      </c>
    </row>
    <row r="392" spans="1:6" x14ac:dyDescent="0.25">
      <c r="A392" t="s">
        <v>1229</v>
      </c>
      <c r="B392" t="s">
        <v>73</v>
      </c>
      <c r="C392">
        <v>-0.85624699999999998</v>
      </c>
      <c r="D392">
        <v>28.624870000000001</v>
      </c>
      <c r="E392" t="s">
        <v>1482</v>
      </c>
      <c r="F392" t="s">
        <v>1478</v>
      </c>
    </row>
    <row r="393" spans="1:6" x14ac:dyDescent="0.25">
      <c r="A393" t="s">
        <v>1623</v>
      </c>
      <c r="B393" t="s">
        <v>62</v>
      </c>
      <c r="C393">
        <v>2.9836019999999999</v>
      </c>
      <c r="D393">
        <v>21.893065</v>
      </c>
      <c r="E393" t="s">
        <v>1477</v>
      </c>
      <c r="F393" t="s">
        <v>1490</v>
      </c>
    </row>
    <row r="394" spans="1:6" x14ac:dyDescent="0.25">
      <c r="A394" t="s">
        <v>1423</v>
      </c>
      <c r="B394" t="s">
        <v>10</v>
      </c>
      <c r="C394">
        <v>-11.002602</v>
      </c>
      <c r="D394">
        <v>23.918247999999998</v>
      </c>
      <c r="E394" t="s">
        <v>1477</v>
      </c>
      <c r="F394" t="s">
        <v>1483</v>
      </c>
    </row>
    <row r="395" spans="1:6" x14ac:dyDescent="0.25">
      <c r="A395" t="s">
        <v>1624</v>
      </c>
      <c r="B395" t="s">
        <v>73</v>
      </c>
      <c r="C395">
        <v>-6.419365</v>
      </c>
      <c r="D395">
        <v>17.570219000000002</v>
      </c>
      <c r="E395" t="s">
        <v>1480</v>
      </c>
      <c r="F395" t="s">
        <v>1481</v>
      </c>
    </row>
    <row r="396" spans="1:6" x14ac:dyDescent="0.25">
      <c r="A396" t="s">
        <v>1180</v>
      </c>
      <c r="B396" t="s">
        <v>131</v>
      </c>
      <c r="C396">
        <v>-1.8555980000000001</v>
      </c>
      <c r="D396">
        <v>30.421918000000002</v>
      </c>
      <c r="E396" t="s">
        <v>1482</v>
      </c>
      <c r="F396" t="s">
        <v>1483</v>
      </c>
    </row>
    <row r="397" spans="1:6" x14ac:dyDescent="0.25">
      <c r="A397" t="s">
        <v>995</v>
      </c>
      <c r="B397" t="s">
        <v>26</v>
      </c>
      <c r="C397">
        <v>-6.4197189999999997</v>
      </c>
      <c r="D397">
        <v>22.287264</v>
      </c>
      <c r="E397" t="s">
        <v>1482</v>
      </c>
      <c r="F397" t="s">
        <v>1478</v>
      </c>
    </row>
    <row r="398" spans="1:6" x14ac:dyDescent="0.25">
      <c r="A398" t="s">
        <v>1625</v>
      </c>
      <c r="B398" t="s">
        <v>24</v>
      </c>
      <c r="C398">
        <v>-9.8451869999999992</v>
      </c>
      <c r="D398">
        <v>14.508520000000001</v>
      </c>
      <c r="E398" t="s">
        <v>1477</v>
      </c>
      <c r="F398" t="s">
        <v>1490</v>
      </c>
    </row>
    <row r="399" spans="1:6" x14ac:dyDescent="0.25">
      <c r="A399" t="s">
        <v>1328</v>
      </c>
      <c r="B399" t="s">
        <v>24</v>
      </c>
      <c r="C399">
        <v>-2.9417719999999998</v>
      </c>
      <c r="D399">
        <v>18.587305000000001</v>
      </c>
      <c r="E399" t="s">
        <v>1477</v>
      </c>
      <c r="F399" t="s">
        <v>1478</v>
      </c>
    </row>
    <row r="400" spans="1:6" x14ac:dyDescent="0.25">
      <c r="A400" t="s">
        <v>1035</v>
      </c>
      <c r="B400" t="s">
        <v>37</v>
      </c>
      <c r="C400">
        <v>-11.793894</v>
      </c>
      <c r="D400">
        <v>20.433340999999999</v>
      </c>
      <c r="E400" t="s">
        <v>1477</v>
      </c>
      <c r="F400" t="s">
        <v>1490</v>
      </c>
    </row>
    <row r="401" spans="1:6" x14ac:dyDescent="0.25">
      <c r="A401" t="s">
        <v>1626</v>
      </c>
      <c r="B401" t="s">
        <v>57</v>
      </c>
      <c r="C401">
        <v>0.114899</v>
      </c>
      <c r="D401">
        <v>30.510916000000002</v>
      </c>
      <c r="E401" t="s">
        <v>1482</v>
      </c>
      <c r="F401" t="s">
        <v>1490</v>
      </c>
    </row>
    <row r="402" spans="1:6" x14ac:dyDescent="0.25">
      <c r="A402" t="s">
        <v>989</v>
      </c>
      <c r="B402" t="s">
        <v>24</v>
      </c>
      <c r="C402">
        <v>-5.5445120000000001</v>
      </c>
      <c r="D402">
        <v>27.547335</v>
      </c>
      <c r="E402" t="s">
        <v>1480</v>
      </c>
      <c r="F402" t="s">
        <v>1478</v>
      </c>
    </row>
    <row r="403" spans="1:6" x14ac:dyDescent="0.25">
      <c r="A403" t="s">
        <v>956</v>
      </c>
      <c r="B403" t="s">
        <v>137</v>
      </c>
      <c r="C403">
        <v>2.0392079999999999</v>
      </c>
      <c r="D403">
        <v>19.090841999999999</v>
      </c>
      <c r="E403" t="s">
        <v>1480</v>
      </c>
      <c r="F403" t="s">
        <v>1490</v>
      </c>
    </row>
    <row r="404" spans="1:6" x14ac:dyDescent="0.25">
      <c r="A404" t="s">
        <v>1236</v>
      </c>
      <c r="B404" t="s">
        <v>67</v>
      </c>
      <c r="C404">
        <v>-2.2371569999999998</v>
      </c>
      <c r="D404">
        <v>25.926188</v>
      </c>
      <c r="E404" t="s">
        <v>1482</v>
      </c>
      <c r="F404" t="s">
        <v>1490</v>
      </c>
    </row>
    <row r="405" spans="1:6" x14ac:dyDescent="0.25">
      <c r="A405" t="s">
        <v>1402</v>
      </c>
      <c r="B405" t="s">
        <v>33</v>
      </c>
      <c r="C405">
        <v>-10.414493</v>
      </c>
      <c r="D405">
        <v>12.333356999999999</v>
      </c>
      <c r="E405" t="s">
        <v>1482</v>
      </c>
      <c r="F405" t="s">
        <v>1478</v>
      </c>
    </row>
    <row r="406" spans="1:6" x14ac:dyDescent="0.25">
      <c r="A406" t="s">
        <v>1073</v>
      </c>
      <c r="B406" t="s">
        <v>64</v>
      </c>
      <c r="C406">
        <v>-7.5418399999999997</v>
      </c>
      <c r="D406">
        <v>16.931206</v>
      </c>
      <c r="E406" t="s">
        <v>1482</v>
      </c>
      <c r="F406" t="s">
        <v>1490</v>
      </c>
    </row>
    <row r="407" spans="1:6" x14ac:dyDescent="0.25">
      <c r="A407" t="s">
        <v>1627</v>
      </c>
      <c r="B407" t="s">
        <v>40</v>
      </c>
      <c r="C407">
        <v>4.7908840000000001</v>
      </c>
      <c r="D407">
        <v>23.051435000000001</v>
      </c>
      <c r="E407" t="s">
        <v>1482</v>
      </c>
      <c r="F407" t="s">
        <v>1490</v>
      </c>
    </row>
    <row r="408" spans="1:6" x14ac:dyDescent="0.25">
      <c r="A408" t="s">
        <v>1628</v>
      </c>
      <c r="B408" t="s">
        <v>60</v>
      </c>
      <c r="C408">
        <v>-3.544581</v>
      </c>
      <c r="D408">
        <v>14.776605</v>
      </c>
      <c r="E408" t="s">
        <v>1480</v>
      </c>
      <c r="F408" t="s">
        <v>1490</v>
      </c>
    </row>
    <row r="409" spans="1:6" x14ac:dyDescent="0.25">
      <c r="A409" t="s">
        <v>1270</v>
      </c>
      <c r="B409" t="s">
        <v>127</v>
      </c>
      <c r="C409">
        <v>-6.9624990000000002</v>
      </c>
      <c r="D409">
        <v>20.759834999999999</v>
      </c>
      <c r="E409" t="s">
        <v>1480</v>
      </c>
      <c r="F409" t="s">
        <v>1481</v>
      </c>
    </row>
    <row r="410" spans="1:6" x14ac:dyDescent="0.25">
      <c r="A410" t="s">
        <v>1629</v>
      </c>
      <c r="B410" t="s">
        <v>13</v>
      </c>
      <c r="C410">
        <v>3.796754</v>
      </c>
      <c r="D410">
        <v>25.172377999999998</v>
      </c>
      <c r="E410" t="s">
        <v>1480</v>
      </c>
      <c r="F410" t="s">
        <v>1481</v>
      </c>
    </row>
    <row r="411" spans="1:6" x14ac:dyDescent="0.25">
      <c r="A411" t="s">
        <v>1076</v>
      </c>
      <c r="B411" t="s">
        <v>13</v>
      </c>
      <c r="C411">
        <v>-2.3677800000000002</v>
      </c>
      <c r="D411">
        <v>18.790323999999998</v>
      </c>
      <c r="E411" t="s">
        <v>1477</v>
      </c>
      <c r="F411" t="s">
        <v>1481</v>
      </c>
    </row>
    <row r="412" spans="1:6" x14ac:dyDescent="0.25">
      <c r="A412" t="s">
        <v>1630</v>
      </c>
      <c r="B412" t="s">
        <v>40</v>
      </c>
      <c r="C412">
        <v>-6.236097</v>
      </c>
      <c r="D412">
        <v>13.004878</v>
      </c>
      <c r="E412" t="s">
        <v>1480</v>
      </c>
      <c r="F412" t="s">
        <v>1478</v>
      </c>
    </row>
    <row r="413" spans="1:6" x14ac:dyDescent="0.25">
      <c r="A413" t="s">
        <v>1631</v>
      </c>
      <c r="B413" t="s">
        <v>73</v>
      </c>
      <c r="C413">
        <v>-12.88086</v>
      </c>
      <c r="D413">
        <v>18.862106000000001</v>
      </c>
      <c r="E413" t="s">
        <v>1482</v>
      </c>
      <c r="F413" t="s">
        <v>1490</v>
      </c>
    </row>
    <row r="414" spans="1:6" x14ac:dyDescent="0.25">
      <c r="A414" t="s">
        <v>1632</v>
      </c>
      <c r="B414" t="s">
        <v>131</v>
      </c>
      <c r="C414">
        <v>-1.501492</v>
      </c>
      <c r="D414">
        <v>24.088695999999999</v>
      </c>
      <c r="E414" t="s">
        <v>1480</v>
      </c>
      <c r="F414" t="s">
        <v>1490</v>
      </c>
    </row>
    <row r="415" spans="1:6" x14ac:dyDescent="0.25">
      <c r="A415" t="s">
        <v>858</v>
      </c>
      <c r="B415" t="s">
        <v>33</v>
      </c>
      <c r="C415">
        <v>-8.0800809999999998</v>
      </c>
      <c r="D415">
        <v>30.147970999999998</v>
      </c>
      <c r="E415" t="s">
        <v>1477</v>
      </c>
      <c r="F415" t="s">
        <v>1481</v>
      </c>
    </row>
    <row r="416" spans="1:6" x14ac:dyDescent="0.25">
      <c r="A416" t="s">
        <v>1633</v>
      </c>
      <c r="B416" t="s">
        <v>26</v>
      </c>
      <c r="C416">
        <v>-9.8519260000000006</v>
      </c>
      <c r="D416">
        <v>12.925583</v>
      </c>
      <c r="E416" t="s">
        <v>1477</v>
      </c>
      <c r="F416" t="s">
        <v>1478</v>
      </c>
    </row>
    <row r="417" spans="1:6" x14ac:dyDescent="0.25">
      <c r="A417" t="s">
        <v>1002</v>
      </c>
      <c r="B417" t="s">
        <v>78</v>
      </c>
      <c r="C417">
        <v>-4.6818410000000004</v>
      </c>
      <c r="D417">
        <v>17.541618</v>
      </c>
      <c r="E417" t="s">
        <v>1480</v>
      </c>
      <c r="F417" t="s">
        <v>1478</v>
      </c>
    </row>
    <row r="418" spans="1:6" x14ac:dyDescent="0.25">
      <c r="A418" t="s">
        <v>1634</v>
      </c>
      <c r="B418" t="s">
        <v>31</v>
      </c>
      <c r="C418">
        <v>-2.7775059999999998</v>
      </c>
      <c r="D418">
        <v>24.139983999999998</v>
      </c>
      <c r="E418" t="s">
        <v>1482</v>
      </c>
      <c r="F418" t="s">
        <v>1478</v>
      </c>
    </row>
    <row r="419" spans="1:6" x14ac:dyDescent="0.25">
      <c r="A419" t="s">
        <v>1635</v>
      </c>
      <c r="B419" t="s">
        <v>31</v>
      </c>
      <c r="C419">
        <v>3.4676979999999999</v>
      </c>
      <c r="D419">
        <v>13.459707</v>
      </c>
      <c r="E419" t="s">
        <v>1477</v>
      </c>
      <c r="F419" t="s">
        <v>1481</v>
      </c>
    </row>
    <row r="420" spans="1:6" x14ac:dyDescent="0.25">
      <c r="A420" t="s">
        <v>1151</v>
      </c>
      <c r="B420" t="s">
        <v>73</v>
      </c>
      <c r="C420">
        <v>-9.4133639999999996</v>
      </c>
      <c r="D420">
        <v>15.682482</v>
      </c>
      <c r="E420" t="s">
        <v>1480</v>
      </c>
      <c r="F420" t="s">
        <v>1481</v>
      </c>
    </row>
    <row r="421" spans="1:6" x14ac:dyDescent="0.25">
      <c r="A421" t="s">
        <v>1284</v>
      </c>
      <c r="B421" t="s">
        <v>62</v>
      </c>
      <c r="C421">
        <v>1.981107</v>
      </c>
      <c r="D421">
        <v>23.932569000000001</v>
      </c>
      <c r="E421" t="s">
        <v>1482</v>
      </c>
      <c r="F421" t="s">
        <v>1490</v>
      </c>
    </row>
    <row r="422" spans="1:6" x14ac:dyDescent="0.25">
      <c r="A422" t="s">
        <v>1170</v>
      </c>
      <c r="B422" t="s">
        <v>13</v>
      </c>
      <c r="C422">
        <v>-7.789663</v>
      </c>
      <c r="D422">
        <v>26.529098000000001</v>
      </c>
      <c r="E422" t="s">
        <v>1477</v>
      </c>
      <c r="F422" t="s">
        <v>1490</v>
      </c>
    </row>
    <row r="423" spans="1:6" x14ac:dyDescent="0.25">
      <c r="A423" t="s">
        <v>972</v>
      </c>
      <c r="B423" t="s">
        <v>21</v>
      </c>
      <c r="C423">
        <v>-4.1694589999999998</v>
      </c>
      <c r="D423">
        <v>23.376487000000001</v>
      </c>
      <c r="E423" t="s">
        <v>1482</v>
      </c>
      <c r="F423" t="s">
        <v>1490</v>
      </c>
    </row>
    <row r="424" spans="1:6" x14ac:dyDescent="0.25">
      <c r="A424" t="s">
        <v>1102</v>
      </c>
      <c r="B424" t="s">
        <v>131</v>
      </c>
      <c r="C424">
        <v>1.8103860000000001</v>
      </c>
      <c r="D424">
        <v>15.175582</v>
      </c>
      <c r="E424" t="s">
        <v>1482</v>
      </c>
      <c r="F424" t="s">
        <v>1481</v>
      </c>
    </row>
    <row r="425" spans="1:6" x14ac:dyDescent="0.25">
      <c r="A425" t="s">
        <v>1058</v>
      </c>
      <c r="B425" t="s">
        <v>44</v>
      </c>
      <c r="C425">
        <v>-7.5641280000000002</v>
      </c>
      <c r="D425">
        <v>18.129529999999999</v>
      </c>
      <c r="E425" t="s">
        <v>1482</v>
      </c>
      <c r="F425" t="s">
        <v>1481</v>
      </c>
    </row>
    <row r="426" spans="1:6" x14ac:dyDescent="0.25">
      <c r="A426" t="s">
        <v>1426</v>
      </c>
      <c r="B426" t="s">
        <v>37</v>
      </c>
      <c r="C426">
        <v>-2.4662510000000002</v>
      </c>
      <c r="D426">
        <v>18.007998000000001</v>
      </c>
      <c r="E426" t="s">
        <v>1477</v>
      </c>
      <c r="F426" t="s">
        <v>1478</v>
      </c>
    </row>
    <row r="427" spans="1:6" x14ac:dyDescent="0.25">
      <c r="A427" t="s">
        <v>1636</v>
      </c>
      <c r="B427" t="s">
        <v>10</v>
      </c>
      <c r="C427">
        <v>-4.1061909999999999</v>
      </c>
      <c r="D427">
        <v>28.054902999999999</v>
      </c>
      <c r="E427" t="s">
        <v>1482</v>
      </c>
      <c r="F427" t="s">
        <v>1481</v>
      </c>
    </row>
    <row r="428" spans="1:6" x14ac:dyDescent="0.25">
      <c r="A428" t="s">
        <v>1031</v>
      </c>
      <c r="B428" t="s">
        <v>21</v>
      </c>
      <c r="C428">
        <v>0.31740800000000002</v>
      </c>
      <c r="D428">
        <v>27.197666999999999</v>
      </c>
      <c r="E428" t="s">
        <v>1477</v>
      </c>
      <c r="F428" t="s">
        <v>1490</v>
      </c>
    </row>
    <row r="429" spans="1:6" x14ac:dyDescent="0.25">
      <c r="A429" t="s">
        <v>1112</v>
      </c>
      <c r="B429" t="s">
        <v>131</v>
      </c>
      <c r="C429">
        <v>-8.9586360000000003</v>
      </c>
      <c r="D429">
        <v>17.157720000000001</v>
      </c>
      <c r="E429" t="s">
        <v>1482</v>
      </c>
      <c r="F429" t="s">
        <v>1490</v>
      </c>
    </row>
    <row r="430" spans="1:6" x14ac:dyDescent="0.25">
      <c r="A430" t="s">
        <v>1114</v>
      </c>
      <c r="B430" t="s">
        <v>21</v>
      </c>
      <c r="C430">
        <v>1.2419519999999999</v>
      </c>
      <c r="D430">
        <v>25.261382999999999</v>
      </c>
      <c r="E430" t="s">
        <v>1480</v>
      </c>
      <c r="F430" t="s">
        <v>1481</v>
      </c>
    </row>
    <row r="431" spans="1:6" x14ac:dyDescent="0.25">
      <c r="A431" t="s">
        <v>825</v>
      </c>
      <c r="B431" t="s">
        <v>64</v>
      </c>
      <c r="C431">
        <v>-10.227569000000001</v>
      </c>
      <c r="D431">
        <v>18.887930999999998</v>
      </c>
      <c r="E431" t="s">
        <v>1482</v>
      </c>
      <c r="F431" t="s">
        <v>1483</v>
      </c>
    </row>
    <row r="432" spans="1:6" x14ac:dyDescent="0.25">
      <c r="A432" t="s">
        <v>1463</v>
      </c>
      <c r="B432" t="s">
        <v>35</v>
      </c>
      <c r="C432">
        <v>-7.5969509999999998</v>
      </c>
      <c r="D432">
        <v>22.153986</v>
      </c>
      <c r="E432" t="s">
        <v>1482</v>
      </c>
      <c r="F432" t="s">
        <v>1478</v>
      </c>
    </row>
    <row r="433" spans="1:6" x14ac:dyDescent="0.25">
      <c r="A433" t="s">
        <v>1198</v>
      </c>
      <c r="B433" t="s">
        <v>21</v>
      </c>
      <c r="C433">
        <v>-1.4700059999999999</v>
      </c>
      <c r="D433">
        <v>18.680958</v>
      </c>
      <c r="E433" t="s">
        <v>1482</v>
      </c>
      <c r="F433" t="s">
        <v>1481</v>
      </c>
    </row>
    <row r="434" spans="1:6" x14ac:dyDescent="0.25">
      <c r="A434" t="s">
        <v>1344</v>
      </c>
      <c r="B434" t="s">
        <v>21</v>
      </c>
      <c r="C434">
        <v>-1.5419050000000001</v>
      </c>
      <c r="D434">
        <v>14.730632999999999</v>
      </c>
      <c r="E434" t="s">
        <v>1482</v>
      </c>
      <c r="F434" t="s">
        <v>1483</v>
      </c>
    </row>
    <row r="435" spans="1:6" x14ac:dyDescent="0.25">
      <c r="A435" t="s">
        <v>855</v>
      </c>
      <c r="B435" t="s">
        <v>35</v>
      </c>
      <c r="C435">
        <v>-10.764815</v>
      </c>
      <c r="D435">
        <v>14.602039</v>
      </c>
      <c r="E435" t="s">
        <v>1480</v>
      </c>
      <c r="F435" t="s">
        <v>1490</v>
      </c>
    </row>
    <row r="436" spans="1:6" x14ac:dyDescent="0.25">
      <c r="A436" t="s">
        <v>1062</v>
      </c>
      <c r="B436" t="s">
        <v>127</v>
      </c>
      <c r="C436">
        <v>-1.013558</v>
      </c>
      <c r="D436">
        <v>17.346937</v>
      </c>
      <c r="E436" t="s">
        <v>1477</v>
      </c>
      <c r="F436" t="s">
        <v>1481</v>
      </c>
    </row>
    <row r="437" spans="1:6" x14ac:dyDescent="0.25">
      <c r="A437" t="s">
        <v>952</v>
      </c>
      <c r="B437" t="s">
        <v>60</v>
      </c>
      <c r="C437">
        <v>-7.8215969999999997</v>
      </c>
      <c r="D437">
        <v>26.797349000000001</v>
      </c>
      <c r="E437" t="s">
        <v>1482</v>
      </c>
      <c r="F437" t="s">
        <v>1478</v>
      </c>
    </row>
    <row r="438" spans="1:6" x14ac:dyDescent="0.25">
      <c r="A438" t="s">
        <v>1277</v>
      </c>
      <c r="B438" t="s">
        <v>40</v>
      </c>
      <c r="C438">
        <v>-9.7712979999999998</v>
      </c>
      <c r="D438">
        <v>19.827895999999999</v>
      </c>
      <c r="E438" t="s">
        <v>1482</v>
      </c>
      <c r="F438" t="s">
        <v>1483</v>
      </c>
    </row>
    <row r="439" spans="1:6" x14ac:dyDescent="0.25">
      <c r="A439" t="s">
        <v>1637</v>
      </c>
      <c r="B439" t="s">
        <v>33</v>
      </c>
      <c r="C439">
        <v>3.3222779999999998</v>
      </c>
      <c r="D439">
        <v>29.497240000000001</v>
      </c>
      <c r="E439" t="s">
        <v>1482</v>
      </c>
      <c r="F439" t="s">
        <v>1483</v>
      </c>
    </row>
    <row r="440" spans="1:6" x14ac:dyDescent="0.25">
      <c r="A440" t="s">
        <v>1079</v>
      </c>
      <c r="B440" t="s">
        <v>18</v>
      </c>
      <c r="C440">
        <v>-1.3938550000000001</v>
      </c>
      <c r="D440">
        <v>15.097554000000001</v>
      </c>
      <c r="E440" t="s">
        <v>1480</v>
      </c>
      <c r="F440" t="s">
        <v>1481</v>
      </c>
    </row>
    <row r="441" spans="1:6" x14ac:dyDescent="0.25">
      <c r="A441" t="s">
        <v>1268</v>
      </c>
      <c r="B441" t="s">
        <v>127</v>
      </c>
      <c r="C441">
        <v>-12.488033</v>
      </c>
      <c r="D441">
        <v>16.139648000000001</v>
      </c>
      <c r="E441" t="s">
        <v>1480</v>
      </c>
      <c r="F441" t="s">
        <v>1481</v>
      </c>
    </row>
    <row r="442" spans="1:6" x14ac:dyDescent="0.25">
      <c r="A442" t="s">
        <v>1638</v>
      </c>
      <c r="B442" t="s">
        <v>18</v>
      </c>
      <c r="C442">
        <v>0.76493</v>
      </c>
      <c r="D442">
        <v>21.564274999999999</v>
      </c>
      <c r="E442" t="s">
        <v>1482</v>
      </c>
      <c r="F442" t="s">
        <v>1483</v>
      </c>
    </row>
    <row r="443" spans="1:6" x14ac:dyDescent="0.25">
      <c r="A443" t="s">
        <v>1337</v>
      </c>
      <c r="B443" t="s">
        <v>10</v>
      </c>
      <c r="C443">
        <v>-4.1250960000000001</v>
      </c>
      <c r="D443">
        <v>27.799897999999999</v>
      </c>
      <c r="E443" t="s">
        <v>1482</v>
      </c>
      <c r="F443" t="s">
        <v>1490</v>
      </c>
    </row>
    <row r="444" spans="1:6" x14ac:dyDescent="0.25">
      <c r="A444" t="s">
        <v>815</v>
      </c>
      <c r="B444" t="s">
        <v>24</v>
      </c>
      <c r="C444">
        <v>4.4712560000000003</v>
      </c>
      <c r="D444">
        <v>27.107028</v>
      </c>
      <c r="E444" t="s">
        <v>1482</v>
      </c>
      <c r="F444" t="s">
        <v>1478</v>
      </c>
    </row>
    <row r="445" spans="1:6" x14ac:dyDescent="0.25">
      <c r="A445" t="s">
        <v>1416</v>
      </c>
      <c r="B445" t="s">
        <v>127</v>
      </c>
      <c r="C445">
        <v>-2.2199559999999998</v>
      </c>
      <c r="D445">
        <v>22.614449</v>
      </c>
      <c r="E445" t="s">
        <v>1482</v>
      </c>
      <c r="F445" t="s">
        <v>1490</v>
      </c>
    </row>
    <row r="446" spans="1:6" x14ac:dyDescent="0.25">
      <c r="A446" t="s">
        <v>971</v>
      </c>
      <c r="B446" t="s">
        <v>35</v>
      </c>
      <c r="C446">
        <v>-6.4883290000000002</v>
      </c>
      <c r="D446">
        <v>25.103404000000001</v>
      </c>
      <c r="E446" t="s">
        <v>1477</v>
      </c>
      <c r="F446" t="s">
        <v>1483</v>
      </c>
    </row>
    <row r="447" spans="1:6" x14ac:dyDescent="0.25">
      <c r="A447" t="s">
        <v>998</v>
      </c>
      <c r="B447" t="s">
        <v>29</v>
      </c>
      <c r="C447">
        <v>-4.351254</v>
      </c>
      <c r="D447">
        <v>30.097408999999999</v>
      </c>
      <c r="E447" t="s">
        <v>1477</v>
      </c>
      <c r="F447" t="s">
        <v>1490</v>
      </c>
    </row>
    <row r="448" spans="1:6" x14ac:dyDescent="0.25">
      <c r="A448" t="s">
        <v>1305</v>
      </c>
      <c r="B448" t="s">
        <v>24</v>
      </c>
      <c r="C448">
        <v>-5.1507670000000001</v>
      </c>
      <c r="D448">
        <v>28.075324999999999</v>
      </c>
      <c r="E448" t="s">
        <v>1477</v>
      </c>
      <c r="F448" t="s">
        <v>1481</v>
      </c>
    </row>
    <row r="449" spans="1:6" x14ac:dyDescent="0.25">
      <c r="A449" t="s">
        <v>1639</v>
      </c>
      <c r="B449" t="s">
        <v>18</v>
      </c>
      <c r="C449">
        <v>-8.3575920000000004</v>
      </c>
      <c r="D449">
        <v>25.538395000000001</v>
      </c>
      <c r="E449" t="s">
        <v>1482</v>
      </c>
      <c r="F449" t="s">
        <v>1483</v>
      </c>
    </row>
    <row r="450" spans="1:6" x14ac:dyDescent="0.25">
      <c r="A450" t="s">
        <v>1640</v>
      </c>
      <c r="B450" t="s">
        <v>10</v>
      </c>
      <c r="C450">
        <v>-0.65356899999999996</v>
      </c>
      <c r="D450">
        <v>25.343032999999998</v>
      </c>
      <c r="E450" t="s">
        <v>1480</v>
      </c>
      <c r="F450" t="s">
        <v>1478</v>
      </c>
    </row>
    <row r="451" spans="1:6" x14ac:dyDescent="0.25">
      <c r="A451" t="s">
        <v>1641</v>
      </c>
      <c r="B451" t="s">
        <v>62</v>
      </c>
      <c r="C451">
        <v>-2.290705</v>
      </c>
      <c r="D451">
        <v>19.150395</v>
      </c>
      <c r="E451" t="s">
        <v>1477</v>
      </c>
      <c r="F451" t="s">
        <v>1478</v>
      </c>
    </row>
    <row r="452" spans="1:6" x14ac:dyDescent="0.25">
      <c r="A452" t="s">
        <v>930</v>
      </c>
      <c r="B452" t="s">
        <v>40</v>
      </c>
      <c r="C452">
        <v>4.8319039999999998</v>
      </c>
      <c r="D452">
        <v>20.733468999999999</v>
      </c>
      <c r="E452" t="s">
        <v>1477</v>
      </c>
      <c r="F452" t="s">
        <v>1478</v>
      </c>
    </row>
    <row r="453" spans="1:6" x14ac:dyDescent="0.25">
      <c r="A453" t="s">
        <v>1642</v>
      </c>
      <c r="B453" t="s">
        <v>78</v>
      </c>
      <c r="C453">
        <v>-10.790281</v>
      </c>
      <c r="D453">
        <v>12.624336</v>
      </c>
      <c r="E453" t="s">
        <v>1480</v>
      </c>
      <c r="F453" t="s">
        <v>1490</v>
      </c>
    </row>
    <row r="454" spans="1:6" x14ac:dyDescent="0.25">
      <c r="A454" t="s">
        <v>1643</v>
      </c>
      <c r="B454" t="s">
        <v>26</v>
      </c>
      <c r="C454">
        <v>2.0859640000000002</v>
      </c>
      <c r="D454">
        <v>22.576664000000001</v>
      </c>
      <c r="E454" t="s">
        <v>1480</v>
      </c>
      <c r="F454" t="s">
        <v>1483</v>
      </c>
    </row>
    <row r="455" spans="1:6" x14ac:dyDescent="0.25">
      <c r="A455" t="s">
        <v>1039</v>
      </c>
      <c r="B455" t="s">
        <v>51</v>
      </c>
      <c r="C455">
        <v>5.3608999999999997E-2</v>
      </c>
      <c r="D455">
        <v>28.346852999999999</v>
      </c>
      <c r="E455" t="s">
        <v>1482</v>
      </c>
      <c r="F455" t="s">
        <v>1483</v>
      </c>
    </row>
    <row r="456" spans="1:6" x14ac:dyDescent="0.25">
      <c r="A456" t="s">
        <v>950</v>
      </c>
      <c r="B456" t="s">
        <v>131</v>
      </c>
      <c r="C456">
        <v>-7.9866700000000002</v>
      </c>
      <c r="D456">
        <v>17.757847000000002</v>
      </c>
      <c r="E456" t="s">
        <v>1477</v>
      </c>
      <c r="F456" t="s">
        <v>1481</v>
      </c>
    </row>
    <row r="457" spans="1:6" x14ac:dyDescent="0.25">
      <c r="A457" t="s">
        <v>984</v>
      </c>
      <c r="B457" t="s">
        <v>35</v>
      </c>
      <c r="C457">
        <v>-0.157111</v>
      </c>
      <c r="D457">
        <v>25.415125</v>
      </c>
      <c r="E457" t="s">
        <v>1480</v>
      </c>
      <c r="F457" t="s">
        <v>1478</v>
      </c>
    </row>
    <row r="458" spans="1:6" x14ac:dyDescent="0.25">
      <c r="A458" t="s">
        <v>1644</v>
      </c>
      <c r="B458" t="s">
        <v>127</v>
      </c>
      <c r="C458">
        <v>-2.5254650000000001</v>
      </c>
      <c r="D458">
        <v>21.338113</v>
      </c>
      <c r="E458" t="s">
        <v>1477</v>
      </c>
      <c r="F458" t="s">
        <v>1490</v>
      </c>
    </row>
    <row r="459" spans="1:6" x14ac:dyDescent="0.25">
      <c r="A459" t="s">
        <v>937</v>
      </c>
      <c r="B459" t="s">
        <v>31</v>
      </c>
      <c r="C459">
        <v>-8.0864899999999995</v>
      </c>
      <c r="D459">
        <v>14.555277</v>
      </c>
      <c r="E459" t="s">
        <v>1482</v>
      </c>
      <c r="F459" t="s">
        <v>1478</v>
      </c>
    </row>
    <row r="460" spans="1:6" x14ac:dyDescent="0.25">
      <c r="A460" t="s">
        <v>1139</v>
      </c>
      <c r="B460" t="s">
        <v>18</v>
      </c>
      <c r="C460">
        <v>1.210869</v>
      </c>
      <c r="D460">
        <v>25.598741</v>
      </c>
      <c r="E460" t="s">
        <v>1480</v>
      </c>
      <c r="F460" t="s">
        <v>1478</v>
      </c>
    </row>
    <row r="461" spans="1:6" x14ac:dyDescent="0.25">
      <c r="A461" t="s">
        <v>943</v>
      </c>
      <c r="B461" t="s">
        <v>35</v>
      </c>
      <c r="C461">
        <v>-1.4110389999999999</v>
      </c>
      <c r="D461">
        <v>21.261644</v>
      </c>
      <c r="E461" t="s">
        <v>1480</v>
      </c>
      <c r="F461" t="s">
        <v>1483</v>
      </c>
    </row>
    <row r="462" spans="1:6" x14ac:dyDescent="0.25">
      <c r="A462" t="s">
        <v>961</v>
      </c>
      <c r="B462" t="s">
        <v>13</v>
      </c>
      <c r="C462">
        <v>-5.7957599999999996</v>
      </c>
      <c r="D462">
        <v>14.078258</v>
      </c>
      <c r="E462" t="s">
        <v>1477</v>
      </c>
      <c r="F462" t="s">
        <v>1478</v>
      </c>
    </row>
    <row r="463" spans="1:6" x14ac:dyDescent="0.25">
      <c r="A463" t="s">
        <v>968</v>
      </c>
      <c r="B463" t="s">
        <v>127</v>
      </c>
      <c r="C463">
        <v>-4.4351269999999996</v>
      </c>
      <c r="D463">
        <v>24.825467</v>
      </c>
      <c r="E463" t="s">
        <v>1480</v>
      </c>
      <c r="F463" t="s">
        <v>1481</v>
      </c>
    </row>
    <row r="464" spans="1:6" x14ac:dyDescent="0.25">
      <c r="A464" t="s">
        <v>1645</v>
      </c>
      <c r="B464" t="s">
        <v>57</v>
      </c>
      <c r="C464">
        <v>-2.1430220000000002</v>
      </c>
      <c r="D464">
        <v>24.541492999999999</v>
      </c>
      <c r="E464" t="s">
        <v>1480</v>
      </c>
      <c r="F464" t="s">
        <v>1483</v>
      </c>
    </row>
    <row r="465" spans="1:6" x14ac:dyDescent="0.25">
      <c r="A465" t="s">
        <v>1458</v>
      </c>
      <c r="B465" t="s">
        <v>60</v>
      </c>
      <c r="C465">
        <v>-5.7200150000000001</v>
      </c>
      <c r="D465">
        <v>25.022109</v>
      </c>
      <c r="E465" t="s">
        <v>1477</v>
      </c>
      <c r="F465" t="s">
        <v>1483</v>
      </c>
    </row>
    <row r="466" spans="1:6" x14ac:dyDescent="0.25">
      <c r="A466" t="s">
        <v>1646</v>
      </c>
      <c r="B466" t="s">
        <v>10</v>
      </c>
      <c r="C466">
        <v>-4.2784089999999999</v>
      </c>
      <c r="D466">
        <v>22.871994000000001</v>
      </c>
      <c r="E466" t="s">
        <v>1482</v>
      </c>
      <c r="F466" t="s">
        <v>1478</v>
      </c>
    </row>
    <row r="467" spans="1:6" x14ac:dyDescent="0.25">
      <c r="A467" t="s">
        <v>1647</v>
      </c>
      <c r="B467" t="s">
        <v>35</v>
      </c>
      <c r="C467">
        <v>-7.9799689999999996</v>
      </c>
      <c r="D467">
        <v>21.042310000000001</v>
      </c>
      <c r="E467" t="s">
        <v>1480</v>
      </c>
      <c r="F467" t="s">
        <v>1483</v>
      </c>
    </row>
    <row r="468" spans="1:6" x14ac:dyDescent="0.25">
      <c r="A468" t="s">
        <v>1648</v>
      </c>
      <c r="B468" t="s">
        <v>10</v>
      </c>
      <c r="C468">
        <v>0.82399199999999995</v>
      </c>
      <c r="D468">
        <v>28.232678</v>
      </c>
      <c r="E468" t="s">
        <v>1482</v>
      </c>
      <c r="F468" t="s">
        <v>1481</v>
      </c>
    </row>
    <row r="469" spans="1:6" x14ac:dyDescent="0.25">
      <c r="A469" t="s">
        <v>1649</v>
      </c>
      <c r="B469" t="s">
        <v>33</v>
      </c>
      <c r="C469">
        <v>-11.055339999999999</v>
      </c>
      <c r="D469">
        <v>21.627016000000001</v>
      </c>
      <c r="E469" t="s">
        <v>1477</v>
      </c>
      <c r="F469" t="s">
        <v>1490</v>
      </c>
    </row>
    <row r="470" spans="1:6" x14ac:dyDescent="0.25">
      <c r="A470" t="s">
        <v>1650</v>
      </c>
      <c r="B470" t="s">
        <v>24</v>
      </c>
      <c r="C470">
        <v>-4.0490719999999998</v>
      </c>
      <c r="D470">
        <v>21.399131000000001</v>
      </c>
      <c r="E470" t="s">
        <v>1482</v>
      </c>
      <c r="F470" t="s">
        <v>1483</v>
      </c>
    </row>
    <row r="471" spans="1:6" x14ac:dyDescent="0.25">
      <c r="A471" t="s">
        <v>896</v>
      </c>
      <c r="B471" t="s">
        <v>26</v>
      </c>
      <c r="C471">
        <v>-1.6893210000000001</v>
      </c>
      <c r="D471">
        <v>30.446543999999999</v>
      </c>
      <c r="E471" t="s">
        <v>1480</v>
      </c>
      <c r="F471" t="s">
        <v>1481</v>
      </c>
    </row>
    <row r="472" spans="1:6" x14ac:dyDescent="0.25">
      <c r="A472" t="s">
        <v>864</v>
      </c>
      <c r="B472" t="s">
        <v>13</v>
      </c>
      <c r="C472">
        <v>-10.577049000000001</v>
      </c>
      <c r="D472">
        <v>23.721854</v>
      </c>
      <c r="E472" t="s">
        <v>1480</v>
      </c>
      <c r="F472" t="s">
        <v>1483</v>
      </c>
    </row>
    <row r="473" spans="1:6" x14ac:dyDescent="0.25">
      <c r="A473" t="s">
        <v>1135</v>
      </c>
      <c r="B473" t="s">
        <v>21</v>
      </c>
      <c r="C473">
        <v>-11.207139</v>
      </c>
      <c r="D473">
        <v>18.702511999999999</v>
      </c>
      <c r="E473" t="s">
        <v>1477</v>
      </c>
      <c r="F473" t="s">
        <v>1478</v>
      </c>
    </row>
    <row r="474" spans="1:6" x14ac:dyDescent="0.25">
      <c r="A474" t="s">
        <v>1651</v>
      </c>
      <c r="B474" t="s">
        <v>29</v>
      </c>
      <c r="C474">
        <v>-12.048655999999999</v>
      </c>
      <c r="D474">
        <v>30.577876</v>
      </c>
      <c r="E474" t="s">
        <v>1477</v>
      </c>
      <c r="F474" t="s">
        <v>1483</v>
      </c>
    </row>
    <row r="475" spans="1:6" x14ac:dyDescent="0.25">
      <c r="A475" t="s">
        <v>1652</v>
      </c>
      <c r="B475" t="s">
        <v>64</v>
      </c>
      <c r="C475">
        <v>-11.771884</v>
      </c>
      <c r="D475">
        <v>18.089172999999999</v>
      </c>
      <c r="E475" t="s">
        <v>1480</v>
      </c>
      <c r="F475" t="s">
        <v>1490</v>
      </c>
    </row>
    <row r="476" spans="1:6" x14ac:dyDescent="0.25">
      <c r="A476" t="s">
        <v>1262</v>
      </c>
      <c r="B476" t="s">
        <v>13</v>
      </c>
      <c r="C476">
        <v>-0.79406600000000005</v>
      </c>
      <c r="D476">
        <v>12.534793000000001</v>
      </c>
      <c r="E476" t="s">
        <v>1482</v>
      </c>
      <c r="F476" t="s">
        <v>1481</v>
      </c>
    </row>
    <row r="477" spans="1:6" x14ac:dyDescent="0.25">
      <c r="A477" t="s">
        <v>1053</v>
      </c>
      <c r="B477" t="s">
        <v>26</v>
      </c>
      <c r="C477">
        <v>4.497306</v>
      </c>
      <c r="D477">
        <v>12.857251</v>
      </c>
      <c r="E477" t="s">
        <v>1477</v>
      </c>
      <c r="F477" t="s">
        <v>1478</v>
      </c>
    </row>
    <row r="478" spans="1:6" x14ac:dyDescent="0.25">
      <c r="A478" t="s">
        <v>1653</v>
      </c>
      <c r="B478" t="s">
        <v>13</v>
      </c>
      <c r="C478">
        <v>-6.1126060000000004</v>
      </c>
      <c r="D478">
        <v>27.901748999999999</v>
      </c>
      <c r="E478" t="s">
        <v>1480</v>
      </c>
      <c r="F478" t="s">
        <v>1483</v>
      </c>
    </row>
    <row r="479" spans="1:6" x14ac:dyDescent="0.25">
      <c r="A479" t="s">
        <v>1432</v>
      </c>
      <c r="B479" t="s">
        <v>51</v>
      </c>
      <c r="C479">
        <v>-0.77432100000000004</v>
      </c>
      <c r="D479">
        <v>18.628658999999999</v>
      </c>
      <c r="E479" t="s">
        <v>1480</v>
      </c>
      <c r="F479" t="s">
        <v>1481</v>
      </c>
    </row>
    <row r="480" spans="1:6" x14ac:dyDescent="0.25">
      <c r="A480" t="s">
        <v>987</v>
      </c>
      <c r="B480" t="s">
        <v>131</v>
      </c>
      <c r="C480">
        <v>-10.25074</v>
      </c>
      <c r="D480">
        <v>26.099086</v>
      </c>
      <c r="E480" t="s">
        <v>1480</v>
      </c>
      <c r="F480" t="s">
        <v>1481</v>
      </c>
    </row>
    <row r="481" spans="1:6" x14ac:dyDescent="0.25">
      <c r="A481" t="s">
        <v>1133</v>
      </c>
      <c r="B481" t="s">
        <v>127</v>
      </c>
      <c r="C481">
        <v>-1.8045979999999999</v>
      </c>
      <c r="D481">
        <v>12.511096999999999</v>
      </c>
      <c r="E481" t="s">
        <v>1482</v>
      </c>
      <c r="F481" t="s">
        <v>1481</v>
      </c>
    </row>
    <row r="482" spans="1:6" x14ac:dyDescent="0.25">
      <c r="A482" t="s">
        <v>1359</v>
      </c>
      <c r="B482" t="s">
        <v>73</v>
      </c>
      <c r="C482">
        <v>-11.265995</v>
      </c>
      <c r="D482">
        <v>28.935514999999999</v>
      </c>
      <c r="E482" t="s">
        <v>1480</v>
      </c>
      <c r="F482" t="s">
        <v>1478</v>
      </c>
    </row>
    <row r="483" spans="1:6" x14ac:dyDescent="0.25">
      <c r="A483" t="s">
        <v>991</v>
      </c>
      <c r="B483" t="s">
        <v>13</v>
      </c>
      <c r="C483">
        <v>-11.622688999999999</v>
      </c>
      <c r="D483">
        <v>18.483874</v>
      </c>
      <c r="E483" t="s">
        <v>1477</v>
      </c>
      <c r="F483" t="s">
        <v>1483</v>
      </c>
    </row>
    <row r="484" spans="1:6" x14ac:dyDescent="0.25">
      <c r="A484" t="s">
        <v>1257</v>
      </c>
      <c r="B484" t="s">
        <v>13</v>
      </c>
      <c r="C484">
        <v>0.52897499999999997</v>
      </c>
      <c r="D484">
        <v>13.849651</v>
      </c>
      <c r="E484" t="s">
        <v>1482</v>
      </c>
      <c r="F484" t="s">
        <v>1483</v>
      </c>
    </row>
    <row r="485" spans="1:6" x14ac:dyDescent="0.25">
      <c r="A485" t="s">
        <v>1654</v>
      </c>
      <c r="B485" t="s">
        <v>40</v>
      </c>
      <c r="C485">
        <v>0.81629799999999997</v>
      </c>
      <c r="D485">
        <v>18.557718000000001</v>
      </c>
      <c r="E485" t="s">
        <v>1477</v>
      </c>
      <c r="F485" t="s">
        <v>1478</v>
      </c>
    </row>
    <row r="486" spans="1:6" x14ac:dyDescent="0.25">
      <c r="A486" t="s">
        <v>903</v>
      </c>
      <c r="B486" t="s">
        <v>51</v>
      </c>
      <c r="C486">
        <v>1.2691650000000001</v>
      </c>
      <c r="D486">
        <v>18.789956</v>
      </c>
      <c r="E486" t="s">
        <v>1482</v>
      </c>
      <c r="F486" t="s">
        <v>1490</v>
      </c>
    </row>
    <row r="487" spans="1:6" x14ac:dyDescent="0.25">
      <c r="A487" t="s">
        <v>844</v>
      </c>
      <c r="B487" t="s">
        <v>44</v>
      </c>
      <c r="C487">
        <v>-9.3652280000000001</v>
      </c>
      <c r="D487">
        <v>18.674116000000001</v>
      </c>
      <c r="E487" t="s">
        <v>1480</v>
      </c>
      <c r="F487" t="s">
        <v>1481</v>
      </c>
    </row>
    <row r="488" spans="1:6" x14ac:dyDescent="0.25">
      <c r="A488" t="s">
        <v>1655</v>
      </c>
      <c r="B488" t="s">
        <v>131</v>
      </c>
      <c r="C488">
        <v>-1.082322</v>
      </c>
      <c r="D488">
        <v>24.563559999999999</v>
      </c>
      <c r="E488" t="s">
        <v>1480</v>
      </c>
      <c r="F488" t="s">
        <v>1483</v>
      </c>
    </row>
    <row r="489" spans="1:6" x14ac:dyDescent="0.25">
      <c r="A489" t="s">
        <v>1222</v>
      </c>
      <c r="B489" t="s">
        <v>131</v>
      </c>
      <c r="C489">
        <v>-4.1754939999999996</v>
      </c>
      <c r="D489">
        <v>16.704664999999999</v>
      </c>
      <c r="E489" t="s">
        <v>1482</v>
      </c>
      <c r="F489" t="s">
        <v>1478</v>
      </c>
    </row>
    <row r="490" spans="1:6" x14ac:dyDescent="0.25">
      <c r="A490" t="s">
        <v>1656</v>
      </c>
      <c r="B490" t="s">
        <v>37</v>
      </c>
      <c r="C490">
        <v>-8.290025</v>
      </c>
      <c r="D490">
        <v>24.313573999999999</v>
      </c>
      <c r="E490" t="s">
        <v>1480</v>
      </c>
      <c r="F490" t="s">
        <v>1478</v>
      </c>
    </row>
    <row r="491" spans="1:6" x14ac:dyDescent="0.25">
      <c r="A491" t="s">
        <v>985</v>
      </c>
      <c r="B491" t="s">
        <v>89</v>
      </c>
      <c r="C491">
        <v>-6.8149179999999996</v>
      </c>
      <c r="D491">
        <v>23.258102000000001</v>
      </c>
      <c r="E491" t="s">
        <v>1477</v>
      </c>
      <c r="F491" t="s">
        <v>1481</v>
      </c>
    </row>
    <row r="492" spans="1:6" x14ac:dyDescent="0.25">
      <c r="A492" t="s">
        <v>1315</v>
      </c>
      <c r="B492" t="s">
        <v>51</v>
      </c>
      <c r="C492">
        <v>2.4741019999999998</v>
      </c>
      <c r="D492">
        <v>29.297391000000001</v>
      </c>
      <c r="E492" t="s">
        <v>1480</v>
      </c>
      <c r="F492" t="s">
        <v>1478</v>
      </c>
    </row>
    <row r="493" spans="1:6" x14ac:dyDescent="0.25">
      <c r="A493" t="s">
        <v>1386</v>
      </c>
      <c r="B493" t="s">
        <v>18</v>
      </c>
      <c r="C493">
        <v>-3.1608390000000002</v>
      </c>
      <c r="D493">
        <v>13.244503999999999</v>
      </c>
      <c r="E493" t="s">
        <v>1482</v>
      </c>
      <c r="F493" t="s">
        <v>1481</v>
      </c>
    </row>
    <row r="494" spans="1:6" x14ac:dyDescent="0.25">
      <c r="A494" t="s">
        <v>1657</v>
      </c>
      <c r="B494" t="s">
        <v>29</v>
      </c>
      <c r="C494">
        <v>4.1464489999999996</v>
      </c>
      <c r="D494">
        <v>17.793337000000001</v>
      </c>
      <c r="E494" t="s">
        <v>1477</v>
      </c>
      <c r="F494" t="s">
        <v>1483</v>
      </c>
    </row>
    <row r="495" spans="1:6" x14ac:dyDescent="0.25">
      <c r="A495" t="s">
        <v>1461</v>
      </c>
      <c r="B495" t="s">
        <v>40</v>
      </c>
      <c r="C495">
        <v>-12.431227</v>
      </c>
      <c r="D495">
        <v>18.414290999999999</v>
      </c>
      <c r="E495" t="s">
        <v>1477</v>
      </c>
      <c r="F495" t="s">
        <v>1481</v>
      </c>
    </row>
    <row r="496" spans="1:6" x14ac:dyDescent="0.25">
      <c r="A496" t="s">
        <v>1093</v>
      </c>
      <c r="B496" t="s">
        <v>21</v>
      </c>
      <c r="C496">
        <v>-5.2526849999999996</v>
      </c>
      <c r="D496">
        <v>12.374528</v>
      </c>
      <c r="E496" t="s">
        <v>1482</v>
      </c>
      <c r="F496" t="s">
        <v>1490</v>
      </c>
    </row>
    <row r="497" spans="1:6" x14ac:dyDescent="0.25">
      <c r="A497" t="s">
        <v>1658</v>
      </c>
      <c r="B497" t="s">
        <v>33</v>
      </c>
      <c r="C497">
        <v>3.4689049999999999</v>
      </c>
      <c r="D497">
        <v>18.19622</v>
      </c>
      <c r="E497" t="s">
        <v>1477</v>
      </c>
      <c r="F497" t="s">
        <v>1481</v>
      </c>
    </row>
    <row r="498" spans="1:6" x14ac:dyDescent="0.25">
      <c r="A498" t="s">
        <v>1659</v>
      </c>
      <c r="B498" t="s">
        <v>78</v>
      </c>
      <c r="C498">
        <v>-6.0946619999999996</v>
      </c>
      <c r="D498">
        <v>20.757277999999999</v>
      </c>
      <c r="E498" t="s">
        <v>1477</v>
      </c>
      <c r="F498" t="s">
        <v>1481</v>
      </c>
    </row>
    <row r="499" spans="1:6" x14ac:dyDescent="0.25">
      <c r="A499" t="s">
        <v>869</v>
      </c>
      <c r="B499" t="s">
        <v>33</v>
      </c>
      <c r="C499">
        <v>-7.3379339999999997</v>
      </c>
      <c r="D499">
        <v>28.404001999999998</v>
      </c>
      <c r="E499" t="s">
        <v>1482</v>
      </c>
      <c r="F499" t="s">
        <v>1490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5EC0-8EEA-4B00-B999-EA29FAA9B21E}">
  <dimension ref="A1:E1075"/>
  <sheetViews>
    <sheetView workbookViewId="0">
      <selection sqref="A1:XFD1048576"/>
    </sheetView>
  </sheetViews>
  <sheetFormatPr defaultRowHeight="15" x14ac:dyDescent="0.25"/>
  <cols>
    <col min="1" max="2" width="21.5703125" bestFit="1" customWidth="1"/>
    <col min="3" max="3" width="9.28515625" bestFit="1" customWidth="1"/>
    <col min="4" max="4" width="19.140625" bestFit="1" customWidth="1"/>
    <col min="5" max="5" width="18.7109375" bestFit="1" customWidth="1"/>
    <col min="6" max="7" width="9.140625" customWidth="1"/>
  </cols>
  <sheetData>
    <row r="1" spans="1:5" x14ac:dyDescent="0.25">
      <c r="A1" t="s">
        <v>801</v>
      </c>
      <c r="B1" t="s">
        <v>802</v>
      </c>
      <c r="C1" t="s">
        <v>803</v>
      </c>
      <c r="D1" t="s">
        <v>804</v>
      </c>
      <c r="E1" t="s">
        <v>805</v>
      </c>
    </row>
    <row r="2" spans="1:5" x14ac:dyDescent="0.25">
      <c r="A2" s="1">
        <v>45203</v>
      </c>
      <c r="B2" s="2">
        <v>0.51736111111111116</v>
      </c>
      <c r="C2" t="s">
        <v>806</v>
      </c>
      <c r="D2">
        <v>26</v>
      </c>
      <c r="E2" t="s">
        <v>807</v>
      </c>
    </row>
    <row r="3" spans="1:5" x14ac:dyDescent="0.25">
      <c r="A3" s="1">
        <v>45205</v>
      </c>
      <c r="B3" s="2">
        <v>1.3888888888888888E-2</v>
      </c>
      <c r="C3" t="s">
        <v>806</v>
      </c>
      <c r="D3">
        <v>35</v>
      </c>
      <c r="E3" t="s">
        <v>808</v>
      </c>
    </row>
    <row r="4" spans="1:5" x14ac:dyDescent="0.25">
      <c r="A4" s="1">
        <v>45211</v>
      </c>
      <c r="B4" s="2">
        <v>0.27916666666666667</v>
      </c>
      <c r="C4" t="s">
        <v>806</v>
      </c>
      <c r="D4">
        <v>75</v>
      </c>
      <c r="E4" t="s">
        <v>807</v>
      </c>
    </row>
    <row r="5" spans="1:5" x14ac:dyDescent="0.25">
      <c r="A5" s="1">
        <v>45224</v>
      </c>
      <c r="B5" s="2">
        <v>0.56805555555555554</v>
      </c>
      <c r="C5" t="s">
        <v>809</v>
      </c>
      <c r="D5">
        <v>27</v>
      </c>
      <c r="E5" t="s">
        <v>807</v>
      </c>
    </row>
    <row r="6" spans="1:5" x14ac:dyDescent="0.25">
      <c r="A6" s="1">
        <v>45208</v>
      </c>
      <c r="B6" s="2">
        <v>0.30138888888888887</v>
      </c>
      <c r="C6" t="s">
        <v>810</v>
      </c>
      <c r="D6">
        <v>38</v>
      </c>
      <c r="E6" t="s">
        <v>807</v>
      </c>
    </row>
    <row r="7" spans="1:5" x14ac:dyDescent="0.25">
      <c r="A7" s="1">
        <v>45226</v>
      </c>
      <c r="B7" s="2">
        <v>3.472222222222222E-3</v>
      </c>
      <c r="C7" t="s">
        <v>810</v>
      </c>
      <c r="D7">
        <v>111</v>
      </c>
      <c r="E7" t="s">
        <v>807</v>
      </c>
    </row>
    <row r="8" spans="1:5" x14ac:dyDescent="0.25">
      <c r="A8" s="1">
        <v>45216</v>
      </c>
      <c r="B8" s="2">
        <v>0.9506944444444444</v>
      </c>
      <c r="C8" t="s">
        <v>810</v>
      </c>
      <c r="D8">
        <v>12</v>
      </c>
      <c r="E8" t="s">
        <v>807</v>
      </c>
    </row>
    <row r="9" spans="1:5" x14ac:dyDescent="0.25">
      <c r="A9" s="1">
        <v>45230</v>
      </c>
      <c r="B9" s="2">
        <v>0.86805555555555558</v>
      </c>
      <c r="C9" t="s">
        <v>811</v>
      </c>
      <c r="D9">
        <v>103</v>
      </c>
      <c r="E9" t="s">
        <v>812</v>
      </c>
    </row>
    <row r="10" spans="1:5" x14ac:dyDescent="0.25">
      <c r="A10" s="1">
        <v>45230</v>
      </c>
      <c r="B10" s="2">
        <v>0.42916666666666664</v>
      </c>
      <c r="C10" t="s">
        <v>811</v>
      </c>
      <c r="D10">
        <v>11</v>
      </c>
      <c r="E10" t="s">
        <v>812</v>
      </c>
    </row>
    <row r="11" spans="1:5" x14ac:dyDescent="0.25">
      <c r="A11" s="1">
        <v>45221</v>
      </c>
      <c r="B11" s="2">
        <v>0.56597222222222221</v>
      </c>
      <c r="C11" t="s">
        <v>813</v>
      </c>
      <c r="D11">
        <v>87</v>
      </c>
      <c r="E11" t="s">
        <v>808</v>
      </c>
    </row>
    <row r="12" spans="1:5" x14ac:dyDescent="0.25">
      <c r="A12" s="1">
        <v>45222</v>
      </c>
      <c r="B12" s="2">
        <v>0.50138888888888888</v>
      </c>
      <c r="C12" t="s">
        <v>814</v>
      </c>
      <c r="D12">
        <v>39</v>
      </c>
      <c r="E12" t="s">
        <v>807</v>
      </c>
    </row>
    <row r="13" spans="1:5" x14ac:dyDescent="0.25">
      <c r="A13" s="1">
        <v>45210</v>
      </c>
      <c r="B13" s="2">
        <v>0.8354166666666667</v>
      </c>
      <c r="C13" t="s">
        <v>815</v>
      </c>
      <c r="D13">
        <v>80</v>
      </c>
      <c r="E13" t="s">
        <v>808</v>
      </c>
    </row>
    <row r="14" spans="1:5" x14ac:dyDescent="0.25">
      <c r="A14" s="1">
        <v>45223</v>
      </c>
      <c r="B14" s="2">
        <v>0.41875000000000001</v>
      </c>
      <c r="C14" t="s">
        <v>815</v>
      </c>
      <c r="D14">
        <v>89</v>
      </c>
      <c r="E14" t="s">
        <v>807</v>
      </c>
    </row>
    <row r="15" spans="1:5" x14ac:dyDescent="0.25">
      <c r="A15" s="1">
        <v>45202</v>
      </c>
      <c r="B15" s="2">
        <v>0.8520833333333333</v>
      </c>
      <c r="C15" t="s">
        <v>816</v>
      </c>
      <c r="D15">
        <v>83</v>
      </c>
      <c r="E15" t="s">
        <v>807</v>
      </c>
    </row>
    <row r="16" spans="1:5" x14ac:dyDescent="0.25">
      <c r="A16" s="1">
        <v>45213</v>
      </c>
      <c r="B16" s="2">
        <v>0.92222222222222228</v>
      </c>
      <c r="C16" t="s">
        <v>817</v>
      </c>
      <c r="D16">
        <v>40</v>
      </c>
      <c r="E16" t="s">
        <v>807</v>
      </c>
    </row>
    <row r="17" spans="1:5" x14ac:dyDescent="0.25">
      <c r="A17" s="1">
        <v>45222</v>
      </c>
      <c r="B17" s="2">
        <v>0.55972222222222223</v>
      </c>
      <c r="C17" t="s">
        <v>817</v>
      </c>
      <c r="D17">
        <v>26</v>
      </c>
      <c r="E17" t="s">
        <v>812</v>
      </c>
    </row>
    <row r="18" spans="1:5" x14ac:dyDescent="0.25">
      <c r="A18" s="1">
        <v>45219</v>
      </c>
      <c r="B18" s="2">
        <v>0.98958333333333337</v>
      </c>
      <c r="C18" t="s">
        <v>818</v>
      </c>
      <c r="D18">
        <v>36</v>
      </c>
      <c r="E18" t="s">
        <v>807</v>
      </c>
    </row>
    <row r="19" spans="1:5" x14ac:dyDescent="0.25">
      <c r="A19" s="1">
        <v>45204</v>
      </c>
      <c r="B19" s="2">
        <v>0.39166666666666666</v>
      </c>
      <c r="C19" t="s">
        <v>818</v>
      </c>
      <c r="D19">
        <v>98</v>
      </c>
      <c r="E19" t="s">
        <v>812</v>
      </c>
    </row>
    <row r="20" spans="1:5" x14ac:dyDescent="0.25">
      <c r="A20" s="1">
        <v>45230</v>
      </c>
      <c r="B20" s="2">
        <v>0.56597222222222221</v>
      </c>
      <c r="C20" t="s">
        <v>818</v>
      </c>
      <c r="D20">
        <v>74</v>
      </c>
      <c r="E20" t="s">
        <v>807</v>
      </c>
    </row>
    <row r="21" spans="1:5" x14ac:dyDescent="0.25">
      <c r="A21" s="1">
        <v>45213</v>
      </c>
      <c r="B21" s="2">
        <v>0.96319444444444446</v>
      </c>
      <c r="C21" t="s">
        <v>819</v>
      </c>
      <c r="D21">
        <v>25</v>
      </c>
      <c r="E21" t="s">
        <v>808</v>
      </c>
    </row>
    <row r="22" spans="1:5" x14ac:dyDescent="0.25">
      <c r="A22" s="1">
        <v>45217</v>
      </c>
      <c r="B22" s="2">
        <v>0.96875</v>
      </c>
      <c r="C22" t="s">
        <v>820</v>
      </c>
      <c r="D22">
        <v>97</v>
      </c>
      <c r="E22" t="s">
        <v>808</v>
      </c>
    </row>
    <row r="23" spans="1:5" x14ac:dyDescent="0.25">
      <c r="A23" s="1">
        <v>45217</v>
      </c>
      <c r="B23" s="2">
        <v>0.64027777777777772</v>
      </c>
      <c r="C23" t="s">
        <v>821</v>
      </c>
      <c r="D23">
        <v>113</v>
      </c>
      <c r="E23" t="s">
        <v>812</v>
      </c>
    </row>
    <row r="24" spans="1:5" x14ac:dyDescent="0.25">
      <c r="A24" s="1">
        <v>45220</v>
      </c>
      <c r="B24" s="2">
        <v>9.3055555555555558E-2</v>
      </c>
      <c r="C24" t="s">
        <v>821</v>
      </c>
      <c r="D24">
        <v>48</v>
      </c>
      <c r="E24" t="s">
        <v>807</v>
      </c>
    </row>
    <row r="25" spans="1:5" x14ac:dyDescent="0.25">
      <c r="A25" s="1">
        <v>45204</v>
      </c>
      <c r="B25" s="2">
        <v>0.89583333333333337</v>
      </c>
      <c r="C25" t="s">
        <v>822</v>
      </c>
      <c r="D25">
        <v>42</v>
      </c>
      <c r="E25" t="s">
        <v>808</v>
      </c>
    </row>
    <row r="26" spans="1:5" x14ac:dyDescent="0.25">
      <c r="A26" s="1">
        <v>45205</v>
      </c>
      <c r="B26" s="2">
        <v>0.77569444444444446</v>
      </c>
      <c r="C26" t="s">
        <v>823</v>
      </c>
      <c r="D26">
        <v>56</v>
      </c>
      <c r="E26" t="s">
        <v>812</v>
      </c>
    </row>
    <row r="27" spans="1:5" x14ac:dyDescent="0.25">
      <c r="A27" s="1">
        <v>45220</v>
      </c>
      <c r="B27" s="2">
        <v>0.39097222222222222</v>
      </c>
      <c r="C27" t="s">
        <v>823</v>
      </c>
      <c r="D27">
        <v>13</v>
      </c>
      <c r="E27" t="s">
        <v>808</v>
      </c>
    </row>
    <row r="28" spans="1:5" x14ac:dyDescent="0.25">
      <c r="A28" s="1">
        <v>45224</v>
      </c>
      <c r="B28" s="2">
        <v>0.96180555555555558</v>
      </c>
      <c r="C28" t="s">
        <v>824</v>
      </c>
      <c r="D28">
        <v>83</v>
      </c>
      <c r="E28" t="s">
        <v>812</v>
      </c>
    </row>
    <row r="29" spans="1:5" x14ac:dyDescent="0.25">
      <c r="A29" s="1">
        <v>45225</v>
      </c>
      <c r="B29" s="2">
        <v>0.83958333333333335</v>
      </c>
      <c r="C29" t="s">
        <v>824</v>
      </c>
      <c r="D29">
        <v>60</v>
      </c>
      <c r="E29" t="s">
        <v>812</v>
      </c>
    </row>
    <row r="30" spans="1:5" x14ac:dyDescent="0.25">
      <c r="A30" s="1">
        <v>45206</v>
      </c>
      <c r="B30" s="2">
        <v>0.51597222222222228</v>
      </c>
      <c r="C30" t="s">
        <v>825</v>
      </c>
      <c r="D30">
        <v>108</v>
      </c>
      <c r="E30" t="s">
        <v>807</v>
      </c>
    </row>
    <row r="31" spans="1:5" x14ac:dyDescent="0.25">
      <c r="A31" s="1">
        <v>45222</v>
      </c>
      <c r="B31" s="2">
        <v>0.51180555555555551</v>
      </c>
      <c r="C31" t="s">
        <v>826</v>
      </c>
      <c r="D31">
        <v>56</v>
      </c>
      <c r="E31" t="s">
        <v>807</v>
      </c>
    </row>
    <row r="32" spans="1:5" x14ac:dyDescent="0.25">
      <c r="A32" s="1">
        <v>45222</v>
      </c>
      <c r="B32" s="2">
        <v>0.65277777777777779</v>
      </c>
      <c r="C32" t="s">
        <v>827</v>
      </c>
      <c r="D32">
        <v>46</v>
      </c>
      <c r="E32" t="s">
        <v>812</v>
      </c>
    </row>
    <row r="33" spans="1:5" x14ac:dyDescent="0.25">
      <c r="A33" s="1">
        <v>45214</v>
      </c>
      <c r="B33" s="2">
        <v>0.75208333333333333</v>
      </c>
      <c r="C33" t="s">
        <v>828</v>
      </c>
      <c r="D33">
        <v>89</v>
      </c>
      <c r="E33" t="s">
        <v>808</v>
      </c>
    </row>
    <row r="34" spans="1:5" x14ac:dyDescent="0.25">
      <c r="A34" s="1">
        <v>45225</v>
      </c>
      <c r="B34" s="2">
        <v>0.4152777777777778</v>
      </c>
      <c r="C34" t="s">
        <v>829</v>
      </c>
      <c r="D34">
        <v>15</v>
      </c>
      <c r="E34" t="s">
        <v>807</v>
      </c>
    </row>
    <row r="35" spans="1:5" x14ac:dyDescent="0.25">
      <c r="A35" s="1">
        <v>45208</v>
      </c>
      <c r="B35" s="2">
        <v>0.44374999999999998</v>
      </c>
      <c r="C35" t="s">
        <v>830</v>
      </c>
      <c r="D35">
        <v>7</v>
      </c>
      <c r="E35" t="s">
        <v>812</v>
      </c>
    </row>
    <row r="36" spans="1:5" x14ac:dyDescent="0.25">
      <c r="A36" s="1">
        <v>45226</v>
      </c>
      <c r="B36" s="2">
        <v>0.72916666666666663</v>
      </c>
      <c r="C36" t="s">
        <v>831</v>
      </c>
      <c r="D36">
        <v>62</v>
      </c>
      <c r="E36" t="s">
        <v>808</v>
      </c>
    </row>
    <row r="37" spans="1:5" x14ac:dyDescent="0.25">
      <c r="A37" s="1">
        <v>45206</v>
      </c>
      <c r="B37" s="2">
        <v>0.57222222222222219</v>
      </c>
      <c r="C37" t="s">
        <v>831</v>
      </c>
      <c r="D37">
        <v>10</v>
      </c>
      <c r="E37" t="s">
        <v>807</v>
      </c>
    </row>
    <row r="38" spans="1:5" x14ac:dyDescent="0.25">
      <c r="A38" s="1">
        <v>45211</v>
      </c>
      <c r="B38" s="2">
        <v>0.61041666666666672</v>
      </c>
      <c r="C38" t="s">
        <v>832</v>
      </c>
      <c r="D38">
        <v>114</v>
      </c>
      <c r="E38" t="s">
        <v>807</v>
      </c>
    </row>
    <row r="39" spans="1:5" x14ac:dyDescent="0.25">
      <c r="A39" s="1">
        <v>45219</v>
      </c>
      <c r="B39" s="2">
        <v>0.10138888888888889</v>
      </c>
      <c r="C39" t="s">
        <v>832</v>
      </c>
      <c r="D39">
        <v>75</v>
      </c>
      <c r="E39" t="s">
        <v>807</v>
      </c>
    </row>
    <row r="40" spans="1:5" x14ac:dyDescent="0.25">
      <c r="A40" s="1">
        <v>45202</v>
      </c>
      <c r="B40" s="2">
        <v>0.35</v>
      </c>
      <c r="C40" t="s">
        <v>833</v>
      </c>
      <c r="D40">
        <v>78</v>
      </c>
      <c r="E40" t="s">
        <v>807</v>
      </c>
    </row>
    <row r="41" spans="1:5" x14ac:dyDescent="0.25">
      <c r="A41" s="1">
        <v>45216</v>
      </c>
      <c r="B41" s="2">
        <v>0.58333333333333337</v>
      </c>
      <c r="C41" t="s">
        <v>834</v>
      </c>
      <c r="D41">
        <v>78</v>
      </c>
      <c r="E41" t="s">
        <v>812</v>
      </c>
    </row>
    <row r="42" spans="1:5" x14ac:dyDescent="0.25">
      <c r="A42" s="1">
        <v>45223</v>
      </c>
      <c r="B42" s="2">
        <v>0.73611111111111116</v>
      </c>
      <c r="C42" t="s">
        <v>834</v>
      </c>
      <c r="D42">
        <v>116</v>
      </c>
      <c r="E42" t="s">
        <v>808</v>
      </c>
    </row>
    <row r="43" spans="1:5" x14ac:dyDescent="0.25">
      <c r="A43" s="1">
        <v>45217</v>
      </c>
      <c r="B43" s="2">
        <v>0.57847222222222228</v>
      </c>
      <c r="C43" t="s">
        <v>835</v>
      </c>
      <c r="D43">
        <v>93</v>
      </c>
      <c r="E43" t="s">
        <v>808</v>
      </c>
    </row>
    <row r="44" spans="1:5" x14ac:dyDescent="0.25">
      <c r="A44" s="1">
        <v>45228</v>
      </c>
      <c r="B44" s="2">
        <v>0.26944444444444443</v>
      </c>
      <c r="C44" t="s">
        <v>836</v>
      </c>
      <c r="D44">
        <v>109</v>
      </c>
      <c r="E44" t="s">
        <v>808</v>
      </c>
    </row>
    <row r="45" spans="1:5" x14ac:dyDescent="0.25">
      <c r="A45" s="1">
        <v>45224</v>
      </c>
      <c r="B45" s="2">
        <v>8.3333333333333329E-2</v>
      </c>
      <c r="C45" t="s">
        <v>836</v>
      </c>
      <c r="D45">
        <v>31</v>
      </c>
      <c r="E45" t="s">
        <v>807</v>
      </c>
    </row>
    <row r="46" spans="1:5" x14ac:dyDescent="0.25">
      <c r="A46" s="1">
        <v>45202</v>
      </c>
      <c r="B46" s="2">
        <v>0.16180555555555556</v>
      </c>
      <c r="C46" t="s">
        <v>837</v>
      </c>
      <c r="D46">
        <v>61</v>
      </c>
      <c r="E46" t="s">
        <v>808</v>
      </c>
    </row>
    <row r="47" spans="1:5" x14ac:dyDescent="0.25">
      <c r="A47" s="1">
        <v>45205</v>
      </c>
      <c r="B47" s="2">
        <v>0.46388888888888891</v>
      </c>
      <c r="C47" t="s">
        <v>838</v>
      </c>
      <c r="D47">
        <v>103</v>
      </c>
      <c r="E47" t="s">
        <v>807</v>
      </c>
    </row>
    <row r="48" spans="1:5" x14ac:dyDescent="0.25">
      <c r="A48" s="1">
        <v>45201</v>
      </c>
      <c r="B48" s="2">
        <v>0.8569444444444444</v>
      </c>
      <c r="C48" t="s">
        <v>839</v>
      </c>
      <c r="D48">
        <v>61</v>
      </c>
      <c r="E48" t="s">
        <v>807</v>
      </c>
    </row>
    <row r="49" spans="1:5" x14ac:dyDescent="0.25">
      <c r="A49" s="1">
        <v>45211</v>
      </c>
      <c r="B49" s="2">
        <v>0.32430555555555557</v>
      </c>
      <c r="C49" t="s">
        <v>840</v>
      </c>
      <c r="D49">
        <v>120</v>
      </c>
      <c r="E49" t="s">
        <v>812</v>
      </c>
    </row>
    <row r="50" spans="1:5" x14ac:dyDescent="0.25">
      <c r="A50" s="1">
        <v>45201</v>
      </c>
      <c r="B50" s="2">
        <v>4.3055555555555555E-2</v>
      </c>
      <c r="C50" t="s">
        <v>841</v>
      </c>
      <c r="D50">
        <v>45</v>
      </c>
      <c r="E50" t="s">
        <v>808</v>
      </c>
    </row>
    <row r="51" spans="1:5" x14ac:dyDescent="0.25">
      <c r="A51" s="1">
        <v>45205</v>
      </c>
      <c r="B51" s="2">
        <v>0.48055555555555557</v>
      </c>
      <c r="C51" t="s">
        <v>841</v>
      </c>
      <c r="D51">
        <v>43</v>
      </c>
      <c r="E51" t="s">
        <v>808</v>
      </c>
    </row>
    <row r="52" spans="1:5" x14ac:dyDescent="0.25">
      <c r="A52" s="1">
        <v>45220</v>
      </c>
      <c r="B52" s="2">
        <v>0.23055555555555557</v>
      </c>
      <c r="C52" t="s">
        <v>842</v>
      </c>
      <c r="D52">
        <v>111</v>
      </c>
      <c r="E52" t="s">
        <v>812</v>
      </c>
    </row>
    <row r="53" spans="1:5" x14ac:dyDescent="0.25">
      <c r="A53" s="1">
        <v>45227</v>
      </c>
      <c r="B53" s="2">
        <v>0.13541666666666666</v>
      </c>
      <c r="C53" t="s">
        <v>842</v>
      </c>
      <c r="D53">
        <v>13</v>
      </c>
      <c r="E53" t="s">
        <v>808</v>
      </c>
    </row>
    <row r="54" spans="1:5" x14ac:dyDescent="0.25">
      <c r="A54" s="1">
        <v>45214</v>
      </c>
      <c r="B54" s="2">
        <v>0.11319444444444444</v>
      </c>
      <c r="C54" t="s">
        <v>842</v>
      </c>
      <c r="D54">
        <v>47</v>
      </c>
      <c r="E54" t="s">
        <v>812</v>
      </c>
    </row>
    <row r="55" spans="1:5" x14ac:dyDescent="0.25">
      <c r="A55" s="1">
        <v>45223</v>
      </c>
      <c r="B55" s="2">
        <v>0.40069444444444446</v>
      </c>
      <c r="C55" t="s">
        <v>843</v>
      </c>
      <c r="D55">
        <v>41</v>
      </c>
      <c r="E55" t="s">
        <v>812</v>
      </c>
    </row>
    <row r="56" spans="1:5" x14ac:dyDescent="0.25">
      <c r="A56" s="1">
        <v>45221</v>
      </c>
      <c r="B56" s="2">
        <v>0.50555555555555554</v>
      </c>
      <c r="C56" t="s">
        <v>843</v>
      </c>
      <c r="D56">
        <v>51</v>
      </c>
      <c r="E56" t="s">
        <v>807</v>
      </c>
    </row>
    <row r="57" spans="1:5" x14ac:dyDescent="0.25">
      <c r="A57" s="1">
        <v>45206</v>
      </c>
      <c r="B57" s="2">
        <v>0.95694444444444449</v>
      </c>
      <c r="C57" t="s">
        <v>844</v>
      </c>
      <c r="D57">
        <v>32</v>
      </c>
      <c r="E57" t="s">
        <v>808</v>
      </c>
    </row>
    <row r="58" spans="1:5" x14ac:dyDescent="0.25">
      <c r="A58" s="1">
        <v>45224</v>
      </c>
      <c r="B58" s="2">
        <v>0.98333333333333328</v>
      </c>
      <c r="C58" t="s">
        <v>844</v>
      </c>
      <c r="D58">
        <v>107</v>
      </c>
      <c r="E58" t="s">
        <v>812</v>
      </c>
    </row>
    <row r="59" spans="1:5" x14ac:dyDescent="0.25">
      <c r="A59" s="1">
        <v>45201</v>
      </c>
      <c r="B59" s="2">
        <v>0.82430555555555551</v>
      </c>
      <c r="C59" t="s">
        <v>844</v>
      </c>
      <c r="D59">
        <v>28</v>
      </c>
      <c r="E59" t="s">
        <v>808</v>
      </c>
    </row>
    <row r="60" spans="1:5" x14ac:dyDescent="0.25">
      <c r="A60" s="1">
        <v>45223</v>
      </c>
      <c r="B60" s="2">
        <v>0.57013888888888886</v>
      </c>
      <c r="C60" t="s">
        <v>844</v>
      </c>
      <c r="D60">
        <v>10</v>
      </c>
      <c r="E60" t="s">
        <v>808</v>
      </c>
    </row>
    <row r="61" spans="1:5" x14ac:dyDescent="0.25">
      <c r="A61" s="1">
        <v>45220</v>
      </c>
      <c r="B61" s="2">
        <v>0.67708333333333337</v>
      </c>
      <c r="C61" t="s">
        <v>845</v>
      </c>
      <c r="D61">
        <v>107</v>
      </c>
      <c r="E61" t="s">
        <v>812</v>
      </c>
    </row>
    <row r="62" spans="1:5" x14ac:dyDescent="0.25">
      <c r="A62" s="1">
        <v>45201</v>
      </c>
      <c r="B62" s="2">
        <v>0.24583333333333332</v>
      </c>
      <c r="C62" t="s">
        <v>846</v>
      </c>
      <c r="D62">
        <v>91</v>
      </c>
      <c r="E62" t="s">
        <v>808</v>
      </c>
    </row>
    <row r="63" spans="1:5" x14ac:dyDescent="0.25">
      <c r="A63" s="1">
        <v>45216</v>
      </c>
      <c r="B63" s="2">
        <v>0.70902777777777781</v>
      </c>
      <c r="C63" t="s">
        <v>846</v>
      </c>
      <c r="D63">
        <v>39</v>
      </c>
      <c r="E63" t="s">
        <v>807</v>
      </c>
    </row>
    <row r="64" spans="1:5" x14ac:dyDescent="0.25">
      <c r="A64" s="1">
        <v>45222</v>
      </c>
      <c r="B64" s="2">
        <v>0.42569444444444443</v>
      </c>
      <c r="C64" t="s">
        <v>847</v>
      </c>
      <c r="D64">
        <v>48</v>
      </c>
      <c r="E64" t="s">
        <v>807</v>
      </c>
    </row>
    <row r="65" spans="1:5" x14ac:dyDescent="0.25">
      <c r="A65" s="1">
        <v>45217</v>
      </c>
      <c r="B65" s="2">
        <v>0.48819444444444443</v>
      </c>
      <c r="C65" t="s">
        <v>848</v>
      </c>
      <c r="D65">
        <v>94</v>
      </c>
      <c r="E65" t="s">
        <v>807</v>
      </c>
    </row>
    <row r="66" spans="1:5" x14ac:dyDescent="0.25">
      <c r="A66" s="1">
        <v>45221</v>
      </c>
      <c r="B66" s="2">
        <v>0.96597222222222223</v>
      </c>
      <c r="C66" t="s">
        <v>849</v>
      </c>
      <c r="D66">
        <v>84</v>
      </c>
      <c r="E66" t="s">
        <v>812</v>
      </c>
    </row>
    <row r="67" spans="1:5" x14ac:dyDescent="0.25">
      <c r="A67" s="1">
        <v>45203</v>
      </c>
      <c r="B67" s="2">
        <v>0.95833333333333337</v>
      </c>
      <c r="C67" t="s">
        <v>850</v>
      </c>
      <c r="D67">
        <v>65</v>
      </c>
      <c r="E67" t="s">
        <v>812</v>
      </c>
    </row>
    <row r="68" spans="1:5" x14ac:dyDescent="0.25">
      <c r="A68" s="1">
        <v>45211</v>
      </c>
      <c r="B68" s="2">
        <v>0.14722222222222223</v>
      </c>
      <c r="C68" t="s">
        <v>851</v>
      </c>
      <c r="D68">
        <v>89</v>
      </c>
      <c r="E68" t="s">
        <v>808</v>
      </c>
    </row>
    <row r="69" spans="1:5" x14ac:dyDescent="0.25">
      <c r="A69" s="1">
        <v>45209</v>
      </c>
      <c r="B69" s="2">
        <v>0.17430555555555555</v>
      </c>
      <c r="C69" t="s">
        <v>851</v>
      </c>
      <c r="D69">
        <v>5</v>
      </c>
      <c r="E69" t="s">
        <v>807</v>
      </c>
    </row>
    <row r="70" spans="1:5" x14ac:dyDescent="0.25">
      <c r="A70" s="1">
        <v>45211</v>
      </c>
      <c r="B70" s="2">
        <v>6.3888888888888884E-2</v>
      </c>
      <c r="C70" t="s">
        <v>852</v>
      </c>
      <c r="D70">
        <v>6</v>
      </c>
      <c r="E70" t="s">
        <v>812</v>
      </c>
    </row>
    <row r="71" spans="1:5" x14ac:dyDescent="0.25">
      <c r="A71" s="1">
        <v>45221</v>
      </c>
      <c r="B71" s="2">
        <v>0.48194444444444445</v>
      </c>
      <c r="C71" t="s">
        <v>853</v>
      </c>
      <c r="D71">
        <v>80</v>
      </c>
      <c r="E71" t="s">
        <v>812</v>
      </c>
    </row>
    <row r="72" spans="1:5" x14ac:dyDescent="0.25">
      <c r="A72" s="1">
        <v>45212</v>
      </c>
      <c r="B72" s="2">
        <v>0.87986111111111109</v>
      </c>
      <c r="C72" t="s">
        <v>854</v>
      </c>
      <c r="D72">
        <v>99</v>
      </c>
      <c r="E72" t="s">
        <v>807</v>
      </c>
    </row>
    <row r="73" spans="1:5" x14ac:dyDescent="0.25">
      <c r="A73" s="1">
        <v>45220</v>
      </c>
      <c r="B73" s="2">
        <v>0.26250000000000001</v>
      </c>
      <c r="C73" t="s">
        <v>854</v>
      </c>
      <c r="D73">
        <v>96</v>
      </c>
      <c r="E73" t="s">
        <v>807</v>
      </c>
    </row>
    <row r="74" spans="1:5" x14ac:dyDescent="0.25">
      <c r="A74" s="1">
        <v>45207</v>
      </c>
      <c r="B74" s="2">
        <v>0.70138888888888884</v>
      </c>
      <c r="C74" t="s">
        <v>855</v>
      </c>
      <c r="D74">
        <v>27</v>
      </c>
      <c r="E74" t="s">
        <v>812</v>
      </c>
    </row>
    <row r="75" spans="1:5" x14ac:dyDescent="0.25">
      <c r="A75" s="1">
        <v>45209</v>
      </c>
      <c r="B75" s="2">
        <v>0.55833333333333335</v>
      </c>
      <c r="C75" t="s">
        <v>856</v>
      </c>
      <c r="D75">
        <v>66</v>
      </c>
      <c r="E75" t="s">
        <v>808</v>
      </c>
    </row>
    <row r="76" spans="1:5" x14ac:dyDescent="0.25">
      <c r="A76" s="1">
        <v>45221</v>
      </c>
      <c r="B76" s="2">
        <v>0.58333333333333337</v>
      </c>
      <c r="C76" t="s">
        <v>857</v>
      </c>
      <c r="D76">
        <v>106</v>
      </c>
      <c r="E76" t="s">
        <v>812</v>
      </c>
    </row>
    <row r="77" spans="1:5" x14ac:dyDescent="0.25">
      <c r="A77" s="1">
        <v>45208</v>
      </c>
      <c r="B77" s="2">
        <v>0.55833333333333335</v>
      </c>
      <c r="C77" t="s">
        <v>858</v>
      </c>
      <c r="D77">
        <v>44</v>
      </c>
      <c r="E77" t="s">
        <v>812</v>
      </c>
    </row>
    <row r="78" spans="1:5" x14ac:dyDescent="0.25">
      <c r="A78" s="1">
        <v>45225</v>
      </c>
      <c r="B78" s="2">
        <v>0.22083333333333333</v>
      </c>
      <c r="C78" t="s">
        <v>858</v>
      </c>
      <c r="D78">
        <v>104</v>
      </c>
      <c r="E78" t="s">
        <v>808</v>
      </c>
    </row>
    <row r="79" spans="1:5" x14ac:dyDescent="0.25">
      <c r="A79" s="1">
        <v>45204</v>
      </c>
      <c r="B79" s="2">
        <v>0.57013888888888886</v>
      </c>
      <c r="C79" t="s">
        <v>859</v>
      </c>
      <c r="D79">
        <v>13</v>
      </c>
      <c r="E79" t="s">
        <v>812</v>
      </c>
    </row>
    <row r="80" spans="1:5" x14ac:dyDescent="0.25">
      <c r="A80" s="1">
        <v>45210</v>
      </c>
      <c r="B80" s="2">
        <v>0.30972222222222223</v>
      </c>
      <c r="C80" t="s">
        <v>860</v>
      </c>
      <c r="D80">
        <v>47</v>
      </c>
      <c r="E80" t="s">
        <v>808</v>
      </c>
    </row>
    <row r="81" spans="1:5" x14ac:dyDescent="0.25">
      <c r="A81" s="1">
        <v>45212</v>
      </c>
      <c r="B81" s="2">
        <v>0.62638888888888888</v>
      </c>
      <c r="C81" t="s">
        <v>860</v>
      </c>
      <c r="D81">
        <v>107</v>
      </c>
      <c r="E81" t="s">
        <v>808</v>
      </c>
    </row>
    <row r="82" spans="1:5" x14ac:dyDescent="0.25">
      <c r="A82" s="1">
        <v>45216</v>
      </c>
      <c r="B82" s="2">
        <v>0.67361111111111116</v>
      </c>
      <c r="C82" t="s">
        <v>861</v>
      </c>
      <c r="D82">
        <v>117</v>
      </c>
      <c r="E82" t="s">
        <v>807</v>
      </c>
    </row>
    <row r="83" spans="1:5" x14ac:dyDescent="0.25">
      <c r="A83" s="1">
        <v>45221</v>
      </c>
      <c r="B83" s="2">
        <v>0.37638888888888888</v>
      </c>
      <c r="C83" t="s">
        <v>862</v>
      </c>
      <c r="D83">
        <v>59</v>
      </c>
      <c r="E83" t="s">
        <v>812</v>
      </c>
    </row>
    <row r="84" spans="1:5" x14ac:dyDescent="0.25">
      <c r="A84" s="1">
        <v>45206</v>
      </c>
      <c r="B84" s="2">
        <v>0.1673611111111111</v>
      </c>
      <c r="C84" t="s">
        <v>863</v>
      </c>
      <c r="D84">
        <v>64</v>
      </c>
      <c r="E84" t="s">
        <v>808</v>
      </c>
    </row>
    <row r="85" spans="1:5" x14ac:dyDescent="0.25">
      <c r="A85" s="1">
        <v>45225</v>
      </c>
      <c r="B85" s="2">
        <v>0.97916666666666663</v>
      </c>
      <c r="C85" t="s">
        <v>864</v>
      </c>
      <c r="D85">
        <v>6</v>
      </c>
      <c r="E85" t="s">
        <v>807</v>
      </c>
    </row>
    <row r="86" spans="1:5" x14ac:dyDescent="0.25">
      <c r="A86" s="1">
        <v>45202</v>
      </c>
      <c r="B86" s="2">
        <v>4.791666666666667E-2</v>
      </c>
      <c r="C86" t="s">
        <v>864</v>
      </c>
      <c r="D86">
        <v>115</v>
      </c>
      <c r="E86" t="s">
        <v>808</v>
      </c>
    </row>
    <row r="87" spans="1:5" x14ac:dyDescent="0.25">
      <c r="A87" s="1">
        <v>45219</v>
      </c>
      <c r="B87" s="2">
        <v>0.65625</v>
      </c>
      <c r="C87" t="s">
        <v>864</v>
      </c>
      <c r="D87">
        <v>118</v>
      </c>
      <c r="E87" t="s">
        <v>808</v>
      </c>
    </row>
    <row r="88" spans="1:5" x14ac:dyDescent="0.25">
      <c r="A88" s="1">
        <v>45213</v>
      </c>
      <c r="B88" s="2">
        <v>0.3347222222222222</v>
      </c>
      <c r="C88" t="s">
        <v>865</v>
      </c>
      <c r="D88">
        <v>62</v>
      </c>
      <c r="E88" t="s">
        <v>807</v>
      </c>
    </row>
    <row r="89" spans="1:5" x14ac:dyDescent="0.25">
      <c r="A89" s="1">
        <v>45226</v>
      </c>
      <c r="B89" s="2">
        <v>0.65694444444444444</v>
      </c>
      <c r="C89" t="s">
        <v>865</v>
      </c>
      <c r="D89">
        <v>7</v>
      </c>
      <c r="E89" t="s">
        <v>807</v>
      </c>
    </row>
    <row r="90" spans="1:5" x14ac:dyDescent="0.25">
      <c r="A90" s="1">
        <v>45225</v>
      </c>
      <c r="B90" s="2">
        <v>0.14722222222222223</v>
      </c>
      <c r="C90" t="s">
        <v>866</v>
      </c>
      <c r="D90">
        <v>44</v>
      </c>
      <c r="E90" t="s">
        <v>807</v>
      </c>
    </row>
    <row r="91" spans="1:5" x14ac:dyDescent="0.25">
      <c r="A91" s="1">
        <v>45203</v>
      </c>
      <c r="B91" s="2">
        <v>0.32430555555555557</v>
      </c>
      <c r="C91" t="s">
        <v>867</v>
      </c>
      <c r="D91">
        <v>34</v>
      </c>
      <c r="E91" t="s">
        <v>807</v>
      </c>
    </row>
    <row r="92" spans="1:5" x14ac:dyDescent="0.25">
      <c r="A92" s="1">
        <v>45210</v>
      </c>
      <c r="B92" s="2">
        <v>0.45</v>
      </c>
      <c r="C92" t="s">
        <v>868</v>
      </c>
      <c r="D92">
        <v>66</v>
      </c>
      <c r="E92" t="s">
        <v>807</v>
      </c>
    </row>
    <row r="93" spans="1:5" x14ac:dyDescent="0.25">
      <c r="A93" s="1">
        <v>45220</v>
      </c>
      <c r="B93" s="2">
        <v>0.75416666666666665</v>
      </c>
      <c r="C93" t="s">
        <v>868</v>
      </c>
      <c r="D93">
        <v>85</v>
      </c>
      <c r="E93" t="s">
        <v>807</v>
      </c>
    </row>
    <row r="94" spans="1:5" x14ac:dyDescent="0.25">
      <c r="A94" s="1">
        <v>45212</v>
      </c>
      <c r="B94" s="2">
        <v>0.56805555555555554</v>
      </c>
      <c r="C94" t="s">
        <v>869</v>
      </c>
      <c r="D94">
        <v>42</v>
      </c>
      <c r="E94" t="s">
        <v>808</v>
      </c>
    </row>
    <row r="95" spans="1:5" x14ac:dyDescent="0.25">
      <c r="A95" s="1">
        <v>45205</v>
      </c>
      <c r="B95" s="2">
        <v>0.19166666666666668</v>
      </c>
      <c r="C95" t="s">
        <v>870</v>
      </c>
      <c r="D95">
        <v>34</v>
      </c>
      <c r="E95" t="s">
        <v>807</v>
      </c>
    </row>
    <row r="96" spans="1:5" x14ac:dyDescent="0.25">
      <c r="A96" s="1">
        <v>45219</v>
      </c>
      <c r="B96" s="2">
        <v>0.6333333333333333</v>
      </c>
      <c r="C96" t="s">
        <v>871</v>
      </c>
      <c r="D96">
        <v>18</v>
      </c>
      <c r="E96" t="s">
        <v>812</v>
      </c>
    </row>
    <row r="97" spans="1:5" x14ac:dyDescent="0.25">
      <c r="A97" s="1">
        <v>45222</v>
      </c>
      <c r="B97" s="2">
        <v>0.66319444444444442</v>
      </c>
      <c r="C97" t="s">
        <v>872</v>
      </c>
      <c r="D97">
        <v>6</v>
      </c>
      <c r="E97" t="s">
        <v>812</v>
      </c>
    </row>
    <row r="98" spans="1:5" x14ac:dyDescent="0.25">
      <c r="A98" s="1">
        <v>45204</v>
      </c>
      <c r="B98" s="2">
        <v>0.23749999999999999</v>
      </c>
      <c r="C98" t="s">
        <v>872</v>
      </c>
      <c r="D98">
        <v>21</v>
      </c>
      <c r="E98" t="s">
        <v>808</v>
      </c>
    </row>
    <row r="99" spans="1:5" x14ac:dyDescent="0.25">
      <c r="A99" s="1">
        <v>45204</v>
      </c>
      <c r="B99" s="2">
        <v>0.55000000000000004</v>
      </c>
      <c r="C99" t="s">
        <v>872</v>
      </c>
      <c r="D99">
        <v>113</v>
      </c>
      <c r="E99" t="s">
        <v>808</v>
      </c>
    </row>
    <row r="100" spans="1:5" x14ac:dyDescent="0.25">
      <c r="A100" s="1">
        <v>45226</v>
      </c>
      <c r="B100" s="2">
        <v>0.53055555555555556</v>
      </c>
      <c r="C100" t="s">
        <v>873</v>
      </c>
      <c r="D100">
        <v>101</v>
      </c>
      <c r="E100" t="s">
        <v>812</v>
      </c>
    </row>
    <row r="101" spans="1:5" x14ac:dyDescent="0.25">
      <c r="A101" s="1">
        <v>45206</v>
      </c>
      <c r="B101" s="2">
        <v>0.27361111111111114</v>
      </c>
      <c r="C101" t="s">
        <v>874</v>
      </c>
      <c r="D101">
        <v>117</v>
      </c>
      <c r="E101" t="s">
        <v>812</v>
      </c>
    </row>
    <row r="102" spans="1:5" x14ac:dyDescent="0.25">
      <c r="A102" s="1">
        <v>45226</v>
      </c>
      <c r="B102" s="2">
        <v>0.96944444444444444</v>
      </c>
      <c r="C102" t="s">
        <v>875</v>
      </c>
      <c r="D102">
        <v>68</v>
      </c>
      <c r="E102" t="s">
        <v>807</v>
      </c>
    </row>
    <row r="103" spans="1:5" x14ac:dyDescent="0.25">
      <c r="A103" s="1">
        <v>45203</v>
      </c>
      <c r="B103" s="2">
        <v>0.22152777777777777</v>
      </c>
      <c r="C103" t="s">
        <v>875</v>
      </c>
      <c r="D103">
        <v>101</v>
      </c>
      <c r="E103" t="s">
        <v>807</v>
      </c>
    </row>
    <row r="104" spans="1:5" x14ac:dyDescent="0.25">
      <c r="A104" s="1">
        <v>45227</v>
      </c>
      <c r="B104" s="2">
        <v>1.0416666666666666E-2</v>
      </c>
      <c r="C104" t="s">
        <v>876</v>
      </c>
      <c r="D104">
        <v>49</v>
      </c>
      <c r="E104" t="s">
        <v>812</v>
      </c>
    </row>
    <row r="105" spans="1:5" x14ac:dyDescent="0.25">
      <c r="A105" s="1">
        <v>45215</v>
      </c>
      <c r="B105" s="2">
        <v>0.28819444444444442</v>
      </c>
      <c r="C105" t="s">
        <v>877</v>
      </c>
      <c r="D105">
        <v>109</v>
      </c>
      <c r="E105" t="s">
        <v>807</v>
      </c>
    </row>
    <row r="106" spans="1:5" x14ac:dyDescent="0.25">
      <c r="A106" s="1">
        <v>45222</v>
      </c>
      <c r="B106" s="2">
        <v>0.94444444444444442</v>
      </c>
      <c r="C106" t="s">
        <v>878</v>
      </c>
      <c r="D106">
        <v>87</v>
      </c>
      <c r="E106" t="s">
        <v>808</v>
      </c>
    </row>
    <row r="107" spans="1:5" x14ac:dyDescent="0.25">
      <c r="A107" s="1">
        <v>45229</v>
      </c>
      <c r="B107" s="2">
        <v>0.80138888888888893</v>
      </c>
      <c r="C107" t="s">
        <v>878</v>
      </c>
      <c r="D107">
        <v>89</v>
      </c>
      <c r="E107" t="s">
        <v>807</v>
      </c>
    </row>
    <row r="108" spans="1:5" x14ac:dyDescent="0.25">
      <c r="A108" s="1">
        <v>45215</v>
      </c>
      <c r="B108" s="2">
        <v>4.7222222222222221E-2</v>
      </c>
      <c r="C108" t="s">
        <v>878</v>
      </c>
      <c r="D108">
        <v>35</v>
      </c>
      <c r="E108" t="s">
        <v>807</v>
      </c>
    </row>
    <row r="109" spans="1:5" x14ac:dyDescent="0.25">
      <c r="A109" s="1">
        <v>45223</v>
      </c>
      <c r="B109" s="2">
        <v>0.7944444444444444</v>
      </c>
      <c r="C109" t="s">
        <v>879</v>
      </c>
      <c r="D109">
        <v>97</v>
      </c>
      <c r="E109" t="s">
        <v>807</v>
      </c>
    </row>
    <row r="110" spans="1:5" x14ac:dyDescent="0.25">
      <c r="A110" s="1">
        <v>45227</v>
      </c>
      <c r="B110" s="2">
        <v>5.5555555555555558E-3</v>
      </c>
      <c r="C110" t="s">
        <v>880</v>
      </c>
      <c r="D110">
        <v>66</v>
      </c>
      <c r="E110" t="s">
        <v>812</v>
      </c>
    </row>
    <row r="111" spans="1:5" x14ac:dyDescent="0.25">
      <c r="A111" s="1">
        <v>45213</v>
      </c>
      <c r="B111" s="2">
        <v>0.7631944444444444</v>
      </c>
      <c r="C111" t="s">
        <v>881</v>
      </c>
      <c r="D111">
        <v>119</v>
      </c>
      <c r="E111" t="s">
        <v>812</v>
      </c>
    </row>
    <row r="112" spans="1:5" x14ac:dyDescent="0.25">
      <c r="A112" s="1">
        <v>45230</v>
      </c>
      <c r="B112" s="2">
        <v>0.83958333333333335</v>
      </c>
      <c r="C112" t="s">
        <v>881</v>
      </c>
      <c r="D112">
        <v>83</v>
      </c>
      <c r="E112" t="s">
        <v>812</v>
      </c>
    </row>
    <row r="113" spans="1:5" x14ac:dyDescent="0.25">
      <c r="A113" s="1">
        <v>45210</v>
      </c>
      <c r="B113" s="2">
        <v>0.70347222222222228</v>
      </c>
      <c r="C113" t="s">
        <v>881</v>
      </c>
      <c r="D113">
        <v>20</v>
      </c>
      <c r="E113" t="s">
        <v>807</v>
      </c>
    </row>
    <row r="114" spans="1:5" x14ac:dyDescent="0.25">
      <c r="A114" s="1">
        <v>45225</v>
      </c>
      <c r="B114" s="2">
        <v>8.8888888888888892E-2</v>
      </c>
      <c r="C114" t="s">
        <v>882</v>
      </c>
      <c r="D114">
        <v>51</v>
      </c>
      <c r="E114" t="s">
        <v>807</v>
      </c>
    </row>
    <row r="115" spans="1:5" x14ac:dyDescent="0.25">
      <c r="A115" s="1">
        <v>45214</v>
      </c>
      <c r="B115" s="2">
        <v>0.1361111111111111</v>
      </c>
      <c r="C115" t="s">
        <v>883</v>
      </c>
      <c r="D115">
        <v>92</v>
      </c>
      <c r="E115" t="s">
        <v>807</v>
      </c>
    </row>
    <row r="116" spans="1:5" x14ac:dyDescent="0.25">
      <c r="A116" s="1">
        <v>45219</v>
      </c>
      <c r="B116" s="2">
        <v>0.82152777777777775</v>
      </c>
      <c r="C116" t="s">
        <v>883</v>
      </c>
      <c r="D116">
        <v>31</v>
      </c>
      <c r="E116" t="s">
        <v>808</v>
      </c>
    </row>
    <row r="117" spans="1:5" x14ac:dyDescent="0.25">
      <c r="A117" s="1">
        <v>45220</v>
      </c>
      <c r="B117" s="2">
        <v>0.89375000000000004</v>
      </c>
      <c r="C117" t="s">
        <v>884</v>
      </c>
      <c r="D117">
        <v>101</v>
      </c>
      <c r="E117" t="s">
        <v>812</v>
      </c>
    </row>
    <row r="118" spans="1:5" x14ac:dyDescent="0.25">
      <c r="A118" s="1">
        <v>45203</v>
      </c>
      <c r="B118" s="2">
        <v>4.1666666666666664E-2</v>
      </c>
      <c r="C118" t="s">
        <v>884</v>
      </c>
      <c r="D118">
        <v>69</v>
      </c>
      <c r="E118" t="s">
        <v>812</v>
      </c>
    </row>
    <row r="119" spans="1:5" x14ac:dyDescent="0.25">
      <c r="A119" s="1">
        <v>45211</v>
      </c>
      <c r="B119" s="2">
        <v>0.38055555555555554</v>
      </c>
      <c r="C119" t="s">
        <v>885</v>
      </c>
      <c r="D119">
        <v>84</v>
      </c>
      <c r="E119" t="s">
        <v>807</v>
      </c>
    </row>
    <row r="120" spans="1:5" x14ac:dyDescent="0.25">
      <c r="A120" s="1">
        <v>45200</v>
      </c>
      <c r="B120" s="2">
        <v>0.11597222222222223</v>
      </c>
      <c r="C120" t="s">
        <v>886</v>
      </c>
      <c r="D120">
        <v>111</v>
      </c>
      <c r="E120" t="s">
        <v>812</v>
      </c>
    </row>
    <row r="121" spans="1:5" x14ac:dyDescent="0.25">
      <c r="A121" s="1">
        <v>45225</v>
      </c>
      <c r="B121" s="2">
        <v>0.2388888888888889</v>
      </c>
      <c r="C121" t="s">
        <v>886</v>
      </c>
      <c r="D121">
        <v>16</v>
      </c>
      <c r="E121" t="s">
        <v>808</v>
      </c>
    </row>
    <row r="122" spans="1:5" x14ac:dyDescent="0.25">
      <c r="A122" s="1">
        <v>45225</v>
      </c>
      <c r="B122" s="2">
        <v>0.78194444444444444</v>
      </c>
      <c r="C122" t="s">
        <v>887</v>
      </c>
      <c r="D122">
        <v>113</v>
      </c>
      <c r="E122" t="s">
        <v>808</v>
      </c>
    </row>
    <row r="123" spans="1:5" x14ac:dyDescent="0.25">
      <c r="A123" s="1">
        <v>45207</v>
      </c>
      <c r="B123" s="2">
        <v>0.71388888888888891</v>
      </c>
      <c r="C123" t="s">
        <v>888</v>
      </c>
      <c r="D123">
        <v>99</v>
      </c>
      <c r="E123" t="s">
        <v>808</v>
      </c>
    </row>
    <row r="124" spans="1:5" x14ac:dyDescent="0.25">
      <c r="A124" s="1">
        <v>45226</v>
      </c>
      <c r="B124" s="2">
        <v>0.57430555555555551</v>
      </c>
      <c r="C124" t="s">
        <v>888</v>
      </c>
      <c r="D124">
        <v>81</v>
      </c>
      <c r="E124" t="s">
        <v>808</v>
      </c>
    </row>
    <row r="125" spans="1:5" x14ac:dyDescent="0.25">
      <c r="A125" s="1">
        <v>45205</v>
      </c>
      <c r="B125" s="2">
        <v>0.6</v>
      </c>
      <c r="C125" t="s">
        <v>889</v>
      </c>
      <c r="D125">
        <v>19</v>
      </c>
      <c r="E125" t="s">
        <v>808</v>
      </c>
    </row>
    <row r="126" spans="1:5" x14ac:dyDescent="0.25">
      <c r="A126" s="1">
        <v>45201</v>
      </c>
      <c r="B126" s="2">
        <v>0.77083333333333337</v>
      </c>
      <c r="C126" t="s">
        <v>889</v>
      </c>
      <c r="D126">
        <v>18</v>
      </c>
      <c r="E126" t="s">
        <v>812</v>
      </c>
    </row>
    <row r="127" spans="1:5" x14ac:dyDescent="0.25">
      <c r="A127" s="1">
        <v>45225</v>
      </c>
      <c r="B127" s="2">
        <v>0.92152777777777772</v>
      </c>
      <c r="C127" t="s">
        <v>890</v>
      </c>
      <c r="D127">
        <v>45</v>
      </c>
      <c r="E127" t="s">
        <v>807</v>
      </c>
    </row>
    <row r="128" spans="1:5" x14ac:dyDescent="0.25">
      <c r="A128" s="1">
        <v>45204</v>
      </c>
      <c r="B128" s="2">
        <v>0.68472222222222223</v>
      </c>
      <c r="C128" t="s">
        <v>890</v>
      </c>
      <c r="D128">
        <v>92</v>
      </c>
      <c r="E128" t="s">
        <v>807</v>
      </c>
    </row>
    <row r="129" spans="1:5" x14ac:dyDescent="0.25">
      <c r="A129" s="1">
        <v>45224</v>
      </c>
      <c r="B129" s="2">
        <v>0.31041666666666667</v>
      </c>
      <c r="C129" t="s">
        <v>890</v>
      </c>
      <c r="D129">
        <v>98</v>
      </c>
      <c r="E129" t="s">
        <v>808</v>
      </c>
    </row>
    <row r="130" spans="1:5" x14ac:dyDescent="0.25">
      <c r="A130" s="1">
        <v>45212</v>
      </c>
      <c r="B130" s="2">
        <v>0.41736111111111113</v>
      </c>
      <c r="C130" t="s">
        <v>891</v>
      </c>
      <c r="D130">
        <v>55</v>
      </c>
      <c r="E130" t="s">
        <v>808</v>
      </c>
    </row>
    <row r="131" spans="1:5" x14ac:dyDescent="0.25">
      <c r="A131" s="1">
        <v>45203</v>
      </c>
      <c r="B131" s="2">
        <v>0.91041666666666665</v>
      </c>
      <c r="C131" t="s">
        <v>891</v>
      </c>
      <c r="D131">
        <v>62</v>
      </c>
      <c r="E131" t="s">
        <v>807</v>
      </c>
    </row>
    <row r="132" spans="1:5" x14ac:dyDescent="0.25">
      <c r="A132" s="1">
        <v>45216</v>
      </c>
      <c r="B132" s="2">
        <v>0.43541666666666667</v>
      </c>
      <c r="C132" t="s">
        <v>891</v>
      </c>
      <c r="D132">
        <v>88</v>
      </c>
      <c r="E132" t="s">
        <v>807</v>
      </c>
    </row>
    <row r="133" spans="1:5" x14ac:dyDescent="0.25">
      <c r="A133" s="1">
        <v>45210</v>
      </c>
      <c r="B133" s="2">
        <v>7.6388888888888886E-3</v>
      </c>
      <c r="C133" t="s">
        <v>892</v>
      </c>
      <c r="D133">
        <v>59</v>
      </c>
      <c r="E133" t="s">
        <v>808</v>
      </c>
    </row>
    <row r="134" spans="1:5" x14ac:dyDescent="0.25">
      <c r="A134" s="1">
        <v>45200</v>
      </c>
      <c r="B134" s="2">
        <v>0.83611111111111114</v>
      </c>
      <c r="C134" t="s">
        <v>892</v>
      </c>
      <c r="D134">
        <v>6</v>
      </c>
      <c r="E134" t="s">
        <v>807</v>
      </c>
    </row>
    <row r="135" spans="1:5" x14ac:dyDescent="0.25">
      <c r="A135" s="1">
        <v>45209</v>
      </c>
      <c r="B135" s="2">
        <v>0.46250000000000002</v>
      </c>
      <c r="C135" t="s">
        <v>892</v>
      </c>
      <c r="D135">
        <v>102</v>
      </c>
      <c r="E135" t="s">
        <v>812</v>
      </c>
    </row>
    <row r="136" spans="1:5" x14ac:dyDescent="0.25">
      <c r="A136" s="1">
        <v>45230</v>
      </c>
      <c r="B136" s="2">
        <v>0.62986111111111109</v>
      </c>
      <c r="C136" t="s">
        <v>893</v>
      </c>
      <c r="D136">
        <v>91</v>
      </c>
      <c r="E136" t="s">
        <v>807</v>
      </c>
    </row>
    <row r="137" spans="1:5" x14ac:dyDescent="0.25">
      <c r="A137" s="1">
        <v>45225</v>
      </c>
      <c r="B137" s="2">
        <v>0.43263888888888891</v>
      </c>
      <c r="C137" t="s">
        <v>893</v>
      </c>
      <c r="D137">
        <v>50</v>
      </c>
      <c r="E137" t="s">
        <v>808</v>
      </c>
    </row>
    <row r="138" spans="1:5" x14ac:dyDescent="0.25">
      <c r="A138" s="1">
        <v>45230</v>
      </c>
      <c r="B138" s="2">
        <v>0.39513888888888887</v>
      </c>
      <c r="C138" t="s">
        <v>894</v>
      </c>
      <c r="D138">
        <v>89</v>
      </c>
      <c r="E138" t="s">
        <v>812</v>
      </c>
    </row>
    <row r="139" spans="1:5" x14ac:dyDescent="0.25">
      <c r="A139" s="1">
        <v>45207</v>
      </c>
      <c r="B139" s="2">
        <v>1.1111111111111112E-2</v>
      </c>
      <c r="C139" t="s">
        <v>895</v>
      </c>
      <c r="D139">
        <v>32</v>
      </c>
      <c r="E139" t="s">
        <v>807</v>
      </c>
    </row>
    <row r="140" spans="1:5" x14ac:dyDescent="0.25">
      <c r="A140" s="1">
        <v>45204</v>
      </c>
      <c r="B140" s="2">
        <v>0.625</v>
      </c>
      <c r="C140" t="s">
        <v>896</v>
      </c>
      <c r="D140">
        <v>94</v>
      </c>
      <c r="E140" t="s">
        <v>812</v>
      </c>
    </row>
    <row r="141" spans="1:5" x14ac:dyDescent="0.25">
      <c r="A141" s="1">
        <v>45214</v>
      </c>
      <c r="B141" s="2">
        <v>0.92986111111111114</v>
      </c>
      <c r="C141" t="s">
        <v>897</v>
      </c>
      <c r="D141">
        <v>89</v>
      </c>
      <c r="E141" t="s">
        <v>812</v>
      </c>
    </row>
    <row r="142" spans="1:5" x14ac:dyDescent="0.25">
      <c r="A142" s="1">
        <v>45202</v>
      </c>
      <c r="B142" s="2">
        <v>0.91249999999999998</v>
      </c>
      <c r="C142" t="s">
        <v>898</v>
      </c>
      <c r="D142">
        <v>68</v>
      </c>
      <c r="E142" t="s">
        <v>812</v>
      </c>
    </row>
    <row r="143" spans="1:5" x14ac:dyDescent="0.25">
      <c r="A143" s="1">
        <v>45218</v>
      </c>
      <c r="B143" s="2">
        <v>0.7944444444444444</v>
      </c>
      <c r="C143" t="s">
        <v>899</v>
      </c>
      <c r="D143">
        <v>108</v>
      </c>
      <c r="E143" t="s">
        <v>807</v>
      </c>
    </row>
    <row r="144" spans="1:5" x14ac:dyDescent="0.25">
      <c r="A144" s="1">
        <v>45207</v>
      </c>
      <c r="B144" s="2">
        <v>0.17291666666666666</v>
      </c>
      <c r="C144" t="s">
        <v>900</v>
      </c>
      <c r="D144">
        <v>73</v>
      </c>
      <c r="E144" t="s">
        <v>812</v>
      </c>
    </row>
    <row r="145" spans="1:5" x14ac:dyDescent="0.25">
      <c r="A145" s="1">
        <v>45208</v>
      </c>
      <c r="B145" s="2">
        <v>7.4999999999999997E-2</v>
      </c>
      <c r="C145" t="s">
        <v>901</v>
      </c>
      <c r="D145">
        <v>82</v>
      </c>
      <c r="E145" t="s">
        <v>812</v>
      </c>
    </row>
    <row r="146" spans="1:5" x14ac:dyDescent="0.25">
      <c r="A146" s="1">
        <v>45228</v>
      </c>
      <c r="B146" s="2">
        <v>0.84861111111111109</v>
      </c>
      <c r="C146" t="s">
        <v>901</v>
      </c>
      <c r="D146">
        <v>18</v>
      </c>
      <c r="E146" t="s">
        <v>812</v>
      </c>
    </row>
    <row r="147" spans="1:5" x14ac:dyDescent="0.25">
      <c r="A147" s="1">
        <v>45214</v>
      </c>
      <c r="B147" s="2">
        <v>0.45763888888888887</v>
      </c>
      <c r="C147" t="s">
        <v>902</v>
      </c>
      <c r="D147">
        <v>48</v>
      </c>
      <c r="E147" t="s">
        <v>812</v>
      </c>
    </row>
    <row r="148" spans="1:5" x14ac:dyDescent="0.25">
      <c r="A148" s="1">
        <v>45220</v>
      </c>
      <c r="B148" s="2">
        <v>0.48888888888888887</v>
      </c>
      <c r="C148" t="s">
        <v>902</v>
      </c>
      <c r="D148">
        <v>49</v>
      </c>
      <c r="E148" t="s">
        <v>812</v>
      </c>
    </row>
    <row r="149" spans="1:5" x14ac:dyDescent="0.25">
      <c r="A149" s="1">
        <v>45212</v>
      </c>
      <c r="B149" s="2">
        <v>0.87569444444444444</v>
      </c>
      <c r="C149" t="s">
        <v>903</v>
      </c>
      <c r="D149">
        <v>23</v>
      </c>
      <c r="E149" t="s">
        <v>807</v>
      </c>
    </row>
    <row r="150" spans="1:5" x14ac:dyDescent="0.25">
      <c r="A150" s="1">
        <v>45206</v>
      </c>
      <c r="B150" s="2">
        <v>0.5395833333333333</v>
      </c>
      <c r="C150" t="s">
        <v>904</v>
      </c>
      <c r="D150">
        <v>43</v>
      </c>
      <c r="E150" t="s">
        <v>807</v>
      </c>
    </row>
    <row r="151" spans="1:5" x14ac:dyDescent="0.25">
      <c r="A151" s="1">
        <v>45228</v>
      </c>
      <c r="B151" s="2">
        <v>0.62152777777777779</v>
      </c>
      <c r="C151" t="s">
        <v>904</v>
      </c>
      <c r="D151">
        <v>98</v>
      </c>
      <c r="E151" t="s">
        <v>812</v>
      </c>
    </row>
    <row r="152" spans="1:5" x14ac:dyDescent="0.25">
      <c r="A152" s="1">
        <v>45212</v>
      </c>
      <c r="B152" s="2">
        <v>0.90138888888888891</v>
      </c>
      <c r="C152" t="s">
        <v>904</v>
      </c>
      <c r="D152">
        <v>58</v>
      </c>
      <c r="E152" t="s">
        <v>807</v>
      </c>
    </row>
    <row r="153" spans="1:5" x14ac:dyDescent="0.25">
      <c r="A153" s="1">
        <v>45230</v>
      </c>
      <c r="B153" s="2">
        <v>0.44444444444444442</v>
      </c>
      <c r="C153" t="s">
        <v>905</v>
      </c>
      <c r="D153">
        <v>40</v>
      </c>
      <c r="E153" t="s">
        <v>807</v>
      </c>
    </row>
    <row r="154" spans="1:5" x14ac:dyDescent="0.25">
      <c r="A154" s="1">
        <v>45203</v>
      </c>
      <c r="B154" s="2">
        <v>0.71805555555555556</v>
      </c>
      <c r="C154" t="s">
        <v>905</v>
      </c>
      <c r="D154">
        <v>114</v>
      </c>
      <c r="E154" t="s">
        <v>808</v>
      </c>
    </row>
    <row r="155" spans="1:5" x14ac:dyDescent="0.25">
      <c r="A155" s="1">
        <v>45210</v>
      </c>
      <c r="B155" s="2">
        <v>0.49722222222222223</v>
      </c>
      <c r="C155" t="s">
        <v>906</v>
      </c>
      <c r="D155">
        <v>75</v>
      </c>
      <c r="E155" t="s">
        <v>812</v>
      </c>
    </row>
    <row r="156" spans="1:5" x14ac:dyDescent="0.25">
      <c r="A156" s="1">
        <v>45228</v>
      </c>
      <c r="B156" s="2">
        <v>1.3888888888888889E-3</v>
      </c>
      <c r="C156" t="s">
        <v>906</v>
      </c>
      <c r="D156">
        <v>100</v>
      </c>
      <c r="E156" t="s">
        <v>808</v>
      </c>
    </row>
    <row r="157" spans="1:5" x14ac:dyDescent="0.25">
      <c r="A157" s="1">
        <v>45212</v>
      </c>
      <c r="B157" s="2">
        <v>0.17430555555555555</v>
      </c>
      <c r="C157" t="s">
        <v>907</v>
      </c>
      <c r="D157">
        <v>112</v>
      </c>
      <c r="E157" t="s">
        <v>812</v>
      </c>
    </row>
    <row r="158" spans="1:5" x14ac:dyDescent="0.25">
      <c r="A158" s="1">
        <v>45222</v>
      </c>
      <c r="B158" s="2">
        <v>0.51666666666666672</v>
      </c>
      <c r="C158" t="s">
        <v>908</v>
      </c>
      <c r="D158">
        <v>66</v>
      </c>
      <c r="E158" t="s">
        <v>807</v>
      </c>
    </row>
    <row r="159" spans="1:5" x14ac:dyDescent="0.25">
      <c r="A159" s="1">
        <v>45210</v>
      </c>
      <c r="B159" s="2">
        <v>0.67500000000000004</v>
      </c>
      <c r="C159" t="s">
        <v>908</v>
      </c>
      <c r="D159">
        <v>86</v>
      </c>
      <c r="E159" t="s">
        <v>812</v>
      </c>
    </row>
    <row r="160" spans="1:5" x14ac:dyDescent="0.25">
      <c r="A160" s="1">
        <v>45219</v>
      </c>
      <c r="B160" s="2">
        <v>0.63611111111111107</v>
      </c>
      <c r="C160" t="s">
        <v>908</v>
      </c>
      <c r="D160">
        <v>49</v>
      </c>
      <c r="E160" t="s">
        <v>807</v>
      </c>
    </row>
    <row r="161" spans="1:5" x14ac:dyDescent="0.25">
      <c r="A161" s="1">
        <v>45202</v>
      </c>
      <c r="B161" s="2">
        <v>0.77916666666666667</v>
      </c>
      <c r="C161" t="s">
        <v>909</v>
      </c>
      <c r="D161">
        <v>61</v>
      </c>
      <c r="E161" t="s">
        <v>812</v>
      </c>
    </row>
    <row r="162" spans="1:5" x14ac:dyDescent="0.25">
      <c r="A162" s="1">
        <v>45213</v>
      </c>
      <c r="B162" s="2">
        <v>0.35138888888888886</v>
      </c>
      <c r="C162" t="s">
        <v>910</v>
      </c>
      <c r="D162">
        <v>86</v>
      </c>
      <c r="E162" t="s">
        <v>812</v>
      </c>
    </row>
    <row r="163" spans="1:5" x14ac:dyDescent="0.25">
      <c r="A163" s="1">
        <v>45209</v>
      </c>
      <c r="B163" s="2">
        <v>0.23958333333333334</v>
      </c>
      <c r="C163" t="s">
        <v>911</v>
      </c>
      <c r="D163">
        <v>42</v>
      </c>
      <c r="E163" t="s">
        <v>812</v>
      </c>
    </row>
    <row r="164" spans="1:5" x14ac:dyDescent="0.25">
      <c r="A164" s="1">
        <v>45227</v>
      </c>
      <c r="B164" s="2">
        <v>0.42152777777777778</v>
      </c>
      <c r="C164" t="s">
        <v>912</v>
      </c>
      <c r="D164">
        <v>25</v>
      </c>
      <c r="E164" t="s">
        <v>808</v>
      </c>
    </row>
    <row r="165" spans="1:5" x14ac:dyDescent="0.25">
      <c r="A165" s="1">
        <v>45204</v>
      </c>
      <c r="B165" s="2">
        <v>0.91666666666666663</v>
      </c>
      <c r="C165" t="s">
        <v>912</v>
      </c>
      <c r="D165">
        <v>64</v>
      </c>
      <c r="E165" t="s">
        <v>812</v>
      </c>
    </row>
    <row r="166" spans="1:5" x14ac:dyDescent="0.25">
      <c r="A166" s="1">
        <v>45205</v>
      </c>
      <c r="B166" s="2">
        <v>0.16944444444444445</v>
      </c>
      <c r="C166" t="s">
        <v>913</v>
      </c>
      <c r="D166">
        <v>18</v>
      </c>
      <c r="E166" t="s">
        <v>808</v>
      </c>
    </row>
    <row r="167" spans="1:5" x14ac:dyDescent="0.25">
      <c r="A167" s="1">
        <v>45208</v>
      </c>
      <c r="B167" s="2">
        <v>0.50555555555555554</v>
      </c>
      <c r="C167" t="s">
        <v>914</v>
      </c>
      <c r="D167">
        <v>31</v>
      </c>
      <c r="E167" t="s">
        <v>812</v>
      </c>
    </row>
    <row r="168" spans="1:5" x14ac:dyDescent="0.25">
      <c r="A168" s="1">
        <v>45227</v>
      </c>
      <c r="B168" s="2">
        <v>0.46250000000000002</v>
      </c>
      <c r="C168" t="s">
        <v>914</v>
      </c>
      <c r="D168">
        <v>70</v>
      </c>
      <c r="E168" t="s">
        <v>812</v>
      </c>
    </row>
    <row r="169" spans="1:5" x14ac:dyDescent="0.25">
      <c r="A169" s="1">
        <v>45203</v>
      </c>
      <c r="B169" s="2">
        <v>0.76041666666666663</v>
      </c>
      <c r="C169" t="s">
        <v>915</v>
      </c>
      <c r="D169">
        <v>18</v>
      </c>
      <c r="E169" t="s">
        <v>812</v>
      </c>
    </row>
    <row r="170" spans="1:5" x14ac:dyDescent="0.25">
      <c r="A170" s="1">
        <v>45230</v>
      </c>
      <c r="B170" s="2">
        <v>9.0277777777777769E-3</v>
      </c>
      <c r="C170" t="s">
        <v>915</v>
      </c>
      <c r="D170">
        <v>11</v>
      </c>
      <c r="E170" t="s">
        <v>808</v>
      </c>
    </row>
    <row r="171" spans="1:5" x14ac:dyDescent="0.25">
      <c r="A171" s="1">
        <v>45205</v>
      </c>
      <c r="B171" s="2">
        <v>0.65069444444444446</v>
      </c>
      <c r="C171" t="s">
        <v>916</v>
      </c>
      <c r="D171">
        <v>63</v>
      </c>
      <c r="E171" t="s">
        <v>807</v>
      </c>
    </row>
    <row r="172" spans="1:5" x14ac:dyDescent="0.25">
      <c r="A172" s="1">
        <v>45223</v>
      </c>
      <c r="B172" s="2">
        <v>3.0555555555555555E-2</v>
      </c>
      <c r="C172" t="s">
        <v>917</v>
      </c>
      <c r="D172">
        <v>59</v>
      </c>
      <c r="E172" t="s">
        <v>807</v>
      </c>
    </row>
    <row r="173" spans="1:5" x14ac:dyDescent="0.25">
      <c r="A173" s="1">
        <v>45206</v>
      </c>
      <c r="B173" s="2">
        <v>0.43472222222222223</v>
      </c>
      <c r="C173" t="s">
        <v>918</v>
      </c>
      <c r="D173">
        <v>98</v>
      </c>
      <c r="E173" t="s">
        <v>807</v>
      </c>
    </row>
    <row r="174" spans="1:5" x14ac:dyDescent="0.25">
      <c r="A174" s="1">
        <v>45217</v>
      </c>
      <c r="B174" s="2">
        <v>0.41180555555555554</v>
      </c>
      <c r="C174" t="s">
        <v>918</v>
      </c>
      <c r="D174">
        <v>92</v>
      </c>
      <c r="E174" t="s">
        <v>812</v>
      </c>
    </row>
    <row r="175" spans="1:5" x14ac:dyDescent="0.25">
      <c r="A175" s="1">
        <v>45206</v>
      </c>
      <c r="B175" s="2">
        <v>0.2590277777777778</v>
      </c>
      <c r="C175" t="s">
        <v>919</v>
      </c>
      <c r="D175">
        <v>104</v>
      </c>
      <c r="E175" t="s">
        <v>807</v>
      </c>
    </row>
    <row r="176" spans="1:5" x14ac:dyDescent="0.25">
      <c r="A176" s="1">
        <v>45216</v>
      </c>
      <c r="B176" s="2">
        <v>0.27500000000000002</v>
      </c>
      <c r="C176" t="s">
        <v>920</v>
      </c>
      <c r="D176">
        <v>119</v>
      </c>
      <c r="E176" t="s">
        <v>812</v>
      </c>
    </row>
    <row r="177" spans="1:5" x14ac:dyDescent="0.25">
      <c r="A177" s="1">
        <v>45227</v>
      </c>
      <c r="B177" s="2">
        <v>0.44791666666666669</v>
      </c>
      <c r="C177" t="s">
        <v>920</v>
      </c>
      <c r="D177">
        <v>84</v>
      </c>
      <c r="E177" t="s">
        <v>808</v>
      </c>
    </row>
    <row r="178" spans="1:5" x14ac:dyDescent="0.25">
      <c r="A178" s="1">
        <v>45216</v>
      </c>
      <c r="B178" s="2">
        <v>0.86527777777777781</v>
      </c>
      <c r="C178" t="s">
        <v>921</v>
      </c>
      <c r="D178">
        <v>10</v>
      </c>
      <c r="E178" t="s">
        <v>808</v>
      </c>
    </row>
    <row r="179" spans="1:5" x14ac:dyDescent="0.25">
      <c r="A179" s="1">
        <v>45227</v>
      </c>
      <c r="B179" s="2">
        <v>0.77569444444444446</v>
      </c>
      <c r="C179" t="s">
        <v>922</v>
      </c>
      <c r="D179">
        <v>45</v>
      </c>
      <c r="E179" t="s">
        <v>812</v>
      </c>
    </row>
    <row r="180" spans="1:5" x14ac:dyDescent="0.25">
      <c r="A180" s="1">
        <v>45221</v>
      </c>
      <c r="B180" s="2">
        <v>0.55555555555555558</v>
      </c>
      <c r="C180" t="s">
        <v>922</v>
      </c>
      <c r="D180">
        <v>103</v>
      </c>
      <c r="E180" t="s">
        <v>808</v>
      </c>
    </row>
    <row r="181" spans="1:5" x14ac:dyDescent="0.25">
      <c r="A181" s="1">
        <v>45218</v>
      </c>
      <c r="B181" s="2">
        <v>8.8888888888888892E-2</v>
      </c>
      <c r="C181" t="s">
        <v>923</v>
      </c>
      <c r="D181">
        <v>12</v>
      </c>
      <c r="E181" t="s">
        <v>812</v>
      </c>
    </row>
    <row r="182" spans="1:5" x14ac:dyDescent="0.25">
      <c r="A182" s="1">
        <v>45209</v>
      </c>
      <c r="B182" s="2">
        <v>0.21527777777777779</v>
      </c>
      <c r="C182" t="s">
        <v>923</v>
      </c>
      <c r="D182">
        <v>23</v>
      </c>
      <c r="E182" t="s">
        <v>812</v>
      </c>
    </row>
    <row r="183" spans="1:5" x14ac:dyDescent="0.25">
      <c r="A183" s="1">
        <v>45226</v>
      </c>
      <c r="B183" s="2">
        <v>0.84097222222222223</v>
      </c>
      <c r="C183" t="s">
        <v>923</v>
      </c>
      <c r="D183">
        <v>74</v>
      </c>
      <c r="E183" t="s">
        <v>808</v>
      </c>
    </row>
    <row r="184" spans="1:5" x14ac:dyDescent="0.25">
      <c r="A184" s="1">
        <v>45219</v>
      </c>
      <c r="B184" s="2">
        <v>0.43888888888888888</v>
      </c>
      <c r="C184" t="s">
        <v>924</v>
      </c>
      <c r="D184">
        <v>105</v>
      </c>
      <c r="E184" t="s">
        <v>808</v>
      </c>
    </row>
    <row r="185" spans="1:5" x14ac:dyDescent="0.25">
      <c r="A185" s="1">
        <v>45202</v>
      </c>
      <c r="B185" s="2">
        <v>0.42083333333333334</v>
      </c>
      <c r="C185" t="s">
        <v>925</v>
      </c>
      <c r="D185">
        <v>84</v>
      </c>
      <c r="E185" t="s">
        <v>807</v>
      </c>
    </row>
    <row r="186" spans="1:5" x14ac:dyDescent="0.25">
      <c r="A186" s="1">
        <v>45229</v>
      </c>
      <c r="B186" s="2">
        <v>0.59583333333333333</v>
      </c>
      <c r="C186" t="s">
        <v>925</v>
      </c>
      <c r="D186">
        <v>88</v>
      </c>
      <c r="E186" t="s">
        <v>812</v>
      </c>
    </row>
    <row r="187" spans="1:5" x14ac:dyDescent="0.25">
      <c r="A187" s="1">
        <v>45206</v>
      </c>
      <c r="B187" s="2">
        <v>0.9194444444444444</v>
      </c>
      <c r="C187" t="s">
        <v>925</v>
      </c>
      <c r="D187">
        <v>13</v>
      </c>
      <c r="E187" t="s">
        <v>808</v>
      </c>
    </row>
    <row r="188" spans="1:5" x14ac:dyDescent="0.25">
      <c r="A188" s="1">
        <v>45208</v>
      </c>
      <c r="B188" s="2">
        <v>0.59444444444444444</v>
      </c>
      <c r="C188" t="s">
        <v>926</v>
      </c>
      <c r="D188">
        <v>50</v>
      </c>
      <c r="E188" t="s">
        <v>807</v>
      </c>
    </row>
    <row r="189" spans="1:5" x14ac:dyDescent="0.25">
      <c r="A189" s="1">
        <v>45218</v>
      </c>
      <c r="B189" s="2">
        <v>0.6479166666666667</v>
      </c>
      <c r="C189" t="s">
        <v>927</v>
      </c>
      <c r="D189">
        <v>78</v>
      </c>
      <c r="E189" t="s">
        <v>807</v>
      </c>
    </row>
    <row r="190" spans="1:5" x14ac:dyDescent="0.25">
      <c r="A190" s="1">
        <v>45200</v>
      </c>
      <c r="B190" s="2">
        <v>0.62916666666666665</v>
      </c>
      <c r="C190" t="s">
        <v>927</v>
      </c>
      <c r="D190">
        <v>73</v>
      </c>
      <c r="E190" t="s">
        <v>808</v>
      </c>
    </row>
    <row r="191" spans="1:5" x14ac:dyDescent="0.25">
      <c r="A191" s="1">
        <v>45203</v>
      </c>
      <c r="B191" s="2">
        <v>0.35833333333333334</v>
      </c>
      <c r="C191" t="s">
        <v>928</v>
      </c>
      <c r="D191">
        <v>5</v>
      </c>
      <c r="E191" t="s">
        <v>807</v>
      </c>
    </row>
    <row r="192" spans="1:5" x14ac:dyDescent="0.25">
      <c r="A192" s="1">
        <v>45215</v>
      </c>
      <c r="B192" s="2">
        <v>0.5805555555555556</v>
      </c>
      <c r="C192" t="s">
        <v>929</v>
      </c>
      <c r="D192">
        <v>102</v>
      </c>
      <c r="E192" t="s">
        <v>812</v>
      </c>
    </row>
    <row r="193" spans="1:5" x14ac:dyDescent="0.25">
      <c r="A193" s="1">
        <v>45227</v>
      </c>
      <c r="B193" s="2">
        <v>0.14444444444444443</v>
      </c>
      <c r="C193" t="s">
        <v>929</v>
      </c>
      <c r="D193">
        <v>11</v>
      </c>
      <c r="E193" t="s">
        <v>808</v>
      </c>
    </row>
    <row r="194" spans="1:5" x14ac:dyDescent="0.25">
      <c r="A194" s="1">
        <v>45213</v>
      </c>
      <c r="B194" s="2">
        <v>0.31111111111111112</v>
      </c>
      <c r="C194" t="s">
        <v>930</v>
      </c>
      <c r="D194">
        <v>22</v>
      </c>
      <c r="E194" t="s">
        <v>808</v>
      </c>
    </row>
    <row r="195" spans="1:5" x14ac:dyDescent="0.25">
      <c r="A195" s="1">
        <v>45212</v>
      </c>
      <c r="B195" s="2">
        <v>0.31111111111111112</v>
      </c>
      <c r="C195" t="s">
        <v>930</v>
      </c>
      <c r="D195">
        <v>79</v>
      </c>
      <c r="E195" t="s">
        <v>807</v>
      </c>
    </row>
    <row r="196" spans="1:5" x14ac:dyDescent="0.25">
      <c r="A196" s="1">
        <v>45227</v>
      </c>
      <c r="B196" s="2">
        <v>9.166666666666666E-2</v>
      </c>
      <c r="C196" t="s">
        <v>931</v>
      </c>
      <c r="D196">
        <v>112</v>
      </c>
      <c r="E196" t="s">
        <v>807</v>
      </c>
    </row>
    <row r="197" spans="1:5" x14ac:dyDescent="0.25">
      <c r="A197" s="1">
        <v>45202</v>
      </c>
      <c r="B197" s="2">
        <v>0.8041666666666667</v>
      </c>
      <c r="C197" t="s">
        <v>932</v>
      </c>
      <c r="D197">
        <v>115</v>
      </c>
      <c r="E197" t="s">
        <v>808</v>
      </c>
    </row>
    <row r="198" spans="1:5" x14ac:dyDescent="0.25">
      <c r="A198" s="1">
        <v>45206</v>
      </c>
      <c r="B198" s="2">
        <v>0.90277777777777779</v>
      </c>
      <c r="C198" t="s">
        <v>933</v>
      </c>
      <c r="D198">
        <v>75</v>
      </c>
      <c r="E198" t="s">
        <v>812</v>
      </c>
    </row>
    <row r="199" spans="1:5" x14ac:dyDescent="0.25">
      <c r="A199" s="1">
        <v>45217</v>
      </c>
      <c r="B199" s="2">
        <v>0.32430555555555557</v>
      </c>
      <c r="C199" t="s">
        <v>934</v>
      </c>
      <c r="D199">
        <v>14</v>
      </c>
      <c r="E199" t="s">
        <v>808</v>
      </c>
    </row>
    <row r="200" spans="1:5" x14ac:dyDescent="0.25">
      <c r="A200" s="1">
        <v>45226</v>
      </c>
      <c r="B200" s="2">
        <v>0.97569444444444442</v>
      </c>
      <c r="C200" t="s">
        <v>935</v>
      </c>
      <c r="D200">
        <v>89</v>
      </c>
      <c r="E200" t="s">
        <v>812</v>
      </c>
    </row>
    <row r="201" spans="1:5" x14ac:dyDescent="0.25">
      <c r="A201" s="1">
        <v>45215</v>
      </c>
      <c r="B201" s="2">
        <v>0.81111111111111112</v>
      </c>
      <c r="C201" t="s">
        <v>935</v>
      </c>
      <c r="D201">
        <v>49</v>
      </c>
      <c r="E201" t="s">
        <v>808</v>
      </c>
    </row>
    <row r="202" spans="1:5" x14ac:dyDescent="0.25">
      <c r="A202" s="1">
        <v>45203</v>
      </c>
      <c r="B202" s="2">
        <v>0.27777777777777779</v>
      </c>
      <c r="C202" t="s">
        <v>935</v>
      </c>
      <c r="D202">
        <v>79</v>
      </c>
      <c r="E202" t="s">
        <v>808</v>
      </c>
    </row>
    <row r="203" spans="1:5" x14ac:dyDescent="0.25">
      <c r="A203" s="1">
        <v>45210</v>
      </c>
      <c r="B203" s="2">
        <v>0.90833333333333333</v>
      </c>
      <c r="C203" t="s">
        <v>936</v>
      </c>
      <c r="D203">
        <v>57</v>
      </c>
      <c r="E203" t="s">
        <v>812</v>
      </c>
    </row>
    <row r="204" spans="1:5" x14ac:dyDescent="0.25">
      <c r="A204" s="1">
        <v>45210</v>
      </c>
      <c r="B204" s="2">
        <v>0.68611111111111112</v>
      </c>
      <c r="C204" t="s">
        <v>936</v>
      </c>
      <c r="D204">
        <v>62</v>
      </c>
      <c r="E204" t="s">
        <v>808</v>
      </c>
    </row>
    <row r="205" spans="1:5" x14ac:dyDescent="0.25">
      <c r="A205" s="1">
        <v>45216</v>
      </c>
      <c r="B205" s="2">
        <v>7.8472222222222221E-2</v>
      </c>
      <c r="C205" t="s">
        <v>937</v>
      </c>
      <c r="D205">
        <v>48</v>
      </c>
      <c r="E205" t="s">
        <v>808</v>
      </c>
    </row>
    <row r="206" spans="1:5" x14ac:dyDescent="0.25">
      <c r="A206" s="1">
        <v>45210</v>
      </c>
      <c r="B206" s="2">
        <v>0.27013888888888887</v>
      </c>
      <c r="C206" t="s">
        <v>938</v>
      </c>
      <c r="D206">
        <v>104</v>
      </c>
      <c r="E206" t="s">
        <v>812</v>
      </c>
    </row>
    <row r="207" spans="1:5" x14ac:dyDescent="0.25">
      <c r="A207" s="1">
        <v>45203</v>
      </c>
      <c r="B207" s="2">
        <v>0.9916666666666667</v>
      </c>
      <c r="C207" t="s">
        <v>939</v>
      </c>
      <c r="D207">
        <v>5</v>
      </c>
      <c r="E207" t="s">
        <v>812</v>
      </c>
    </row>
    <row r="208" spans="1:5" x14ac:dyDescent="0.25">
      <c r="A208" s="1">
        <v>45230</v>
      </c>
      <c r="B208" s="2">
        <v>0.7319444444444444</v>
      </c>
      <c r="C208" t="s">
        <v>940</v>
      </c>
      <c r="D208">
        <v>52</v>
      </c>
      <c r="E208" t="s">
        <v>807</v>
      </c>
    </row>
    <row r="209" spans="1:5" x14ac:dyDescent="0.25">
      <c r="A209" s="1">
        <v>45201</v>
      </c>
      <c r="B209" s="2">
        <v>0.62361111111111112</v>
      </c>
      <c r="C209" t="s">
        <v>940</v>
      </c>
      <c r="D209">
        <v>9</v>
      </c>
      <c r="E209" t="s">
        <v>807</v>
      </c>
    </row>
    <row r="210" spans="1:5" x14ac:dyDescent="0.25">
      <c r="A210" s="1">
        <v>45224</v>
      </c>
      <c r="B210" s="2">
        <v>0.98402777777777772</v>
      </c>
      <c r="C210" t="s">
        <v>941</v>
      </c>
      <c r="D210">
        <v>49</v>
      </c>
      <c r="E210" t="s">
        <v>807</v>
      </c>
    </row>
    <row r="211" spans="1:5" x14ac:dyDescent="0.25">
      <c r="A211" s="1">
        <v>45229</v>
      </c>
      <c r="B211" s="2">
        <v>0.50347222222222221</v>
      </c>
      <c r="C211" t="s">
        <v>942</v>
      </c>
      <c r="D211">
        <v>106</v>
      </c>
      <c r="E211" t="s">
        <v>808</v>
      </c>
    </row>
    <row r="212" spans="1:5" x14ac:dyDescent="0.25">
      <c r="A212" s="1">
        <v>45209</v>
      </c>
      <c r="B212" s="2">
        <v>0.36527777777777776</v>
      </c>
      <c r="C212" t="s">
        <v>943</v>
      </c>
      <c r="D212">
        <v>120</v>
      </c>
      <c r="E212" t="s">
        <v>807</v>
      </c>
    </row>
    <row r="213" spans="1:5" x14ac:dyDescent="0.25">
      <c r="A213" s="1">
        <v>45211</v>
      </c>
      <c r="B213" s="2">
        <v>0.72499999999999998</v>
      </c>
      <c r="C213" t="s">
        <v>943</v>
      </c>
      <c r="D213">
        <v>84</v>
      </c>
      <c r="E213" t="s">
        <v>812</v>
      </c>
    </row>
    <row r="214" spans="1:5" x14ac:dyDescent="0.25">
      <c r="A214" s="1">
        <v>45215</v>
      </c>
      <c r="B214" s="2">
        <v>0.99027777777777781</v>
      </c>
      <c r="C214" t="s">
        <v>943</v>
      </c>
      <c r="D214">
        <v>66</v>
      </c>
      <c r="E214" t="s">
        <v>812</v>
      </c>
    </row>
    <row r="215" spans="1:5" x14ac:dyDescent="0.25">
      <c r="A215" s="1">
        <v>45205</v>
      </c>
      <c r="B215" s="2">
        <v>0.92986111111111114</v>
      </c>
      <c r="C215" t="s">
        <v>944</v>
      </c>
      <c r="D215">
        <v>82</v>
      </c>
      <c r="E215" t="s">
        <v>812</v>
      </c>
    </row>
    <row r="216" spans="1:5" x14ac:dyDescent="0.25">
      <c r="A216" s="1">
        <v>45207</v>
      </c>
      <c r="B216" s="2">
        <v>0.36805555555555558</v>
      </c>
      <c r="C216" t="s">
        <v>945</v>
      </c>
      <c r="D216">
        <v>46</v>
      </c>
      <c r="E216" t="s">
        <v>807</v>
      </c>
    </row>
    <row r="217" spans="1:5" x14ac:dyDescent="0.25">
      <c r="A217" s="1">
        <v>45206</v>
      </c>
      <c r="B217" s="2">
        <v>0.63680555555555551</v>
      </c>
      <c r="C217" t="s">
        <v>946</v>
      </c>
      <c r="D217">
        <v>32</v>
      </c>
      <c r="E217" t="s">
        <v>812</v>
      </c>
    </row>
    <row r="218" spans="1:5" x14ac:dyDescent="0.25">
      <c r="A218" s="1">
        <v>45218</v>
      </c>
      <c r="B218" s="2">
        <v>0.58958333333333335</v>
      </c>
      <c r="C218" t="s">
        <v>946</v>
      </c>
      <c r="D218">
        <v>21</v>
      </c>
      <c r="E218" t="s">
        <v>807</v>
      </c>
    </row>
    <row r="219" spans="1:5" x14ac:dyDescent="0.25">
      <c r="A219" s="1">
        <v>45200</v>
      </c>
      <c r="B219" s="2">
        <v>0.91388888888888886</v>
      </c>
      <c r="C219" t="s">
        <v>947</v>
      </c>
      <c r="D219">
        <v>87</v>
      </c>
      <c r="E219" t="s">
        <v>807</v>
      </c>
    </row>
    <row r="220" spans="1:5" x14ac:dyDescent="0.25">
      <c r="A220" s="1">
        <v>45213</v>
      </c>
      <c r="B220" s="2">
        <v>0.60763888888888884</v>
      </c>
      <c r="C220" t="s">
        <v>948</v>
      </c>
      <c r="D220">
        <v>22</v>
      </c>
      <c r="E220" t="s">
        <v>807</v>
      </c>
    </row>
    <row r="221" spans="1:5" x14ac:dyDescent="0.25">
      <c r="A221" s="1">
        <v>45206</v>
      </c>
      <c r="B221" s="2">
        <v>0.7680555555555556</v>
      </c>
      <c r="C221" t="s">
        <v>949</v>
      </c>
      <c r="D221">
        <v>35</v>
      </c>
      <c r="E221" t="s">
        <v>812</v>
      </c>
    </row>
    <row r="222" spans="1:5" x14ac:dyDescent="0.25">
      <c r="A222" s="1">
        <v>45203</v>
      </c>
      <c r="B222" s="2">
        <v>0.71597222222222223</v>
      </c>
      <c r="C222" t="s">
        <v>950</v>
      </c>
      <c r="D222">
        <v>68</v>
      </c>
      <c r="E222" t="s">
        <v>808</v>
      </c>
    </row>
    <row r="223" spans="1:5" x14ac:dyDescent="0.25">
      <c r="A223" s="1">
        <v>45222</v>
      </c>
      <c r="B223" s="2">
        <v>0.47916666666666669</v>
      </c>
      <c r="C223" t="s">
        <v>951</v>
      </c>
      <c r="D223">
        <v>112</v>
      </c>
      <c r="E223" t="s">
        <v>808</v>
      </c>
    </row>
    <row r="224" spans="1:5" x14ac:dyDescent="0.25">
      <c r="A224" s="1">
        <v>45211</v>
      </c>
      <c r="B224" s="2">
        <v>0.58750000000000002</v>
      </c>
      <c r="C224" t="s">
        <v>952</v>
      </c>
      <c r="D224">
        <v>27</v>
      </c>
      <c r="E224" t="s">
        <v>812</v>
      </c>
    </row>
    <row r="225" spans="1:5" x14ac:dyDescent="0.25">
      <c r="A225" s="1">
        <v>45224</v>
      </c>
      <c r="B225" s="2">
        <v>0.67152777777777772</v>
      </c>
      <c r="C225" t="s">
        <v>953</v>
      </c>
      <c r="D225">
        <v>14</v>
      </c>
      <c r="E225" t="s">
        <v>812</v>
      </c>
    </row>
    <row r="226" spans="1:5" x14ac:dyDescent="0.25">
      <c r="A226" s="1">
        <v>45229</v>
      </c>
      <c r="B226" s="2">
        <v>0.4</v>
      </c>
      <c r="C226" t="s">
        <v>953</v>
      </c>
      <c r="D226">
        <v>77</v>
      </c>
      <c r="E226" t="s">
        <v>807</v>
      </c>
    </row>
    <row r="227" spans="1:5" x14ac:dyDescent="0.25">
      <c r="A227" s="1">
        <v>45230</v>
      </c>
      <c r="B227" s="2">
        <v>0.91319444444444442</v>
      </c>
      <c r="C227" t="s">
        <v>954</v>
      </c>
      <c r="D227">
        <v>62</v>
      </c>
      <c r="E227" t="s">
        <v>807</v>
      </c>
    </row>
    <row r="228" spans="1:5" x14ac:dyDescent="0.25">
      <c r="A228" s="1">
        <v>45203</v>
      </c>
      <c r="B228" s="2">
        <v>0.59652777777777777</v>
      </c>
      <c r="C228" t="s">
        <v>954</v>
      </c>
      <c r="D228">
        <v>13</v>
      </c>
      <c r="E228" t="s">
        <v>808</v>
      </c>
    </row>
    <row r="229" spans="1:5" x14ac:dyDescent="0.25">
      <c r="A229" s="1">
        <v>45212</v>
      </c>
      <c r="B229" s="2">
        <v>0.61736111111111114</v>
      </c>
      <c r="C229" t="s">
        <v>955</v>
      </c>
      <c r="D229">
        <v>28</v>
      </c>
      <c r="E229" t="s">
        <v>807</v>
      </c>
    </row>
    <row r="230" spans="1:5" x14ac:dyDescent="0.25">
      <c r="A230" s="1">
        <v>45228</v>
      </c>
      <c r="B230" s="2">
        <v>0.67222222222222228</v>
      </c>
      <c r="C230" t="s">
        <v>956</v>
      </c>
      <c r="D230">
        <v>106</v>
      </c>
      <c r="E230" t="s">
        <v>807</v>
      </c>
    </row>
    <row r="231" spans="1:5" x14ac:dyDescent="0.25">
      <c r="A231" s="1">
        <v>45204</v>
      </c>
      <c r="B231" s="2">
        <v>0.26458333333333334</v>
      </c>
      <c r="C231" t="s">
        <v>956</v>
      </c>
      <c r="D231">
        <v>90</v>
      </c>
      <c r="E231" t="s">
        <v>812</v>
      </c>
    </row>
    <row r="232" spans="1:5" x14ac:dyDescent="0.25">
      <c r="A232" s="1">
        <v>45207</v>
      </c>
      <c r="B232" s="2">
        <v>0.9194444444444444</v>
      </c>
      <c r="C232" t="s">
        <v>957</v>
      </c>
      <c r="D232">
        <v>42</v>
      </c>
      <c r="E232" t="s">
        <v>807</v>
      </c>
    </row>
    <row r="233" spans="1:5" x14ac:dyDescent="0.25">
      <c r="A233" s="1">
        <v>45214</v>
      </c>
      <c r="B233" s="2">
        <v>0.69791666666666663</v>
      </c>
      <c r="C233" t="s">
        <v>958</v>
      </c>
      <c r="D233">
        <v>98</v>
      </c>
      <c r="E233" t="s">
        <v>812</v>
      </c>
    </row>
    <row r="234" spans="1:5" x14ac:dyDescent="0.25">
      <c r="A234" s="1">
        <v>45228</v>
      </c>
      <c r="B234" s="2">
        <v>0.15902777777777777</v>
      </c>
      <c r="C234" t="s">
        <v>959</v>
      </c>
      <c r="D234">
        <v>30</v>
      </c>
      <c r="E234" t="s">
        <v>807</v>
      </c>
    </row>
    <row r="235" spans="1:5" x14ac:dyDescent="0.25">
      <c r="A235" s="1">
        <v>45230</v>
      </c>
      <c r="B235" s="2">
        <v>0.40902777777777777</v>
      </c>
      <c r="C235" t="s">
        <v>959</v>
      </c>
      <c r="D235">
        <v>80</v>
      </c>
      <c r="E235" t="s">
        <v>808</v>
      </c>
    </row>
    <row r="236" spans="1:5" x14ac:dyDescent="0.25">
      <c r="A236" s="1">
        <v>45220</v>
      </c>
      <c r="B236" s="2">
        <v>0.74305555555555558</v>
      </c>
      <c r="C236" t="s">
        <v>960</v>
      </c>
      <c r="D236">
        <v>54</v>
      </c>
      <c r="E236" t="s">
        <v>808</v>
      </c>
    </row>
    <row r="237" spans="1:5" x14ac:dyDescent="0.25">
      <c r="A237" s="1">
        <v>45205</v>
      </c>
      <c r="B237" s="2">
        <v>0.52708333333333335</v>
      </c>
      <c r="C237" t="s">
        <v>960</v>
      </c>
      <c r="D237">
        <v>40</v>
      </c>
      <c r="E237" t="s">
        <v>812</v>
      </c>
    </row>
    <row r="238" spans="1:5" x14ac:dyDescent="0.25">
      <c r="A238" s="1">
        <v>45212</v>
      </c>
      <c r="B238" s="2">
        <v>0.72083333333333333</v>
      </c>
      <c r="C238" t="s">
        <v>961</v>
      </c>
      <c r="D238">
        <v>33</v>
      </c>
      <c r="E238" t="s">
        <v>812</v>
      </c>
    </row>
    <row r="239" spans="1:5" x14ac:dyDescent="0.25">
      <c r="A239" s="1">
        <v>45212</v>
      </c>
      <c r="B239" s="2">
        <v>0.24027777777777778</v>
      </c>
      <c r="C239" t="s">
        <v>962</v>
      </c>
      <c r="D239">
        <v>54</v>
      </c>
      <c r="E239" t="s">
        <v>808</v>
      </c>
    </row>
    <row r="240" spans="1:5" x14ac:dyDescent="0.25">
      <c r="A240" s="1">
        <v>45211</v>
      </c>
      <c r="B240" s="2">
        <v>7.9861111111111105E-2</v>
      </c>
      <c r="C240" t="s">
        <v>962</v>
      </c>
      <c r="D240">
        <v>59</v>
      </c>
      <c r="E240" t="s">
        <v>808</v>
      </c>
    </row>
    <row r="241" spans="1:5" x14ac:dyDescent="0.25">
      <c r="A241" s="1">
        <v>45209</v>
      </c>
      <c r="B241" s="2">
        <v>0.3888888888888889</v>
      </c>
      <c r="C241" t="s">
        <v>963</v>
      </c>
      <c r="D241">
        <v>44</v>
      </c>
      <c r="E241" t="s">
        <v>807</v>
      </c>
    </row>
    <row r="242" spans="1:5" x14ac:dyDescent="0.25">
      <c r="A242" s="1">
        <v>45207</v>
      </c>
      <c r="B242" s="2">
        <v>0.12430555555555556</v>
      </c>
      <c r="C242" t="s">
        <v>964</v>
      </c>
      <c r="D242">
        <v>77</v>
      </c>
      <c r="E242" t="s">
        <v>812</v>
      </c>
    </row>
    <row r="243" spans="1:5" x14ac:dyDescent="0.25">
      <c r="A243" s="1">
        <v>45219</v>
      </c>
      <c r="B243" s="2">
        <v>0.4201388888888889</v>
      </c>
      <c r="C243" t="s">
        <v>965</v>
      </c>
      <c r="D243">
        <v>63</v>
      </c>
      <c r="E243" t="s">
        <v>812</v>
      </c>
    </row>
    <row r="244" spans="1:5" x14ac:dyDescent="0.25">
      <c r="A244" s="1">
        <v>45228</v>
      </c>
      <c r="B244" s="2">
        <v>0.84027777777777779</v>
      </c>
      <c r="C244" t="s">
        <v>966</v>
      </c>
      <c r="D244">
        <v>101</v>
      </c>
      <c r="E244" t="s">
        <v>807</v>
      </c>
    </row>
    <row r="245" spans="1:5" x14ac:dyDescent="0.25">
      <c r="A245" s="1">
        <v>45200</v>
      </c>
      <c r="B245" s="2">
        <v>9.3055555555555558E-2</v>
      </c>
      <c r="C245" t="s">
        <v>966</v>
      </c>
      <c r="D245">
        <v>63</v>
      </c>
      <c r="E245" t="s">
        <v>808</v>
      </c>
    </row>
    <row r="246" spans="1:5" x14ac:dyDescent="0.25">
      <c r="A246" s="1">
        <v>45230</v>
      </c>
      <c r="B246" s="2">
        <v>0.78888888888888886</v>
      </c>
      <c r="C246" t="s">
        <v>966</v>
      </c>
      <c r="D246">
        <v>87</v>
      </c>
      <c r="E246" t="s">
        <v>808</v>
      </c>
    </row>
    <row r="247" spans="1:5" x14ac:dyDescent="0.25">
      <c r="A247" s="1">
        <v>45226</v>
      </c>
      <c r="B247" s="2">
        <v>0.92013888888888884</v>
      </c>
      <c r="C247" t="s">
        <v>967</v>
      </c>
      <c r="D247">
        <v>64</v>
      </c>
      <c r="E247" t="s">
        <v>812</v>
      </c>
    </row>
    <row r="248" spans="1:5" x14ac:dyDescent="0.25">
      <c r="A248" s="1">
        <v>45218</v>
      </c>
      <c r="B248" s="2">
        <v>0.36180555555555555</v>
      </c>
      <c r="C248" t="s">
        <v>967</v>
      </c>
      <c r="D248">
        <v>45</v>
      </c>
      <c r="E248" t="s">
        <v>812</v>
      </c>
    </row>
    <row r="249" spans="1:5" x14ac:dyDescent="0.25">
      <c r="A249" s="1">
        <v>45229</v>
      </c>
      <c r="B249" s="2">
        <v>0.28263888888888888</v>
      </c>
      <c r="C249" t="s">
        <v>967</v>
      </c>
      <c r="D249">
        <v>102</v>
      </c>
      <c r="E249" t="s">
        <v>808</v>
      </c>
    </row>
    <row r="250" spans="1:5" x14ac:dyDescent="0.25">
      <c r="A250" s="1">
        <v>45230</v>
      </c>
      <c r="B250" s="2">
        <v>0.83472222222222225</v>
      </c>
      <c r="C250" t="s">
        <v>967</v>
      </c>
      <c r="D250">
        <v>46</v>
      </c>
      <c r="E250" t="s">
        <v>808</v>
      </c>
    </row>
    <row r="251" spans="1:5" x14ac:dyDescent="0.25">
      <c r="A251" s="1">
        <v>45220</v>
      </c>
      <c r="B251" s="2">
        <v>0.11458333333333333</v>
      </c>
      <c r="C251" t="s">
        <v>967</v>
      </c>
      <c r="D251">
        <v>54</v>
      </c>
      <c r="E251" t="s">
        <v>808</v>
      </c>
    </row>
    <row r="252" spans="1:5" x14ac:dyDescent="0.25">
      <c r="A252" s="1">
        <v>45220</v>
      </c>
      <c r="B252" s="2">
        <v>0.64236111111111116</v>
      </c>
      <c r="C252" t="s">
        <v>967</v>
      </c>
      <c r="D252">
        <v>19</v>
      </c>
      <c r="E252" t="s">
        <v>807</v>
      </c>
    </row>
    <row r="253" spans="1:5" x14ac:dyDescent="0.25">
      <c r="A253" s="1">
        <v>45230</v>
      </c>
      <c r="B253" s="2">
        <v>0.32361111111111113</v>
      </c>
      <c r="C253" t="s">
        <v>968</v>
      </c>
      <c r="D253">
        <v>105</v>
      </c>
      <c r="E253" t="s">
        <v>807</v>
      </c>
    </row>
    <row r="254" spans="1:5" x14ac:dyDescent="0.25">
      <c r="A254" s="1">
        <v>45228</v>
      </c>
      <c r="B254" s="2">
        <v>0.51180555555555551</v>
      </c>
      <c r="C254" t="s">
        <v>968</v>
      </c>
      <c r="D254">
        <v>64</v>
      </c>
      <c r="E254" t="s">
        <v>808</v>
      </c>
    </row>
    <row r="255" spans="1:5" x14ac:dyDescent="0.25">
      <c r="A255" s="1">
        <v>45202</v>
      </c>
      <c r="B255" s="2">
        <v>0.78055555555555556</v>
      </c>
      <c r="C255" t="s">
        <v>969</v>
      </c>
      <c r="D255">
        <v>53</v>
      </c>
      <c r="E255" t="s">
        <v>812</v>
      </c>
    </row>
    <row r="256" spans="1:5" x14ac:dyDescent="0.25">
      <c r="A256" s="1">
        <v>45217</v>
      </c>
      <c r="B256" s="2">
        <v>0.77569444444444446</v>
      </c>
      <c r="C256" t="s">
        <v>969</v>
      </c>
      <c r="D256">
        <v>84</v>
      </c>
      <c r="E256" t="s">
        <v>807</v>
      </c>
    </row>
    <row r="257" spans="1:5" x14ac:dyDescent="0.25">
      <c r="A257" s="1">
        <v>45216</v>
      </c>
      <c r="B257" s="2">
        <v>0.26666666666666666</v>
      </c>
      <c r="C257" t="s">
        <v>969</v>
      </c>
      <c r="D257">
        <v>90</v>
      </c>
      <c r="E257" t="s">
        <v>812</v>
      </c>
    </row>
    <row r="258" spans="1:5" x14ac:dyDescent="0.25">
      <c r="A258" s="1">
        <v>45226</v>
      </c>
      <c r="B258" s="2">
        <v>1.3194444444444444E-2</v>
      </c>
      <c r="C258" t="s">
        <v>970</v>
      </c>
      <c r="D258">
        <v>107</v>
      </c>
      <c r="E258" t="s">
        <v>808</v>
      </c>
    </row>
    <row r="259" spans="1:5" x14ac:dyDescent="0.25">
      <c r="A259" s="1">
        <v>45211</v>
      </c>
      <c r="B259" s="2">
        <v>0.12361111111111112</v>
      </c>
      <c r="C259" t="s">
        <v>970</v>
      </c>
      <c r="D259">
        <v>87</v>
      </c>
      <c r="E259" t="s">
        <v>807</v>
      </c>
    </row>
    <row r="260" spans="1:5" x14ac:dyDescent="0.25">
      <c r="A260" s="1">
        <v>45217</v>
      </c>
      <c r="B260" s="2">
        <v>0.41458333333333336</v>
      </c>
      <c r="C260" t="s">
        <v>970</v>
      </c>
      <c r="D260">
        <v>74</v>
      </c>
      <c r="E260" t="s">
        <v>812</v>
      </c>
    </row>
    <row r="261" spans="1:5" x14ac:dyDescent="0.25">
      <c r="A261" s="1">
        <v>45211</v>
      </c>
      <c r="B261" s="2">
        <v>0.49583333333333335</v>
      </c>
      <c r="C261" t="s">
        <v>970</v>
      </c>
      <c r="D261">
        <v>61</v>
      </c>
      <c r="E261" t="s">
        <v>808</v>
      </c>
    </row>
    <row r="262" spans="1:5" x14ac:dyDescent="0.25">
      <c r="A262" s="1">
        <v>45228</v>
      </c>
      <c r="B262" s="2">
        <v>8.611111111111111E-2</v>
      </c>
      <c r="C262" t="s">
        <v>971</v>
      </c>
      <c r="D262">
        <v>43</v>
      </c>
      <c r="E262" t="s">
        <v>812</v>
      </c>
    </row>
    <row r="263" spans="1:5" x14ac:dyDescent="0.25">
      <c r="A263" s="1">
        <v>45230</v>
      </c>
      <c r="B263" s="2">
        <v>0.86388888888888893</v>
      </c>
      <c r="C263" t="s">
        <v>972</v>
      </c>
      <c r="D263">
        <v>57</v>
      </c>
      <c r="E263" t="s">
        <v>807</v>
      </c>
    </row>
    <row r="264" spans="1:5" x14ac:dyDescent="0.25">
      <c r="A264" s="1">
        <v>45217</v>
      </c>
      <c r="B264" s="2">
        <v>2.8472222222222222E-2</v>
      </c>
      <c r="C264" t="s">
        <v>972</v>
      </c>
      <c r="D264">
        <v>120</v>
      </c>
      <c r="E264" t="s">
        <v>812</v>
      </c>
    </row>
    <row r="265" spans="1:5" x14ac:dyDescent="0.25">
      <c r="A265" s="1">
        <v>45214</v>
      </c>
      <c r="B265" s="2">
        <v>0.9604166666666667</v>
      </c>
      <c r="C265" t="s">
        <v>973</v>
      </c>
      <c r="D265">
        <v>38</v>
      </c>
      <c r="E265" t="s">
        <v>807</v>
      </c>
    </row>
    <row r="266" spans="1:5" x14ac:dyDescent="0.25">
      <c r="A266" s="1">
        <v>45215</v>
      </c>
      <c r="B266" s="2">
        <v>0.59791666666666665</v>
      </c>
      <c r="C266" t="s">
        <v>974</v>
      </c>
      <c r="D266">
        <v>7</v>
      </c>
      <c r="E266" t="s">
        <v>812</v>
      </c>
    </row>
    <row r="267" spans="1:5" x14ac:dyDescent="0.25">
      <c r="A267" s="1">
        <v>45220</v>
      </c>
      <c r="B267" s="2">
        <v>0.65138888888888891</v>
      </c>
      <c r="C267" t="s">
        <v>974</v>
      </c>
      <c r="D267">
        <v>36</v>
      </c>
      <c r="E267" t="s">
        <v>807</v>
      </c>
    </row>
    <row r="268" spans="1:5" x14ac:dyDescent="0.25">
      <c r="A268" s="1">
        <v>45212</v>
      </c>
      <c r="B268" s="2">
        <v>0.31597222222222221</v>
      </c>
      <c r="C268" t="s">
        <v>974</v>
      </c>
      <c r="D268">
        <v>112</v>
      </c>
      <c r="E268" t="s">
        <v>807</v>
      </c>
    </row>
    <row r="269" spans="1:5" x14ac:dyDescent="0.25">
      <c r="A269" s="1">
        <v>45203</v>
      </c>
      <c r="B269" s="2">
        <v>0.89166666666666672</v>
      </c>
      <c r="C269" t="s">
        <v>974</v>
      </c>
      <c r="D269">
        <v>7</v>
      </c>
      <c r="E269" t="s">
        <v>808</v>
      </c>
    </row>
    <row r="270" spans="1:5" x14ac:dyDescent="0.25">
      <c r="A270" s="1">
        <v>45207</v>
      </c>
      <c r="B270" s="2">
        <v>0.35069444444444442</v>
      </c>
      <c r="C270" t="s">
        <v>975</v>
      </c>
      <c r="D270">
        <v>75</v>
      </c>
      <c r="E270" t="s">
        <v>812</v>
      </c>
    </row>
    <row r="271" spans="1:5" x14ac:dyDescent="0.25">
      <c r="A271" s="1">
        <v>45221</v>
      </c>
      <c r="B271" s="2">
        <v>3.9583333333333331E-2</v>
      </c>
      <c r="C271" t="s">
        <v>976</v>
      </c>
      <c r="D271">
        <v>33</v>
      </c>
      <c r="E271" t="s">
        <v>808</v>
      </c>
    </row>
    <row r="272" spans="1:5" x14ac:dyDescent="0.25">
      <c r="A272" s="1">
        <v>45205</v>
      </c>
      <c r="B272" s="2">
        <v>0.81666666666666665</v>
      </c>
      <c r="C272" t="s">
        <v>977</v>
      </c>
      <c r="D272">
        <v>33</v>
      </c>
      <c r="E272" t="s">
        <v>812</v>
      </c>
    </row>
    <row r="273" spans="1:5" x14ac:dyDescent="0.25">
      <c r="A273" s="1">
        <v>45200</v>
      </c>
      <c r="B273" s="2">
        <v>0.46666666666666667</v>
      </c>
      <c r="C273" t="s">
        <v>978</v>
      </c>
      <c r="D273">
        <v>31</v>
      </c>
      <c r="E273" t="s">
        <v>808</v>
      </c>
    </row>
    <row r="274" spans="1:5" x14ac:dyDescent="0.25">
      <c r="A274" s="1">
        <v>45201</v>
      </c>
      <c r="B274" s="2">
        <v>0.29305555555555557</v>
      </c>
      <c r="C274" t="s">
        <v>978</v>
      </c>
      <c r="D274">
        <v>95</v>
      </c>
      <c r="E274" t="s">
        <v>812</v>
      </c>
    </row>
    <row r="275" spans="1:5" x14ac:dyDescent="0.25">
      <c r="A275" s="1">
        <v>45200</v>
      </c>
      <c r="B275" s="2">
        <v>0.51111111111111107</v>
      </c>
      <c r="C275" t="s">
        <v>979</v>
      </c>
      <c r="D275">
        <v>108</v>
      </c>
      <c r="E275" t="s">
        <v>812</v>
      </c>
    </row>
    <row r="276" spans="1:5" x14ac:dyDescent="0.25">
      <c r="A276" s="1">
        <v>45221</v>
      </c>
      <c r="B276" s="2">
        <v>0.18055555555555555</v>
      </c>
      <c r="C276" t="s">
        <v>980</v>
      </c>
      <c r="D276">
        <v>8</v>
      </c>
      <c r="E276" t="s">
        <v>807</v>
      </c>
    </row>
    <row r="277" spans="1:5" x14ac:dyDescent="0.25">
      <c r="A277" s="1">
        <v>45202</v>
      </c>
      <c r="B277" s="2">
        <v>0.25972222222222224</v>
      </c>
      <c r="C277" t="s">
        <v>980</v>
      </c>
      <c r="D277">
        <v>79</v>
      </c>
      <c r="E277" t="s">
        <v>807</v>
      </c>
    </row>
    <row r="278" spans="1:5" x14ac:dyDescent="0.25">
      <c r="A278" s="1">
        <v>45213</v>
      </c>
      <c r="B278" s="2">
        <v>0.25416666666666665</v>
      </c>
      <c r="C278" t="s">
        <v>981</v>
      </c>
      <c r="D278">
        <v>73</v>
      </c>
      <c r="E278" t="s">
        <v>812</v>
      </c>
    </row>
    <row r="279" spans="1:5" x14ac:dyDescent="0.25">
      <c r="A279" s="1">
        <v>45226</v>
      </c>
      <c r="B279" s="2">
        <v>0.17083333333333334</v>
      </c>
      <c r="C279" t="s">
        <v>981</v>
      </c>
      <c r="D279">
        <v>54</v>
      </c>
      <c r="E279" t="s">
        <v>807</v>
      </c>
    </row>
    <row r="280" spans="1:5" x14ac:dyDescent="0.25">
      <c r="A280" s="1">
        <v>45225</v>
      </c>
      <c r="B280" s="2">
        <v>0.85902777777777772</v>
      </c>
      <c r="C280" t="s">
        <v>982</v>
      </c>
      <c r="D280">
        <v>90</v>
      </c>
      <c r="E280" t="s">
        <v>808</v>
      </c>
    </row>
    <row r="281" spans="1:5" x14ac:dyDescent="0.25">
      <c r="A281" s="1">
        <v>45210</v>
      </c>
      <c r="B281" s="2">
        <v>0.89027777777777772</v>
      </c>
      <c r="C281" t="s">
        <v>982</v>
      </c>
      <c r="D281">
        <v>118</v>
      </c>
      <c r="E281" t="s">
        <v>807</v>
      </c>
    </row>
    <row r="282" spans="1:5" x14ac:dyDescent="0.25">
      <c r="A282" s="1">
        <v>45211</v>
      </c>
      <c r="B282" s="2">
        <v>0.38611111111111113</v>
      </c>
      <c r="C282" t="s">
        <v>982</v>
      </c>
      <c r="D282">
        <v>13</v>
      </c>
      <c r="E282" t="s">
        <v>808</v>
      </c>
    </row>
    <row r="283" spans="1:5" x14ac:dyDescent="0.25">
      <c r="A283" s="1">
        <v>45205</v>
      </c>
      <c r="B283" s="2">
        <v>0.96875</v>
      </c>
      <c r="C283" t="s">
        <v>983</v>
      </c>
      <c r="D283">
        <v>84</v>
      </c>
      <c r="E283" t="s">
        <v>808</v>
      </c>
    </row>
    <row r="284" spans="1:5" x14ac:dyDescent="0.25">
      <c r="A284" s="1">
        <v>45226</v>
      </c>
      <c r="B284" s="2">
        <v>0.22500000000000001</v>
      </c>
      <c r="C284" t="s">
        <v>984</v>
      </c>
      <c r="D284">
        <v>11</v>
      </c>
      <c r="E284" t="s">
        <v>808</v>
      </c>
    </row>
    <row r="285" spans="1:5" x14ac:dyDescent="0.25">
      <c r="A285" s="1">
        <v>45230</v>
      </c>
      <c r="B285" s="2">
        <v>0.64166666666666672</v>
      </c>
      <c r="C285" t="s">
        <v>985</v>
      </c>
      <c r="D285">
        <v>106</v>
      </c>
      <c r="E285" t="s">
        <v>807</v>
      </c>
    </row>
    <row r="286" spans="1:5" x14ac:dyDescent="0.25">
      <c r="A286" s="1">
        <v>45229</v>
      </c>
      <c r="B286" s="2">
        <v>0.75624999999999998</v>
      </c>
      <c r="C286" t="s">
        <v>986</v>
      </c>
      <c r="D286">
        <v>82</v>
      </c>
      <c r="E286" t="s">
        <v>812</v>
      </c>
    </row>
    <row r="287" spans="1:5" x14ac:dyDescent="0.25">
      <c r="A287" s="1">
        <v>45227</v>
      </c>
      <c r="B287" s="2">
        <v>0.92291666666666672</v>
      </c>
      <c r="C287" t="s">
        <v>987</v>
      </c>
      <c r="D287">
        <v>26</v>
      </c>
      <c r="E287" t="s">
        <v>812</v>
      </c>
    </row>
    <row r="288" spans="1:5" x14ac:dyDescent="0.25">
      <c r="A288" s="1">
        <v>45213</v>
      </c>
      <c r="B288" s="2">
        <v>0.23749999999999999</v>
      </c>
      <c r="C288" t="s">
        <v>987</v>
      </c>
      <c r="D288">
        <v>68</v>
      </c>
      <c r="E288" t="s">
        <v>812</v>
      </c>
    </row>
    <row r="289" spans="1:5" x14ac:dyDescent="0.25">
      <c r="A289" s="1">
        <v>45207</v>
      </c>
      <c r="B289" s="2">
        <v>0.59930555555555554</v>
      </c>
      <c r="C289" t="s">
        <v>987</v>
      </c>
      <c r="D289">
        <v>59</v>
      </c>
      <c r="E289" t="s">
        <v>807</v>
      </c>
    </row>
    <row r="290" spans="1:5" x14ac:dyDescent="0.25">
      <c r="A290" s="1">
        <v>45201</v>
      </c>
      <c r="B290" s="2">
        <v>0.51180555555555551</v>
      </c>
      <c r="C290" t="s">
        <v>987</v>
      </c>
      <c r="D290">
        <v>62</v>
      </c>
      <c r="E290" t="s">
        <v>808</v>
      </c>
    </row>
    <row r="291" spans="1:5" x14ac:dyDescent="0.25">
      <c r="A291" s="1">
        <v>45226</v>
      </c>
      <c r="B291" s="2">
        <v>0.3215277777777778</v>
      </c>
      <c r="C291" t="s">
        <v>987</v>
      </c>
      <c r="D291">
        <v>22</v>
      </c>
      <c r="E291" t="s">
        <v>812</v>
      </c>
    </row>
    <row r="292" spans="1:5" x14ac:dyDescent="0.25">
      <c r="A292" s="1">
        <v>45217</v>
      </c>
      <c r="B292" s="2">
        <v>0.1736111111111111</v>
      </c>
      <c r="C292" t="s">
        <v>988</v>
      </c>
      <c r="D292">
        <v>53</v>
      </c>
      <c r="E292" t="s">
        <v>808</v>
      </c>
    </row>
    <row r="293" spans="1:5" x14ac:dyDescent="0.25">
      <c r="A293" s="1">
        <v>45200</v>
      </c>
      <c r="B293" s="2">
        <v>0.52569444444444446</v>
      </c>
      <c r="C293" t="s">
        <v>988</v>
      </c>
      <c r="D293">
        <v>88</v>
      </c>
      <c r="E293" t="s">
        <v>812</v>
      </c>
    </row>
    <row r="294" spans="1:5" x14ac:dyDescent="0.25">
      <c r="A294" s="1">
        <v>45206</v>
      </c>
      <c r="B294" s="2">
        <v>0.28680555555555554</v>
      </c>
      <c r="C294" t="s">
        <v>989</v>
      </c>
      <c r="D294">
        <v>96</v>
      </c>
      <c r="E294" t="s">
        <v>808</v>
      </c>
    </row>
    <row r="295" spans="1:5" x14ac:dyDescent="0.25">
      <c r="A295" s="1">
        <v>45209</v>
      </c>
      <c r="B295" s="2">
        <v>0.93888888888888888</v>
      </c>
      <c r="C295" t="s">
        <v>989</v>
      </c>
      <c r="D295">
        <v>37</v>
      </c>
      <c r="E295" t="s">
        <v>808</v>
      </c>
    </row>
    <row r="296" spans="1:5" x14ac:dyDescent="0.25">
      <c r="A296" s="1">
        <v>45220</v>
      </c>
      <c r="B296" s="2">
        <v>0.43680555555555556</v>
      </c>
      <c r="C296" t="s">
        <v>989</v>
      </c>
      <c r="D296">
        <v>64</v>
      </c>
      <c r="E296" t="s">
        <v>808</v>
      </c>
    </row>
    <row r="297" spans="1:5" x14ac:dyDescent="0.25">
      <c r="A297" s="1">
        <v>45225</v>
      </c>
      <c r="B297" s="2">
        <v>0.71250000000000002</v>
      </c>
      <c r="C297" t="s">
        <v>989</v>
      </c>
      <c r="D297">
        <v>25</v>
      </c>
      <c r="E297" t="s">
        <v>807</v>
      </c>
    </row>
    <row r="298" spans="1:5" x14ac:dyDescent="0.25">
      <c r="A298" s="1">
        <v>45216</v>
      </c>
      <c r="B298" s="2">
        <v>0.2388888888888889</v>
      </c>
      <c r="C298" t="s">
        <v>990</v>
      </c>
      <c r="D298">
        <v>11</v>
      </c>
      <c r="E298" t="s">
        <v>807</v>
      </c>
    </row>
    <row r="299" spans="1:5" x14ac:dyDescent="0.25">
      <c r="A299" s="1">
        <v>45200</v>
      </c>
      <c r="B299" s="2">
        <v>0.51458333333333328</v>
      </c>
      <c r="C299" t="s">
        <v>991</v>
      </c>
      <c r="D299">
        <v>24</v>
      </c>
      <c r="E299" t="s">
        <v>812</v>
      </c>
    </row>
    <row r="300" spans="1:5" x14ac:dyDescent="0.25">
      <c r="A300" s="1">
        <v>45216</v>
      </c>
      <c r="B300" s="2">
        <v>0.70138888888888884</v>
      </c>
      <c r="C300" t="s">
        <v>991</v>
      </c>
      <c r="D300">
        <v>80</v>
      </c>
      <c r="E300" t="s">
        <v>807</v>
      </c>
    </row>
    <row r="301" spans="1:5" x14ac:dyDescent="0.25">
      <c r="A301" s="1">
        <v>45202</v>
      </c>
      <c r="B301" s="2">
        <v>0.69930555555555551</v>
      </c>
      <c r="C301" t="s">
        <v>992</v>
      </c>
      <c r="D301">
        <v>63</v>
      </c>
      <c r="E301" t="s">
        <v>808</v>
      </c>
    </row>
    <row r="302" spans="1:5" x14ac:dyDescent="0.25">
      <c r="A302" s="1">
        <v>45222</v>
      </c>
      <c r="B302" s="2">
        <v>0.60277777777777775</v>
      </c>
      <c r="C302" t="s">
        <v>993</v>
      </c>
      <c r="D302">
        <v>53</v>
      </c>
      <c r="E302" t="s">
        <v>808</v>
      </c>
    </row>
    <row r="303" spans="1:5" x14ac:dyDescent="0.25">
      <c r="A303" s="1">
        <v>45223</v>
      </c>
      <c r="B303" s="2">
        <v>0.56805555555555554</v>
      </c>
      <c r="C303" t="s">
        <v>994</v>
      </c>
      <c r="D303">
        <v>21</v>
      </c>
      <c r="E303" t="s">
        <v>807</v>
      </c>
    </row>
    <row r="304" spans="1:5" x14ac:dyDescent="0.25">
      <c r="A304" s="1">
        <v>45223</v>
      </c>
      <c r="B304" s="2">
        <v>0.69305555555555554</v>
      </c>
      <c r="C304" t="s">
        <v>994</v>
      </c>
      <c r="D304">
        <v>18</v>
      </c>
      <c r="E304" t="s">
        <v>808</v>
      </c>
    </row>
    <row r="305" spans="1:5" x14ac:dyDescent="0.25">
      <c r="A305" s="1">
        <v>45202</v>
      </c>
      <c r="B305" s="2">
        <v>0.41249999999999998</v>
      </c>
      <c r="C305" t="s">
        <v>995</v>
      </c>
      <c r="D305">
        <v>35</v>
      </c>
      <c r="E305" t="s">
        <v>807</v>
      </c>
    </row>
    <row r="306" spans="1:5" x14ac:dyDescent="0.25">
      <c r="A306" s="1">
        <v>45209</v>
      </c>
      <c r="B306" s="2">
        <v>0.91388888888888886</v>
      </c>
      <c r="C306" t="s">
        <v>995</v>
      </c>
      <c r="D306">
        <v>111</v>
      </c>
      <c r="E306" t="s">
        <v>812</v>
      </c>
    </row>
    <row r="307" spans="1:5" x14ac:dyDescent="0.25">
      <c r="A307" s="1">
        <v>45216</v>
      </c>
      <c r="B307" s="2">
        <v>0.97013888888888888</v>
      </c>
      <c r="C307" t="s">
        <v>995</v>
      </c>
      <c r="D307">
        <v>13</v>
      </c>
      <c r="E307" t="s">
        <v>812</v>
      </c>
    </row>
    <row r="308" spans="1:5" x14ac:dyDescent="0.25">
      <c r="A308" s="1">
        <v>45230</v>
      </c>
      <c r="B308" s="2">
        <v>0.22847222222222222</v>
      </c>
      <c r="C308" t="s">
        <v>996</v>
      </c>
      <c r="D308">
        <v>39</v>
      </c>
      <c r="E308" t="s">
        <v>812</v>
      </c>
    </row>
    <row r="309" spans="1:5" x14ac:dyDescent="0.25">
      <c r="A309" s="1">
        <v>45219</v>
      </c>
      <c r="B309" s="2">
        <v>0.10347222222222222</v>
      </c>
      <c r="C309" t="s">
        <v>996</v>
      </c>
      <c r="D309">
        <v>72</v>
      </c>
      <c r="E309" t="s">
        <v>808</v>
      </c>
    </row>
    <row r="310" spans="1:5" x14ac:dyDescent="0.25">
      <c r="A310" s="1">
        <v>45201</v>
      </c>
      <c r="B310" s="2">
        <v>0.72638888888888886</v>
      </c>
      <c r="C310" t="s">
        <v>997</v>
      </c>
      <c r="D310">
        <v>97</v>
      </c>
      <c r="E310" t="s">
        <v>808</v>
      </c>
    </row>
    <row r="311" spans="1:5" x14ac:dyDescent="0.25">
      <c r="A311" s="1">
        <v>45208</v>
      </c>
      <c r="B311" s="2">
        <v>0.16944444444444445</v>
      </c>
      <c r="C311" t="s">
        <v>998</v>
      </c>
      <c r="D311">
        <v>47</v>
      </c>
      <c r="E311" t="s">
        <v>807</v>
      </c>
    </row>
    <row r="312" spans="1:5" x14ac:dyDescent="0.25">
      <c r="A312" s="1">
        <v>45210</v>
      </c>
      <c r="B312" s="2">
        <v>0.89583333333333337</v>
      </c>
      <c r="C312" t="s">
        <v>998</v>
      </c>
      <c r="D312">
        <v>110</v>
      </c>
      <c r="E312" t="s">
        <v>812</v>
      </c>
    </row>
    <row r="313" spans="1:5" x14ac:dyDescent="0.25">
      <c r="A313" s="1">
        <v>45216</v>
      </c>
      <c r="B313" s="2">
        <v>0.18194444444444444</v>
      </c>
      <c r="C313" t="s">
        <v>999</v>
      </c>
      <c r="D313">
        <v>86</v>
      </c>
      <c r="E313" t="s">
        <v>808</v>
      </c>
    </row>
    <row r="314" spans="1:5" x14ac:dyDescent="0.25">
      <c r="A314" s="1">
        <v>45214</v>
      </c>
      <c r="B314" s="2">
        <v>0.85069444444444442</v>
      </c>
      <c r="C314" t="s">
        <v>1000</v>
      </c>
      <c r="D314">
        <v>31</v>
      </c>
      <c r="E314" t="s">
        <v>812</v>
      </c>
    </row>
    <row r="315" spans="1:5" x14ac:dyDescent="0.25">
      <c r="A315" s="1">
        <v>45207</v>
      </c>
      <c r="B315" s="2">
        <v>0.13333333333333333</v>
      </c>
      <c r="C315" t="s">
        <v>1000</v>
      </c>
      <c r="D315">
        <v>66</v>
      </c>
      <c r="E315" t="s">
        <v>808</v>
      </c>
    </row>
    <row r="316" spans="1:5" x14ac:dyDescent="0.25">
      <c r="A316" s="1">
        <v>45211</v>
      </c>
      <c r="B316" s="2">
        <v>0.71180555555555558</v>
      </c>
      <c r="C316" t="s">
        <v>1001</v>
      </c>
      <c r="D316">
        <v>82</v>
      </c>
      <c r="E316" t="s">
        <v>808</v>
      </c>
    </row>
    <row r="317" spans="1:5" x14ac:dyDescent="0.25">
      <c r="A317" s="1">
        <v>45202</v>
      </c>
      <c r="B317" s="2">
        <v>0.72847222222222219</v>
      </c>
      <c r="C317" t="s">
        <v>1001</v>
      </c>
      <c r="D317">
        <v>18</v>
      </c>
      <c r="E317" t="s">
        <v>807</v>
      </c>
    </row>
    <row r="318" spans="1:5" x14ac:dyDescent="0.25">
      <c r="A318" s="1">
        <v>45203</v>
      </c>
      <c r="B318" s="2">
        <v>0.75069444444444444</v>
      </c>
      <c r="C318" t="s">
        <v>1002</v>
      </c>
      <c r="D318">
        <v>64</v>
      </c>
      <c r="E318" t="s">
        <v>812</v>
      </c>
    </row>
    <row r="319" spans="1:5" x14ac:dyDescent="0.25">
      <c r="A319" s="1">
        <v>45224</v>
      </c>
      <c r="B319" s="2">
        <v>0.2013888888888889</v>
      </c>
      <c r="C319" t="s">
        <v>1002</v>
      </c>
      <c r="D319">
        <v>43</v>
      </c>
      <c r="E319" t="s">
        <v>812</v>
      </c>
    </row>
    <row r="320" spans="1:5" x14ac:dyDescent="0.25">
      <c r="A320" s="1">
        <v>45203</v>
      </c>
      <c r="B320" s="2">
        <v>0.22777777777777777</v>
      </c>
      <c r="C320" t="s">
        <v>1003</v>
      </c>
      <c r="D320">
        <v>61</v>
      </c>
      <c r="E320" t="s">
        <v>808</v>
      </c>
    </row>
    <row r="321" spans="1:5" x14ac:dyDescent="0.25">
      <c r="A321" s="1">
        <v>45202</v>
      </c>
      <c r="B321" s="2">
        <v>0.31944444444444442</v>
      </c>
      <c r="C321" t="s">
        <v>1003</v>
      </c>
      <c r="D321">
        <v>115</v>
      </c>
      <c r="E321" t="s">
        <v>808</v>
      </c>
    </row>
    <row r="322" spans="1:5" x14ac:dyDescent="0.25">
      <c r="A322" s="1">
        <v>45214</v>
      </c>
      <c r="B322" s="2">
        <v>0.7993055555555556</v>
      </c>
      <c r="C322" t="s">
        <v>1004</v>
      </c>
      <c r="D322">
        <v>67</v>
      </c>
      <c r="E322" t="s">
        <v>807</v>
      </c>
    </row>
    <row r="323" spans="1:5" x14ac:dyDescent="0.25">
      <c r="A323" s="1">
        <v>45210</v>
      </c>
      <c r="B323" s="2">
        <v>0.12847222222222221</v>
      </c>
      <c r="C323" t="s">
        <v>1005</v>
      </c>
      <c r="D323">
        <v>115</v>
      </c>
      <c r="E323" t="s">
        <v>807</v>
      </c>
    </row>
    <row r="324" spans="1:5" x14ac:dyDescent="0.25">
      <c r="A324" s="1">
        <v>45219</v>
      </c>
      <c r="B324" s="2">
        <v>0.30138888888888887</v>
      </c>
      <c r="C324" t="s">
        <v>1005</v>
      </c>
      <c r="D324">
        <v>65</v>
      </c>
      <c r="E324" t="s">
        <v>807</v>
      </c>
    </row>
    <row r="325" spans="1:5" x14ac:dyDescent="0.25">
      <c r="A325" s="1">
        <v>45200</v>
      </c>
      <c r="B325" s="2">
        <v>0.30763888888888891</v>
      </c>
      <c r="C325" t="s">
        <v>1005</v>
      </c>
      <c r="D325">
        <v>114</v>
      </c>
      <c r="E325" t="s">
        <v>808</v>
      </c>
    </row>
    <row r="326" spans="1:5" x14ac:dyDescent="0.25">
      <c r="A326" s="1">
        <v>45220</v>
      </c>
      <c r="B326" s="2">
        <v>9.166666666666666E-2</v>
      </c>
      <c r="C326" t="s">
        <v>1005</v>
      </c>
      <c r="D326">
        <v>87</v>
      </c>
      <c r="E326" t="s">
        <v>808</v>
      </c>
    </row>
    <row r="327" spans="1:5" x14ac:dyDescent="0.25">
      <c r="A327" s="1">
        <v>45202</v>
      </c>
      <c r="B327" s="2">
        <v>0.44305555555555554</v>
      </c>
      <c r="C327" t="s">
        <v>1006</v>
      </c>
      <c r="D327">
        <v>52</v>
      </c>
      <c r="E327" t="s">
        <v>808</v>
      </c>
    </row>
    <row r="328" spans="1:5" x14ac:dyDescent="0.25">
      <c r="A328" s="1">
        <v>45207</v>
      </c>
      <c r="B328" s="2">
        <v>0.52500000000000002</v>
      </c>
      <c r="C328" t="s">
        <v>1007</v>
      </c>
      <c r="D328">
        <v>83</v>
      </c>
      <c r="E328" t="s">
        <v>807</v>
      </c>
    </row>
    <row r="329" spans="1:5" x14ac:dyDescent="0.25">
      <c r="A329" s="1">
        <v>45230</v>
      </c>
      <c r="B329" s="2">
        <v>0.57777777777777772</v>
      </c>
      <c r="C329" t="s">
        <v>1008</v>
      </c>
      <c r="D329">
        <v>97</v>
      </c>
      <c r="E329" t="s">
        <v>807</v>
      </c>
    </row>
    <row r="330" spans="1:5" x14ac:dyDescent="0.25">
      <c r="A330" s="1">
        <v>45200</v>
      </c>
      <c r="B330" s="2">
        <v>0.59513888888888888</v>
      </c>
      <c r="C330" t="s">
        <v>1008</v>
      </c>
      <c r="D330">
        <v>69</v>
      </c>
      <c r="E330" t="s">
        <v>812</v>
      </c>
    </row>
    <row r="331" spans="1:5" x14ac:dyDescent="0.25">
      <c r="A331" s="1">
        <v>45202</v>
      </c>
      <c r="B331" s="2">
        <v>0.46944444444444444</v>
      </c>
      <c r="C331" t="s">
        <v>1009</v>
      </c>
      <c r="D331">
        <v>78</v>
      </c>
      <c r="E331" t="s">
        <v>807</v>
      </c>
    </row>
    <row r="332" spans="1:5" x14ac:dyDescent="0.25">
      <c r="A332" s="1">
        <v>45213</v>
      </c>
      <c r="B332" s="2">
        <v>0.77083333333333337</v>
      </c>
      <c r="C332" t="s">
        <v>1010</v>
      </c>
      <c r="D332">
        <v>11</v>
      </c>
      <c r="E332" t="s">
        <v>812</v>
      </c>
    </row>
    <row r="333" spans="1:5" x14ac:dyDescent="0.25">
      <c r="A333" s="1">
        <v>45226</v>
      </c>
      <c r="B333" s="2">
        <v>0.84375</v>
      </c>
      <c r="C333" t="s">
        <v>1011</v>
      </c>
      <c r="D333">
        <v>48</v>
      </c>
      <c r="E333" t="s">
        <v>807</v>
      </c>
    </row>
    <row r="334" spans="1:5" x14ac:dyDescent="0.25">
      <c r="A334" s="1">
        <v>45202</v>
      </c>
      <c r="B334" s="2">
        <v>0.2902777777777778</v>
      </c>
      <c r="C334" t="s">
        <v>1012</v>
      </c>
      <c r="D334">
        <v>103</v>
      </c>
      <c r="E334" t="s">
        <v>808</v>
      </c>
    </row>
    <row r="335" spans="1:5" x14ac:dyDescent="0.25">
      <c r="A335" s="1">
        <v>45214</v>
      </c>
      <c r="B335" s="2">
        <v>0.81666666666666665</v>
      </c>
      <c r="C335" t="s">
        <v>1013</v>
      </c>
      <c r="D335">
        <v>92</v>
      </c>
      <c r="E335" t="s">
        <v>812</v>
      </c>
    </row>
    <row r="336" spans="1:5" x14ac:dyDescent="0.25">
      <c r="A336" s="1">
        <v>45209</v>
      </c>
      <c r="B336" s="2">
        <v>0.81527777777777777</v>
      </c>
      <c r="C336" t="s">
        <v>1013</v>
      </c>
      <c r="D336">
        <v>115</v>
      </c>
      <c r="E336" t="s">
        <v>812</v>
      </c>
    </row>
    <row r="337" spans="1:5" x14ac:dyDescent="0.25">
      <c r="A337" s="1">
        <v>45207</v>
      </c>
      <c r="B337" s="2">
        <v>0.84583333333333333</v>
      </c>
      <c r="C337" t="s">
        <v>1014</v>
      </c>
      <c r="D337">
        <v>12</v>
      </c>
      <c r="E337" t="s">
        <v>812</v>
      </c>
    </row>
    <row r="338" spans="1:5" x14ac:dyDescent="0.25">
      <c r="A338" s="1">
        <v>45223</v>
      </c>
      <c r="B338" s="2">
        <v>0.18472222222222223</v>
      </c>
      <c r="C338" t="s">
        <v>1014</v>
      </c>
      <c r="D338">
        <v>42</v>
      </c>
      <c r="E338" t="s">
        <v>808</v>
      </c>
    </row>
    <row r="339" spans="1:5" x14ac:dyDescent="0.25">
      <c r="A339" s="1">
        <v>45214</v>
      </c>
      <c r="B339" s="2">
        <v>0.89375000000000004</v>
      </c>
      <c r="C339" t="s">
        <v>1015</v>
      </c>
      <c r="D339">
        <v>60</v>
      </c>
      <c r="E339" t="s">
        <v>808</v>
      </c>
    </row>
    <row r="340" spans="1:5" x14ac:dyDescent="0.25">
      <c r="A340" s="1">
        <v>45230</v>
      </c>
      <c r="B340" s="2">
        <v>0.18541666666666667</v>
      </c>
      <c r="C340" t="s">
        <v>1016</v>
      </c>
      <c r="D340">
        <v>31</v>
      </c>
      <c r="E340" t="s">
        <v>808</v>
      </c>
    </row>
    <row r="341" spans="1:5" x14ac:dyDescent="0.25">
      <c r="A341" s="1">
        <v>45218</v>
      </c>
      <c r="B341" s="2">
        <v>0.3347222222222222</v>
      </c>
      <c r="C341" t="s">
        <v>1017</v>
      </c>
      <c r="D341">
        <v>85</v>
      </c>
      <c r="E341" t="s">
        <v>812</v>
      </c>
    </row>
    <row r="342" spans="1:5" x14ac:dyDescent="0.25">
      <c r="A342" s="1">
        <v>45225</v>
      </c>
      <c r="B342" s="2">
        <v>0.12916666666666668</v>
      </c>
      <c r="C342" t="s">
        <v>1017</v>
      </c>
      <c r="D342">
        <v>36</v>
      </c>
      <c r="E342" t="s">
        <v>812</v>
      </c>
    </row>
    <row r="343" spans="1:5" x14ac:dyDescent="0.25">
      <c r="A343" s="1">
        <v>45230</v>
      </c>
      <c r="B343" s="2">
        <v>0.53749999999999998</v>
      </c>
      <c r="C343" t="s">
        <v>1018</v>
      </c>
      <c r="D343">
        <v>33</v>
      </c>
      <c r="E343" t="s">
        <v>808</v>
      </c>
    </row>
    <row r="344" spans="1:5" x14ac:dyDescent="0.25">
      <c r="A344" s="1">
        <v>45225</v>
      </c>
      <c r="B344" s="2">
        <v>0.3840277777777778</v>
      </c>
      <c r="C344" t="s">
        <v>1018</v>
      </c>
      <c r="D344">
        <v>42</v>
      </c>
      <c r="E344" t="s">
        <v>807</v>
      </c>
    </row>
    <row r="345" spans="1:5" x14ac:dyDescent="0.25">
      <c r="A345" s="1">
        <v>45216</v>
      </c>
      <c r="B345" s="2">
        <v>0.51388888888888884</v>
      </c>
      <c r="C345" t="s">
        <v>1019</v>
      </c>
      <c r="D345">
        <v>73</v>
      </c>
      <c r="E345" t="s">
        <v>808</v>
      </c>
    </row>
    <row r="346" spans="1:5" x14ac:dyDescent="0.25">
      <c r="A346" s="1">
        <v>45222</v>
      </c>
      <c r="B346" s="2">
        <v>0.46736111111111112</v>
      </c>
      <c r="C346" t="s">
        <v>1020</v>
      </c>
      <c r="D346">
        <v>104</v>
      </c>
      <c r="E346" t="s">
        <v>812</v>
      </c>
    </row>
    <row r="347" spans="1:5" x14ac:dyDescent="0.25">
      <c r="A347" s="1">
        <v>45221</v>
      </c>
      <c r="B347" s="2">
        <v>0.49861111111111112</v>
      </c>
      <c r="C347" t="s">
        <v>1021</v>
      </c>
      <c r="D347">
        <v>116</v>
      </c>
      <c r="E347" t="s">
        <v>808</v>
      </c>
    </row>
    <row r="348" spans="1:5" x14ac:dyDescent="0.25">
      <c r="A348" s="1">
        <v>45221</v>
      </c>
      <c r="B348" s="2">
        <v>0.83611111111111114</v>
      </c>
      <c r="C348" t="s">
        <v>1022</v>
      </c>
      <c r="D348">
        <v>6</v>
      </c>
      <c r="E348" t="s">
        <v>812</v>
      </c>
    </row>
    <row r="349" spans="1:5" x14ac:dyDescent="0.25">
      <c r="A349" s="1">
        <v>45205</v>
      </c>
      <c r="B349" s="2">
        <v>5.2777777777777778E-2</v>
      </c>
      <c r="C349" t="s">
        <v>1022</v>
      </c>
      <c r="D349">
        <v>102</v>
      </c>
      <c r="E349" t="s">
        <v>808</v>
      </c>
    </row>
    <row r="350" spans="1:5" x14ac:dyDescent="0.25">
      <c r="A350" s="1">
        <v>45227</v>
      </c>
      <c r="B350" s="2">
        <v>0.7055555555555556</v>
      </c>
      <c r="C350" t="s">
        <v>1023</v>
      </c>
      <c r="D350">
        <v>108</v>
      </c>
      <c r="E350" t="s">
        <v>808</v>
      </c>
    </row>
    <row r="351" spans="1:5" x14ac:dyDescent="0.25">
      <c r="A351" s="1">
        <v>45227</v>
      </c>
      <c r="B351" s="2">
        <v>0.72430555555555554</v>
      </c>
      <c r="C351" t="s">
        <v>1023</v>
      </c>
      <c r="D351">
        <v>20</v>
      </c>
      <c r="E351" t="s">
        <v>807</v>
      </c>
    </row>
    <row r="352" spans="1:5" x14ac:dyDescent="0.25">
      <c r="A352" s="1">
        <v>45204</v>
      </c>
      <c r="B352" s="2">
        <v>0.75902777777777775</v>
      </c>
      <c r="C352" t="s">
        <v>1023</v>
      </c>
      <c r="D352">
        <v>105</v>
      </c>
      <c r="E352" t="s">
        <v>812</v>
      </c>
    </row>
    <row r="353" spans="1:5" x14ac:dyDescent="0.25">
      <c r="A353" s="1">
        <v>45224</v>
      </c>
      <c r="B353" s="2">
        <v>0.96388888888888891</v>
      </c>
      <c r="C353" t="s">
        <v>1024</v>
      </c>
      <c r="D353">
        <v>83</v>
      </c>
      <c r="E353" t="s">
        <v>808</v>
      </c>
    </row>
    <row r="354" spans="1:5" x14ac:dyDescent="0.25">
      <c r="A354" s="1">
        <v>45221</v>
      </c>
      <c r="B354" s="2">
        <v>0.38472222222222224</v>
      </c>
      <c r="C354" t="s">
        <v>1025</v>
      </c>
      <c r="D354">
        <v>92</v>
      </c>
      <c r="E354" t="s">
        <v>808</v>
      </c>
    </row>
    <row r="355" spans="1:5" x14ac:dyDescent="0.25">
      <c r="A355" s="1">
        <v>45214</v>
      </c>
      <c r="B355" s="2">
        <v>0.61319444444444449</v>
      </c>
      <c r="C355" t="s">
        <v>1026</v>
      </c>
      <c r="D355">
        <v>61</v>
      </c>
      <c r="E355" t="s">
        <v>812</v>
      </c>
    </row>
    <row r="356" spans="1:5" x14ac:dyDescent="0.25">
      <c r="A356" s="1">
        <v>45219</v>
      </c>
      <c r="B356" s="2">
        <v>9.583333333333334E-2</v>
      </c>
      <c r="C356" t="s">
        <v>1027</v>
      </c>
      <c r="D356">
        <v>113</v>
      </c>
      <c r="E356" t="s">
        <v>812</v>
      </c>
    </row>
    <row r="357" spans="1:5" x14ac:dyDescent="0.25">
      <c r="A357" s="1">
        <v>45214</v>
      </c>
      <c r="B357" s="2">
        <v>0.17222222222222222</v>
      </c>
      <c r="C357" t="s">
        <v>1027</v>
      </c>
      <c r="D357">
        <v>6</v>
      </c>
      <c r="E357" t="s">
        <v>807</v>
      </c>
    </row>
    <row r="358" spans="1:5" x14ac:dyDescent="0.25">
      <c r="A358" s="1">
        <v>45228</v>
      </c>
      <c r="B358" s="2">
        <v>0.61458333333333337</v>
      </c>
      <c r="C358" t="s">
        <v>1027</v>
      </c>
      <c r="D358">
        <v>48</v>
      </c>
      <c r="E358" t="s">
        <v>808</v>
      </c>
    </row>
    <row r="359" spans="1:5" x14ac:dyDescent="0.25">
      <c r="A359" s="1">
        <v>45222</v>
      </c>
      <c r="B359" s="2">
        <v>0.7631944444444444</v>
      </c>
      <c r="C359" t="s">
        <v>1027</v>
      </c>
      <c r="D359">
        <v>91</v>
      </c>
      <c r="E359" t="s">
        <v>812</v>
      </c>
    </row>
    <row r="360" spans="1:5" x14ac:dyDescent="0.25">
      <c r="A360" s="1">
        <v>45203</v>
      </c>
      <c r="B360" s="2">
        <v>0.5708333333333333</v>
      </c>
      <c r="C360" t="s">
        <v>1028</v>
      </c>
      <c r="D360">
        <v>68</v>
      </c>
      <c r="E360" t="s">
        <v>812</v>
      </c>
    </row>
    <row r="361" spans="1:5" x14ac:dyDescent="0.25">
      <c r="A361" s="1">
        <v>45211</v>
      </c>
      <c r="B361" s="2">
        <v>0.54652777777777772</v>
      </c>
      <c r="C361" t="s">
        <v>1029</v>
      </c>
      <c r="D361">
        <v>115</v>
      </c>
      <c r="E361" t="s">
        <v>807</v>
      </c>
    </row>
    <row r="362" spans="1:5" x14ac:dyDescent="0.25">
      <c r="A362" s="1">
        <v>45229</v>
      </c>
      <c r="B362" s="2">
        <v>0.2986111111111111</v>
      </c>
      <c r="C362" t="s">
        <v>1029</v>
      </c>
      <c r="D362">
        <v>74</v>
      </c>
      <c r="E362" t="s">
        <v>812</v>
      </c>
    </row>
    <row r="363" spans="1:5" x14ac:dyDescent="0.25">
      <c r="A363" s="1">
        <v>45225</v>
      </c>
      <c r="B363" s="2">
        <v>0.21111111111111111</v>
      </c>
      <c r="C363" t="s">
        <v>1030</v>
      </c>
      <c r="D363">
        <v>33</v>
      </c>
      <c r="E363" t="s">
        <v>808</v>
      </c>
    </row>
    <row r="364" spans="1:5" x14ac:dyDescent="0.25">
      <c r="A364" s="1">
        <v>45213</v>
      </c>
      <c r="B364" s="2">
        <v>0.34236111111111112</v>
      </c>
      <c r="C364" t="s">
        <v>1031</v>
      </c>
      <c r="D364">
        <v>63</v>
      </c>
      <c r="E364" t="s">
        <v>808</v>
      </c>
    </row>
    <row r="365" spans="1:5" x14ac:dyDescent="0.25">
      <c r="A365" s="1">
        <v>45202</v>
      </c>
      <c r="B365" s="2">
        <v>0.36180555555555555</v>
      </c>
      <c r="C365" t="s">
        <v>1032</v>
      </c>
      <c r="D365">
        <v>15</v>
      </c>
      <c r="E365" t="s">
        <v>808</v>
      </c>
    </row>
    <row r="366" spans="1:5" x14ac:dyDescent="0.25">
      <c r="A366" s="1">
        <v>45220</v>
      </c>
      <c r="B366" s="2">
        <v>0.41666666666666669</v>
      </c>
      <c r="C366" t="s">
        <v>1033</v>
      </c>
      <c r="D366">
        <v>32</v>
      </c>
      <c r="E366" t="s">
        <v>808</v>
      </c>
    </row>
    <row r="367" spans="1:5" x14ac:dyDescent="0.25">
      <c r="A367" s="1">
        <v>45210</v>
      </c>
      <c r="B367" s="2">
        <v>0.96111111111111114</v>
      </c>
      <c r="C367" t="s">
        <v>1033</v>
      </c>
      <c r="D367">
        <v>66</v>
      </c>
      <c r="E367" t="s">
        <v>807</v>
      </c>
    </row>
    <row r="368" spans="1:5" x14ac:dyDescent="0.25">
      <c r="A368" s="1">
        <v>45226</v>
      </c>
      <c r="B368" s="2">
        <v>0.74791666666666667</v>
      </c>
      <c r="C368" t="s">
        <v>1034</v>
      </c>
      <c r="D368">
        <v>52</v>
      </c>
      <c r="E368" t="s">
        <v>808</v>
      </c>
    </row>
    <row r="369" spans="1:5" x14ac:dyDescent="0.25">
      <c r="A369" s="1">
        <v>45215</v>
      </c>
      <c r="B369" s="2">
        <v>0.45763888888888887</v>
      </c>
      <c r="C369" t="s">
        <v>1035</v>
      </c>
      <c r="D369">
        <v>100</v>
      </c>
      <c r="E369" t="s">
        <v>807</v>
      </c>
    </row>
    <row r="370" spans="1:5" x14ac:dyDescent="0.25">
      <c r="A370" s="1">
        <v>45203</v>
      </c>
      <c r="B370" s="2">
        <v>0.30486111111111114</v>
      </c>
      <c r="C370" t="s">
        <v>1035</v>
      </c>
      <c r="D370">
        <v>106</v>
      </c>
      <c r="E370" t="s">
        <v>808</v>
      </c>
    </row>
    <row r="371" spans="1:5" x14ac:dyDescent="0.25">
      <c r="A371" s="1">
        <v>45201</v>
      </c>
      <c r="B371" s="2">
        <v>0.30972222222222223</v>
      </c>
      <c r="C371" t="s">
        <v>1036</v>
      </c>
      <c r="D371">
        <v>56</v>
      </c>
      <c r="E371" t="s">
        <v>812</v>
      </c>
    </row>
    <row r="372" spans="1:5" x14ac:dyDescent="0.25">
      <c r="A372" s="1">
        <v>45208</v>
      </c>
      <c r="B372" s="2">
        <v>8.4027777777777785E-2</v>
      </c>
      <c r="C372" t="s">
        <v>1037</v>
      </c>
      <c r="D372">
        <v>50</v>
      </c>
      <c r="E372" t="s">
        <v>808</v>
      </c>
    </row>
    <row r="373" spans="1:5" x14ac:dyDescent="0.25">
      <c r="A373" s="1">
        <v>45222</v>
      </c>
      <c r="B373" s="2">
        <v>0.17916666666666667</v>
      </c>
      <c r="C373" t="s">
        <v>1038</v>
      </c>
      <c r="D373">
        <v>28</v>
      </c>
      <c r="E373" t="s">
        <v>808</v>
      </c>
    </row>
    <row r="374" spans="1:5" x14ac:dyDescent="0.25">
      <c r="A374" s="1">
        <v>45214</v>
      </c>
      <c r="B374" s="2">
        <v>0.7368055555555556</v>
      </c>
      <c r="C374" t="s">
        <v>1039</v>
      </c>
      <c r="D374">
        <v>34</v>
      </c>
      <c r="E374" t="s">
        <v>812</v>
      </c>
    </row>
    <row r="375" spans="1:5" x14ac:dyDescent="0.25">
      <c r="A375" s="1">
        <v>45224</v>
      </c>
      <c r="B375" s="2">
        <v>0.6</v>
      </c>
      <c r="C375" t="s">
        <v>1040</v>
      </c>
      <c r="D375">
        <v>70</v>
      </c>
      <c r="E375" t="s">
        <v>812</v>
      </c>
    </row>
    <row r="376" spans="1:5" x14ac:dyDescent="0.25">
      <c r="A376" s="1">
        <v>45206</v>
      </c>
      <c r="B376" s="2">
        <v>0.36666666666666664</v>
      </c>
      <c r="C376" t="s">
        <v>1041</v>
      </c>
      <c r="D376">
        <v>30</v>
      </c>
      <c r="E376" t="s">
        <v>812</v>
      </c>
    </row>
    <row r="377" spans="1:5" x14ac:dyDescent="0.25">
      <c r="A377" s="1">
        <v>45225</v>
      </c>
      <c r="B377" s="2">
        <v>0.17152777777777778</v>
      </c>
      <c r="C377" t="s">
        <v>1042</v>
      </c>
      <c r="D377">
        <v>104</v>
      </c>
      <c r="E377" t="s">
        <v>808</v>
      </c>
    </row>
    <row r="378" spans="1:5" x14ac:dyDescent="0.25">
      <c r="A378" s="1">
        <v>45215</v>
      </c>
      <c r="B378" s="2">
        <v>9.3055555555555558E-2</v>
      </c>
      <c r="C378" t="s">
        <v>1043</v>
      </c>
      <c r="D378">
        <v>87</v>
      </c>
      <c r="E378" t="s">
        <v>807</v>
      </c>
    </row>
    <row r="379" spans="1:5" x14ac:dyDescent="0.25">
      <c r="A379" s="1">
        <v>45210</v>
      </c>
      <c r="B379" s="2">
        <v>0.45833333333333331</v>
      </c>
      <c r="C379" t="s">
        <v>1044</v>
      </c>
      <c r="D379">
        <v>95</v>
      </c>
      <c r="E379" t="s">
        <v>808</v>
      </c>
    </row>
    <row r="380" spans="1:5" x14ac:dyDescent="0.25">
      <c r="A380" s="1">
        <v>45202</v>
      </c>
      <c r="B380" s="2">
        <v>0.21875</v>
      </c>
      <c r="C380" t="s">
        <v>1044</v>
      </c>
      <c r="D380">
        <v>86</v>
      </c>
      <c r="E380" t="s">
        <v>812</v>
      </c>
    </row>
    <row r="381" spans="1:5" x14ac:dyDescent="0.25">
      <c r="A381" s="1">
        <v>45217</v>
      </c>
      <c r="B381" s="2">
        <v>0.3215277777777778</v>
      </c>
      <c r="C381" t="s">
        <v>1045</v>
      </c>
      <c r="D381">
        <v>118</v>
      </c>
      <c r="E381" t="s">
        <v>808</v>
      </c>
    </row>
    <row r="382" spans="1:5" x14ac:dyDescent="0.25">
      <c r="A382" s="1">
        <v>45210</v>
      </c>
      <c r="B382" s="2">
        <v>3.125E-2</v>
      </c>
      <c r="C382" t="s">
        <v>1046</v>
      </c>
      <c r="D382">
        <v>63</v>
      </c>
      <c r="E382" t="s">
        <v>812</v>
      </c>
    </row>
    <row r="383" spans="1:5" x14ac:dyDescent="0.25">
      <c r="A383" s="1">
        <v>45207</v>
      </c>
      <c r="B383" s="2">
        <v>0.98750000000000004</v>
      </c>
      <c r="C383" t="s">
        <v>1046</v>
      </c>
      <c r="D383">
        <v>15</v>
      </c>
      <c r="E383" t="s">
        <v>808</v>
      </c>
    </row>
    <row r="384" spans="1:5" x14ac:dyDescent="0.25">
      <c r="A384" s="1">
        <v>45224</v>
      </c>
      <c r="B384" s="2">
        <v>0.81805555555555554</v>
      </c>
      <c r="C384" t="s">
        <v>1047</v>
      </c>
      <c r="D384">
        <v>5</v>
      </c>
      <c r="E384" t="s">
        <v>812</v>
      </c>
    </row>
    <row r="385" spans="1:5" x14ac:dyDescent="0.25">
      <c r="A385" s="1">
        <v>45202</v>
      </c>
      <c r="B385" s="2">
        <v>0.45416666666666666</v>
      </c>
      <c r="C385" t="s">
        <v>1047</v>
      </c>
      <c r="D385">
        <v>89</v>
      </c>
      <c r="E385" t="s">
        <v>812</v>
      </c>
    </row>
    <row r="386" spans="1:5" x14ac:dyDescent="0.25">
      <c r="A386" s="1">
        <v>45225</v>
      </c>
      <c r="B386" s="2">
        <v>0.21527777777777779</v>
      </c>
      <c r="C386" t="s">
        <v>1048</v>
      </c>
      <c r="D386">
        <v>41</v>
      </c>
      <c r="E386" t="s">
        <v>812</v>
      </c>
    </row>
    <row r="387" spans="1:5" x14ac:dyDescent="0.25">
      <c r="A387" s="1">
        <v>45225</v>
      </c>
      <c r="B387" s="2">
        <v>0.52777777777777779</v>
      </c>
      <c r="C387" t="s">
        <v>1049</v>
      </c>
      <c r="D387">
        <v>6</v>
      </c>
      <c r="E387" t="s">
        <v>808</v>
      </c>
    </row>
    <row r="388" spans="1:5" x14ac:dyDescent="0.25">
      <c r="A388" s="1">
        <v>45225</v>
      </c>
      <c r="B388" s="2">
        <v>0.77847222222222223</v>
      </c>
      <c r="C388" t="s">
        <v>1050</v>
      </c>
      <c r="D388">
        <v>89</v>
      </c>
      <c r="E388" t="s">
        <v>807</v>
      </c>
    </row>
    <row r="389" spans="1:5" x14ac:dyDescent="0.25">
      <c r="A389" s="1">
        <v>45225</v>
      </c>
      <c r="B389" s="2">
        <v>0.15972222222222221</v>
      </c>
      <c r="C389" t="s">
        <v>1051</v>
      </c>
      <c r="D389">
        <v>113</v>
      </c>
      <c r="E389" t="s">
        <v>807</v>
      </c>
    </row>
    <row r="390" spans="1:5" x14ac:dyDescent="0.25">
      <c r="A390" s="1">
        <v>45216</v>
      </c>
      <c r="B390" s="2">
        <v>0.45763888888888887</v>
      </c>
      <c r="C390" t="s">
        <v>1052</v>
      </c>
      <c r="D390">
        <v>39</v>
      </c>
      <c r="E390" t="s">
        <v>807</v>
      </c>
    </row>
    <row r="391" spans="1:5" x14ac:dyDescent="0.25">
      <c r="A391" s="1">
        <v>45204</v>
      </c>
      <c r="B391" s="2">
        <v>0.90555555555555556</v>
      </c>
      <c r="C391" t="s">
        <v>1053</v>
      </c>
      <c r="D391">
        <v>61</v>
      </c>
      <c r="E391" t="s">
        <v>807</v>
      </c>
    </row>
    <row r="392" spans="1:5" x14ac:dyDescent="0.25">
      <c r="A392" s="1">
        <v>45215</v>
      </c>
      <c r="B392" s="2">
        <v>0.75694444444444442</v>
      </c>
      <c r="C392" t="s">
        <v>1054</v>
      </c>
      <c r="D392">
        <v>24</v>
      </c>
      <c r="E392" t="s">
        <v>812</v>
      </c>
    </row>
    <row r="393" spans="1:5" x14ac:dyDescent="0.25">
      <c r="A393" s="1">
        <v>45220</v>
      </c>
      <c r="B393" s="2">
        <v>0.8305555555555556</v>
      </c>
      <c r="C393" t="s">
        <v>1055</v>
      </c>
      <c r="D393">
        <v>59</v>
      </c>
      <c r="E393" t="s">
        <v>812</v>
      </c>
    </row>
    <row r="394" spans="1:5" x14ac:dyDescent="0.25">
      <c r="A394" s="1">
        <v>45224</v>
      </c>
      <c r="B394" s="2">
        <v>0.45694444444444443</v>
      </c>
      <c r="C394" t="s">
        <v>1055</v>
      </c>
      <c r="D394">
        <v>32</v>
      </c>
      <c r="E394" t="s">
        <v>807</v>
      </c>
    </row>
    <row r="395" spans="1:5" x14ac:dyDescent="0.25">
      <c r="A395" s="1">
        <v>45208</v>
      </c>
      <c r="B395" s="2">
        <v>0.66249999999999998</v>
      </c>
      <c r="C395" t="s">
        <v>1056</v>
      </c>
      <c r="D395">
        <v>104</v>
      </c>
      <c r="E395" t="s">
        <v>812</v>
      </c>
    </row>
    <row r="396" spans="1:5" x14ac:dyDescent="0.25">
      <c r="A396" s="1">
        <v>45225</v>
      </c>
      <c r="B396" s="2">
        <v>0.94861111111111107</v>
      </c>
      <c r="C396" t="s">
        <v>1057</v>
      </c>
      <c r="D396">
        <v>30</v>
      </c>
      <c r="E396" t="s">
        <v>807</v>
      </c>
    </row>
    <row r="397" spans="1:5" x14ac:dyDescent="0.25">
      <c r="A397" s="1">
        <v>45216</v>
      </c>
      <c r="B397" s="2">
        <v>0.9604166666666667</v>
      </c>
      <c r="C397" t="s">
        <v>1058</v>
      </c>
      <c r="D397">
        <v>41</v>
      </c>
      <c r="E397" t="s">
        <v>808</v>
      </c>
    </row>
    <row r="398" spans="1:5" x14ac:dyDescent="0.25">
      <c r="A398" s="1">
        <v>45207</v>
      </c>
      <c r="B398" s="2">
        <v>0.90833333333333333</v>
      </c>
      <c r="C398" t="s">
        <v>1059</v>
      </c>
      <c r="D398">
        <v>103</v>
      </c>
      <c r="E398" t="s">
        <v>807</v>
      </c>
    </row>
    <row r="399" spans="1:5" x14ac:dyDescent="0.25">
      <c r="A399" s="1">
        <v>45201</v>
      </c>
      <c r="B399" s="2">
        <v>0.85902777777777772</v>
      </c>
      <c r="C399" t="s">
        <v>1060</v>
      </c>
      <c r="D399">
        <v>26</v>
      </c>
      <c r="E399" t="s">
        <v>808</v>
      </c>
    </row>
    <row r="400" spans="1:5" x14ac:dyDescent="0.25">
      <c r="A400" s="1">
        <v>45202</v>
      </c>
      <c r="B400" s="2">
        <v>0.71736111111111112</v>
      </c>
      <c r="C400" t="s">
        <v>1061</v>
      </c>
      <c r="D400">
        <v>115</v>
      </c>
      <c r="E400" t="s">
        <v>812</v>
      </c>
    </row>
    <row r="401" spans="1:5" x14ac:dyDescent="0.25">
      <c r="A401" s="1">
        <v>45205</v>
      </c>
      <c r="B401" s="2">
        <v>0.47430555555555554</v>
      </c>
      <c r="C401" t="s">
        <v>1062</v>
      </c>
      <c r="D401">
        <v>25</v>
      </c>
      <c r="E401" t="s">
        <v>807</v>
      </c>
    </row>
    <row r="402" spans="1:5" x14ac:dyDescent="0.25">
      <c r="A402" s="1">
        <v>45225</v>
      </c>
      <c r="B402" s="2">
        <v>0.62569444444444444</v>
      </c>
      <c r="C402" t="s">
        <v>1063</v>
      </c>
      <c r="D402">
        <v>108</v>
      </c>
      <c r="E402" t="s">
        <v>812</v>
      </c>
    </row>
    <row r="403" spans="1:5" x14ac:dyDescent="0.25">
      <c r="A403" s="1">
        <v>45209</v>
      </c>
      <c r="B403" s="2">
        <v>0.98888888888888893</v>
      </c>
      <c r="C403" t="s">
        <v>1064</v>
      </c>
      <c r="D403">
        <v>80</v>
      </c>
      <c r="E403" t="s">
        <v>808</v>
      </c>
    </row>
    <row r="404" spans="1:5" x14ac:dyDescent="0.25">
      <c r="A404" s="1">
        <v>45223</v>
      </c>
      <c r="B404" s="2">
        <v>0.54861111111111116</v>
      </c>
      <c r="C404" t="s">
        <v>1065</v>
      </c>
      <c r="D404">
        <v>19</v>
      </c>
      <c r="E404" t="s">
        <v>808</v>
      </c>
    </row>
    <row r="405" spans="1:5" x14ac:dyDescent="0.25">
      <c r="A405" s="1">
        <v>45209</v>
      </c>
      <c r="B405" s="2">
        <v>0.18333333333333332</v>
      </c>
      <c r="C405" t="s">
        <v>1065</v>
      </c>
      <c r="D405">
        <v>81</v>
      </c>
      <c r="E405" t="s">
        <v>808</v>
      </c>
    </row>
    <row r="406" spans="1:5" x14ac:dyDescent="0.25">
      <c r="A406" s="1">
        <v>45220</v>
      </c>
      <c r="B406" s="2">
        <v>0.58402777777777781</v>
      </c>
      <c r="C406" t="s">
        <v>1066</v>
      </c>
      <c r="D406">
        <v>92</v>
      </c>
      <c r="E406" t="s">
        <v>812</v>
      </c>
    </row>
    <row r="407" spans="1:5" x14ac:dyDescent="0.25">
      <c r="A407" s="1">
        <v>45219</v>
      </c>
      <c r="B407" s="2">
        <v>0.45347222222222222</v>
      </c>
      <c r="C407" t="s">
        <v>1067</v>
      </c>
      <c r="D407">
        <v>52</v>
      </c>
      <c r="E407" t="s">
        <v>808</v>
      </c>
    </row>
    <row r="408" spans="1:5" x14ac:dyDescent="0.25">
      <c r="A408" s="1">
        <v>45209</v>
      </c>
      <c r="B408" s="2">
        <v>0.78194444444444444</v>
      </c>
      <c r="C408" t="s">
        <v>1067</v>
      </c>
      <c r="D408">
        <v>10</v>
      </c>
      <c r="E408" t="s">
        <v>808</v>
      </c>
    </row>
    <row r="409" spans="1:5" x14ac:dyDescent="0.25">
      <c r="A409" s="1">
        <v>45202</v>
      </c>
      <c r="B409" s="2">
        <v>0.44305555555555554</v>
      </c>
      <c r="C409" t="s">
        <v>1067</v>
      </c>
      <c r="D409">
        <v>43</v>
      </c>
      <c r="E409" t="s">
        <v>807</v>
      </c>
    </row>
    <row r="410" spans="1:5" x14ac:dyDescent="0.25">
      <c r="A410" s="1">
        <v>45220</v>
      </c>
      <c r="B410" s="2">
        <v>0.55138888888888893</v>
      </c>
      <c r="C410" t="s">
        <v>1068</v>
      </c>
      <c r="D410">
        <v>6</v>
      </c>
      <c r="E410" t="s">
        <v>807</v>
      </c>
    </row>
    <row r="411" spans="1:5" x14ac:dyDescent="0.25">
      <c r="A411" s="1">
        <v>45200</v>
      </c>
      <c r="B411" s="2">
        <v>0.57013888888888886</v>
      </c>
      <c r="C411" t="s">
        <v>1069</v>
      </c>
      <c r="D411">
        <v>53</v>
      </c>
      <c r="E411" t="s">
        <v>812</v>
      </c>
    </row>
    <row r="412" spans="1:5" x14ac:dyDescent="0.25">
      <c r="A412" s="1">
        <v>45205</v>
      </c>
      <c r="B412" s="2">
        <v>0.79374999999999996</v>
      </c>
      <c r="C412" t="s">
        <v>1070</v>
      </c>
      <c r="D412">
        <v>99</v>
      </c>
      <c r="E412" t="s">
        <v>808</v>
      </c>
    </row>
    <row r="413" spans="1:5" x14ac:dyDescent="0.25">
      <c r="A413" s="1">
        <v>45215</v>
      </c>
      <c r="B413" s="2">
        <v>0.58750000000000002</v>
      </c>
      <c r="C413" t="s">
        <v>1071</v>
      </c>
      <c r="D413">
        <v>24</v>
      </c>
      <c r="E413" t="s">
        <v>808</v>
      </c>
    </row>
    <row r="414" spans="1:5" x14ac:dyDescent="0.25">
      <c r="A414" s="1">
        <v>45215</v>
      </c>
      <c r="B414" s="2">
        <v>4.9305555555555554E-2</v>
      </c>
      <c r="C414" t="s">
        <v>1071</v>
      </c>
      <c r="D414">
        <v>33</v>
      </c>
      <c r="E414" t="s">
        <v>808</v>
      </c>
    </row>
    <row r="415" spans="1:5" x14ac:dyDescent="0.25">
      <c r="A415" s="1">
        <v>45223</v>
      </c>
      <c r="B415" s="2">
        <v>0.45069444444444445</v>
      </c>
      <c r="C415" t="s">
        <v>1072</v>
      </c>
      <c r="D415">
        <v>14</v>
      </c>
      <c r="E415" t="s">
        <v>812</v>
      </c>
    </row>
    <row r="416" spans="1:5" x14ac:dyDescent="0.25">
      <c r="A416" s="1">
        <v>45227</v>
      </c>
      <c r="B416" s="2">
        <v>0.19583333333333333</v>
      </c>
      <c r="C416" t="s">
        <v>1073</v>
      </c>
      <c r="D416">
        <v>113</v>
      </c>
      <c r="E416" t="s">
        <v>808</v>
      </c>
    </row>
    <row r="417" spans="1:5" x14ac:dyDescent="0.25">
      <c r="A417" s="1">
        <v>45220</v>
      </c>
      <c r="B417" s="2">
        <v>0.87708333333333333</v>
      </c>
      <c r="C417" t="s">
        <v>1073</v>
      </c>
      <c r="D417">
        <v>78</v>
      </c>
      <c r="E417" t="s">
        <v>807</v>
      </c>
    </row>
    <row r="418" spans="1:5" x14ac:dyDescent="0.25">
      <c r="A418" s="1">
        <v>45218</v>
      </c>
      <c r="B418" s="2">
        <v>0.67569444444444449</v>
      </c>
      <c r="C418" t="s">
        <v>1074</v>
      </c>
      <c r="D418">
        <v>37</v>
      </c>
      <c r="E418" t="s">
        <v>812</v>
      </c>
    </row>
    <row r="419" spans="1:5" x14ac:dyDescent="0.25">
      <c r="A419" s="1">
        <v>45221</v>
      </c>
      <c r="B419" s="2">
        <v>0.51736111111111116</v>
      </c>
      <c r="C419" t="s">
        <v>1074</v>
      </c>
      <c r="D419">
        <v>83</v>
      </c>
      <c r="E419" t="s">
        <v>812</v>
      </c>
    </row>
    <row r="420" spans="1:5" x14ac:dyDescent="0.25">
      <c r="A420" s="1">
        <v>45213</v>
      </c>
      <c r="B420" s="2">
        <v>6.6666666666666666E-2</v>
      </c>
      <c r="C420" t="s">
        <v>1075</v>
      </c>
      <c r="D420">
        <v>63</v>
      </c>
      <c r="E420" t="s">
        <v>807</v>
      </c>
    </row>
    <row r="421" spans="1:5" x14ac:dyDescent="0.25">
      <c r="A421" s="1">
        <v>45211</v>
      </c>
      <c r="B421" s="2">
        <v>9.8611111111111108E-2</v>
      </c>
      <c r="C421" t="s">
        <v>1075</v>
      </c>
      <c r="D421">
        <v>59</v>
      </c>
      <c r="E421" t="s">
        <v>812</v>
      </c>
    </row>
    <row r="422" spans="1:5" x14ac:dyDescent="0.25">
      <c r="A422" s="1">
        <v>45226</v>
      </c>
      <c r="B422" s="2">
        <v>0.10416666666666667</v>
      </c>
      <c r="C422" t="s">
        <v>1076</v>
      </c>
      <c r="D422">
        <v>110</v>
      </c>
      <c r="E422" t="s">
        <v>808</v>
      </c>
    </row>
    <row r="423" spans="1:5" x14ac:dyDescent="0.25">
      <c r="A423" s="1">
        <v>45219</v>
      </c>
      <c r="B423" s="2">
        <v>0.50624999999999998</v>
      </c>
      <c r="C423" t="s">
        <v>1076</v>
      </c>
      <c r="D423">
        <v>41</v>
      </c>
      <c r="E423" t="s">
        <v>808</v>
      </c>
    </row>
    <row r="424" spans="1:5" x14ac:dyDescent="0.25">
      <c r="A424" s="1">
        <v>45205</v>
      </c>
      <c r="B424" s="2">
        <v>0.17847222222222223</v>
      </c>
      <c r="C424" t="s">
        <v>1077</v>
      </c>
      <c r="D424">
        <v>42</v>
      </c>
      <c r="E424" t="s">
        <v>808</v>
      </c>
    </row>
    <row r="425" spans="1:5" x14ac:dyDescent="0.25">
      <c r="A425" s="1">
        <v>45212</v>
      </c>
      <c r="B425" s="2">
        <v>0.68055555555555558</v>
      </c>
      <c r="C425" t="s">
        <v>1078</v>
      </c>
      <c r="D425">
        <v>63</v>
      </c>
      <c r="E425" t="s">
        <v>807</v>
      </c>
    </row>
    <row r="426" spans="1:5" x14ac:dyDescent="0.25">
      <c r="A426" s="1">
        <v>45220</v>
      </c>
      <c r="B426" s="2">
        <v>0.22291666666666668</v>
      </c>
      <c r="C426" t="s">
        <v>1079</v>
      </c>
      <c r="D426">
        <v>65</v>
      </c>
      <c r="E426" t="s">
        <v>812</v>
      </c>
    </row>
    <row r="427" spans="1:5" x14ac:dyDescent="0.25">
      <c r="A427" s="1">
        <v>45222</v>
      </c>
      <c r="B427" s="2">
        <v>0.77777777777777779</v>
      </c>
      <c r="C427" t="s">
        <v>1079</v>
      </c>
      <c r="D427">
        <v>102</v>
      </c>
      <c r="E427" t="s">
        <v>812</v>
      </c>
    </row>
    <row r="428" spans="1:5" x14ac:dyDescent="0.25">
      <c r="A428" s="1">
        <v>45209</v>
      </c>
      <c r="B428" s="2">
        <v>0.77708333333333335</v>
      </c>
      <c r="C428" t="s">
        <v>1080</v>
      </c>
      <c r="D428">
        <v>40</v>
      </c>
      <c r="E428" t="s">
        <v>812</v>
      </c>
    </row>
    <row r="429" spans="1:5" x14ac:dyDescent="0.25">
      <c r="A429" s="1">
        <v>45216</v>
      </c>
      <c r="B429" s="2">
        <v>0.72986111111111107</v>
      </c>
      <c r="C429" t="s">
        <v>1080</v>
      </c>
      <c r="D429">
        <v>78</v>
      </c>
      <c r="E429" t="s">
        <v>808</v>
      </c>
    </row>
    <row r="430" spans="1:5" x14ac:dyDescent="0.25">
      <c r="A430" s="1">
        <v>45230</v>
      </c>
      <c r="B430" s="2">
        <v>0.11944444444444445</v>
      </c>
      <c r="C430" t="s">
        <v>1080</v>
      </c>
      <c r="D430">
        <v>8</v>
      </c>
      <c r="E430" t="s">
        <v>808</v>
      </c>
    </row>
    <row r="431" spans="1:5" x14ac:dyDescent="0.25">
      <c r="A431" s="1">
        <v>45203</v>
      </c>
      <c r="B431" s="2">
        <v>0.86458333333333337</v>
      </c>
      <c r="C431" t="s">
        <v>1081</v>
      </c>
      <c r="D431">
        <v>100</v>
      </c>
      <c r="E431" t="s">
        <v>812</v>
      </c>
    </row>
    <row r="432" spans="1:5" x14ac:dyDescent="0.25">
      <c r="A432" s="1">
        <v>45208</v>
      </c>
      <c r="B432" s="2">
        <v>0.76249999999999996</v>
      </c>
      <c r="C432" t="s">
        <v>1082</v>
      </c>
      <c r="D432">
        <v>101</v>
      </c>
      <c r="E432" t="s">
        <v>807</v>
      </c>
    </row>
    <row r="433" spans="1:5" x14ac:dyDescent="0.25">
      <c r="A433" s="1">
        <v>45213</v>
      </c>
      <c r="B433" s="2">
        <v>0.9604166666666667</v>
      </c>
      <c r="C433" t="s">
        <v>1083</v>
      </c>
      <c r="D433">
        <v>103</v>
      </c>
      <c r="E433" t="s">
        <v>808</v>
      </c>
    </row>
    <row r="434" spans="1:5" x14ac:dyDescent="0.25">
      <c r="A434" s="1">
        <v>45217</v>
      </c>
      <c r="B434" s="2">
        <v>0.50416666666666665</v>
      </c>
      <c r="C434" t="s">
        <v>1084</v>
      </c>
      <c r="D434">
        <v>55</v>
      </c>
      <c r="E434" t="s">
        <v>812</v>
      </c>
    </row>
    <row r="435" spans="1:5" x14ac:dyDescent="0.25">
      <c r="A435" s="1">
        <v>45219</v>
      </c>
      <c r="B435" s="2">
        <v>7.6388888888888895E-2</v>
      </c>
      <c r="C435" t="s">
        <v>1084</v>
      </c>
      <c r="D435">
        <v>93</v>
      </c>
      <c r="E435" t="s">
        <v>812</v>
      </c>
    </row>
    <row r="436" spans="1:5" x14ac:dyDescent="0.25">
      <c r="A436" s="1">
        <v>45217</v>
      </c>
      <c r="B436" s="2">
        <v>0.19375000000000001</v>
      </c>
      <c r="C436" t="s">
        <v>1084</v>
      </c>
      <c r="D436">
        <v>56</v>
      </c>
      <c r="E436" t="s">
        <v>807</v>
      </c>
    </row>
    <row r="437" spans="1:5" x14ac:dyDescent="0.25">
      <c r="A437" s="1">
        <v>45200</v>
      </c>
      <c r="B437" s="2">
        <v>0.51111111111111107</v>
      </c>
      <c r="C437" t="s">
        <v>1085</v>
      </c>
      <c r="D437">
        <v>22</v>
      </c>
      <c r="E437" t="s">
        <v>812</v>
      </c>
    </row>
    <row r="438" spans="1:5" x14ac:dyDescent="0.25">
      <c r="A438" s="1">
        <v>45213</v>
      </c>
      <c r="B438" s="2">
        <v>0.1451388888888889</v>
      </c>
      <c r="C438" t="s">
        <v>1085</v>
      </c>
      <c r="D438">
        <v>105</v>
      </c>
      <c r="E438" t="s">
        <v>808</v>
      </c>
    </row>
    <row r="439" spans="1:5" x14ac:dyDescent="0.25">
      <c r="A439" s="1">
        <v>45206</v>
      </c>
      <c r="B439" s="2">
        <v>0.23333333333333334</v>
      </c>
      <c r="C439" t="s">
        <v>1086</v>
      </c>
      <c r="D439">
        <v>26</v>
      </c>
      <c r="E439" t="s">
        <v>812</v>
      </c>
    </row>
    <row r="440" spans="1:5" x14ac:dyDescent="0.25">
      <c r="A440" s="1">
        <v>45205</v>
      </c>
      <c r="B440" s="2">
        <v>0.35347222222222224</v>
      </c>
      <c r="C440" t="s">
        <v>1087</v>
      </c>
      <c r="D440">
        <v>52</v>
      </c>
      <c r="E440" t="s">
        <v>808</v>
      </c>
    </row>
    <row r="441" spans="1:5" x14ac:dyDescent="0.25">
      <c r="A441" s="1">
        <v>45215</v>
      </c>
      <c r="B441" s="2">
        <v>0.74375000000000002</v>
      </c>
      <c r="C441" t="s">
        <v>1088</v>
      </c>
      <c r="D441">
        <v>103</v>
      </c>
      <c r="E441" t="s">
        <v>807</v>
      </c>
    </row>
    <row r="442" spans="1:5" x14ac:dyDescent="0.25">
      <c r="A442" s="1">
        <v>45211</v>
      </c>
      <c r="B442" s="2">
        <v>0.42499999999999999</v>
      </c>
      <c r="C442" t="s">
        <v>1089</v>
      </c>
      <c r="D442">
        <v>57</v>
      </c>
      <c r="E442" t="s">
        <v>808</v>
      </c>
    </row>
    <row r="443" spans="1:5" x14ac:dyDescent="0.25">
      <c r="A443" s="1">
        <v>45227</v>
      </c>
      <c r="B443" s="2">
        <v>0.57777777777777772</v>
      </c>
      <c r="C443" t="s">
        <v>1089</v>
      </c>
      <c r="D443">
        <v>50</v>
      </c>
      <c r="E443" t="s">
        <v>812</v>
      </c>
    </row>
    <row r="444" spans="1:5" x14ac:dyDescent="0.25">
      <c r="A444" s="1">
        <v>45221</v>
      </c>
      <c r="B444" s="2">
        <v>0.26597222222222222</v>
      </c>
      <c r="C444" t="s">
        <v>1090</v>
      </c>
      <c r="D444">
        <v>88</v>
      </c>
      <c r="E444" t="s">
        <v>808</v>
      </c>
    </row>
    <row r="445" spans="1:5" x14ac:dyDescent="0.25">
      <c r="A445" s="1">
        <v>45230</v>
      </c>
      <c r="B445" s="2">
        <v>6.7361111111111108E-2</v>
      </c>
      <c r="C445" t="s">
        <v>1091</v>
      </c>
      <c r="D445">
        <v>75</v>
      </c>
      <c r="E445" t="s">
        <v>807</v>
      </c>
    </row>
    <row r="446" spans="1:5" x14ac:dyDescent="0.25">
      <c r="A446" s="1">
        <v>45218</v>
      </c>
      <c r="B446" s="2">
        <v>0.66597222222222219</v>
      </c>
      <c r="C446" t="s">
        <v>1092</v>
      </c>
      <c r="D446">
        <v>90</v>
      </c>
      <c r="E446" t="s">
        <v>812</v>
      </c>
    </row>
    <row r="447" spans="1:5" x14ac:dyDescent="0.25">
      <c r="A447" s="1">
        <v>45205</v>
      </c>
      <c r="B447" s="2">
        <v>0.15416666666666667</v>
      </c>
      <c r="C447" t="s">
        <v>1093</v>
      </c>
      <c r="D447">
        <v>12</v>
      </c>
      <c r="E447" t="s">
        <v>807</v>
      </c>
    </row>
    <row r="448" spans="1:5" x14ac:dyDescent="0.25">
      <c r="A448" s="1">
        <v>45211</v>
      </c>
      <c r="B448" s="2">
        <v>0.10694444444444444</v>
      </c>
      <c r="C448" t="s">
        <v>1093</v>
      </c>
      <c r="D448">
        <v>87</v>
      </c>
      <c r="E448" t="s">
        <v>812</v>
      </c>
    </row>
    <row r="449" spans="1:5" x14ac:dyDescent="0.25">
      <c r="A449" s="1">
        <v>45221</v>
      </c>
      <c r="B449" s="2">
        <v>0.84652777777777777</v>
      </c>
      <c r="C449" t="s">
        <v>1093</v>
      </c>
      <c r="D449">
        <v>96</v>
      </c>
      <c r="E449" t="s">
        <v>812</v>
      </c>
    </row>
    <row r="450" spans="1:5" x14ac:dyDescent="0.25">
      <c r="A450" s="1">
        <v>45221</v>
      </c>
      <c r="B450" s="2">
        <v>4.9305555555555554E-2</v>
      </c>
      <c r="C450" t="s">
        <v>1094</v>
      </c>
      <c r="D450">
        <v>53</v>
      </c>
      <c r="E450" t="s">
        <v>808</v>
      </c>
    </row>
    <row r="451" spans="1:5" x14ac:dyDescent="0.25">
      <c r="A451" s="1">
        <v>45211</v>
      </c>
      <c r="B451" s="2">
        <v>0.31666666666666665</v>
      </c>
      <c r="C451" t="s">
        <v>1094</v>
      </c>
      <c r="D451">
        <v>93</v>
      </c>
      <c r="E451" t="s">
        <v>812</v>
      </c>
    </row>
    <row r="452" spans="1:5" x14ac:dyDescent="0.25">
      <c r="A452" s="1">
        <v>45213</v>
      </c>
      <c r="B452" s="2">
        <v>0.59791666666666665</v>
      </c>
      <c r="C452" t="s">
        <v>1095</v>
      </c>
      <c r="D452">
        <v>108</v>
      </c>
      <c r="E452" t="s">
        <v>808</v>
      </c>
    </row>
    <row r="453" spans="1:5" x14ac:dyDescent="0.25">
      <c r="A453" s="1">
        <v>45221</v>
      </c>
      <c r="B453" s="2">
        <v>0.50277777777777777</v>
      </c>
      <c r="C453" t="s">
        <v>1096</v>
      </c>
      <c r="D453">
        <v>69</v>
      </c>
      <c r="E453" t="s">
        <v>807</v>
      </c>
    </row>
    <row r="454" spans="1:5" x14ac:dyDescent="0.25">
      <c r="A454" s="1">
        <v>45217</v>
      </c>
      <c r="B454" s="2">
        <v>0.68472222222222223</v>
      </c>
      <c r="C454" t="s">
        <v>1097</v>
      </c>
      <c r="D454">
        <v>43</v>
      </c>
      <c r="E454" t="s">
        <v>807</v>
      </c>
    </row>
    <row r="455" spans="1:5" x14ac:dyDescent="0.25">
      <c r="A455" s="1">
        <v>45209</v>
      </c>
      <c r="B455" s="2">
        <v>0.68402777777777779</v>
      </c>
      <c r="C455" t="s">
        <v>1097</v>
      </c>
      <c r="D455">
        <v>44</v>
      </c>
      <c r="E455" t="s">
        <v>812</v>
      </c>
    </row>
    <row r="456" spans="1:5" x14ac:dyDescent="0.25">
      <c r="A456" s="1">
        <v>45201</v>
      </c>
      <c r="B456" s="2">
        <v>0.24305555555555555</v>
      </c>
      <c r="C456" t="s">
        <v>1097</v>
      </c>
      <c r="D456">
        <v>57</v>
      </c>
      <c r="E456" t="s">
        <v>812</v>
      </c>
    </row>
    <row r="457" spans="1:5" x14ac:dyDescent="0.25">
      <c r="A457" s="1">
        <v>45204</v>
      </c>
      <c r="B457" s="2">
        <v>0.76666666666666672</v>
      </c>
      <c r="C457" t="s">
        <v>1098</v>
      </c>
      <c r="D457">
        <v>9</v>
      </c>
      <c r="E457" t="s">
        <v>812</v>
      </c>
    </row>
    <row r="458" spans="1:5" x14ac:dyDescent="0.25">
      <c r="A458" s="1">
        <v>45209</v>
      </c>
      <c r="B458" s="2">
        <v>0.32708333333333334</v>
      </c>
      <c r="C458" t="s">
        <v>1099</v>
      </c>
      <c r="D458">
        <v>107</v>
      </c>
      <c r="E458" t="s">
        <v>808</v>
      </c>
    </row>
    <row r="459" spans="1:5" x14ac:dyDescent="0.25">
      <c r="A459" s="1">
        <v>45206</v>
      </c>
      <c r="B459" s="2">
        <v>0.36666666666666664</v>
      </c>
      <c r="C459" t="s">
        <v>1100</v>
      </c>
      <c r="D459">
        <v>69</v>
      </c>
      <c r="E459" t="s">
        <v>808</v>
      </c>
    </row>
    <row r="460" spans="1:5" x14ac:dyDescent="0.25">
      <c r="A460" s="1">
        <v>45202</v>
      </c>
      <c r="B460" s="2">
        <v>0.65972222222222221</v>
      </c>
      <c r="C460" t="s">
        <v>1100</v>
      </c>
      <c r="D460">
        <v>42</v>
      </c>
      <c r="E460" t="s">
        <v>807</v>
      </c>
    </row>
    <row r="461" spans="1:5" x14ac:dyDescent="0.25">
      <c r="A461" s="1">
        <v>45203</v>
      </c>
      <c r="B461" s="2">
        <v>0.44791666666666669</v>
      </c>
      <c r="C461" t="s">
        <v>1100</v>
      </c>
      <c r="D461">
        <v>84</v>
      </c>
      <c r="E461" t="s">
        <v>812</v>
      </c>
    </row>
    <row r="462" spans="1:5" x14ac:dyDescent="0.25">
      <c r="A462" s="1">
        <v>45207</v>
      </c>
      <c r="B462" s="2">
        <v>0.40625</v>
      </c>
      <c r="C462" t="s">
        <v>1101</v>
      </c>
      <c r="D462">
        <v>49</v>
      </c>
      <c r="E462" t="s">
        <v>808</v>
      </c>
    </row>
    <row r="463" spans="1:5" x14ac:dyDescent="0.25">
      <c r="A463" s="1">
        <v>45225</v>
      </c>
      <c r="B463" s="2">
        <v>0.73750000000000004</v>
      </c>
      <c r="C463" t="s">
        <v>1101</v>
      </c>
      <c r="D463">
        <v>6</v>
      </c>
      <c r="E463" t="s">
        <v>808</v>
      </c>
    </row>
    <row r="464" spans="1:5" x14ac:dyDescent="0.25">
      <c r="A464" s="1">
        <v>45216</v>
      </c>
      <c r="B464" s="2">
        <v>0.14166666666666666</v>
      </c>
      <c r="C464" t="s">
        <v>1102</v>
      </c>
      <c r="D464">
        <v>94</v>
      </c>
      <c r="E464" t="s">
        <v>807</v>
      </c>
    </row>
    <row r="465" spans="1:5" x14ac:dyDescent="0.25">
      <c r="A465" s="1">
        <v>45218</v>
      </c>
      <c r="B465" s="2">
        <v>0.99027777777777781</v>
      </c>
      <c r="C465" t="s">
        <v>1103</v>
      </c>
      <c r="D465">
        <v>100</v>
      </c>
      <c r="E465" t="s">
        <v>807</v>
      </c>
    </row>
    <row r="466" spans="1:5" x14ac:dyDescent="0.25">
      <c r="A466" s="1">
        <v>45214</v>
      </c>
      <c r="B466" s="2">
        <v>0.14583333333333334</v>
      </c>
      <c r="C466" t="s">
        <v>1103</v>
      </c>
      <c r="D466">
        <v>29</v>
      </c>
      <c r="E466" t="s">
        <v>812</v>
      </c>
    </row>
    <row r="467" spans="1:5" x14ac:dyDescent="0.25">
      <c r="A467" s="1">
        <v>45207</v>
      </c>
      <c r="B467" s="2">
        <v>0.37986111111111109</v>
      </c>
      <c r="C467" t="s">
        <v>1103</v>
      </c>
      <c r="D467">
        <v>118</v>
      </c>
      <c r="E467" t="s">
        <v>812</v>
      </c>
    </row>
    <row r="468" spans="1:5" x14ac:dyDescent="0.25">
      <c r="A468" s="1">
        <v>45203</v>
      </c>
      <c r="B468" s="2">
        <v>0.99791666666666667</v>
      </c>
      <c r="C468" t="s">
        <v>1104</v>
      </c>
      <c r="D468">
        <v>101</v>
      </c>
      <c r="E468" t="s">
        <v>812</v>
      </c>
    </row>
    <row r="469" spans="1:5" x14ac:dyDescent="0.25">
      <c r="A469" s="1">
        <v>45220</v>
      </c>
      <c r="B469" s="2">
        <v>0.81180555555555556</v>
      </c>
      <c r="C469" t="s">
        <v>1105</v>
      </c>
      <c r="D469">
        <v>100</v>
      </c>
      <c r="E469" t="s">
        <v>812</v>
      </c>
    </row>
    <row r="470" spans="1:5" x14ac:dyDescent="0.25">
      <c r="A470" s="1">
        <v>45222</v>
      </c>
      <c r="B470" s="2">
        <v>0.36736111111111114</v>
      </c>
      <c r="C470" t="s">
        <v>1106</v>
      </c>
      <c r="D470">
        <v>117</v>
      </c>
      <c r="E470" t="s">
        <v>808</v>
      </c>
    </row>
    <row r="471" spans="1:5" x14ac:dyDescent="0.25">
      <c r="A471" s="1">
        <v>45219</v>
      </c>
      <c r="B471" s="2">
        <v>0.75347222222222221</v>
      </c>
      <c r="C471" t="s">
        <v>1107</v>
      </c>
      <c r="D471">
        <v>77</v>
      </c>
      <c r="E471" t="s">
        <v>807</v>
      </c>
    </row>
    <row r="472" spans="1:5" x14ac:dyDescent="0.25">
      <c r="A472" s="1">
        <v>45221</v>
      </c>
      <c r="B472" s="2">
        <v>0.99791666666666667</v>
      </c>
      <c r="C472" t="s">
        <v>1107</v>
      </c>
      <c r="D472">
        <v>59</v>
      </c>
      <c r="E472" t="s">
        <v>807</v>
      </c>
    </row>
    <row r="473" spans="1:5" x14ac:dyDescent="0.25">
      <c r="A473" s="1">
        <v>45222</v>
      </c>
      <c r="B473" s="2">
        <v>0.1076388888888889</v>
      </c>
      <c r="C473" t="s">
        <v>1107</v>
      </c>
      <c r="D473">
        <v>85</v>
      </c>
      <c r="E473" t="s">
        <v>807</v>
      </c>
    </row>
    <row r="474" spans="1:5" x14ac:dyDescent="0.25">
      <c r="A474" s="1">
        <v>45203</v>
      </c>
      <c r="B474" s="2">
        <v>3.2638888888888891E-2</v>
      </c>
      <c r="C474" t="s">
        <v>1108</v>
      </c>
      <c r="D474">
        <v>73</v>
      </c>
      <c r="E474" t="s">
        <v>807</v>
      </c>
    </row>
    <row r="475" spans="1:5" x14ac:dyDescent="0.25">
      <c r="A475" s="1">
        <v>45228</v>
      </c>
      <c r="B475" s="2">
        <v>0.79166666666666663</v>
      </c>
      <c r="C475" t="s">
        <v>1108</v>
      </c>
      <c r="D475">
        <v>63</v>
      </c>
      <c r="E475" t="s">
        <v>807</v>
      </c>
    </row>
    <row r="476" spans="1:5" x14ac:dyDescent="0.25">
      <c r="A476" s="1">
        <v>45222</v>
      </c>
      <c r="B476" s="2">
        <v>0.94374999999999998</v>
      </c>
      <c r="C476" t="s">
        <v>1109</v>
      </c>
      <c r="D476">
        <v>114</v>
      </c>
      <c r="E476" t="s">
        <v>807</v>
      </c>
    </row>
    <row r="477" spans="1:5" x14ac:dyDescent="0.25">
      <c r="A477" s="1">
        <v>45215</v>
      </c>
      <c r="B477" s="2">
        <v>0.16388888888888889</v>
      </c>
      <c r="C477" t="s">
        <v>1110</v>
      </c>
      <c r="D477">
        <v>109</v>
      </c>
      <c r="E477" t="s">
        <v>808</v>
      </c>
    </row>
    <row r="478" spans="1:5" x14ac:dyDescent="0.25">
      <c r="A478" s="1">
        <v>45226</v>
      </c>
      <c r="B478" s="2">
        <v>3.472222222222222E-3</v>
      </c>
      <c r="C478" t="s">
        <v>1111</v>
      </c>
      <c r="D478">
        <v>76</v>
      </c>
      <c r="E478" t="s">
        <v>807</v>
      </c>
    </row>
    <row r="479" spans="1:5" x14ac:dyDescent="0.25">
      <c r="A479" s="1">
        <v>45230</v>
      </c>
      <c r="B479" s="2">
        <v>8.819444444444445E-2</v>
      </c>
      <c r="C479" t="s">
        <v>1111</v>
      </c>
      <c r="D479">
        <v>87</v>
      </c>
      <c r="E479" t="s">
        <v>812</v>
      </c>
    </row>
    <row r="480" spans="1:5" x14ac:dyDescent="0.25">
      <c r="A480" s="1">
        <v>45211</v>
      </c>
      <c r="B480" s="2">
        <v>0.21944444444444444</v>
      </c>
      <c r="C480" t="s">
        <v>1112</v>
      </c>
      <c r="D480">
        <v>5</v>
      </c>
      <c r="E480" t="s">
        <v>807</v>
      </c>
    </row>
    <row r="481" spans="1:5" x14ac:dyDescent="0.25">
      <c r="A481" s="1">
        <v>45227</v>
      </c>
      <c r="B481" s="2">
        <v>0.32430555555555557</v>
      </c>
      <c r="C481" t="s">
        <v>1113</v>
      </c>
      <c r="D481">
        <v>52</v>
      </c>
      <c r="E481" t="s">
        <v>807</v>
      </c>
    </row>
    <row r="482" spans="1:5" x14ac:dyDescent="0.25">
      <c r="A482" s="1">
        <v>45218</v>
      </c>
      <c r="B482" s="2">
        <v>0.12708333333333333</v>
      </c>
      <c r="C482" t="s">
        <v>1114</v>
      </c>
      <c r="D482">
        <v>58</v>
      </c>
      <c r="E482" t="s">
        <v>808</v>
      </c>
    </row>
    <row r="483" spans="1:5" x14ac:dyDescent="0.25">
      <c r="A483" s="1">
        <v>45200</v>
      </c>
      <c r="B483" s="2">
        <v>0.83263888888888893</v>
      </c>
      <c r="C483" t="s">
        <v>1114</v>
      </c>
      <c r="D483">
        <v>27</v>
      </c>
      <c r="E483" t="s">
        <v>807</v>
      </c>
    </row>
    <row r="484" spans="1:5" x14ac:dyDescent="0.25">
      <c r="A484" s="1">
        <v>45201</v>
      </c>
      <c r="B484" s="2">
        <v>0.24305555555555555</v>
      </c>
      <c r="C484" t="s">
        <v>1115</v>
      </c>
      <c r="D484">
        <v>73</v>
      </c>
      <c r="E484" t="s">
        <v>808</v>
      </c>
    </row>
    <row r="485" spans="1:5" x14ac:dyDescent="0.25">
      <c r="A485" s="1">
        <v>45200</v>
      </c>
      <c r="B485" s="2">
        <v>0.39444444444444443</v>
      </c>
      <c r="C485" t="s">
        <v>1115</v>
      </c>
      <c r="D485">
        <v>115</v>
      </c>
      <c r="E485" t="s">
        <v>808</v>
      </c>
    </row>
    <row r="486" spans="1:5" x14ac:dyDescent="0.25">
      <c r="A486" s="1">
        <v>45202</v>
      </c>
      <c r="B486" s="2">
        <v>0.69513888888888886</v>
      </c>
      <c r="C486" t="s">
        <v>1115</v>
      </c>
      <c r="D486">
        <v>21</v>
      </c>
      <c r="E486" t="s">
        <v>807</v>
      </c>
    </row>
    <row r="487" spans="1:5" x14ac:dyDescent="0.25">
      <c r="A487" s="1">
        <v>45227</v>
      </c>
      <c r="B487" s="2">
        <v>0.76875000000000004</v>
      </c>
      <c r="C487" t="s">
        <v>1116</v>
      </c>
      <c r="D487">
        <v>61</v>
      </c>
      <c r="E487" t="s">
        <v>808</v>
      </c>
    </row>
    <row r="488" spans="1:5" x14ac:dyDescent="0.25">
      <c r="A488" s="1">
        <v>45230</v>
      </c>
      <c r="B488" s="2">
        <v>0.1875</v>
      </c>
      <c r="C488" t="s">
        <v>1117</v>
      </c>
      <c r="D488">
        <v>9</v>
      </c>
      <c r="E488" t="s">
        <v>812</v>
      </c>
    </row>
    <row r="489" spans="1:5" x14ac:dyDescent="0.25">
      <c r="A489" s="1">
        <v>45213</v>
      </c>
      <c r="B489" s="2">
        <v>0.82222222222222219</v>
      </c>
      <c r="C489" t="s">
        <v>1118</v>
      </c>
      <c r="D489">
        <v>100</v>
      </c>
      <c r="E489" t="s">
        <v>808</v>
      </c>
    </row>
    <row r="490" spans="1:5" x14ac:dyDescent="0.25">
      <c r="A490" s="1">
        <v>45209</v>
      </c>
      <c r="B490" s="2">
        <v>9.4444444444444442E-2</v>
      </c>
      <c r="C490" t="s">
        <v>1119</v>
      </c>
      <c r="D490">
        <v>96</v>
      </c>
      <c r="E490" t="s">
        <v>807</v>
      </c>
    </row>
    <row r="491" spans="1:5" x14ac:dyDescent="0.25">
      <c r="A491" s="1">
        <v>45219</v>
      </c>
      <c r="B491" s="2">
        <v>0.68333333333333335</v>
      </c>
      <c r="C491" t="s">
        <v>1120</v>
      </c>
      <c r="D491">
        <v>99</v>
      </c>
      <c r="E491" t="s">
        <v>808</v>
      </c>
    </row>
    <row r="492" spans="1:5" x14ac:dyDescent="0.25">
      <c r="A492" s="1">
        <v>45210</v>
      </c>
      <c r="B492" s="2">
        <v>0.87986111111111109</v>
      </c>
      <c r="C492" t="s">
        <v>1121</v>
      </c>
      <c r="D492">
        <v>53</v>
      </c>
      <c r="E492" t="s">
        <v>807</v>
      </c>
    </row>
    <row r="493" spans="1:5" x14ac:dyDescent="0.25">
      <c r="A493" s="1">
        <v>45218</v>
      </c>
      <c r="B493" s="2">
        <v>5.6944444444444443E-2</v>
      </c>
      <c r="C493" t="s">
        <v>1122</v>
      </c>
      <c r="D493">
        <v>46</v>
      </c>
      <c r="E493" t="s">
        <v>812</v>
      </c>
    </row>
    <row r="494" spans="1:5" x14ac:dyDescent="0.25">
      <c r="A494" s="1">
        <v>45219</v>
      </c>
      <c r="B494" s="2">
        <v>4.1666666666666664E-2</v>
      </c>
      <c r="C494" t="s">
        <v>1122</v>
      </c>
      <c r="D494">
        <v>100</v>
      </c>
      <c r="E494" t="s">
        <v>812</v>
      </c>
    </row>
    <row r="495" spans="1:5" x14ac:dyDescent="0.25">
      <c r="A495" s="1">
        <v>45216</v>
      </c>
      <c r="B495" s="2">
        <v>0.39305555555555555</v>
      </c>
      <c r="C495" t="s">
        <v>1123</v>
      </c>
      <c r="D495">
        <v>34</v>
      </c>
      <c r="E495" t="s">
        <v>812</v>
      </c>
    </row>
    <row r="496" spans="1:5" x14ac:dyDescent="0.25">
      <c r="A496" s="1">
        <v>45200</v>
      </c>
      <c r="B496" s="2">
        <v>0.42777777777777776</v>
      </c>
      <c r="C496" t="s">
        <v>1124</v>
      </c>
      <c r="D496">
        <v>16</v>
      </c>
      <c r="E496" t="s">
        <v>808</v>
      </c>
    </row>
    <row r="497" spans="1:5" x14ac:dyDescent="0.25">
      <c r="A497" s="1">
        <v>45213</v>
      </c>
      <c r="B497" s="2">
        <v>0.89166666666666672</v>
      </c>
      <c r="C497" t="s">
        <v>1124</v>
      </c>
      <c r="D497">
        <v>104</v>
      </c>
      <c r="E497" t="s">
        <v>807</v>
      </c>
    </row>
    <row r="498" spans="1:5" x14ac:dyDescent="0.25">
      <c r="A498" s="1">
        <v>45204</v>
      </c>
      <c r="B498" s="2">
        <v>0.57222222222222219</v>
      </c>
      <c r="C498" t="s">
        <v>1125</v>
      </c>
      <c r="D498">
        <v>88</v>
      </c>
      <c r="E498" t="s">
        <v>812</v>
      </c>
    </row>
    <row r="499" spans="1:5" x14ac:dyDescent="0.25">
      <c r="A499" s="1">
        <v>45206</v>
      </c>
      <c r="B499" s="2">
        <v>2.7083333333333334E-2</v>
      </c>
      <c r="C499" t="s">
        <v>1125</v>
      </c>
      <c r="D499">
        <v>36</v>
      </c>
      <c r="E499" t="s">
        <v>812</v>
      </c>
    </row>
    <row r="500" spans="1:5" x14ac:dyDescent="0.25">
      <c r="A500" s="1">
        <v>45202</v>
      </c>
      <c r="B500" s="2">
        <v>0.74791666666666667</v>
      </c>
      <c r="C500" t="s">
        <v>1125</v>
      </c>
      <c r="D500">
        <v>28</v>
      </c>
      <c r="E500" t="s">
        <v>808</v>
      </c>
    </row>
    <row r="501" spans="1:5" x14ac:dyDescent="0.25">
      <c r="A501" s="1">
        <v>45206</v>
      </c>
      <c r="B501" s="2">
        <v>0.56388888888888888</v>
      </c>
      <c r="C501" t="s">
        <v>1126</v>
      </c>
      <c r="D501">
        <v>37</v>
      </c>
      <c r="E501" t="s">
        <v>807</v>
      </c>
    </row>
    <row r="502" spans="1:5" x14ac:dyDescent="0.25">
      <c r="A502" s="1">
        <v>45210</v>
      </c>
      <c r="B502" s="2">
        <v>0.51180555555555551</v>
      </c>
      <c r="C502" t="s">
        <v>1127</v>
      </c>
      <c r="D502">
        <v>27</v>
      </c>
      <c r="E502" t="s">
        <v>808</v>
      </c>
    </row>
    <row r="503" spans="1:5" x14ac:dyDescent="0.25">
      <c r="A503" s="1">
        <v>45209</v>
      </c>
      <c r="B503" s="2">
        <v>0.72499999999999998</v>
      </c>
      <c r="C503" t="s">
        <v>1128</v>
      </c>
      <c r="D503">
        <v>97</v>
      </c>
      <c r="E503" t="s">
        <v>812</v>
      </c>
    </row>
    <row r="504" spans="1:5" x14ac:dyDescent="0.25">
      <c r="A504" s="1">
        <v>45215</v>
      </c>
      <c r="B504" s="2">
        <v>0.70486111111111116</v>
      </c>
      <c r="C504" t="s">
        <v>1129</v>
      </c>
      <c r="D504">
        <v>107</v>
      </c>
      <c r="E504" t="s">
        <v>807</v>
      </c>
    </row>
    <row r="505" spans="1:5" x14ac:dyDescent="0.25">
      <c r="A505" s="1">
        <v>45230</v>
      </c>
      <c r="B505" s="2">
        <v>0.48402777777777778</v>
      </c>
      <c r="C505" t="s">
        <v>1129</v>
      </c>
      <c r="D505">
        <v>37</v>
      </c>
      <c r="E505" t="s">
        <v>808</v>
      </c>
    </row>
    <row r="506" spans="1:5" x14ac:dyDescent="0.25">
      <c r="A506" s="1">
        <v>45221</v>
      </c>
      <c r="B506" s="2">
        <v>9.583333333333334E-2</v>
      </c>
      <c r="C506" t="s">
        <v>1130</v>
      </c>
      <c r="D506">
        <v>113</v>
      </c>
      <c r="E506" t="s">
        <v>812</v>
      </c>
    </row>
    <row r="507" spans="1:5" x14ac:dyDescent="0.25">
      <c r="A507" s="1">
        <v>45209</v>
      </c>
      <c r="B507" s="2">
        <v>0.58819444444444446</v>
      </c>
      <c r="C507" t="s">
        <v>1130</v>
      </c>
      <c r="D507">
        <v>41</v>
      </c>
      <c r="E507" t="s">
        <v>808</v>
      </c>
    </row>
    <row r="508" spans="1:5" x14ac:dyDescent="0.25">
      <c r="A508" s="1">
        <v>45216</v>
      </c>
      <c r="B508" s="2">
        <v>0.13750000000000001</v>
      </c>
      <c r="C508" t="s">
        <v>1131</v>
      </c>
      <c r="D508">
        <v>120</v>
      </c>
      <c r="E508" t="s">
        <v>808</v>
      </c>
    </row>
    <row r="509" spans="1:5" x14ac:dyDescent="0.25">
      <c r="A509" s="1">
        <v>45200</v>
      </c>
      <c r="B509" s="2">
        <v>0.9819444444444444</v>
      </c>
      <c r="C509" t="s">
        <v>1132</v>
      </c>
      <c r="D509">
        <v>98</v>
      </c>
      <c r="E509" t="s">
        <v>807</v>
      </c>
    </row>
    <row r="510" spans="1:5" x14ac:dyDescent="0.25">
      <c r="A510" s="1">
        <v>45211</v>
      </c>
      <c r="B510" s="2">
        <v>0.55972222222222223</v>
      </c>
      <c r="C510" t="s">
        <v>1132</v>
      </c>
      <c r="D510">
        <v>69</v>
      </c>
      <c r="E510" t="s">
        <v>808</v>
      </c>
    </row>
    <row r="511" spans="1:5" x14ac:dyDescent="0.25">
      <c r="A511" s="1">
        <v>45219</v>
      </c>
      <c r="B511" s="2">
        <v>0.84027777777777779</v>
      </c>
      <c r="C511" t="s">
        <v>1132</v>
      </c>
      <c r="D511">
        <v>92</v>
      </c>
      <c r="E511" t="s">
        <v>807</v>
      </c>
    </row>
    <row r="512" spans="1:5" x14ac:dyDescent="0.25">
      <c r="A512" s="1">
        <v>45228</v>
      </c>
      <c r="B512" s="2">
        <v>0.57708333333333328</v>
      </c>
      <c r="C512" t="s">
        <v>1133</v>
      </c>
      <c r="D512">
        <v>80</v>
      </c>
      <c r="E512" t="s">
        <v>812</v>
      </c>
    </row>
    <row r="513" spans="1:5" x14ac:dyDescent="0.25">
      <c r="A513" s="1">
        <v>45217</v>
      </c>
      <c r="B513" s="2">
        <v>0.62708333333333333</v>
      </c>
      <c r="C513" t="s">
        <v>1133</v>
      </c>
      <c r="D513">
        <v>33</v>
      </c>
      <c r="E513" t="s">
        <v>807</v>
      </c>
    </row>
    <row r="514" spans="1:5" x14ac:dyDescent="0.25">
      <c r="A514" s="1">
        <v>45212</v>
      </c>
      <c r="B514" s="2">
        <v>0.59930555555555554</v>
      </c>
      <c r="C514" t="s">
        <v>1133</v>
      </c>
      <c r="D514">
        <v>58</v>
      </c>
      <c r="E514" t="s">
        <v>808</v>
      </c>
    </row>
    <row r="515" spans="1:5" x14ac:dyDescent="0.25">
      <c r="A515" s="1">
        <v>45218</v>
      </c>
      <c r="B515" s="2">
        <v>0.27013888888888887</v>
      </c>
      <c r="C515" t="s">
        <v>1133</v>
      </c>
      <c r="D515">
        <v>40</v>
      </c>
      <c r="E515" t="s">
        <v>808</v>
      </c>
    </row>
    <row r="516" spans="1:5" x14ac:dyDescent="0.25">
      <c r="A516" s="1">
        <v>45219</v>
      </c>
      <c r="B516" s="2">
        <v>0.79374999999999996</v>
      </c>
      <c r="C516" t="s">
        <v>1134</v>
      </c>
      <c r="D516">
        <v>43</v>
      </c>
      <c r="E516" t="s">
        <v>808</v>
      </c>
    </row>
    <row r="517" spans="1:5" x14ac:dyDescent="0.25">
      <c r="A517" s="1">
        <v>45214</v>
      </c>
      <c r="B517" s="2">
        <v>0.16805555555555557</v>
      </c>
      <c r="C517" t="s">
        <v>1135</v>
      </c>
      <c r="D517">
        <v>106</v>
      </c>
      <c r="E517" t="s">
        <v>807</v>
      </c>
    </row>
    <row r="518" spans="1:5" x14ac:dyDescent="0.25">
      <c r="A518" s="1">
        <v>45201</v>
      </c>
      <c r="B518" s="2">
        <v>0.52777777777777779</v>
      </c>
      <c r="C518" t="s">
        <v>1136</v>
      </c>
      <c r="D518">
        <v>20</v>
      </c>
      <c r="E518" t="s">
        <v>808</v>
      </c>
    </row>
    <row r="519" spans="1:5" x14ac:dyDescent="0.25">
      <c r="A519" s="1">
        <v>45203</v>
      </c>
      <c r="B519" s="2">
        <v>0.61527777777777781</v>
      </c>
      <c r="C519" t="s">
        <v>1137</v>
      </c>
      <c r="D519">
        <v>41</v>
      </c>
      <c r="E519" t="s">
        <v>807</v>
      </c>
    </row>
    <row r="520" spans="1:5" x14ac:dyDescent="0.25">
      <c r="A520" s="1">
        <v>45202</v>
      </c>
      <c r="B520" s="2">
        <v>0.69513888888888886</v>
      </c>
      <c r="C520" t="s">
        <v>1138</v>
      </c>
      <c r="D520">
        <v>49</v>
      </c>
      <c r="E520" t="s">
        <v>808</v>
      </c>
    </row>
    <row r="521" spans="1:5" x14ac:dyDescent="0.25">
      <c r="A521" s="1">
        <v>45214</v>
      </c>
      <c r="B521" s="2">
        <v>0.94305555555555554</v>
      </c>
      <c r="C521" t="s">
        <v>1139</v>
      </c>
      <c r="D521">
        <v>16</v>
      </c>
      <c r="E521" t="s">
        <v>807</v>
      </c>
    </row>
    <row r="522" spans="1:5" x14ac:dyDescent="0.25">
      <c r="A522" s="1">
        <v>45206</v>
      </c>
      <c r="B522" s="2">
        <v>0.85763888888888884</v>
      </c>
      <c r="C522" t="s">
        <v>1139</v>
      </c>
      <c r="D522">
        <v>45</v>
      </c>
      <c r="E522" t="s">
        <v>812</v>
      </c>
    </row>
    <row r="523" spans="1:5" x14ac:dyDescent="0.25">
      <c r="A523" s="1">
        <v>45210</v>
      </c>
      <c r="B523" s="2">
        <v>0.92638888888888893</v>
      </c>
      <c r="C523" t="s">
        <v>1139</v>
      </c>
      <c r="D523">
        <v>45</v>
      </c>
      <c r="E523" t="s">
        <v>808</v>
      </c>
    </row>
    <row r="524" spans="1:5" x14ac:dyDescent="0.25">
      <c r="A524" s="1">
        <v>45204</v>
      </c>
      <c r="B524" s="2">
        <v>9.0277777777777776E-2</v>
      </c>
      <c r="C524" t="s">
        <v>1140</v>
      </c>
      <c r="D524">
        <v>93</v>
      </c>
      <c r="E524" t="s">
        <v>812</v>
      </c>
    </row>
    <row r="525" spans="1:5" x14ac:dyDescent="0.25">
      <c r="A525" s="1">
        <v>45203</v>
      </c>
      <c r="B525" s="2">
        <v>9.0277777777777769E-3</v>
      </c>
      <c r="C525" t="s">
        <v>1140</v>
      </c>
      <c r="D525">
        <v>49</v>
      </c>
      <c r="E525" t="s">
        <v>807</v>
      </c>
    </row>
    <row r="526" spans="1:5" x14ac:dyDescent="0.25">
      <c r="A526" s="1">
        <v>45217</v>
      </c>
      <c r="B526" s="2">
        <v>0.28125</v>
      </c>
      <c r="C526" t="s">
        <v>1141</v>
      </c>
      <c r="D526">
        <v>51</v>
      </c>
      <c r="E526" t="s">
        <v>808</v>
      </c>
    </row>
    <row r="527" spans="1:5" x14ac:dyDescent="0.25">
      <c r="A527" s="1">
        <v>45227</v>
      </c>
      <c r="B527" s="2">
        <v>0.52708333333333335</v>
      </c>
      <c r="C527" t="s">
        <v>1142</v>
      </c>
      <c r="D527">
        <v>107</v>
      </c>
      <c r="E527" t="s">
        <v>808</v>
      </c>
    </row>
    <row r="528" spans="1:5" x14ac:dyDescent="0.25">
      <c r="A528" s="1">
        <v>45229</v>
      </c>
      <c r="B528" s="2">
        <v>0.39166666666666666</v>
      </c>
      <c r="C528" t="s">
        <v>1143</v>
      </c>
      <c r="D528">
        <v>28</v>
      </c>
      <c r="E528" t="s">
        <v>812</v>
      </c>
    </row>
    <row r="529" spans="1:5" x14ac:dyDescent="0.25">
      <c r="A529" s="1">
        <v>45216</v>
      </c>
      <c r="B529" s="2">
        <v>0.18333333333333332</v>
      </c>
      <c r="C529" t="s">
        <v>1143</v>
      </c>
      <c r="D529">
        <v>67</v>
      </c>
      <c r="E529" t="s">
        <v>808</v>
      </c>
    </row>
    <row r="530" spans="1:5" x14ac:dyDescent="0.25">
      <c r="A530" s="1">
        <v>45217</v>
      </c>
      <c r="B530" s="2">
        <v>0.99930555555555556</v>
      </c>
      <c r="C530" t="s">
        <v>1143</v>
      </c>
      <c r="D530">
        <v>38</v>
      </c>
      <c r="E530" t="s">
        <v>808</v>
      </c>
    </row>
    <row r="531" spans="1:5" x14ac:dyDescent="0.25">
      <c r="A531" s="1">
        <v>45223</v>
      </c>
      <c r="B531" s="2">
        <v>0.99097222222222225</v>
      </c>
      <c r="C531" t="s">
        <v>1144</v>
      </c>
      <c r="D531">
        <v>23</v>
      </c>
      <c r="E531" t="s">
        <v>807</v>
      </c>
    </row>
    <row r="532" spans="1:5" x14ac:dyDescent="0.25">
      <c r="A532" s="1">
        <v>45201</v>
      </c>
      <c r="B532" s="2">
        <v>0.64097222222222228</v>
      </c>
      <c r="C532" t="s">
        <v>1145</v>
      </c>
      <c r="D532">
        <v>86</v>
      </c>
      <c r="E532" t="s">
        <v>812</v>
      </c>
    </row>
    <row r="533" spans="1:5" x14ac:dyDescent="0.25">
      <c r="A533" s="1">
        <v>45203</v>
      </c>
      <c r="B533" s="2">
        <v>0.89375000000000004</v>
      </c>
      <c r="C533" t="s">
        <v>1145</v>
      </c>
      <c r="D533">
        <v>32</v>
      </c>
      <c r="E533" t="s">
        <v>807</v>
      </c>
    </row>
    <row r="534" spans="1:5" x14ac:dyDescent="0.25">
      <c r="A534" s="1">
        <v>45208</v>
      </c>
      <c r="B534" s="2">
        <v>0.17222222222222222</v>
      </c>
      <c r="C534" t="s">
        <v>1145</v>
      </c>
      <c r="D534">
        <v>87</v>
      </c>
      <c r="E534" t="s">
        <v>807</v>
      </c>
    </row>
    <row r="535" spans="1:5" x14ac:dyDescent="0.25">
      <c r="A535" s="1">
        <v>45218</v>
      </c>
      <c r="B535" s="2">
        <v>0.36875000000000002</v>
      </c>
      <c r="C535" t="s">
        <v>1146</v>
      </c>
      <c r="D535">
        <v>70</v>
      </c>
      <c r="E535" t="s">
        <v>807</v>
      </c>
    </row>
    <row r="536" spans="1:5" x14ac:dyDescent="0.25">
      <c r="A536" s="1">
        <v>45208</v>
      </c>
      <c r="B536" s="2">
        <v>7.3611111111111113E-2</v>
      </c>
      <c r="C536" t="s">
        <v>1146</v>
      </c>
      <c r="D536">
        <v>85</v>
      </c>
      <c r="E536" t="s">
        <v>808</v>
      </c>
    </row>
    <row r="537" spans="1:5" x14ac:dyDescent="0.25">
      <c r="A537" s="1">
        <v>45214</v>
      </c>
      <c r="B537" s="2">
        <v>0.23541666666666666</v>
      </c>
      <c r="C537" t="s">
        <v>1147</v>
      </c>
      <c r="D537">
        <v>33</v>
      </c>
      <c r="E537" t="s">
        <v>807</v>
      </c>
    </row>
    <row r="538" spans="1:5" x14ac:dyDescent="0.25">
      <c r="A538" s="1">
        <v>45218</v>
      </c>
      <c r="B538" s="2">
        <v>0.65972222222222221</v>
      </c>
      <c r="C538" t="s">
        <v>1148</v>
      </c>
      <c r="D538">
        <v>24</v>
      </c>
      <c r="E538" t="s">
        <v>807</v>
      </c>
    </row>
    <row r="539" spans="1:5" x14ac:dyDescent="0.25">
      <c r="A539" s="1">
        <v>45207</v>
      </c>
      <c r="B539" s="2">
        <v>0.52638888888888891</v>
      </c>
      <c r="C539" t="s">
        <v>1149</v>
      </c>
      <c r="D539">
        <v>78</v>
      </c>
      <c r="E539" t="s">
        <v>812</v>
      </c>
    </row>
    <row r="540" spans="1:5" x14ac:dyDescent="0.25">
      <c r="A540" s="1">
        <v>45202</v>
      </c>
      <c r="B540" s="2">
        <v>0.37638888888888888</v>
      </c>
      <c r="C540" t="s">
        <v>1150</v>
      </c>
      <c r="D540">
        <v>28</v>
      </c>
      <c r="E540" t="s">
        <v>807</v>
      </c>
    </row>
    <row r="541" spans="1:5" x14ac:dyDescent="0.25">
      <c r="A541" s="1">
        <v>45212</v>
      </c>
      <c r="B541" s="2">
        <v>0.44722222222222224</v>
      </c>
      <c r="C541" t="s">
        <v>1150</v>
      </c>
      <c r="D541">
        <v>88</v>
      </c>
      <c r="E541" t="s">
        <v>808</v>
      </c>
    </row>
    <row r="542" spans="1:5" x14ac:dyDescent="0.25">
      <c r="A542" s="1">
        <v>45203</v>
      </c>
      <c r="B542" s="2">
        <v>0.52222222222222225</v>
      </c>
      <c r="C542" t="s">
        <v>1150</v>
      </c>
      <c r="D542">
        <v>11</v>
      </c>
      <c r="E542" t="s">
        <v>808</v>
      </c>
    </row>
    <row r="543" spans="1:5" x14ac:dyDescent="0.25">
      <c r="A543" s="1">
        <v>45220</v>
      </c>
      <c r="B543" s="2">
        <v>0.15902777777777777</v>
      </c>
      <c r="C543" t="s">
        <v>1151</v>
      </c>
      <c r="D543">
        <v>60</v>
      </c>
      <c r="E543" t="s">
        <v>812</v>
      </c>
    </row>
    <row r="544" spans="1:5" x14ac:dyDescent="0.25">
      <c r="A544" s="1">
        <v>45218</v>
      </c>
      <c r="B544" s="2">
        <v>0.37847222222222221</v>
      </c>
      <c r="C544" t="s">
        <v>1152</v>
      </c>
      <c r="D544">
        <v>102</v>
      </c>
      <c r="E544" t="s">
        <v>807</v>
      </c>
    </row>
    <row r="545" spans="1:5" x14ac:dyDescent="0.25">
      <c r="A545" s="1">
        <v>45221</v>
      </c>
      <c r="B545" s="2">
        <v>0.77222222222222225</v>
      </c>
      <c r="C545" t="s">
        <v>1152</v>
      </c>
      <c r="D545">
        <v>107</v>
      </c>
      <c r="E545" t="s">
        <v>807</v>
      </c>
    </row>
    <row r="546" spans="1:5" x14ac:dyDescent="0.25">
      <c r="A546" s="1">
        <v>45211</v>
      </c>
      <c r="B546" s="2">
        <v>0.70625000000000004</v>
      </c>
      <c r="C546" t="s">
        <v>1153</v>
      </c>
      <c r="D546">
        <v>115</v>
      </c>
      <c r="E546" t="s">
        <v>812</v>
      </c>
    </row>
    <row r="547" spans="1:5" x14ac:dyDescent="0.25">
      <c r="A547" s="1">
        <v>45230</v>
      </c>
      <c r="B547" s="2">
        <v>0.26458333333333334</v>
      </c>
      <c r="C547" t="s">
        <v>1154</v>
      </c>
      <c r="D547">
        <v>62</v>
      </c>
      <c r="E547" t="s">
        <v>807</v>
      </c>
    </row>
    <row r="548" spans="1:5" x14ac:dyDescent="0.25">
      <c r="A548" s="1">
        <v>45204</v>
      </c>
      <c r="B548" s="2">
        <v>0.59097222222222223</v>
      </c>
      <c r="C548" t="s">
        <v>1155</v>
      </c>
      <c r="D548">
        <v>108</v>
      </c>
      <c r="E548" t="s">
        <v>808</v>
      </c>
    </row>
    <row r="549" spans="1:5" x14ac:dyDescent="0.25">
      <c r="A549" s="1">
        <v>45217</v>
      </c>
      <c r="B549" s="2">
        <v>0.47361111111111109</v>
      </c>
      <c r="C549" t="s">
        <v>1155</v>
      </c>
      <c r="D549">
        <v>37</v>
      </c>
      <c r="E549" t="s">
        <v>812</v>
      </c>
    </row>
    <row r="550" spans="1:5" x14ac:dyDescent="0.25">
      <c r="A550" s="1">
        <v>45207</v>
      </c>
      <c r="B550" s="2">
        <v>0.12708333333333333</v>
      </c>
      <c r="C550" t="s">
        <v>1155</v>
      </c>
      <c r="D550">
        <v>38</v>
      </c>
      <c r="E550" t="s">
        <v>807</v>
      </c>
    </row>
    <row r="551" spans="1:5" x14ac:dyDescent="0.25">
      <c r="A551" s="1">
        <v>45206</v>
      </c>
      <c r="B551" s="2">
        <v>0.36249999999999999</v>
      </c>
      <c r="C551" t="s">
        <v>1156</v>
      </c>
      <c r="D551">
        <v>60</v>
      </c>
      <c r="E551" t="s">
        <v>812</v>
      </c>
    </row>
    <row r="552" spans="1:5" x14ac:dyDescent="0.25">
      <c r="A552" s="1">
        <v>45210</v>
      </c>
      <c r="B552" s="2">
        <v>0.38958333333333334</v>
      </c>
      <c r="C552" t="s">
        <v>1156</v>
      </c>
      <c r="D552">
        <v>85</v>
      </c>
      <c r="E552" t="s">
        <v>807</v>
      </c>
    </row>
    <row r="553" spans="1:5" x14ac:dyDescent="0.25">
      <c r="A553" s="1">
        <v>45213</v>
      </c>
      <c r="B553" s="2">
        <v>0.51875000000000004</v>
      </c>
      <c r="C553" t="s">
        <v>1157</v>
      </c>
      <c r="D553">
        <v>88</v>
      </c>
      <c r="E553" t="s">
        <v>808</v>
      </c>
    </row>
    <row r="554" spans="1:5" x14ac:dyDescent="0.25">
      <c r="A554" s="1">
        <v>45216</v>
      </c>
      <c r="B554" s="2">
        <v>9.4444444444444442E-2</v>
      </c>
      <c r="C554" t="s">
        <v>1157</v>
      </c>
      <c r="D554">
        <v>74</v>
      </c>
      <c r="E554" t="s">
        <v>807</v>
      </c>
    </row>
    <row r="555" spans="1:5" x14ac:dyDescent="0.25">
      <c r="A555" s="1">
        <v>45225</v>
      </c>
      <c r="B555" s="2">
        <v>0.96527777777777779</v>
      </c>
      <c r="C555" t="s">
        <v>1158</v>
      </c>
      <c r="D555">
        <v>36</v>
      </c>
      <c r="E555" t="s">
        <v>807</v>
      </c>
    </row>
    <row r="556" spans="1:5" x14ac:dyDescent="0.25">
      <c r="A556" s="1">
        <v>45220</v>
      </c>
      <c r="B556" s="2">
        <v>0.72499999999999998</v>
      </c>
      <c r="C556" t="s">
        <v>1158</v>
      </c>
      <c r="D556">
        <v>28</v>
      </c>
      <c r="E556" t="s">
        <v>812</v>
      </c>
    </row>
    <row r="557" spans="1:5" x14ac:dyDescent="0.25">
      <c r="A557" s="1">
        <v>45228</v>
      </c>
      <c r="B557" s="2">
        <v>0.51527777777777772</v>
      </c>
      <c r="C557" t="s">
        <v>1159</v>
      </c>
      <c r="D557">
        <v>105</v>
      </c>
      <c r="E557" t="s">
        <v>807</v>
      </c>
    </row>
    <row r="558" spans="1:5" x14ac:dyDescent="0.25">
      <c r="A558" s="1">
        <v>45230</v>
      </c>
      <c r="B558" s="2">
        <v>0.77638888888888891</v>
      </c>
      <c r="C558" t="s">
        <v>1160</v>
      </c>
      <c r="D558">
        <v>55</v>
      </c>
      <c r="E558" t="s">
        <v>808</v>
      </c>
    </row>
    <row r="559" spans="1:5" x14ac:dyDescent="0.25">
      <c r="A559" s="1">
        <v>45229</v>
      </c>
      <c r="B559" s="2">
        <v>0.42986111111111114</v>
      </c>
      <c r="C559" t="s">
        <v>1160</v>
      </c>
      <c r="D559">
        <v>90</v>
      </c>
      <c r="E559" t="s">
        <v>807</v>
      </c>
    </row>
    <row r="560" spans="1:5" x14ac:dyDescent="0.25">
      <c r="A560" s="1">
        <v>45224</v>
      </c>
      <c r="B560" s="2">
        <v>0.70972222222222225</v>
      </c>
      <c r="C560" t="s">
        <v>1161</v>
      </c>
      <c r="D560">
        <v>62</v>
      </c>
      <c r="E560" t="s">
        <v>808</v>
      </c>
    </row>
    <row r="561" spans="1:5" x14ac:dyDescent="0.25">
      <c r="A561" s="1">
        <v>45229</v>
      </c>
      <c r="B561" s="2">
        <v>0.77222222222222225</v>
      </c>
      <c r="C561" t="s">
        <v>1162</v>
      </c>
      <c r="D561">
        <v>27</v>
      </c>
      <c r="E561" t="s">
        <v>807</v>
      </c>
    </row>
    <row r="562" spans="1:5" x14ac:dyDescent="0.25">
      <c r="A562" s="1">
        <v>45219</v>
      </c>
      <c r="B562" s="2">
        <v>0.92569444444444449</v>
      </c>
      <c r="C562" t="s">
        <v>1162</v>
      </c>
      <c r="D562">
        <v>22</v>
      </c>
      <c r="E562" t="s">
        <v>807</v>
      </c>
    </row>
    <row r="563" spans="1:5" x14ac:dyDescent="0.25">
      <c r="A563" s="1">
        <v>45200</v>
      </c>
      <c r="B563" s="2">
        <v>0.93125000000000002</v>
      </c>
      <c r="C563" t="s">
        <v>1163</v>
      </c>
      <c r="D563">
        <v>22</v>
      </c>
      <c r="E563" t="s">
        <v>807</v>
      </c>
    </row>
    <row r="564" spans="1:5" x14ac:dyDescent="0.25">
      <c r="A564" s="1">
        <v>45213</v>
      </c>
      <c r="B564" s="2">
        <v>0.4465277777777778</v>
      </c>
      <c r="C564" t="s">
        <v>1163</v>
      </c>
      <c r="D564">
        <v>111</v>
      </c>
      <c r="E564" t="s">
        <v>807</v>
      </c>
    </row>
    <row r="565" spans="1:5" x14ac:dyDescent="0.25">
      <c r="A565" s="1">
        <v>45218</v>
      </c>
      <c r="B565" s="2">
        <v>1.1111111111111112E-2</v>
      </c>
      <c r="C565" t="s">
        <v>1164</v>
      </c>
      <c r="D565">
        <v>59</v>
      </c>
      <c r="E565" t="s">
        <v>807</v>
      </c>
    </row>
    <row r="566" spans="1:5" x14ac:dyDescent="0.25">
      <c r="A566" s="1">
        <v>45223</v>
      </c>
      <c r="B566" s="2">
        <v>0.29375000000000001</v>
      </c>
      <c r="C566" t="s">
        <v>1165</v>
      </c>
      <c r="D566">
        <v>42</v>
      </c>
      <c r="E566" t="s">
        <v>812</v>
      </c>
    </row>
    <row r="567" spans="1:5" x14ac:dyDescent="0.25">
      <c r="A567" s="1">
        <v>45205</v>
      </c>
      <c r="B567" s="2">
        <v>0.72916666666666663</v>
      </c>
      <c r="C567" t="s">
        <v>1165</v>
      </c>
      <c r="D567">
        <v>106</v>
      </c>
      <c r="E567" t="s">
        <v>812</v>
      </c>
    </row>
    <row r="568" spans="1:5" x14ac:dyDescent="0.25">
      <c r="A568" s="1">
        <v>45214</v>
      </c>
      <c r="B568" s="2">
        <v>0.19305555555555556</v>
      </c>
      <c r="C568" t="s">
        <v>1166</v>
      </c>
      <c r="D568">
        <v>76</v>
      </c>
      <c r="E568" t="s">
        <v>812</v>
      </c>
    </row>
    <row r="569" spans="1:5" x14ac:dyDescent="0.25">
      <c r="A569" s="1">
        <v>45211</v>
      </c>
      <c r="B569" s="2">
        <v>0.10555555555555556</v>
      </c>
      <c r="C569" t="s">
        <v>1166</v>
      </c>
      <c r="D569">
        <v>67</v>
      </c>
      <c r="E569" t="s">
        <v>807</v>
      </c>
    </row>
    <row r="570" spans="1:5" x14ac:dyDescent="0.25">
      <c r="A570" s="1">
        <v>45227</v>
      </c>
      <c r="B570" s="2">
        <v>0.30625000000000002</v>
      </c>
      <c r="C570" t="s">
        <v>1166</v>
      </c>
      <c r="D570">
        <v>71</v>
      </c>
      <c r="E570" t="s">
        <v>808</v>
      </c>
    </row>
    <row r="571" spans="1:5" x14ac:dyDescent="0.25">
      <c r="A571" s="1">
        <v>45214</v>
      </c>
      <c r="B571" s="2">
        <v>0.87013888888888891</v>
      </c>
      <c r="C571" t="s">
        <v>1166</v>
      </c>
      <c r="D571">
        <v>72</v>
      </c>
      <c r="E571" t="s">
        <v>807</v>
      </c>
    </row>
    <row r="572" spans="1:5" x14ac:dyDescent="0.25">
      <c r="A572" s="1">
        <v>45205</v>
      </c>
      <c r="B572" s="2">
        <v>0.11041666666666666</v>
      </c>
      <c r="C572" t="s">
        <v>1166</v>
      </c>
      <c r="D572">
        <v>104</v>
      </c>
      <c r="E572" t="s">
        <v>807</v>
      </c>
    </row>
    <row r="573" spans="1:5" x14ac:dyDescent="0.25">
      <c r="A573" s="1">
        <v>45221</v>
      </c>
      <c r="B573" s="2">
        <v>0.28333333333333333</v>
      </c>
      <c r="C573" t="s">
        <v>1167</v>
      </c>
      <c r="D573">
        <v>22</v>
      </c>
      <c r="E573" t="s">
        <v>807</v>
      </c>
    </row>
    <row r="574" spans="1:5" x14ac:dyDescent="0.25">
      <c r="A574" s="1">
        <v>45215</v>
      </c>
      <c r="B574" s="2">
        <v>5.6944444444444443E-2</v>
      </c>
      <c r="C574" t="s">
        <v>1167</v>
      </c>
      <c r="D574">
        <v>99</v>
      </c>
      <c r="E574" t="s">
        <v>808</v>
      </c>
    </row>
    <row r="575" spans="1:5" x14ac:dyDescent="0.25">
      <c r="A575" s="1">
        <v>45209</v>
      </c>
      <c r="B575" s="2">
        <v>0.92569444444444449</v>
      </c>
      <c r="C575" t="s">
        <v>1168</v>
      </c>
      <c r="D575">
        <v>35</v>
      </c>
      <c r="E575" t="s">
        <v>807</v>
      </c>
    </row>
    <row r="576" spans="1:5" x14ac:dyDescent="0.25">
      <c r="A576" s="1">
        <v>45225</v>
      </c>
      <c r="B576" s="2">
        <v>0.62361111111111112</v>
      </c>
      <c r="C576" t="s">
        <v>1169</v>
      </c>
      <c r="D576">
        <v>22</v>
      </c>
      <c r="E576" t="s">
        <v>807</v>
      </c>
    </row>
    <row r="577" spans="1:5" x14ac:dyDescent="0.25">
      <c r="A577" s="1">
        <v>45227</v>
      </c>
      <c r="B577" s="2">
        <v>0.77847222222222223</v>
      </c>
      <c r="C577" t="s">
        <v>1169</v>
      </c>
      <c r="D577">
        <v>67</v>
      </c>
      <c r="E577" t="s">
        <v>812</v>
      </c>
    </row>
    <row r="578" spans="1:5" x14ac:dyDescent="0.25">
      <c r="A578" s="1">
        <v>45221</v>
      </c>
      <c r="B578" s="2">
        <v>0.78055555555555556</v>
      </c>
      <c r="C578" t="s">
        <v>1170</v>
      </c>
      <c r="D578">
        <v>67</v>
      </c>
      <c r="E578" t="s">
        <v>807</v>
      </c>
    </row>
    <row r="579" spans="1:5" x14ac:dyDescent="0.25">
      <c r="A579" s="1">
        <v>45224</v>
      </c>
      <c r="B579" s="2">
        <v>0.34791666666666665</v>
      </c>
      <c r="C579" t="s">
        <v>1170</v>
      </c>
      <c r="D579">
        <v>14</v>
      </c>
      <c r="E579" t="s">
        <v>807</v>
      </c>
    </row>
    <row r="580" spans="1:5" x14ac:dyDescent="0.25">
      <c r="A580" s="1">
        <v>45201</v>
      </c>
      <c r="B580" s="2">
        <v>0.88472222222222219</v>
      </c>
      <c r="C580" t="s">
        <v>1171</v>
      </c>
      <c r="D580">
        <v>54</v>
      </c>
      <c r="E580" t="s">
        <v>812</v>
      </c>
    </row>
    <row r="581" spans="1:5" x14ac:dyDescent="0.25">
      <c r="A581" s="1">
        <v>45211</v>
      </c>
      <c r="B581" s="2">
        <v>0.47708333333333336</v>
      </c>
      <c r="C581" t="s">
        <v>1171</v>
      </c>
      <c r="D581">
        <v>111</v>
      </c>
      <c r="E581" t="s">
        <v>807</v>
      </c>
    </row>
    <row r="582" spans="1:5" x14ac:dyDescent="0.25">
      <c r="A582" s="1">
        <v>45205</v>
      </c>
      <c r="B582" s="2">
        <v>0.87222222222222223</v>
      </c>
      <c r="C582" t="s">
        <v>1172</v>
      </c>
      <c r="D582">
        <v>17</v>
      </c>
      <c r="E582" t="s">
        <v>807</v>
      </c>
    </row>
    <row r="583" spans="1:5" x14ac:dyDescent="0.25">
      <c r="A583" s="1">
        <v>45214</v>
      </c>
      <c r="B583" s="2">
        <v>0.59652777777777777</v>
      </c>
      <c r="C583" t="s">
        <v>1173</v>
      </c>
      <c r="D583">
        <v>88</v>
      </c>
      <c r="E583" t="s">
        <v>812</v>
      </c>
    </row>
    <row r="584" spans="1:5" x14ac:dyDescent="0.25">
      <c r="A584" s="1">
        <v>45219</v>
      </c>
      <c r="B584" s="2">
        <v>0.81874999999999998</v>
      </c>
      <c r="C584" t="s">
        <v>1173</v>
      </c>
      <c r="D584">
        <v>99</v>
      </c>
      <c r="E584" t="s">
        <v>812</v>
      </c>
    </row>
    <row r="585" spans="1:5" x14ac:dyDescent="0.25">
      <c r="A585" s="1">
        <v>45205</v>
      </c>
      <c r="B585" s="2">
        <v>0.2361111111111111</v>
      </c>
      <c r="C585" t="s">
        <v>1173</v>
      </c>
      <c r="D585">
        <v>67</v>
      </c>
      <c r="E585" t="s">
        <v>808</v>
      </c>
    </row>
    <row r="586" spans="1:5" x14ac:dyDescent="0.25">
      <c r="A586" s="1">
        <v>45205</v>
      </c>
      <c r="B586" s="2">
        <v>0.44097222222222221</v>
      </c>
      <c r="C586" t="s">
        <v>1174</v>
      </c>
      <c r="D586">
        <v>115</v>
      </c>
      <c r="E586" t="s">
        <v>808</v>
      </c>
    </row>
    <row r="587" spans="1:5" x14ac:dyDescent="0.25">
      <c r="A587" s="1">
        <v>45222</v>
      </c>
      <c r="B587" s="2">
        <v>0.74861111111111112</v>
      </c>
      <c r="C587" t="s">
        <v>1175</v>
      </c>
      <c r="D587">
        <v>28</v>
      </c>
      <c r="E587" t="s">
        <v>808</v>
      </c>
    </row>
    <row r="588" spans="1:5" x14ac:dyDescent="0.25">
      <c r="A588" s="1">
        <v>45218</v>
      </c>
      <c r="B588" s="2">
        <v>0.79305555555555551</v>
      </c>
      <c r="C588" t="s">
        <v>1176</v>
      </c>
      <c r="D588">
        <v>100</v>
      </c>
      <c r="E588" t="s">
        <v>812</v>
      </c>
    </row>
    <row r="589" spans="1:5" x14ac:dyDescent="0.25">
      <c r="A589" s="1">
        <v>45218</v>
      </c>
      <c r="B589" s="2">
        <v>0.89166666666666672</v>
      </c>
      <c r="C589" t="s">
        <v>1176</v>
      </c>
      <c r="D589">
        <v>107</v>
      </c>
      <c r="E589" t="s">
        <v>808</v>
      </c>
    </row>
    <row r="590" spans="1:5" x14ac:dyDescent="0.25">
      <c r="A590" s="1">
        <v>45222</v>
      </c>
      <c r="B590" s="2">
        <v>0.10833333333333334</v>
      </c>
      <c r="C590" t="s">
        <v>1177</v>
      </c>
      <c r="D590">
        <v>88</v>
      </c>
      <c r="E590" t="s">
        <v>812</v>
      </c>
    </row>
    <row r="591" spans="1:5" x14ac:dyDescent="0.25">
      <c r="A591" s="1">
        <v>45215</v>
      </c>
      <c r="B591" s="2">
        <v>0.2722222222222222</v>
      </c>
      <c r="C591" t="s">
        <v>1178</v>
      </c>
      <c r="D591">
        <v>56</v>
      </c>
      <c r="E591" t="s">
        <v>812</v>
      </c>
    </row>
    <row r="592" spans="1:5" x14ac:dyDescent="0.25">
      <c r="A592" s="1">
        <v>45210</v>
      </c>
      <c r="B592" s="2">
        <v>0.91249999999999998</v>
      </c>
      <c r="C592" t="s">
        <v>1179</v>
      </c>
      <c r="D592">
        <v>119</v>
      </c>
      <c r="E592" t="s">
        <v>812</v>
      </c>
    </row>
    <row r="593" spans="1:5" x14ac:dyDescent="0.25">
      <c r="A593" s="1">
        <v>45220</v>
      </c>
      <c r="B593" s="2">
        <v>0.79236111111111107</v>
      </c>
      <c r="C593" t="s">
        <v>1179</v>
      </c>
      <c r="D593">
        <v>10</v>
      </c>
      <c r="E593" t="s">
        <v>812</v>
      </c>
    </row>
    <row r="594" spans="1:5" x14ac:dyDescent="0.25">
      <c r="A594" s="1">
        <v>45218</v>
      </c>
      <c r="B594" s="2">
        <v>0.33194444444444443</v>
      </c>
      <c r="C594" t="s">
        <v>1180</v>
      </c>
      <c r="D594">
        <v>15</v>
      </c>
      <c r="E594" t="s">
        <v>812</v>
      </c>
    </row>
    <row r="595" spans="1:5" x14ac:dyDescent="0.25">
      <c r="A595" s="1">
        <v>45222</v>
      </c>
      <c r="B595" s="2">
        <v>0.59722222222222221</v>
      </c>
      <c r="C595" t="s">
        <v>1180</v>
      </c>
      <c r="D595">
        <v>22</v>
      </c>
      <c r="E595" t="s">
        <v>808</v>
      </c>
    </row>
    <row r="596" spans="1:5" x14ac:dyDescent="0.25">
      <c r="A596" s="1">
        <v>45201</v>
      </c>
      <c r="B596" s="2">
        <v>8.611111111111111E-2</v>
      </c>
      <c r="C596" t="s">
        <v>1180</v>
      </c>
      <c r="D596">
        <v>55</v>
      </c>
      <c r="E596" t="s">
        <v>807</v>
      </c>
    </row>
    <row r="597" spans="1:5" x14ac:dyDescent="0.25">
      <c r="A597" s="1">
        <v>45221</v>
      </c>
      <c r="B597" s="2">
        <v>0.26874999999999999</v>
      </c>
      <c r="C597" t="s">
        <v>1180</v>
      </c>
      <c r="D597">
        <v>18</v>
      </c>
      <c r="E597" t="s">
        <v>808</v>
      </c>
    </row>
    <row r="598" spans="1:5" x14ac:dyDescent="0.25">
      <c r="A598" s="1">
        <v>45211</v>
      </c>
      <c r="B598" s="2">
        <v>0.42430555555555555</v>
      </c>
      <c r="C598" t="s">
        <v>1180</v>
      </c>
      <c r="D598">
        <v>116</v>
      </c>
      <c r="E598" t="s">
        <v>808</v>
      </c>
    </row>
    <row r="599" spans="1:5" x14ac:dyDescent="0.25">
      <c r="A599" s="1">
        <v>45230</v>
      </c>
      <c r="B599" s="2">
        <v>0.4861111111111111</v>
      </c>
      <c r="C599" t="s">
        <v>1181</v>
      </c>
      <c r="D599">
        <v>38</v>
      </c>
      <c r="E599" t="s">
        <v>807</v>
      </c>
    </row>
    <row r="600" spans="1:5" x14ac:dyDescent="0.25">
      <c r="A600" s="1">
        <v>45207</v>
      </c>
      <c r="B600" s="2">
        <v>0.9604166666666667</v>
      </c>
      <c r="C600" t="s">
        <v>1181</v>
      </c>
      <c r="D600">
        <v>23</v>
      </c>
      <c r="E600" t="s">
        <v>812</v>
      </c>
    </row>
    <row r="601" spans="1:5" x14ac:dyDescent="0.25">
      <c r="A601" s="1">
        <v>45204</v>
      </c>
      <c r="B601" s="2">
        <v>0.53125</v>
      </c>
      <c r="C601" t="s">
        <v>1181</v>
      </c>
      <c r="D601">
        <v>47</v>
      </c>
      <c r="E601" t="s">
        <v>807</v>
      </c>
    </row>
    <row r="602" spans="1:5" x14ac:dyDescent="0.25">
      <c r="A602" s="1">
        <v>45201</v>
      </c>
      <c r="B602" s="2">
        <v>0.87708333333333333</v>
      </c>
      <c r="C602" t="s">
        <v>1181</v>
      </c>
      <c r="D602">
        <v>82</v>
      </c>
      <c r="E602" t="s">
        <v>812</v>
      </c>
    </row>
    <row r="603" spans="1:5" x14ac:dyDescent="0.25">
      <c r="A603" s="1">
        <v>45230</v>
      </c>
      <c r="B603" s="2">
        <v>0.86250000000000004</v>
      </c>
      <c r="C603" t="s">
        <v>1182</v>
      </c>
      <c r="D603">
        <v>67</v>
      </c>
      <c r="E603" t="s">
        <v>807</v>
      </c>
    </row>
    <row r="604" spans="1:5" x14ac:dyDescent="0.25">
      <c r="A604" s="1">
        <v>45222</v>
      </c>
      <c r="B604" s="2">
        <v>0.63124999999999998</v>
      </c>
      <c r="C604" t="s">
        <v>1182</v>
      </c>
      <c r="D604">
        <v>90</v>
      </c>
      <c r="E604" t="s">
        <v>807</v>
      </c>
    </row>
    <row r="605" spans="1:5" x14ac:dyDescent="0.25">
      <c r="A605" s="1">
        <v>45222</v>
      </c>
      <c r="B605" s="2">
        <v>0.42708333333333331</v>
      </c>
      <c r="C605" t="s">
        <v>1183</v>
      </c>
      <c r="D605">
        <v>82</v>
      </c>
      <c r="E605" t="s">
        <v>807</v>
      </c>
    </row>
    <row r="606" spans="1:5" x14ac:dyDescent="0.25">
      <c r="A606" s="1">
        <v>45211</v>
      </c>
      <c r="B606" s="2">
        <v>0.36805555555555558</v>
      </c>
      <c r="C606" t="s">
        <v>1184</v>
      </c>
      <c r="D606">
        <v>15</v>
      </c>
      <c r="E606" t="s">
        <v>808</v>
      </c>
    </row>
    <row r="607" spans="1:5" x14ac:dyDescent="0.25">
      <c r="A607" s="1">
        <v>45217</v>
      </c>
      <c r="B607" s="2">
        <v>0.5708333333333333</v>
      </c>
      <c r="C607" t="s">
        <v>1184</v>
      </c>
      <c r="D607">
        <v>28</v>
      </c>
      <c r="E607" t="s">
        <v>807</v>
      </c>
    </row>
    <row r="608" spans="1:5" x14ac:dyDescent="0.25">
      <c r="A608" s="1">
        <v>45226</v>
      </c>
      <c r="B608" s="2">
        <v>0.98819444444444449</v>
      </c>
      <c r="C608" t="s">
        <v>1185</v>
      </c>
      <c r="D608">
        <v>83</v>
      </c>
      <c r="E608" t="s">
        <v>808</v>
      </c>
    </row>
    <row r="609" spans="1:5" x14ac:dyDescent="0.25">
      <c r="A609" s="1">
        <v>45201</v>
      </c>
      <c r="B609" s="2">
        <v>0.46805555555555556</v>
      </c>
      <c r="C609" t="s">
        <v>1186</v>
      </c>
      <c r="D609">
        <v>80</v>
      </c>
      <c r="E609" t="s">
        <v>807</v>
      </c>
    </row>
    <row r="610" spans="1:5" x14ac:dyDescent="0.25">
      <c r="A610" s="1">
        <v>45218</v>
      </c>
      <c r="B610" s="2">
        <v>0.87569444444444444</v>
      </c>
      <c r="C610" t="s">
        <v>1187</v>
      </c>
      <c r="D610">
        <v>39</v>
      </c>
      <c r="E610" t="s">
        <v>807</v>
      </c>
    </row>
    <row r="611" spans="1:5" x14ac:dyDescent="0.25">
      <c r="A611" s="1">
        <v>45218</v>
      </c>
      <c r="B611" s="2">
        <v>0.24027777777777778</v>
      </c>
      <c r="C611" t="s">
        <v>1187</v>
      </c>
      <c r="D611">
        <v>53</v>
      </c>
      <c r="E611" t="s">
        <v>812</v>
      </c>
    </row>
    <row r="612" spans="1:5" x14ac:dyDescent="0.25">
      <c r="A612" s="1">
        <v>45208</v>
      </c>
      <c r="B612" s="2">
        <v>0.96180555555555558</v>
      </c>
      <c r="C612" t="s">
        <v>1188</v>
      </c>
      <c r="D612">
        <v>68</v>
      </c>
      <c r="E612" t="s">
        <v>807</v>
      </c>
    </row>
    <row r="613" spans="1:5" x14ac:dyDescent="0.25">
      <c r="A613" s="1">
        <v>45230</v>
      </c>
      <c r="B613" s="2">
        <v>4.8611111111111112E-3</v>
      </c>
      <c r="C613" t="s">
        <v>1189</v>
      </c>
      <c r="D613">
        <v>58</v>
      </c>
      <c r="E613" t="s">
        <v>807</v>
      </c>
    </row>
    <row r="614" spans="1:5" x14ac:dyDescent="0.25">
      <c r="A614" s="1">
        <v>45223</v>
      </c>
      <c r="B614" s="2">
        <v>0.3125</v>
      </c>
      <c r="C614" t="s">
        <v>1190</v>
      </c>
      <c r="D614">
        <v>62</v>
      </c>
      <c r="E614" t="s">
        <v>807</v>
      </c>
    </row>
    <row r="615" spans="1:5" x14ac:dyDescent="0.25">
      <c r="A615" s="1">
        <v>45222</v>
      </c>
      <c r="B615" s="2">
        <v>0.87916666666666665</v>
      </c>
      <c r="C615" t="s">
        <v>1191</v>
      </c>
      <c r="D615">
        <v>103</v>
      </c>
      <c r="E615" t="s">
        <v>812</v>
      </c>
    </row>
    <row r="616" spans="1:5" x14ac:dyDescent="0.25">
      <c r="A616" s="1">
        <v>45223</v>
      </c>
      <c r="B616" s="2">
        <v>0.7104166666666667</v>
      </c>
      <c r="C616" t="s">
        <v>1191</v>
      </c>
      <c r="D616">
        <v>43</v>
      </c>
      <c r="E616" t="s">
        <v>808</v>
      </c>
    </row>
    <row r="617" spans="1:5" x14ac:dyDescent="0.25">
      <c r="A617" s="1">
        <v>45212</v>
      </c>
      <c r="B617" s="2">
        <v>0.48541666666666666</v>
      </c>
      <c r="C617" t="s">
        <v>1192</v>
      </c>
      <c r="D617">
        <v>75</v>
      </c>
      <c r="E617" t="s">
        <v>807</v>
      </c>
    </row>
    <row r="618" spans="1:5" x14ac:dyDescent="0.25">
      <c r="A618" s="1">
        <v>45201</v>
      </c>
      <c r="B618" s="2">
        <v>0.5854166666666667</v>
      </c>
      <c r="C618" t="s">
        <v>1193</v>
      </c>
      <c r="D618">
        <v>17</v>
      </c>
      <c r="E618" t="s">
        <v>812</v>
      </c>
    </row>
    <row r="619" spans="1:5" x14ac:dyDescent="0.25">
      <c r="A619" s="1">
        <v>45204</v>
      </c>
      <c r="B619" s="2">
        <v>0.12291666666666666</v>
      </c>
      <c r="C619" t="s">
        <v>1194</v>
      </c>
      <c r="D619">
        <v>34</v>
      </c>
      <c r="E619" t="s">
        <v>807</v>
      </c>
    </row>
    <row r="620" spans="1:5" x14ac:dyDescent="0.25">
      <c r="A620" s="1">
        <v>45209</v>
      </c>
      <c r="B620" s="2">
        <v>0.98888888888888893</v>
      </c>
      <c r="C620" t="s">
        <v>1194</v>
      </c>
      <c r="D620">
        <v>51</v>
      </c>
      <c r="E620" t="s">
        <v>808</v>
      </c>
    </row>
    <row r="621" spans="1:5" x14ac:dyDescent="0.25">
      <c r="A621" s="1">
        <v>45214</v>
      </c>
      <c r="B621" s="2">
        <v>0.63472222222222219</v>
      </c>
      <c r="C621" t="s">
        <v>1194</v>
      </c>
      <c r="D621">
        <v>112</v>
      </c>
      <c r="E621" t="s">
        <v>808</v>
      </c>
    </row>
    <row r="622" spans="1:5" x14ac:dyDescent="0.25">
      <c r="A622" s="1">
        <v>45204</v>
      </c>
      <c r="B622" s="2">
        <v>1.1111111111111112E-2</v>
      </c>
      <c r="C622" t="s">
        <v>1195</v>
      </c>
      <c r="D622">
        <v>12</v>
      </c>
      <c r="E622" t="s">
        <v>808</v>
      </c>
    </row>
    <row r="623" spans="1:5" x14ac:dyDescent="0.25">
      <c r="A623" s="1">
        <v>45226</v>
      </c>
      <c r="B623" s="2">
        <v>0.96458333333333335</v>
      </c>
      <c r="C623" t="s">
        <v>1196</v>
      </c>
      <c r="D623">
        <v>27</v>
      </c>
      <c r="E623" t="s">
        <v>808</v>
      </c>
    </row>
    <row r="624" spans="1:5" x14ac:dyDescent="0.25">
      <c r="A624" s="1">
        <v>45203</v>
      </c>
      <c r="B624" s="2">
        <v>0.27361111111111114</v>
      </c>
      <c r="C624" t="s">
        <v>1197</v>
      </c>
      <c r="D624">
        <v>23</v>
      </c>
      <c r="E624" t="s">
        <v>812</v>
      </c>
    </row>
    <row r="625" spans="1:5" x14ac:dyDescent="0.25">
      <c r="A625" s="1">
        <v>45204</v>
      </c>
      <c r="B625" s="2">
        <v>0.33888888888888891</v>
      </c>
      <c r="C625" t="s">
        <v>1197</v>
      </c>
      <c r="D625">
        <v>60</v>
      </c>
      <c r="E625" t="s">
        <v>807</v>
      </c>
    </row>
    <row r="626" spans="1:5" x14ac:dyDescent="0.25">
      <c r="A626" s="1">
        <v>45220</v>
      </c>
      <c r="B626" s="2">
        <v>0.61875000000000002</v>
      </c>
      <c r="C626" t="s">
        <v>1198</v>
      </c>
      <c r="D626">
        <v>79</v>
      </c>
      <c r="E626" t="s">
        <v>807</v>
      </c>
    </row>
    <row r="627" spans="1:5" x14ac:dyDescent="0.25">
      <c r="A627" s="1">
        <v>45208</v>
      </c>
      <c r="B627" s="2">
        <v>0.10833333333333334</v>
      </c>
      <c r="C627" t="s">
        <v>1198</v>
      </c>
      <c r="D627">
        <v>102</v>
      </c>
      <c r="E627" t="s">
        <v>808</v>
      </c>
    </row>
    <row r="628" spans="1:5" x14ac:dyDescent="0.25">
      <c r="A628" s="1">
        <v>45223</v>
      </c>
      <c r="B628" s="2">
        <v>0.71944444444444444</v>
      </c>
      <c r="C628" t="s">
        <v>1199</v>
      </c>
      <c r="D628">
        <v>61</v>
      </c>
      <c r="E628" t="s">
        <v>808</v>
      </c>
    </row>
    <row r="629" spans="1:5" x14ac:dyDescent="0.25">
      <c r="A629" s="1">
        <v>45230</v>
      </c>
      <c r="B629" s="2">
        <v>6.1111111111111109E-2</v>
      </c>
      <c r="C629" t="s">
        <v>1199</v>
      </c>
      <c r="D629">
        <v>103</v>
      </c>
      <c r="E629" t="s">
        <v>807</v>
      </c>
    </row>
    <row r="630" spans="1:5" x14ac:dyDescent="0.25">
      <c r="A630" s="1">
        <v>45226</v>
      </c>
      <c r="B630" s="2">
        <v>0.63124999999999998</v>
      </c>
      <c r="C630" t="s">
        <v>1200</v>
      </c>
      <c r="D630">
        <v>112</v>
      </c>
      <c r="E630" t="s">
        <v>808</v>
      </c>
    </row>
    <row r="631" spans="1:5" x14ac:dyDescent="0.25">
      <c r="A631" s="1">
        <v>45230</v>
      </c>
      <c r="B631" s="2">
        <v>0.12777777777777777</v>
      </c>
      <c r="C631" t="s">
        <v>1201</v>
      </c>
      <c r="D631">
        <v>87</v>
      </c>
      <c r="E631" t="s">
        <v>812</v>
      </c>
    </row>
    <row r="632" spans="1:5" x14ac:dyDescent="0.25">
      <c r="A632" s="1">
        <v>45200</v>
      </c>
      <c r="B632" s="2">
        <v>0.50624999999999998</v>
      </c>
      <c r="C632" t="s">
        <v>1201</v>
      </c>
      <c r="D632">
        <v>99</v>
      </c>
      <c r="E632" t="s">
        <v>807</v>
      </c>
    </row>
    <row r="633" spans="1:5" x14ac:dyDescent="0.25">
      <c r="A633" s="1">
        <v>45200</v>
      </c>
      <c r="B633" s="2">
        <v>0.44513888888888886</v>
      </c>
      <c r="C633" t="s">
        <v>1201</v>
      </c>
      <c r="D633">
        <v>112</v>
      </c>
      <c r="E633" t="s">
        <v>807</v>
      </c>
    </row>
    <row r="634" spans="1:5" x14ac:dyDescent="0.25">
      <c r="A634" s="1">
        <v>45217</v>
      </c>
      <c r="B634" s="2">
        <v>0.38472222222222224</v>
      </c>
      <c r="C634" t="s">
        <v>1202</v>
      </c>
      <c r="D634">
        <v>99</v>
      </c>
      <c r="E634" t="s">
        <v>808</v>
      </c>
    </row>
    <row r="635" spans="1:5" x14ac:dyDescent="0.25">
      <c r="A635" s="1">
        <v>45228</v>
      </c>
      <c r="B635" s="2">
        <v>0.73611111111111116</v>
      </c>
      <c r="C635" t="s">
        <v>1203</v>
      </c>
      <c r="D635">
        <v>66</v>
      </c>
      <c r="E635" t="s">
        <v>812</v>
      </c>
    </row>
    <row r="636" spans="1:5" x14ac:dyDescent="0.25">
      <c r="A636" s="1">
        <v>45222</v>
      </c>
      <c r="B636" s="2">
        <v>0.52847222222222223</v>
      </c>
      <c r="C636" t="s">
        <v>1204</v>
      </c>
      <c r="D636">
        <v>111</v>
      </c>
      <c r="E636" t="s">
        <v>807</v>
      </c>
    </row>
    <row r="637" spans="1:5" x14ac:dyDescent="0.25">
      <c r="A637" s="1">
        <v>45202</v>
      </c>
      <c r="B637" s="2">
        <v>0.49930555555555556</v>
      </c>
      <c r="C637" t="s">
        <v>1205</v>
      </c>
      <c r="D637">
        <v>57</v>
      </c>
      <c r="E637" t="s">
        <v>808</v>
      </c>
    </row>
    <row r="638" spans="1:5" x14ac:dyDescent="0.25">
      <c r="A638" s="1">
        <v>45216</v>
      </c>
      <c r="B638" s="2">
        <v>1.3888888888888889E-3</v>
      </c>
      <c r="C638" t="s">
        <v>1205</v>
      </c>
      <c r="D638">
        <v>74</v>
      </c>
      <c r="E638" t="s">
        <v>812</v>
      </c>
    </row>
    <row r="639" spans="1:5" x14ac:dyDescent="0.25">
      <c r="A639" s="1">
        <v>45209</v>
      </c>
      <c r="B639" s="2">
        <v>0.90138888888888891</v>
      </c>
      <c r="C639" t="s">
        <v>1206</v>
      </c>
      <c r="D639">
        <v>68</v>
      </c>
      <c r="E639" t="s">
        <v>808</v>
      </c>
    </row>
    <row r="640" spans="1:5" x14ac:dyDescent="0.25">
      <c r="A640" s="1">
        <v>45208</v>
      </c>
      <c r="B640" s="2">
        <v>0.27916666666666667</v>
      </c>
      <c r="C640" t="s">
        <v>1207</v>
      </c>
      <c r="D640">
        <v>41</v>
      </c>
      <c r="E640" t="s">
        <v>808</v>
      </c>
    </row>
    <row r="641" spans="1:5" x14ac:dyDescent="0.25">
      <c r="A641" s="1">
        <v>45219</v>
      </c>
      <c r="B641" s="2">
        <v>0.83402777777777781</v>
      </c>
      <c r="C641" t="s">
        <v>1208</v>
      </c>
      <c r="D641">
        <v>64</v>
      </c>
      <c r="E641" t="s">
        <v>812</v>
      </c>
    </row>
    <row r="642" spans="1:5" x14ac:dyDescent="0.25">
      <c r="A642" s="1">
        <v>45208</v>
      </c>
      <c r="B642" s="2">
        <v>0.50624999999999998</v>
      </c>
      <c r="C642" t="s">
        <v>1209</v>
      </c>
      <c r="D642">
        <v>91</v>
      </c>
      <c r="E642" t="s">
        <v>812</v>
      </c>
    </row>
    <row r="643" spans="1:5" x14ac:dyDescent="0.25">
      <c r="A643" s="1">
        <v>45228</v>
      </c>
      <c r="B643" s="2">
        <v>0.5180555555555556</v>
      </c>
      <c r="C643" t="s">
        <v>1209</v>
      </c>
      <c r="D643">
        <v>92</v>
      </c>
      <c r="E643" t="s">
        <v>812</v>
      </c>
    </row>
    <row r="644" spans="1:5" x14ac:dyDescent="0.25">
      <c r="A644" s="1">
        <v>45221</v>
      </c>
      <c r="B644" s="2">
        <v>0.27847222222222223</v>
      </c>
      <c r="C644" t="s">
        <v>1210</v>
      </c>
      <c r="D644">
        <v>83</v>
      </c>
      <c r="E644" t="s">
        <v>812</v>
      </c>
    </row>
    <row r="645" spans="1:5" x14ac:dyDescent="0.25">
      <c r="A645" s="1">
        <v>45205</v>
      </c>
      <c r="B645" s="2">
        <v>0.47152777777777777</v>
      </c>
      <c r="C645" t="s">
        <v>1211</v>
      </c>
      <c r="D645">
        <v>50</v>
      </c>
      <c r="E645" t="s">
        <v>808</v>
      </c>
    </row>
    <row r="646" spans="1:5" x14ac:dyDescent="0.25">
      <c r="A646" s="1">
        <v>45200</v>
      </c>
      <c r="B646" s="2">
        <v>0.34236111111111112</v>
      </c>
      <c r="C646" t="s">
        <v>1211</v>
      </c>
      <c r="D646">
        <v>86</v>
      </c>
      <c r="E646" t="s">
        <v>808</v>
      </c>
    </row>
    <row r="647" spans="1:5" x14ac:dyDescent="0.25">
      <c r="A647" s="1">
        <v>45224</v>
      </c>
      <c r="B647" s="2">
        <v>0.29722222222222222</v>
      </c>
      <c r="C647" t="s">
        <v>1212</v>
      </c>
      <c r="D647">
        <v>12</v>
      </c>
      <c r="E647" t="s">
        <v>812</v>
      </c>
    </row>
    <row r="648" spans="1:5" x14ac:dyDescent="0.25">
      <c r="A648" s="1">
        <v>45229</v>
      </c>
      <c r="B648" s="2">
        <v>0.97222222222222221</v>
      </c>
      <c r="C648" t="s">
        <v>1213</v>
      </c>
      <c r="D648">
        <v>5</v>
      </c>
      <c r="E648" t="s">
        <v>812</v>
      </c>
    </row>
    <row r="649" spans="1:5" x14ac:dyDescent="0.25">
      <c r="A649" s="1">
        <v>45226</v>
      </c>
      <c r="B649" s="2">
        <v>0.20902777777777778</v>
      </c>
      <c r="C649" t="s">
        <v>1213</v>
      </c>
      <c r="D649">
        <v>81</v>
      </c>
      <c r="E649" t="s">
        <v>812</v>
      </c>
    </row>
    <row r="650" spans="1:5" x14ac:dyDescent="0.25">
      <c r="A650" s="1">
        <v>45213</v>
      </c>
      <c r="B650" s="2">
        <v>0.23819444444444443</v>
      </c>
      <c r="C650" t="s">
        <v>1213</v>
      </c>
      <c r="D650">
        <v>53</v>
      </c>
      <c r="E650" t="s">
        <v>808</v>
      </c>
    </row>
    <row r="651" spans="1:5" x14ac:dyDescent="0.25">
      <c r="A651" s="1">
        <v>45209</v>
      </c>
      <c r="B651" s="2">
        <v>0.97777777777777775</v>
      </c>
      <c r="C651" t="s">
        <v>1214</v>
      </c>
      <c r="D651">
        <v>6</v>
      </c>
      <c r="E651" t="s">
        <v>812</v>
      </c>
    </row>
    <row r="652" spans="1:5" x14ac:dyDescent="0.25">
      <c r="A652" s="1">
        <v>45218</v>
      </c>
      <c r="B652" s="2">
        <v>0.31458333333333333</v>
      </c>
      <c r="C652" t="s">
        <v>1214</v>
      </c>
      <c r="D652">
        <v>45</v>
      </c>
      <c r="E652" t="s">
        <v>807</v>
      </c>
    </row>
    <row r="653" spans="1:5" x14ac:dyDescent="0.25">
      <c r="A653" s="1">
        <v>45228</v>
      </c>
      <c r="B653" s="2">
        <v>0.34097222222222223</v>
      </c>
      <c r="C653" t="s">
        <v>1215</v>
      </c>
      <c r="D653">
        <v>118</v>
      </c>
      <c r="E653" t="s">
        <v>812</v>
      </c>
    </row>
    <row r="654" spans="1:5" x14ac:dyDescent="0.25">
      <c r="A654" s="1">
        <v>45212</v>
      </c>
      <c r="B654" s="2">
        <v>0.96527777777777779</v>
      </c>
      <c r="C654" t="s">
        <v>1216</v>
      </c>
      <c r="D654">
        <v>27</v>
      </c>
      <c r="E654" t="s">
        <v>812</v>
      </c>
    </row>
    <row r="655" spans="1:5" x14ac:dyDescent="0.25">
      <c r="A655" s="1">
        <v>45221</v>
      </c>
      <c r="B655" s="2">
        <v>0.19791666666666666</v>
      </c>
      <c r="C655" t="s">
        <v>1217</v>
      </c>
      <c r="D655">
        <v>61</v>
      </c>
      <c r="E655" t="s">
        <v>812</v>
      </c>
    </row>
    <row r="656" spans="1:5" x14ac:dyDescent="0.25">
      <c r="A656" s="1">
        <v>45218</v>
      </c>
      <c r="B656" s="2">
        <v>0.28611111111111109</v>
      </c>
      <c r="C656" t="s">
        <v>1217</v>
      </c>
      <c r="D656">
        <v>89</v>
      </c>
      <c r="E656" t="s">
        <v>807</v>
      </c>
    </row>
    <row r="657" spans="1:5" x14ac:dyDescent="0.25">
      <c r="A657" s="1">
        <v>45208</v>
      </c>
      <c r="B657" s="2">
        <v>0.95763888888888893</v>
      </c>
      <c r="C657" t="s">
        <v>1218</v>
      </c>
      <c r="D657">
        <v>115</v>
      </c>
      <c r="E657" t="s">
        <v>807</v>
      </c>
    </row>
    <row r="658" spans="1:5" x14ac:dyDescent="0.25">
      <c r="A658" s="1">
        <v>45226</v>
      </c>
      <c r="B658" s="2">
        <v>0.74791666666666667</v>
      </c>
      <c r="C658" t="s">
        <v>1219</v>
      </c>
      <c r="D658">
        <v>68</v>
      </c>
      <c r="E658" t="s">
        <v>808</v>
      </c>
    </row>
    <row r="659" spans="1:5" x14ac:dyDescent="0.25">
      <c r="A659" s="1">
        <v>45200</v>
      </c>
      <c r="B659" s="2">
        <v>0.53472222222222221</v>
      </c>
      <c r="C659" t="s">
        <v>1220</v>
      </c>
      <c r="D659">
        <v>50</v>
      </c>
      <c r="E659" t="s">
        <v>812</v>
      </c>
    </row>
    <row r="660" spans="1:5" x14ac:dyDescent="0.25">
      <c r="A660" s="1">
        <v>45213</v>
      </c>
      <c r="B660" s="2">
        <v>0.87222222222222223</v>
      </c>
      <c r="C660" t="s">
        <v>1221</v>
      </c>
      <c r="D660">
        <v>46</v>
      </c>
      <c r="E660" t="s">
        <v>808</v>
      </c>
    </row>
    <row r="661" spans="1:5" x14ac:dyDescent="0.25">
      <c r="A661" s="1">
        <v>45219</v>
      </c>
      <c r="B661" s="2">
        <v>0.18124999999999999</v>
      </c>
      <c r="C661" t="s">
        <v>1222</v>
      </c>
      <c r="D661">
        <v>97</v>
      </c>
      <c r="E661" t="s">
        <v>808</v>
      </c>
    </row>
    <row r="662" spans="1:5" x14ac:dyDescent="0.25">
      <c r="A662" s="1">
        <v>45217</v>
      </c>
      <c r="B662" s="2">
        <v>0.36875000000000002</v>
      </c>
      <c r="C662" t="s">
        <v>1222</v>
      </c>
      <c r="D662">
        <v>8</v>
      </c>
      <c r="E662" t="s">
        <v>807</v>
      </c>
    </row>
    <row r="663" spans="1:5" x14ac:dyDescent="0.25">
      <c r="A663" s="1">
        <v>45206</v>
      </c>
      <c r="B663" s="2">
        <v>0.97430555555555554</v>
      </c>
      <c r="C663" t="s">
        <v>1223</v>
      </c>
      <c r="D663">
        <v>53</v>
      </c>
      <c r="E663" t="s">
        <v>808</v>
      </c>
    </row>
    <row r="664" spans="1:5" x14ac:dyDescent="0.25">
      <c r="A664" s="1">
        <v>45217</v>
      </c>
      <c r="B664" s="2">
        <v>0.75555555555555554</v>
      </c>
      <c r="C664" t="s">
        <v>1224</v>
      </c>
      <c r="D664">
        <v>100</v>
      </c>
      <c r="E664" t="s">
        <v>807</v>
      </c>
    </row>
    <row r="665" spans="1:5" x14ac:dyDescent="0.25">
      <c r="A665" s="1">
        <v>45214</v>
      </c>
      <c r="B665" s="2">
        <v>0.59375</v>
      </c>
      <c r="C665" t="s">
        <v>1225</v>
      </c>
      <c r="D665">
        <v>51</v>
      </c>
      <c r="E665" t="s">
        <v>812</v>
      </c>
    </row>
    <row r="666" spans="1:5" x14ac:dyDescent="0.25">
      <c r="A666" s="1">
        <v>45209</v>
      </c>
      <c r="B666" s="2">
        <v>0.25138888888888888</v>
      </c>
      <c r="C666" t="s">
        <v>1225</v>
      </c>
      <c r="D666">
        <v>46</v>
      </c>
      <c r="E666" t="s">
        <v>808</v>
      </c>
    </row>
    <row r="667" spans="1:5" x14ac:dyDescent="0.25">
      <c r="A667" s="1">
        <v>45228</v>
      </c>
      <c r="B667" s="2">
        <v>0.10069444444444445</v>
      </c>
      <c r="C667" t="s">
        <v>1225</v>
      </c>
      <c r="D667">
        <v>23</v>
      </c>
      <c r="E667" t="s">
        <v>812</v>
      </c>
    </row>
    <row r="668" spans="1:5" x14ac:dyDescent="0.25">
      <c r="A668" s="1">
        <v>45224</v>
      </c>
      <c r="B668" s="2">
        <v>0.4284722222222222</v>
      </c>
      <c r="C668" t="s">
        <v>1226</v>
      </c>
      <c r="D668">
        <v>65</v>
      </c>
      <c r="E668" t="s">
        <v>808</v>
      </c>
    </row>
    <row r="669" spans="1:5" x14ac:dyDescent="0.25">
      <c r="A669" s="1">
        <v>45214</v>
      </c>
      <c r="B669" s="2">
        <v>0.71319444444444446</v>
      </c>
      <c r="C669" t="s">
        <v>1226</v>
      </c>
      <c r="D669">
        <v>25</v>
      </c>
      <c r="E669" t="s">
        <v>807</v>
      </c>
    </row>
    <row r="670" spans="1:5" x14ac:dyDescent="0.25">
      <c r="A670" s="1">
        <v>45201</v>
      </c>
      <c r="B670" s="2">
        <v>0.57430555555555551</v>
      </c>
      <c r="C670" t="s">
        <v>1226</v>
      </c>
      <c r="D670">
        <v>75</v>
      </c>
      <c r="E670" t="s">
        <v>812</v>
      </c>
    </row>
    <row r="671" spans="1:5" x14ac:dyDescent="0.25">
      <c r="A671" s="1">
        <v>45228</v>
      </c>
      <c r="B671" s="2">
        <v>0.7583333333333333</v>
      </c>
      <c r="C671" t="s">
        <v>1227</v>
      </c>
      <c r="D671">
        <v>54</v>
      </c>
      <c r="E671" t="s">
        <v>807</v>
      </c>
    </row>
    <row r="672" spans="1:5" x14ac:dyDescent="0.25">
      <c r="A672" s="1">
        <v>45213</v>
      </c>
      <c r="B672" s="2">
        <v>2.7083333333333334E-2</v>
      </c>
      <c r="C672" t="s">
        <v>1228</v>
      </c>
      <c r="D672">
        <v>68</v>
      </c>
      <c r="E672" t="s">
        <v>812</v>
      </c>
    </row>
    <row r="673" spans="1:5" x14ac:dyDescent="0.25">
      <c r="A673" s="1">
        <v>45211</v>
      </c>
      <c r="B673" s="2">
        <v>0.61875000000000002</v>
      </c>
      <c r="C673" t="s">
        <v>1229</v>
      </c>
      <c r="D673">
        <v>92</v>
      </c>
      <c r="E673" t="s">
        <v>807</v>
      </c>
    </row>
    <row r="674" spans="1:5" x14ac:dyDescent="0.25">
      <c r="A674" s="1">
        <v>45215</v>
      </c>
      <c r="B674" s="2">
        <v>0.77500000000000002</v>
      </c>
      <c r="C674" t="s">
        <v>1229</v>
      </c>
      <c r="D674">
        <v>95</v>
      </c>
      <c r="E674" t="s">
        <v>808</v>
      </c>
    </row>
    <row r="675" spans="1:5" x14ac:dyDescent="0.25">
      <c r="A675" s="1">
        <v>45221</v>
      </c>
      <c r="B675" s="2">
        <v>0.85763888888888884</v>
      </c>
      <c r="C675" t="s">
        <v>1230</v>
      </c>
      <c r="D675">
        <v>60</v>
      </c>
      <c r="E675" t="s">
        <v>812</v>
      </c>
    </row>
    <row r="676" spans="1:5" x14ac:dyDescent="0.25">
      <c r="A676" s="1">
        <v>45202</v>
      </c>
      <c r="B676" s="2">
        <v>5.486111111111111E-2</v>
      </c>
      <c r="C676" t="s">
        <v>1230</v>
      </c>
      <c r="D676">
        <v>11</v>
      </c>
      <c r="E676" t="s">
        <v>807</v>
      </c>
    </row>
    <row r="677" spans="1:5" x14ac:dyDescent="0.25">
      <c r="A677" s="1">
        <v>45204</v>
      </c>
      <c r="B677" s="2">
        <v>0.94861111111111107</v>
      </c>
      <c r="C677" t="s">
        <v>1231</v>
      </c>
      <c r="D677">
        <v>47</v>
      </c>
      <c r="E677" t="s">
        <v>808</v>
      </c>
    </row>
    <row r="678" spans="1:5" x14ac:dyDescent="0.25">
      <c r="A678" s="1">
        <v>45220</v>
      </c>
      <c r="B678" s="2">
        <v>0.50624999999999998</v>
      </c>
      <c r="C678" t="s">
        <v>1232</v>
      </c>
      <c r="D678">
        <v>20</v>
      </c>
      <c r="E678" t="s">
        <v>807</v>
      </c>
    </row>
    <row r="679" spans="1:5" x14ac:dyDescent="0.25">
      <c r="A679" s="1">
        <v>45229</v>
      </c>
      <c r="B679" s="2">
        <v>0.9868055555555556</v>
      </c>
      <c r="C679" t="s">
        <v>1232</v>
      </c>
      <c r="D679">
        <v>37</v>
      </c>
      <c r="E679" t="s">
        <v>812</v>
      </c>
    </row>
    <row r="680" spans="1:5" x14ac:dyDescent="0.25">
      <c r="A680" s="1">
        <v>45215</v>
      </c>
      <c r="B680" s="2">
        <v>0.32222222222222224</v>
      </c>
      <c r="C680" t="s">
        <v>1232</v>
      </c>
      <c r="D680">
        <v>57</v>
      </c>
      <c r="E680" t="s">
        <v>812</v>
      </c>
    </row>
    <row r="681" spans="1:5" x14ac:dyDescent="0.25">
      <c r="A681" s="1">
        <v>45205</v>
      </c>
      <c r="B681" s="2">
        <v>0.71111111111111114</v>
      </c>
      <c r="C681" t="s">
        <v>1233</v>
      </c>
      <c r="D681">
        <v>109</v>
      </c>
      <c r="E681" t="s">
        <v>812</v>
      </c>
    </row>
    <row r="682" spans="1:5" x14ac:dyDescent="0.25">
      <c r="A682" s="1">
        <v>45200</v>
      </c>
      <c r="B682" s="2">
        <v>6.5277777777777782E-2</v>
      </c>
      <c r="C682" t="s">
        <v>1233</v>
      </c>
      <c r="D682">
        <v>9</v>
      </c>
      <c r="E682" t="s">
        <v>807</v>
      </c>
    </row>
    <row r="683" spans="1:5" x14ac:dyDescent="0.25">
      <c r="A683" s="1">
        <v>45215</v>
      </c>
      <c r="B683" s="2">
        <v>0.77638888888888891</v>
      </c>
      <c r="C683" t="s">
        <v>1234</v>
      </c>
      <c r="D683">
        <v>87</v>
      </c>
      <c r="E683" t="s">
        <v>812</v>
      </c>
    </row>
    <row r="684" spans="1:5" x14ac:dyDescent="0.25">
      <c r="A684" s="1">
        <v>45206</v>
      </c>
      <c r="B684" s="2">
        <v>0.16250000000000001</v>
      </c>
      <c r="C684" t="s">
        <v>1235</v>
      </c>
      <c r="D684">
        <v>69</v>
      </c>
      <c r="E684" t="s">
        <v>807</v>
      </c>
    </row>
    <row r="685" spans="1:5" x14ac:dyDescent="0.25">
      <c r="A685" s="1">
        <v>45204</v>
      </c>
      <c r="B685" s="2">
        <v>0.28333333333333333</v>
      </c>
      <c r="C685" t="s">
        <v>1236</v>
      </c>
      <c r="D685">
        <v>11</v>
      </c>
      <c r="E685" t="s">
        <v>812</v>
      </c>
    </row>
    <row r="686" spans="1:5" x14ac:dyDescent="0.25">
      <c r="A686" s="1">
        <v>45224</v>
      </c>
      <c r="B686" s="2">
        <v>0.4826388888888889</v>
      </c>
      <c r="C686" t="s">
        <v>1236</v>
      </c>
      <c r="D686">
        <v>95</v>
      </c>
      <c r="E686" t="s">
        <v>808</v>
      </c>
    </row>
    <row r="687" spans="1:5" x14ac:dyDescent="0.25">
      <c r="A687" s="1">
        <v>45215</v>
      </c>
      <c r="B687" s="2">
        <v>0.37638888888888888</v>
      </c>
      <c r="C687" t="s">
        <v>1236</v>
      </c>
      <c r="D687">
        <v>65</v>
      </c>
      <c r="E687" t="s">
        <v>812</v>
      </c>
    </row>
    <row r="688" spans="1:5" x14ac:dyDescent="0.25">
      <c r="A688" s="1">
        <v>45216</v>
      </c>
      <c r="B688" s="2">
        <v>0.90277777777777779</v>
      </c>
      <c r="C688" t="s">
        <v>1237</v>
      </c>
      <c r="D688">
        <v>20</v>
      </c>
      <c r="E688" t="s">
        <v>812</v>
      </c>
    </row>
    <row r="689" spans="1:5" x14ac:dyDescent="0.25">
      <c r="A689" s="1">
        <v>45227</v>
      </c>
      <c r="B689" s="2">
        <v>0.16319444444444445</v>
      </c>
      <c r="C689" t="s">
        <v>1238</v>
      </c>
      <c r="D689">
        <v>78</v>
      </c>
      <c r="E689" t="s">
        <v>808</v>
      </c>
    </row>
    <row r="690" spans="1:5" x14ac:dyDescent="0.25">
      <c r="A690" s="1">
        <v>45221</v>
      </c>
      <c r="B690" s="2">
        <v>0.83958333333333335</v>
      </c>
      <c r="C690" t="s">
        <v>1239</v>
      </c>
      <c r="D690">
        <v>18</v>
      </c>
      <c r="E690" t="s">
        <v>807</v>
      </c>
    </row>
    <row r="691" spans="1:5" x14ac:dyDescent="0.25">
      <c r="A691" s="1">
        <v>45214</v>
      </c>
      <c r="B691" s="2">
        <v>0.10972222222222222</v>
      </c>
      <c r="C691" t="s">
        <v>1240</v>
      </c>
      <c r="D691">
        <v>102</v>
      </c>
      <c r="E691" t="s">
        <v>808</v>
      </c>
    </row>
    <row r="692" spans="1:5" x14ac:dyDescent="0.25">
      <c r="A692" s="1">
        <v>45210</v>
      </c>
      <c r="B692" s="2">
        <v>0.84097222222222223</v>
      </c>
      <c r="C692" t="s">
        <v>1240</v>
      </c>
      <c r="D692">
        <v>7</v>
      </c>
      <c r="E692" t="s">
        <v>807</v>
      </c>
    </row>
    <row r="693" spans="1:5" x14ac:dyDescent="0.25">
      <c r="A693" s="1">
        <v>45209</v>
      </c>
      <c r="B693" s="2">
        <v>0.65972222222222221</v>
      </c>
      <c r="C693" t="s">
        <v>1241</v>
      </c>
      <c r="D693">
        <v>67</v>
      </c>
      <c r="E693" t="s">
        <v>812</v>
      </c>
    </row>
    <row r="694" spans="1:5" x14ac:dyDescent="0.25">
      <c r="A694" s="1">
        <v>45226</v>
      </c>
      <c r="B694" s="2">
        <v>0.58680555555555558</v>
      </c>
      <c r="C694" t="s">
        <v>1241</v>
      </c>
      <c r="D694">
        <v>33</v>
      </c>
      <c r="E694" t="s">
        <v>812</v>
      </c>
    </row>
    <row r="695" spans="1:5" x14ac:dyDescent="0.25">
      <c r="A695" s="1">
        <v>45201</v>
      </c>
      <c r="B695" s="2">
        <v>9.0277777777777769E-3</v>
      </c>
      <c r="C695" t="s">
        <v>1241</v>
      </c>
      <c r="D695">
        <v>56</v>
      </c>
      <c r="E695" t="s">
        <v>808</v>
      </c>
    </row>
    <row r="696" spans="1:5" x14ac:dyDescent="0.25">
      <c r="A696" s="1">
        <v>45218</v>
      </c>
      <c r="B696" s="2">
        <v>0.63541666666666663</v>
      </c>
      <c r="C696" t="s">
        <v>1242</v>
      </c>
      <c r="D696">
        <v>17</v>
      </c>
      <c r="E696" t="s">
        <v>812</v>
      </c>
    </row>
    <row r="697" spans="1:5" x14ac:dyDescent="0.25">
      <c r="A697" s="1">
        <v>45214</v>
      </c>
      <c r="B697" s="2">
        <v>0.18541666666666667</v>
      </c>
      <c r="C697" t="s">
        <v>1242</v>
      </c>
      <c r="D697">
        <v>36</v>
      </c>
      <c r="E697" t="s">
        <v>808</v>
      </c>
    </row>
    <row r="698" spans="1:5" x14ac:dyDescent="0.25">
      <c r="A698" s="1">
        <v>45229</v>
      </c>
      <c r="B698" s="2">
        <v>6.5972222222222224E-2</v>
      </c>
      <c r="C698" t="s">
        <v>1243</v>
      </c>
      <c r="D698">
        <v>93</v>
      </c>
      <c r="E698" t="s">
        <v>807</v>
      </c>
    </row>
    <row r="699" spans="1:5" x14ac:dyDescent="0.25">
      <c r="A699" s="1">
        <v>45201</v>
      </c>
      <c r="B699" s="2">
        <v>0.21249999999999999</v>
      </c>
      <c r="C699" t="s">
        <v>1243</v>
      </c>
      <c r="D699">
        <v>40</v>
      </c>
      <c r="E699" t="s">
        <v>808</v>
      </c>
    </row>
    <row r="700" spans="1:5" x14ac:dyDescent="0.25">
      <c r="A700" s="1">
        <v>45225</v>
      </c>
      <c r="B700" s="2">
        <v>0.77638888888888891</v>
      </c>
      <c r="C700" t="s">
        <v>1243</v>
      </c>
      <c r="D700">
        <v>71</v>
      </c>
      <c r="E700" t="s">
        <v>807</v>
      </c>
    </row>
    <row r="701" spans="1:5" x14ac:dyDescent="0.25">
      <c r="A701" s="1">
        <v>45201</v>
      </c>
      <c r="B701" s="2">
        <v>0.22500000000000001</v>
      </c>
      <c r="C701" t="s">
        <v>1243</v>
      </c>
      <c r="D701">
        <v>83</v>
      </c>
      <c r="E701" t="s">
        <v>808</v>
      </c>
    </row>
    <row r="702" spans="1:5" x14ac:dyDescent="0.25">
      <c r="A702" s="1">
        <v>45208</v>
      </c>
      <c r="B702" s="2">
        <v>0.95902777777777781</v>
      </c>
      <c r="C702" t="s">
        <v>1243</v>
      </c>
      <c r="D702">
        <v>98</v>
      </c>
      <c r="E702" t="s">
        <v>812</v>
      </c>
    </row>
    <row r="703" spans="1:5" x14ac:dyDescent="0.25">
      <c r="A703" s="1">
        <v>45210</v>
      </c>
      <c r="B703" s="2">
        <v>0.80555555555555558</v>
      </c>
      <c r="C703" t="s">
        <v>1244</v>
      </c>
      <c r="D703">
        <v>97</v>
      </c>
      <c r="E703" t="s">
        <v>807</v>
      </c>
    </row>
    <row r="704" spans="1:5" x14ac:dyDescent="0.25">
      <c r="A704" s="1">
        <v>45215</v>
      </c>
      <c r="B704" s="2">
        <v>8.8888888888888892E-2</v>
      </c>
      <c r="C704" t="s">
        <v>1244</v>
      </c>
      <c r="D704">
        <v>59</v>
      </c>
      <c r="E704" t="s">
        <v>812</v>
      </c>
    </row>
    <row r="705" spans="1:5" x14ac:dyDescent="0.25">
      <c r="A705" s="1">
        <v>45221</v>
      </c>
      <c r="B705" s="2">
        <v>0.10625</v>
      </c>
      <c r="C705" t="s">
        <v>1245</v>
      </c>
      <c r="D705">
        <v>52</v>
      </c>
      <c r="E705" t="s">
        <v>812</v>
      </c>
    </row>
    <row r="706" spans="1:5" x14ac:dyDescent="0.25">
      <c r="A706" s="1">
        <v>45227</v>
      </c>
      <c r="B706" s="2">
        <v>0.48472222222222222</v>
      </c>
      <c r="C706" t="s">
        <v>1245</v>
      </c>
      <c r="D706">
        <v>24</v>
      </c>
      <c r="E706" t="s">
        <v>808</v>
      </c>
    </row>
    <row r="707" spans="1:5" x14ac:dyDescent="0.25">
      <c r="A707" s="1">
        <v>45211</v>
      </c>
      <c r="B707" s="2">
        <v>0.90833333333333333</v>
      </c>
      <c r="C707" t="s">
        <v>1246</v>
      </c>
      <c r="D707">
        <v>32</v>
      </c>
      <c r="E707" t="s">
        <v>808</v>
      </c>
    </row>
    <row r="708" spans="1:5" x14ac:dyDescent="0.25">
      <c r="A708" s="1">
        <v>45212</v>
      </c>
      <c r="B708" s="2">
        <v>0.20069444444444445</v>
      </c>
      <c r="C708" t="s">
        <v>1246</v>
      </c>
      <c r="D708">
        <v>82</v>
      </c>
      <c r="E708" t="s">
        <v>807</v>
      </c>
    </row>
    <row r="709" spans="1:5" x14ac:dyDescent="0.25">
      <c r="A709" s="1">
        <v>45219</v>
      </c>
      <c r="B709" s="2">
        <v>0.92013888888888884</v>
      </c>
      <c r="C709" t="s">
        <v>1247</v>
      </c>
      <c r="D709">
        <v>91</v>
      </c>
      <c r="E709" t="s">
        <v>812</v>
      </c>
    </row>
    <row r="710" spans="1:5" x14ac:dyDescent="0.25">
      <c r="A710" s="1">
        <v>45208</v>
      </c>
      <c r="B710" s="2">
        <v>0.71111111111111114</v>
      </c>
      <c r="C710" t="s">
        <v>1248</v>
      </c>
      <c r="D710">
        <v>75</v>
      </c>
      <c r="E710" t="s">
        <v>808</v>
      </c>
    </row>
    <row r="711" spans="1:5" x14ac:dyDescent="0.25">
      <c r="A711" s="1">
        <v>45203</v>
      </c>
      <c r="B711" s="2">
        <v>0.47708333333333336</v>
      </c>
      <c r="C711" t="s">
        <v>1248</v>
      </c>
      <c r="D711">
        <v>93</v>
      </c>
      <c r="E711" t="s">
        <v>808</v>
      </c>
    </row>
    <row r="712" spans="1:5" x14ac:dyDescent="0.25">
      <c r="A712" s="1">
        <v>45229</v>
      </c>
      <c r="B712" s="2">
        <v>0.72291666666666665</v>
      </c>
      <c r="C712" t="s">
        <v>1249</v>
      </c>
      <c r="D712">
        <v>76</v>
      </c>
      <c r="E712" t="s">
        <v>808</v>
      </c>
    </row>
    <row r="713" spans="1:5" x14ac:dyDescent="0.25">
      <c r="A713" s="1">
        <v>45227</v>
      </c>
      <c r="B713" s="2">
        <v>0.58750000000000002</v>
      </c>
      <c r="C713" t="s">
        <v>1249</v>
      </c>
      <c r="D713">
        <v>50</v>
      </c>
      <c r="E713" t="s">
        <v>808</v>
      </c>
    </row>
    <row r="714" spans="1:5" x14ac:dyDescent="0.25">
      <c r="A714" s="1">
        <v>45204</v>
      </c>
      <c r="B714" s="2">
        <v>0.29722222222222222</v>
      </c>
      <c r="C714" t="s">
        <v>1249</v>
      </c>
      <c r="D714">
        <v>111</v>
      </c>
      <c r="E714" t="s">
        <v>808</v>
      </c>
    </row>
    <row r="715" spans="1:5" x14ac:dyDescent="0.25">
      <c r="A715" s="1">
        <v>45214</v>
      </c>
      <c r="B715" s="2">
        <v>1.8749999999999999E-2</v>
      </c>
      <c r="C715" t="s">
        <v>1249</v>
      </c>
      <c r="D715">
        <v>115</v>
      </c>
      <c r="E715" t="s">
        <v>808</v>
      </c>
    </row>
    <row r="716" spans="1:5" x14ac:dyDescent="0.25">
      <c r="A716" s="1">
        <v>45227</v>
      </c>
      <c r="B716" s="2">
        <v>0.29722222222222222</v>
      </c>
      <c r="C716" t="s">
        <v>1250</v>
      </c>
      <c r="D716">
        <v>92</v>
      </c>
      <c r="E716" t="s">
        <v>812</v>
      </c>
    </row>
    <row r="717" spans="1:5" x14ac:dyDescent="0.25">
      <c r="A717" s="1">
        <v>45224</v>
      </c>
      <c r="B717" s="2">
        <v>0.83194444444444449</v>
      </c>
      <c r="C717" t="s">
        <v>1251</v>
      </c>
      <c r="D717">
        <v>100</v>
      </c>
      <c r="E717" t="s">
        <v>807</v>
      </c>
    </row>
    <row r="718" spans="1:5" x14ac:dyDescent="0.25">
      <c r="A718" s="1">
        <v>45230</v>
      </c>
      <c r="B718" s="2">
        <v>0.3034722222222222</v>
      </c>
      <c r="C718" t="s">
        <v>1252</v>
      </c>
      <c r="D718">
        <v>83</v>
      </c>
      <c r="E718" t="s">
        <v>812</v>
      </c>
    </row>
    <row r="719" spans="1:5" x14ac:dyDescent="0.25">
      <c r="A719" s="1">
        <v>45220</v>
      </c>
      <c r="B719" s="2">
        <v>0.15486111111111112</v>
      </c>
      <c r="C719" t="s">
        <v>1252</v>
      </c>
      <c r="D719">
        <v>53</v>
      </c>
      <c r="E719" t="s">
        <v>807</v>
      </c>
    </row>
    <row r="720" spans="1:5" x14ac:dyDescent="0.25">
      <c r="A720" s="1">
        <v>45226</v>
      </c>
      <c r="B720" s="2">
        <v>0.88541666666666663</v>
      </c>
      <c r="C720" t="s">
        <v>1253</v>
      </c>
      <c r="D720">
        <v>96</v>
      </c>
      <c r="E720" t="s">
        <v>812</v>
      </c>
    </row>
    <row r="721" spans="1:5" x14ac:dyDescent="0.25">
      <c r="A721" s="1">
        <v>45202</v>
      </c>
      <c r="B721" s="2">
        <v>0.52916666666666667</v>
      </c>
      <c r="C721" t="s">
        <v>1254</v>
      </c>
      <c r="D721">
        <v>109</v>
      </c>
      <c r="E721" t="s">
        <v>808</v>
      </c>
    </row>
    <row r="722" spans="1:5" x14ac:dyDescent="0.25">
      <c r="A722" s="1">
        <v>45219</v>
      </c>
      <c r="B722" s="2">
        <v>0.52708333333333335</v>
      </c>
      <c r="C722" t="s">
        <v>1254</v>
      </c>
      <c r="D722">
        <v>95</v>
      </c>
      <c r="E722" t="s">
        <v>807</v>
      </c>
    </row>
    <row r="723" spans="1:5" x14ac:dyDescent="0.25">
      <c r="A723" s="1">
        <v>45211</v>
      </c>
      <c r="B723" s="2">
        <v>0.88888888888888884</v>
      </c>
      <c r="C723" t="s">
        <v>1254</v>
      </c>
      <c r="D723">
        <v>87</v>
      </c>
      <c r="E723" t="s">
        <v>808</v>
      </c>
    </row>
    <row r="724" spans="1:5" x14ac:dyDescent="0.25">
      <c r="A724" s="1">
        <v>45226</v>
      </c>
      <c r="B724" s="2">
        <v>0.99791666666666667</v>
      </c>
      <c r="C724" t="s">
        <v>1255</v>
      </c>
      <c r="D724">
        <v>53</v>
      </c>
      <c r="E724" t="s">
        <v>812</v>
      </c>
    </row>
    <row r="725" spans="1:5" x14ac:dyDescent="0.25">
      <c r="A725" s="1">
        <v>45214</v>
      </c>
      <c r="B725" s="2">
        <v>8.1944444444444445E-2</v>
      </c>
      <c r="C725" t="s">
        <v>1256</v>
      </c>
      <c r="D725">
        <v>87</v>
      </c>
      <c r="E725" t="s">
        <v>808</v>
      </c>
    </row>
    <row r="726" spans="1:5" x14ac:dyDescent="0.25">
      <c r="A726" s="1">
        <v>45207</v>
      </c>
      <c r="B726" s="2">
        <v>0.19930555555555557</v>
      </c>
      <c r="C726" t="s">
        <v>1256</v>
      </c>
      <c r="D726">
        <v>28</v>
      </c>
      <c r="E726" t="s">
        <v>808</v>
      </c>
    </row>
    <row r="727" spans="1:5" x14ac:dyDescent="0.25">
      <c r="A727" s="1">
        <v>45219</v>
      </c>
      <c r="B727" s="2">
        <v>0.80138888888888893</v>
      </c>
      <c r="C727" t="s">
        <v>1257</v>
      </c>
      <c r="D727">
        <v>65</v>
      </c>
      <c r="E727" t="s">
        <v>808</v>
      </c>
    </row>
    <row r="728" spans="1:5" x14ac:dyDescent="0.25">
      <c r="A728" s="1">
        <v>45227</v>
      </c>
      <c r="B728" s="2">
        <v>0.11805555555555555</v>
      </c>
      <c r="C728" t="s">
        <v>1258</v>
      </c>
      <c r="D728">
        <v>61</v>
      </c>
      <c r="E728" t="s">
        <v>808</v>
      </c>
    </row>
    <row r="729" spans="1:5" x14ac:dyDescent="0.25">
      <c r="A729" s="1">
        <v>45225</v>
      </c>
      <c r="B729" s="2">
        <v>0.40694444444444444</v>
      </c>
      <c r="C729" t="s">
        <v>1259</v>
      </c>
      <c r="D729">
        <v>74</v>
      </c>
      <c r="E729" t="s">
        <v>807</v>
      </c>
    </row>
    <row r="730" spans="1:5" x14ac:dyDescent="0.25">
      <c r="A730" s="1">
        <v>45213</v>
      </c>
      <c r="B730" s="2">
        <v>0.90763888888888888</v>
      </c>
      <c r="C730" t="s">
        <v>1260</v>
      </c>
      <c r="D730">
        <v>52</v>
      </c>
      <c r="E730" t="s">
        <v>807</v>
      </c>
    </row>
    <row r="731" spans="1:5" x14ac:dyDescent="0.25">
      <c r="A731" s="1">
        <v>45224</v>
      </c>
      <c r="B731" s="2">
        <v>0.2298611111111111</v>
      </c>
      <c r="C731" t="s">
        <v>1260</v>
      </c>
      <c r="D731">
        <v>20</v>
      </c>
      <c r="E731" t="s">
        <v>807</v>
      </c>
    </row>
    <row r="732" spans="1:5" x14ac:dyDescent="0.25">
      <c r="A732" s="1">
        <v>45207</v>
      </c>
      <c r="B732" s="2">
        <v>7.4305555555555555E-2</v>
      </c>
      <c r="C732" t="s">
        <v>1261</v>
      </c>
      <c r="D732">
        <v>57</v>
      </c>
      <c r="E732" t="s">
        <v>807</v>
      </c>
    </row>
    <row r="733" spans="1:5" x14ac:dyDescent="0.25">
      <c r="A733" s="1">
        <v>45219</v>
      </c>
      <c r="B733" s="2">
        <v>0.56944444444444442</v>
      </c>
      <c r="C733" t="s">
        <v>1261</v>
      </c>
      <c r="D733">
        <v>96</v>
      </c>
      <c r="E733" t="s">
        <v>807</v>
      </c>
    </row>
    <row r="734" spans="1:5" x14ac:dyDescent="0.25">
      <c r="A734" s="1">
        <v>45207</v>
      </c>
      <c r="B734" s="2">
        <v>0.66805555555555551</v>
      </c>
      <c r="C734" t="s">
        <v>1261</v>
      </c>
      <c r="D734">
        <v>113</v>
      </c>
      <c r="E734" t="s">
        <v>807</v>
      </c>
    </row>
    <row r="735" spans="1:5" x14ac:dyDescent="0.25">
      <c r="A735" s="1">
        <v>45203</v>
      </c>
      <c r="B735" s="2">
        <v>0.9506944444444444</v>
      </c>
      <c r="C735" t="s">
        <v>1262</v>
      </c>
      <c r="D735">
        <v>8</v>
      </c>
      <c r="E735" t="s">
        <v>808</v>
      </c>
    </row>
    <row r="736" spans="1:5" x14ac:dyDescent="0.25">
      <c r="A736" s="1">
        <v>45205</v>
      </c>
      <c r="B736" s="2">
        <v>0.80555555555555558</v>
      </c>
      <c r="C736" t="s">
        <v>1263</v>
      </c>
      <c r="D736">
        <v>110</v>
      </c>
      <c r="E736" t="s">
        <v>807</v>
      </c>
    </row>
    <row r="737" spans="1:5" x14ac:dyDescent="0.25">
      <c r="A737" s="1">
        <v>45229</v>
      </c>
      <c r="B737" s="2">
        <v>0.63124999999999998</v>
      </c>
      <c r="C737" t="s">
        <v>1264</v>
      </c>
      <c r="D737">
        <v>81</v>
      </c>
      <c r="E737" t="s">
        <v>807</v>
      </c>
    </row>
    <row r="738" spans="1:5" x14ac:dyDescent="0.25">
      <c r="A738" s="1">
        <v>45204</v>
      </c>
      <c r="B738" s="2">
        <v>0.93125000000000002</v>
      </c>
      <c r="C738" t="s">
        <v>1265</v>
      </c>
      <c r="D738">
        <v>66</v>
      </c>
      <c r="E738" t="s">
        <v>807</v>
      </c>
    </row>
    <row r="739" spans="1:5" x14ac:dyDescent="0.25">
      <c r="A739" s="1">
        <v>45215</v>
      </c>
      <c r="B739" s="2">
        <v>0.23194444444444445</v>
      </c>
      <c r="C739" t="s">
        <v>1266</v>
      </c>
      <c r="D739">
        <v>25</v>
      </c>
      <c r="E739" t="s">
        <v>808</v>
      </c>
    </row>
    <row r="740" spans="1:5" x14ac:dyDescent="0.25">
      <c r="A740" s="1">
        <v>45204</v>
      </c>
      <c r="B740" s="2">
        <v>0.66527777777777775</v>
      </c>
      <c r="C740" t="s">
        <v>1266</v>
      </c>
      <c r="D740">
        <v>56</v>
      </c>
      <c r="E740" t="s">
        <v>807</v>
      </c>
    </row>
    <row r="741" spans="1:5" x14ac:dyDescent="0.25">
      <c r="A741" s="1">
        <v>45224</v>
      </c>
      <c r="B741" s="2">
        <v>0.28819444444444442</v>
      </c>
      <c r="C741" t="s">
        <v>1266</v>
      </c>
      <c r="D741">
        <v>116</v>
      </c>
      <c r="E741" t="s">
        <v>812</v>
      </c>
    </row>
    <row r="742" spans="1:5" x14ac:dyDescent="0.25">
      <c r="A742" s="1">
        <v>45213</v>
      </c>
      <c r="B742" s="2">
        <v>0.41736111111111113</v>
      </c>
      <c r="C742" t="s">
        <v>1266</v>
      </c>
      <c r="D742">
        <v>100</v>
      </c>
      <c r="E742" t="s">
        <v>807</v>
      </c>
    </row>
    <row r="743" spans="1:5" x14ac:dyDescent="0.25">
      <c r="A743" s="1">
        <v>45220</v>
      </c>
      <c r="B743" s="2">
        <v>0.51597222222222228</v>
      </c>
      <c r="C743" t="s">
        <v>1266</v>
      </c>
      <c r="D743">
        <v>15</v>
      </c>
      <c r="E743" t="s">
        <v>812</v>
      </c>
    </row>
    <row r="744" spans="1:5" x14ac:dyDescent="0.25">
      <c r="A744" s="1">
        <v>45204</v>
      </c>
      <c r="B744" s="2">
        <v>0.61597222222222225</v>
      </c>
      <c r="C744" t="s">
        <v>1267</v>
      </c>
      <c r="D744">
        <v>41</v>
      </c>
      <c r="E744" t="s">
        <v>812</v>
      </c>
    </row>
    <row r="745" spans="1:5" x14ac:dyDescent="0.25">
      <c r="A745" s="1">
        <v>45209</v>
      </c>
      <c r="B745" s="2">
        <v>0.35486111111111113</v>
      </c>
      <c r="C745" t="s">
        <v>1267</v>
      </c>
      <c r="D745">
        <v>99</v>
      </c>
      <c r="E745" t="s">
        <v>808</v>
      </c>
    </row>
    <row r="746" spans="1:5" x14ac:dyDescent="0.25">
      <c r="A746" s="1">
        <v>45229</v>
      </c>
      <c r="B746" s="2">
        <v>0.62083333333333335</v>
      </c>
      <c r="C746" t="s">
        <v>1268</v>
      </c>
      <c r="D746">
        <v>74</v>
      </c>
      <c r="E746" t="s">
        <v>812</v>
      </c>
    </row>
    <row r="747" spans="1:5" x14ac:dyDescent="0.25">
      <c r="A747" s="1">
        <v>45206</v>
      </c>
      <c r="B747" s="2">
        <v>0.44305555555555554</v>
      </c>
      <c r="C747" t="s">
        <v>1269</v>
      </c>
      <c r="D747">
        <v>48</v>
      </c>
      <c r="E747" t="s">
        <v>812</v>
      </c>
    </row>
    <row r="748" spans="1:5" x14ac:dyDescent="0.25">
      <c r="A748" s="1">
        <v>45225</v>
      </c>
      <c r="B748" s="2">
        <v>0.28888888888888886</v>
      </c>
      <c r="C748" t="s">
        <v>1269</v>
      </c>
      <c r="D748">
        <v>89</v>
      </c>
      <c r="E748" t="s">
        <v>807</v>
      </c>
    </row>
    <row r="749" spans="1:5" x14ac:dyDescent="0.25">
      <c r="A749" s="1">
        <v>45211</v>
      </c>
      <c r="B749" s="2">
        <v>0.72291666666666665</v>
      </c>
      <c r="C749" t="s">
        <v>1270</v>
      </c>
      <c r="D749">
        <v>28</v>
      </c>
      <c r="E749" t="s">
        <v>807</v>
      </c>
    </row>
    <row r="750" spans="1:5" x14ac:dyDescent="0.25">
      <c r="A750" s="1">
        <v>45207</v>
      </c>
      <c r="B750" s="2">
        <v>0.54305555555555551</v>
      </c>
      <c r="C750" t="s">
        <v>1271</v>
      </c>
      <c r="D750">
        <v>54</v>
      </c>
      <c r="E750" t="s">
        <v>807</v>
      </c>
    </row>
    <row r="751" spans="1:5" x14ac:dyDescent="0.25">
      <c r="A751" s="1">
        <v>45225</v>
      </c>
      <c r="B751" s="2">
        <v>0.99652777777777779</v>
      </c>
      <c r="C751" t="s">
        <v>1271</v>
      </c>
      <c r="D751">
        <v>55</v>
      </c>
      <c r="E751" t="s">
        <v>808</v>
      </c>
    </row>
    <row r="752" spans="1:5" x14ac:dyDescent="0.25">
      <c r="A752" s="1">
        <v>45225</v>
      </c>
      <c r="B752" s="2">
        <v>0.32291666666666669</v>
      </c>
      <c r="C752" t="s">
        <v>1272</v>
      </c>
      <c r="D752">
        <v>47</v>
      </c>
      <c r="E752" t="s">
        <v>812</v>
      </c>
    </row>
    <row r="753" spans="1:5" x14ac:dyDescent="0.25">
      <c r="A753" s="1">
        <v>45214</v>
      </c>
      <c r="B753" s="2">
        <v>0.2902777777777778</v>
      </c>
      <c r="C753" t="s">
        <v>1273</v>
      </c>
      <c r="D753">
        <v>27</v>
      </c>
      <c r="E753" t="s">
        <v>808</v>
      </c>
    </row>
    <row r="754" spans="1:5" x14ac:dyDescent="0.25">
      <c r="A754" s="1">
        <v>45226</v>
      </c>
      <c r="B754" s="2">
        <v>0.31319444444444444</v>
      </c>
      <c r="C754" t="s">
        <v>1273</v>
      </c>
      <c r="D754">
        <v>66</v>
      </c>
      <c r="E754" t="s">
        <v>812</v>
      </c>
    </row>
    <row r="755" spans="1:5" x14ac:dyDescent="0.25">
      <c r="A755" s="1">
        <v>45224</v>
      </c>
      <c r="B755" s="2">
        <v>0.10486111111111111</v>
      </c>
      <c r="C755" t="s">
        <v>1274</v>
      </c>
      <c r="D755">
        <v>98</v>
      </c>
      <c r="E755" t="s">
        <v>812</v>
      </c>
    </row>
    <row r="756" spans="1:5" x14ac:dyDescent="0.25">
      <c r="A756" s="1">
        <v>45224</v>
      </c>
      <c r="B756" s="2">
        <v>0.88472222222222219</v>
      </c>
      <c r="C756" t="s">
        <v>1275</v>
      </c>
      <c r="D756">
        <v>119</v>
      </c>
      <c r="E756" t="s">
        <v>808</v>
      </c>
    </row>
    <row r="757" spans="1:5" x14ac:dyDescent="0.25">
      <c r="A757" s="1">
        <v>45227</v>
      </c>
      <c r="B757" s="2">
        <v>0.39305555555555555</v>
      </c>
      <c r="C757" t="s">
        <v>1276</v>
      </c>
      <c r="D757">
        <v>67</v>
      </c>
      <c r="E757" t="s">
        <v>807</v>
      </c>
    </row>
    <row r="758" spans="1:5" x14ac:dyDescent="0.25">
      <c r="A758" s="1">
        <v>45200</v>
      </c>
      <c r="B758" s="2">
        <v>0.22013888888888888</v>
      </c>
      <c r="C758" t="s">
        <v>1276</v>
      </c>
      <c r="D758">
        <v>53</v>
      </c>
      <c r="E758" t="s">
        <v>808</v>
      </c>
    </row>
    <row r="759" spans="1:5" x14ac:dyDescent="0.25">
      <c r="A759" s="1">
        <v>45218</v>
      </c>
      <c r="B759" s="2">
        <v>3.8194444444444448E-2</v>
      </c>
      <c r="C759" t="s">
        <v>1277</v>
      </c>
      <c r="D759">
        <v>6</v>
      </c>
      <c r="E759" t="s">
        <v>807</v>
      </c>
    </row>
    <row r="760" spans="1:5" x14ac:dyDescent="0.25">
      <c r="A760" s="1">
        <v>45224</v>
      </c>
      <c r="B760" s="2">
        <v>1.0416666666666666E-2</v>
      </c>
      <c r="C760" t="s">
        <v>1277</v>
      </c>
      <c r="D760">
        <v>114</v>
      </c>
      <c r="E760" t="s">
        <v>812</v>
      </c>
    </row>
    <row r="761" spans="1:5" x14ac:dyDescent="0.25">
      <c r="A761" s="1">
        <v>45219</v>
      </c>
      <c r="B761" s="2">
        <v>0.11319444444444444</v>
      </c>
      <c r="C761" t="s">
        <v>1277</v>
      </c>
      <c r="D761">
        <v>19</v>
      </c>
      <c r="E761" t="s">
        <v>807</v>
      </c>
    </row>
    <row r="762" spans="1:5" x14ac:dyDescent="0.25">
      <c r="A762" s="1">
        <v>45230</v>
      </c>
      <c r="B762" s="2">
        <v>0.92500000000000004</v>
      </c>
      <c r="C762" t="s">
        <v>1278</v>
      </c>
      <c r="D762">
        <v>90</v>
      </c>
      <c r="E762" t="s">
        <v>807</v>
      </c>
    </row>
    <row r="763" spans="1:5" x14ac:dyDescent="0.25">
      <c r="A763" s="1">
        <v>45210</v>
      </c>
      <c r="B763" s="2">
        <v>0.5</v>
      </c>
      <c r="C763" t="s">
        <v>1279</v>
      </c>
      <c r="D763">
        <v>30</v>
      </c>
      <c r="E763" t="s">
        <v>807</v>
      </c>
    </row>
    <row r="764" spans="1:5" x14ac:dyDescent="0.25">
      <c r="A764" s="1">
        <v>45210</v>
      </c>
      <c r="B764" s="2">
        <v>0.9243055555555556</v>
      </c>
      <c r="C764" t="s">
        <v>1280</v>
      </c>
      <c r="D764">
        <v>32</v>
      </c>
      <c r="E764" t="s">
        <v>808</v>
      </c>
    </row>
    <row r="765" spans="1:5" x14ac:dyDescent="0.25">
      <c r="A765" s="1">
        <v>45223</v>
      </c>
      <c r="B765" s="2">
        <v>0.5541666666666667</v>
      </c>
      <c r="C765" t="s">
        <v>1281</v>
      </c>
      <c r="D765">
        <v>86</v>
      </c>
      <c r="E765" t="s">
        <v>808</v>
      </c>
    </row>
    <row r="766" spans="1:5" x14ac:dyDescent="0.25">
      <c r="A766" s="1">
        <v>45227</v>
      </c>
      <c r="B766" s="2">
        <v>0.75138888888888888</v>
      </c>
      <c r="C766" t="s">
        <v>1281</v>
      </c>
      <c r="D766">
        <v>42</v>
      </c>
      <c r="E766" t="s">
        <v>807</v>
      </c>
    </row>
    <row r="767" spans="1:5" x14ac:dyDescent="0.25">
      <c r="A767" s="1">
        <v>45214</v>
      </c>
      <c r="B767" s="2">
        <v>0.16041666666666668</v>
      </c>
      <c r="C767" t="s">
        <v>1282</v>
      </c>
      <c r="D767">
        <v>108</v>
      </c>
      <c r="E767" t="s">
        <v>812</v>
      </c>
    </row>
    <row r="768" spans="1:5" x14ac:dyDescent="0.25">
      <c r="A768" s="1">
        <v>45210</v>
      </c>
      <c r="B768" s="2">
        <v>0.83680555555555558</v>
      </c>
      <c r="C768" t="s">
        <v>1282</v>
      </c>
      <c r="D768">
        <v>118</v>
      </c>
      <c r="E768" t="s">
        <v>807</v>
      </c>
    </row>
    <row r="769" spans="1:5" x14ac:dyDescent="0.25">
      <c r="A769" s="1">
        <v>45226</v>
      </c>
      <c r="B769" s="2">
        <v>0.79027777777777775</v>
      </c>
      <c r="C769" t="s">
        <v>1283</v>
      </c>
      <c r="D769">
        <v>68</v>
      </c>
      <c r="E769" t="s">
        <v>812</v>
      </c>
    </row>
    <row r="770" spans="1:5" x14ac:dyDescent="0.25">
      <c r="A770" s="1">
        <v>45230</v>
      </c>
      <c r="B770" s="2">
        <v>3.9583333333333331E-2</v>
      </c>
      <c r="C770" t="s">
        <v>1284</v>
      </c>
      <c r="D770">
        <v>117</v>
      </c>
      <c r="E770" t="s">
        <v>808</v>
      </c>
    </row>
    <row r="771" spans="1:5" x14ac:dyDescent="0.25">
      <c r="A771" s="1">
        <v>45202</v>
      </c>
      <c r="B771" s="2">
        <v>0.64513888888888893</v>
      </c>
      <c r="C771" t="s">
        <v>1284</v>
      </c>
      <c r="D771">
        <v>106</v>
      </c>
      <c r="E771" t="s">
        <v>812</v>
      </c>
    </row>
    <row r="772" spans="1:5" x14ac:dyDescent="0.25">
      <c r="A772" s="1">
        <v>45202</v>
      </c>
      <c r="B772" s="2">
        <v>0.77569444444444446</v>
      </c>
      <c r="C772" t="s">
        <v>1284</v>
      </c>
      <c r="D772">
        <v>72</v>
      </c>
      <c r="E772" t="s">
        <v>807</v>
      </c>
    </row>
    <row r="773" spans="1:5" x14ac:dyDescent="0.25">
      <c r="A773" s="1">
        <v>45226</v>
      </c>
      <c r="B773" s="2">
        <v>0.62361111111111112</v>
      </c>
      <c r="C773" t="s">
        <v>1285</v>
      </c>
      <c r="D773">
        <v>98</v>
      </c>
      <c r="E773" t="s">
        <v>812</v>
      </c>
    </row>
    <row r="774" spans="1:5" x14ac:dyDescent="0.25">
      <c r="A774" s="1">
        <v>45225</v>
      </c>
      <c r="B774" s="2">
        <v>0.31736111111111109</v>
      </c>
      <c r="C774" t="s">
        <v>1285</v>
      </c>
      <c r="D774">
        <v>56</v>
      </c>
      <c r="E774" t="s">
        <v>808</v>
      </c>
    </row>
    <row r="775" spans="1:5" x14ac:dyDescent="0.25">
      <c r="A775" s="1">
        <v>45221</v>
      </c>
      <c r="B775" s="2">
        <v>0.8618055555555556</v>
      </c>
      <c r="C775" t="s">
        <v>1286</v>
      </c>
      <c r="D775">
        <v>65</v>
      </c>
      <c r="E775" t="s">
        <v>807</v>
      </c>
    </row>
    <row r="776" spans="1:5" x14ac:dyDescent="0.25">
      <c r="A776" s="1">
        <v>45206</v>
      </c>
      <c r="B776" s="2">
        <v>0.3840277777777778</v>
      </c>
      <c r="C776" t="s">
        <v>1287</v>
      </c>
      <c r="D776">
        <v>109</v>
      </c>
      <c r="E776" t="s">
        <v>812</v>
      </c>
    </row>
    <row r="777" spans="1:5" x14ac:dyDescent="0.25">
      <c r="A777" s="1">
        <v>45226</v>
      </c>
      <c r="B777" s="2">
        <v>7.2222222222222215E-2</v>
      </c>
      <c r="C777" t="s">
        <v>1288</v>
      </c>
      <c r="D777">
        <v>29</v>
      </c>
      <c r="E777" t="s">
        <v>812</v>
      </c>
    </row>
    <row r="778" spans="1:5" x14ac:dyDescent="0.25">
      <c r="A778" s="1">
        <v>45204</v>
      </c>
      <c r="B778" s="2">
        <v>9.0972222222222218E-2</v>
      </c>
      <c r="C778" t="s">
        <v>1289</v>
      </c>
      <c r="D778">
        <v>81</v>
      </c>
      <c r="E778" t="s">
        <v>807</v>
      </c>
    </row>
    <row r="779" spans="1:5" x14ac:dyDescent="0.25">
      <c r="A779" s="1">
        <v>45228</v>
      </c>
      <c r="B779" s="2">
        <v>0.98055555555555551</v>
      </c>
      <c r="C779" t="s">
        <v>1290</v>
      </c>
      <c r="D779">
        <v>37</v>
      </c>
      <c r="E779" t="s">
        <v>808</v>
      </c>
    </row>
    <row r="780" spans="1:5" x14ac:dyDescent="0.25">
      <c r="A780" s="1">
        <v>45221</v>
      </c>
      <c r="B780" s="2">
        <v>0.14305555555555555</v>
      </c>
      <c r="C780" t="s">
        <v>1290</v>
      </c>
      <c r="D780">
        <v>43</v>
      </c>
      <c r="E780" t="s">
        <v>807</v>
      </c>
    </row>
    <row r="781" spans="1:5" x14ac:dyDescent="0.25">
      <c r="A781" s="1">
        <v>45230</v>
      </c>
      <c r="B781" s="2">
        <v>0.91180555555555554</v>
      </c>
      <c r="C781" t="s">
        <v>1290</v>
      </c>
      <c r="D781">
        <v>16</v>
      </c>
      <c r="E781" t="s">
        <v>808</v>
      </c>
    </row>
    <row r="782" spans="1:5" x14ac:dyDescent="0.25">
      <c r="A782" s="1">
        <v>45211</v>
      </c>
      <c r="B782" s="2">
        <v>0.92500000000000004</v>
      </c>
      <c r="C782" t="s">
        <v>1291</v>
      </c>
      <c r="D782">
        <v>40</v>
      </c>
      <c r="E782" t="s">
        <v>812</v>
      </c>
    </row>
    <row r="783" spans="1:5" x14ac:dyDescent="0.25">
      <c r="A783" s="1">
        <v>45216</v>
      </c>
      <c r="B783" s="2">
        <v>0.45902777777777776</v>
      </c>
      <c r="C783" t="s">
        <v>1291</v>
      </c>
      <c r="D783">
        <v>100</v>
      </c>
      <c r="E783" t="s">
        <v>808</v>
      </c>
    </row>
    <row r="784" spans="1:5" x14ac:dyDescent="0.25">
      <c r="A784" s="1">
        <v>45205</v>
      </c>
      <c r="B784" s="2">
        <v>0.64027777777777772</v>
      </c>
      <c r="C784" t="s">
        <v>1291</v>
      </c>
      <c r="D784">
        <v>52</v>
      </c>
      <c r="E784" t="s">
        <v>807</v>
      </c>
    </row>
    <row r="785" spans="1:5" x14ac:dyDescent="0.25">
      <c r="A785" s="1">
        <v>45215</v>
      </c>
      <c r="B785" s="2">
        <v>0.87986111111111109</v>
      </c>
      <c r="C785" t="s">
        <v>1291</v>
      </c>
      <c r="D785">
        <v>16</v>
      </c>
      <c r="E785" t="s">
        <v>808</v>
      </c>
    </row>
    <row r="786" spans="1:5" x14ac:dyDescent="0.25">
      <c r="A786" s="1">
        <v>45221</v>
      </c>
      <c r="B786" s="2">
        <v>0.98888888888888893</v>
      </c>
      <c r="C786" t="s">
        <v>1292</v>
      </c>
      <c r="D786">
        <v>72</v>
      </c>
      <c r="E786" t="s">
        <v>808</v>
      </c>
    </row>
    <row r="787" spans="1:5" x14ac:dyDescent="0.25">
      <c r="A787" s="1">
        <v>45201</v>
      </c>
      <c r="B787" s="2">
        <v>0.42708333333333331</v>
      </c>
      <c r="C787" t="s">
        <v>1292</v>
      </c>
      <c r="D787">
        <v>98</v>
      </c>
      <c r="E787" t="s">
        <v>808</v>
      </c>
    </row>
    <row r="788" spans="1:5" x14ac:dyDescent="0.25">
      <c r="A788" s="1">
        <v>45201</v>
      </c>
      <c r="B788" s="2">
        <v>0.3125</v>
      </c>
      <c r="C788" t="s">
        <v>1293</v>
      </c>
      <c r="D788">
        <v>90</v>
      </c>
      <c r="E788" t="s">
        <v>808</v>
      </c>
    </row>
    <row r="789" spans="1:5" x14ac:dyDescent="0.25">
      <c r="A789" s="1">
        <v>45203</v>
      </c>
      <c r="B789" s="2">
        <v>0.42569444444444443</v>
      </c>
      <c r="C789" t="s">
        <v>1294</v>
      </c>
      <c r="D789">
        <v>62</v>
      </c>
      <c r="E789" t="s">
        <v>807</v>
      </c>
    </row>
    <row r="790" spans="1:5" x14ac:dyDescent="0.25">
      <c r="A790" s="1">
        <v>45215</v>
      </c>
      <c r="B790" s="2">
        <v>1.5972222222222221E-2</v>
      </c>
      <c r="C790" t="s">
        <v>1295</v>
      </c>
      <c r="D790">
        <v>74</v>
      </c>
      <c r="E790" t="s">
        <v>807</v>
      </c>
    </row>
    <row r="791" spans="1:5" x14ac:dyDescent="0.25">
      <c r="A791" s="1">
        <v>45218</v>
      </c>
      <c r="B791" s="2">
        <v>0.38194444444444442</v>
      </c>
      <c r="C791" t="s">
        <v>1296</v>
      </c>
      <c r="D791">
        <v>81</v>
      </c>
      <c r="E791" t="s">
        <v>808</v>
      </c>
    </row>
    <row r="792" spans="1:5" x14ac:dyDescent="0.25">
      <c r="A792" s="1">
        <v>45219</v>
      </c>
      <c r="B792" s="2">
        <v>0.47638888888888886</v>
      </c>
      <c r="C792" t="s">
        <v>1296</v>
      </c>
      <c r="D792">
        <v>57</v>
      </c>
      <c r="E792" t="s">
        <v>807</v>
      </c>
    </row>
    <row r="793" spans="1:5" x14ac:dyDescent="0.25">
      <c r="A793" s="1">
        <v>45200</v>
      </c>
      <c r="B793" s="2">
        <v>0.92569444444444449</v>
      </c>
      <c r="C793" t="s">
        <v>1296</v>
      </c>
      <c r="D793">
        <v>76</v>
      </c>
      <c r="E793" t="s">
        <v>812</v>
      </c>
    </row>
    <row r="794" spans="1:5" x14ac:dyDescent="0.25">
      <c r="A794" s="1">
        <v>45213</v>
      </c>
      <c r="B794" s="2">
        <v>2.2916666666666665E-2</v>
      </c>
      <c r="C794" t="s">
        <v>1296</v>
      </c>
      <c r="D794">
        <v>56</v>
      </c>
      <c r="E794" t="s">
        <v>812</v>
      </c>
    </row>
    <row r="795" spans="1:5" x14ac:dyDescent="0.25">
      <c r="A795" s="1">
        <v>45213</v>
      </c>
      <c r="B795" s="2">
        <v>4.2361111111111113E-2</v>
      </c>
      <c r="C795" t="s">
        <v>1296</v>
      </c>
      <c r="D795">
        <v>119</v>
      </c>
      <c r="E795" t="s">
        <v>808</v>
      </c>
    </row>
    <row r="796" spans="1:5" x14ac:dyDescent="0.25">
      <c r="A796" s="1">
        <v>45224</v>
      </c>
      <c r="B796" s="2">
        <v>0.55277777777777781</v>
      </c>
      <c r="C796" t="s">
        <v>1297</v>
      </c>
      <c r="D796">
        <v>60</v>
      </c>
      <c r="E796" t="s">
        <v>808</v>
      </c>
    </row>
    <row r="797" spans="1:5" x14ac:dyDescent="0.25">
      <c r="A797" s="1">
        <v>45218</v>
      </c>
      <c r="B797" s="2">
        <v>0.24236111111111111</v>
      </c>
      <c r="C797" t="s">
        <v>1298</v>
      </c>
      <c r="D797">
        <v>64</v>
      </c>
      <c r="E797" t="s">
        <v>807</v>
      </c>
    </row>
    <row r="798" spans="1:5" x14ac:dyDescent="0.25">
      <c r="A798" s="1">
        <v>45202</v>
      </c>
      <c r="B798" s="2">
        <v>0.86805555555555558</v>
      </c>
      <c r="C798" t="s">
        <v>1298</v>
      </c>
      <c r="D798">
        <v>91</v>
      </c>
      <c r="E798" t="s">
        <v>808</v>
      </c>
    </row>
    <row r="799" spans="1:5" x14ac:dyDescent="0.25">
      <c r="A799" s="1">
        <v>45212</v>
      </c>
      <c r="B799" s="2">
        <v>0.62430555555555556</v>
      </c>
      <c r="C799" t="s">
        <v>1298</v>
      </c>
      <c r="D799">
        <v>113</v>
      </c>
      <c r="E799" t="s">
        <v>812</v>
      </c>
    </row>
    <row r="800" spans="1:5" x14ac:dyDescent="0.25">
      <c r="A800" s="1">
        <v>45221</v>
      </c>
      <c r="B800" s="2">
        <v>0.99791666666666667</v>
      </c>
      <c r="C800" t="s">
        <v>1299</v>
      </c>
      <c r="D800">
        <v>79</v>
      </c>
      <c r="E800" t="s">
        <v>812</v>
      </c>
    </row>
    <row r="801" spans="1:5" x14ac:dyDescent="0.25">
      <c r="A801" s="1">
        <v>45207</v>
      </c>
      <c r="B801" s="2">
        <v>0.30486111111111114</v>
      </c>
      <c r="C801" t="s">
        <v>1299</v>
      </c>
      <c r="D801">
        <v>50</v>
      </c>
      <c r="E801" t="s">
        <v>808</v>
      </c>
    </row>
    <row r="802" spans="1:5" x14ac:dyDescent="0.25">
      <c r="A802" s="1">
        <v>45202</v>
      </c>
      <c r="B802" s="2">
        <v>0.68611111111111112</v>
      </c>
      <c r="C802" t="s">
        <v>1300</v>
      </c>
      <c r="D802">
        <v>53</v>
      </c>
      <c r="E802" t="s">
        <v>807</v>
      </c>
    </row>
    <row r="803" spans="1:5" x14ac:dyDescent="0.25">
      <c r="A803" s="1">
        <v>45201</v>
      </c>
      <c r="B803" s="2">
        <v>0.95416666666666672</v>
      </c>
      <c r="C803" t="s">
        <v>1301</v>
      </c>
      <c r="D803">
        <v>32</v>
      </c>
      <c r="E803" t="s">
        <v>808</v>
      </c>
    </row>
    <row r="804" spans="1:5" x14ac:dyDescent="0.25">
      <c r="A804" s="1">
        <v>45211</v>
      </c>
      <c r="B804" s="2">
        <v>0.12847222222222221</v>
      </c>
      <c r="C804" t="s">
        <v>1302</v>
      </c>
      <c r="D804">
        <v>110</v>
      </c>
      <c r="E804" t="s">
        <v>808</v>
      </c>
    </row>
    <row r="805" spans="1:5" x14ac:dyDescent="0.25">
      <c r="A805" s="1">
        <v>45207</v>
      </c>
      <c r="B805" s="2">
        <v>7.0833333333333331E-2</v>
      </c>
      <c r="C805" t="s">
        <v>1303</v>
      </c>
      <c r="D805">
        <v>94</v>
      </c>
      <c r="E805" t="s">
        <v>808</v>
      </c>
    </row>
    <row r="806" spans="1:5" x14ac:dyDescent="0.25">
      <c r="A806" s="1">
        <v>45221</v>
      </c>
      <c r="B806" s="2">
        <v>0.72499999999999998</v>
      </c>
      <c r="C806" t="s">
        <v>1304</v>
      </c>
      <c r="D806">
        <v>55</v>
      </c>
      <c r="E806" t="s">
        <v>808</v>
      </c>
    </row>
    <row r="807" spans="1:5" x14ac:dyDescent="0.25">
      <c r="A807" s="1">
        <v>45203</v>
      </c>
      <c r="B807" s="2">
        <v>0.60347222222222219</v>
      </c>
      <c r="C807" t="s">
        <v>1305</v>
      </c>
      <c r="D807">
        <v>106</v>
      </c>
      <c r="E807" t="s">
        <v>808</v>
      </c>
    </row>
    <row r="808" spans="1:5" x14ac:dyDescent="0.25">
      <c r="A808" s="1">
        <v>45221</v>
      </c>
      <c r="B808" s="2">
        <v>0.6479166666666667</v>
      </c>
      <c r="C808" t="s">
        <v>1306</v>
      </c>
      <c r="D808">
        <v>67</v>
      </c>
      <c r="E808" t="s">
        <v>807</v>
      </c>
    </row>
    <row r="809" spans="1:5" x14ac:dyDescent="0.25">
      <c r="A809" s="1">
        <v>45217</v>
      </c>
      <c r="B809" s="2">
        <v>0.29583333333333334</v>
      </c>
      <c r="C809" t="s">
        <v>1307</v>
      </c>
      <c r="D809">
        <v>119</v>
      </c>
      <c r="E809" t="s">
        <v>807</v>
      </c>
    </row>
    <row r="810" spans="1:5" x14ac:dyDescent="0.25">
      <c r="A810" s="1">
        <v>45222</v>
      </c>
      <c r="B810" s="2">
        <v>0.93819444444444444</v>
      </c>
      <c r="C810" t="s">
        <v>1308</v>
      </c>
      <c r="D810">
        <v>36</v>
      </c>
      <c r="E810" t="s">
        <v>807</v>
      </c>
    </row>
    <row r="811" spans="1:5" x14ac:dyDescent="0.25">
      <c r="A811" s="1">
        <v>45213</v>
      </c>
      <c r="B811" s="2">
        <v>0.94861111111111107</v>
      </c>
      <c r="C811" t="s">
        <v>1309</v>
      </c>
      <c r="D811">
        <v>72</v>
      </c>
      <c r="E811" t="s">
        <v>808</v>
      </c>
    </row>
    <row r="812" spans="1:5" x14ac:dyDescent="0.25">
      <c r="A812" s="1">
        <v>45211</v>
      </c>
      <c r="B812" s="2">
        <v>0.38958333333333334</v>
      </c>
      <c r="C812" t="s">
        <v>1310</v>
      </c>
      <c r="D812">
        <v>76</v>
      </c>
      <c r="E812" t="s">
        <v>808</v>
      </c>
    </row>
    <row r="813" spans="1:5" x14ac:dyDescent="0.25">
      <c r="A813" s="1">
        <v>45212</v>
      </c>
      <c r="B813" s="2">
        <v>0.9291666666666667</v>
      </c>
      <c r="C813" t="s">
        <v>1311</v>
      </c>
      <c r="D813">
        <v>118</v>
      </c>
      <c r="E813" t="s">
        <v>812</v>
      </c>
    </row>
    <row r="814" spans="1:5" x14ac:dyDescent="0.25">
      <c r="A814" s="1">
        <v>45215</v>
      </c>
      <c r="B814" s="2">
        <v>0.81111111111111112</v>
      </c>
      <c r="C814" t="s">
        <v>1312</v>
      </c>
      <c r="D814">
        <v>7</v>
      </c>
      <c r="E814" t="s">
        <v>812</v>
      </c>
    </row>
    <row r="815" spans="1:5" x14ac:dyDescent="0.25">
      <c r="A815" s="1">
        <v>45215</v>
      </c>
      <c r="B815" s="2">
        <v>0.14374999999999999</v>
      </c>
      <c r="C815" t="s">
        <v>1312</v>
      </c>
      <c r="D815">
        <v>107</v>
      </c>
      <c r="E815" t="s">
        <v>808</v>
      </c>
    </row>
    <row r="816" spans="1:5" x14ac:dyDescent="0.25">
      <c r="A816" s="1">
        <v>45218</v>
      </c>
      <c r="B816" s="2">
        <v>0.90694444444444444</v>
      </c>
      <c r="C816" t="s">
        <v>1313</v>
      </c>
      <c r="D816">
        <v>8</v>
      </c>
      <c r="E816" t="s">
        <v>812</v>
      </c>
    </row>
    <row r="817" spans="1:5" x14ac:dyDescent="0.25">
      <c r="A817" s="1">
        <v>45223</v>
      </c>
      <c r="B817" s="2">
        <v>0.10208333333333333</v>
      </c>
      <c r="C817" t="s">
        <v>1313</v>
      </c>
      <c r="D817">
        <v>104</v>
      </c>
      <c r="E817" t="s">
        <v>808</v>
      </c>
    </row>
    <row r="818" spans="1:5" x14ac:dyDescent="0.25">
      <c r="A818" s="1">
        <v>45201</v>
      </c>
      <c r="B818" s="2">
        <v>4.583333333333333E-2</v>
      </c>
      <c r="C818" t="s">
        <v>1313</v>
      </c>
      <c r="D818">
        <v>83</v>
      </c>
      <c r="E818" t="s">
        <v>808</v>
      </c>
    </row>
    <row r="819" spans="1:5" x14ac:dyDescent="0.25">
      <c r="A819" s="1">
        <v>45210</v>
      </c>
      <c r="B819" s="2">
        <v>0.16805555555555557</v>
      </c>
      <c r="C819" t="s">
        <v>1314</v>
      </c>
      <c r="D819">
        <v>110</v>
      </c>
      <c r="E819" t="s">
        <v>807</v>
      </c>
    </row>
    <row r="820" spans="1:5" x14ac:dyDescent="0.25">
      <c r="A820" s="1">
        <v>45209</v>
      </c>
      <c r="B820" s="2">
        <v>0.52430555555555558</v>
      </c>
      <c r="C820" t="s">
        <v>1315</v>
      </c>
      <c r="D820">
        <v>27</v>
      </c>
      <c r="E820" t="s">
        <v>812</v>
      </c>
    </row>
    <row r="821" spans="1:5" x14ac:dyDescent="0.25">
      <c r="A821" s="1">
        <v>45221</v>
      </c>
      <c r="B821" s="2">
        <v>0.1673611111111111</v>
      </c>
      <c r="C821" t="s">
        <v>1315</v>
      </c>
      <c r="D821">
        <v>78</v>
      </c>
      <c r="E821" t="s">
        <v>808</v>
      </c>
    </row>
    <row r="822" spans="1:5" x14ac:dyDescent="0.25">
      <c r="A822" s="1">
        <v>45212</v>
      </c>
      <c r="B822" s="2">
        <v>0.75486111111111109</v>
      </c>
      <c r="C822" t="s">
        <v>1315</v>
      </c>
      <c r="D822">
        <v>112</v>
      </c>
      <c r="E822" t="s">
        <v>812</v>
      </c>
    </row>
    <row r="823" spans="1:5" x14ac:dyDescent="0.25">
      <c r="A823" s="1">
        <v>45230</v>
      </c>
      <c r="B823" s="2">
        <v>0.76736111111111116</v>
      </c>
      <c r="C823" t="s">
        <v>1316</v>
      </c>
      <c r="D823">
        <v>16</v>
      </c>
      <c r="E823" t="s">
        <v>812</v>
      </c>
    </row>
    <row r="824" spans="1:5" x14ac:dyDescent="0.25">
      <c r="A824" s="1">
        <v>45211</v>
      </c>
      <c r="B824" s="2">
        <v>0.99305555555555558</v>
      </c>
      <c r="C824" t="s">
        <v>1317</v>
      </c>
      <c r="D824">
        <v>29</v>
      </c>
      <c r="E824" t="s">
        <v>808</v>
      </c>
    </row>
    <row r="825" spans="1:5" x14ac:dyDescent="0.25">
      <c r="A825" s="1">
        <v>45209</v>
      </c>
      <c r="B825" s="2">
        <v>0.92152777777777772</v>
      </c>
      <c r="C825" t="s">
        <v>1318</v>
      </c>
      <c r="D825">
        <v>119</v>
      </c>
      <c r="E825" t="s">
        <v>807</v>
      </c>
    </row>
    <row r="826" spans="1:5" x14ac:dyDescent="0.25">
      <c r="A826" s="1">
        <v>45201</v>
      </c>
      <c r="B826" s="2">
        <v>0.92222222222222228</v>
      </c>
      <c r="C826" t="s">
        <v>1318</v>
      </c>
      <c r="D826">
        <v>32</v>
      </c>
      <c r="E826" t="s">
        <v>807</v>
      </c>
    </row>
    <row r="827" spans="1:5" x14ac:dyDescent="0.25">
      <c r="A827" s="1">
        <v>45200</v>
      </c>
      <c r="B827" s="2">
        <v>0.98541666666666672</v>
      </c>
      <c r="C827" t="s">
        <v>1318</v>
      </c>
      <c r="D827">
        <v>29</v>
      </c>
      <c r="E827" t="s">
        <v>812</v>
      </c>
    </row>
    <row r="828" spans="1:5" x14ac:dyDescent="0.25">
      <c r="A828" s="1">
        <v>45223</v>
      </c>
      <c r="B828" s="2">
        <v>0.43611111111111112</v>
      </c>
      <c r="C828" t="s">
        <v>1318</v>
      </c>
      <c r="D828">
        <v>26</v>
      </c>
      <c r="E828" t="s">
        <v>807</v>
      </c>
    </row>
    <row r="829" spans="1:5" x14ac:dyDescent="0.25">
      <c r="A829" s="1">
        <v>45205</v>
      </c>
      <c r="B829" s="2">
        <v>1.8055555555555554E-2</v>
      </c>
      <c r="C829" t="s">
        <v>1318</v>
      </c>
      <c r="D829">
        <v>67</v>
      </c>
      <c r="E829" t="s">
        <v>812</v>
      </c>
    </row>
    <row r="830" spans="1:5" x14ac:dyDescent="0.25">
      <c r="A830" s="1">
        <v>45220</v>
      </c>
      <c r="B830" s="2">
        <v>0.11736111111111111</v>
      </c>
      <c r="C830" t="s">
        <v>1319</v>
      </c>
      <c r="D830">
        <v>39</v>
      </c>
      <c r="E830" t="s">
        <v>807</v>
      </c>
    </row>
    <row r="831" spans="1:5" x14ac:dyDescent="0.25">
      <c r="A831" s="1">
        <v>45209</v>
      </c>
      <c r="B831" s="2">
        <v>0.95486111111111116</v>
      </c>
      <c r="C831" t="s">
        <v>1320</v>
      </c>
      <c r="D831">
        <v>57</v>
      </c>
      <c r="E831" t="s">
        <v>807</v>
      </c>
    </row>
    <row r="832" spans="1:5" x14ac:dyDescent="0.25">
      <c r="A832" s="1">
        <v>45218</v>
      </c>
      <c r="B832" s="2">
        <v>0.55833333333333335</v>
      </c>
      <c r="C832" t="s">
        <v>1320</v>
      </c>
      <c r="D832">
        <v>54</v>
      </c>
      <c r="E832" t="s">
        <v>812</v>
      </c>
    </row>
    <row r="833" spans="1:5" x14ac:dyDescent="0.25">
      <c r="A833" s="1">
        <v>45220</v>
      </c>
      <c r="B833" s="2">
        <v>0.94027777777777777</v>
      </c>
      <c r="C833" t="s">
        <v>1321</v>
      </c>
      <c r="D833">
        <v>33</v>
      </c>
      <c r="E833" t="s">
        <v>812</v>
      </c>
    </row>
    <row r="834" spans="1:5" x14ac:dyDescent="0.25">
      <c r="A834" s="1">
        <v>45227</v>
      </c>
      <c r="B834" s="2">
        <v>0.48333333333333334</v>
      </c>
      <c r="C834" t="s">
        <v>1321</v>
      </c>
      <c r="D834">
        <v>81</v>
      </c>
      <c r="E834" t="s">
        <v>808</v>
      </c>
    </row>
    <row r="835" spans="1:5" x14ac:dyDescent="0.25">
      <c r="A835" s="1">
        <v>45203</v>
      </c>
      <c r="B835" s="2">
        <v>0.67291666666666672</v>
      </c>
      <c r="C835" t="s">
        <v>1322</v>
      </c>
      <c r="D835">
        <v>82</v>
      </c>
      <c r="E835" t="s">
        <v>807</v>
      </c>
    </row>
    <row r="836" spans="1:5" x14ac:dyDescent="0.25">
      <c r="A836" s="1">
        <v>45225</v>
      </c>
      <c r="B836" s="2">
        <v>6.1805555555555558E-2</v>
      </c>
      <c r="C836" t="s">
        <v>1323</v>
      </c>
      <c r="D836">
        <v>15</v>
      </c>
      <c r="E836" t="s">
        <v>812</v>
      </c>
    </row>
    <row r="837" spans="1:5" x14ac:dyDescent="0.25">
      <c r="A837" s="1">
        <v>45205</v>
      </c>
      <c r="B837" s="2">
        <v>0.3659722222222222</v>
      </c>
      <c r="C837" t="s">
        <v>1323</v>
      </c>
      <c r="D837">
        <v>32</v>
      </c>
      <c r="E837" t="s">
        <v>807</v>
      </c>
    </row>
    <row r="838" spans="1:5" x14ac:dyDescent="0.25">
      <c r="A838" s="1">
        <v>45215</v>
      </c>
      <c r="B838" s="2">
        <v>0.47916666666666669</v>
      </c>
      <c r="C838" t="s">
        <v>1324</v>
      </c>
      <c r="D838">
        <v>67</v>
      </c>
      <c r="E838" t="s">
        <v>812</v>
      </c>
    </row>
    <row r="839" spans="1:5" x14ac:dyDescent="0.25">
      <c r="A839" s="1">
        <v>45214</v>
      </c>
      <c r="B839" s="2">
        <v>0.61319444444444449</v>
      </c>
      <c r="C839" t="s">
        <v>1324</v>
      </c>
      <c r="D839">
        <v>11</v>
      </c>
      <c r="E839" t="s">
        <v>812</v>
      </c>
    </row>
    <row r="840" spans="1:5" x14ac:dyDescent="0.25">
      <c r="A840" s="1">
        <v>45210</v>
      </c>
      <c r="B840" s="2">
        <v>0.28055555555555556</v>
      </c>
      <c r="C840" t="s">
        <v>1325</v>
      </c>
      <c r="D840">
        <v>43</v>
      </c>
      <c r="E840" t="s">
        <v>808</v>
      </c>
    </row>
    <row r="841" spans="1:5" x14ac:dyDescent="0.25">
      <c r="A841" s="1">
        <v>45211</v>
      </c>
      <c r="B841" s="2">
        <v>0.90486111111111112</v>
      </c>
      <c r="C841" t="s">
        <v>1325</v>
      </c>
      <c r="D841">
        <v>45</v>
      </c>
      <c r="E841" t="s">
        <v>812</v>
      </c>
    </row>
    <row r="842" spans="1:5" x14ac:dyDescent="0.25">
      <c r="A842" s="1">
        <v>45202</v>
      </c>
      <c r="B842" s="2">
        <v>9.5138888888888884E-2</v>
      </c>
      <c r="C842" t="s">
        <v>1326</v>
      </c>
      <c r="D842">
        <v>61</v>
      </c>
      <c r="E842" t="s">
        <v>808</v>
      </c>
    </row>
    <row r="843" spans="1:5" x14ac:dyDescent="0.25">
      <c r="A843" s="1">
        <v>45205</v>
      </c>
      <c r="B843" s="2">
        <v>5.2083333333333336E-2</v>
      </c>
      <c r="C843" t="s">
        <v>1327</v>
      </c>
      <c r="D843">
        <v>81</v>
      </c>
      <c r="E843" t="s">
        <v>812</v>
      </c>
    </row>
    <row r="844" spans="1:5" x14ac:dyDescent="0.25">
      <c r="A844" s="1">
        <v>45220</v>
      </c>
      <c r="B844" s="2">
        <v>0.92777777777777781</v>
      </c>
      <c r="C844" t="s">
        <v>1327</v>
      </c>
      <c r="D844">
        <v>22</v>
      </c>
      <c r="E844" t="s">
        <v>808</v>
      </c>
    </row>
    <row r="845" spans="1:5" x14ac:dyDescent="0.25">
      <c r="A845" s="1">
        <v>45213</v>
      </c>
      <c r="B845" s="2">
        <v>0.64583333333333337</v>
      </c>
      <c r="C845" t="s">
        <v>1328</v>
      </c>
      <c r="D845">
        <v>95</v>
      </c>
      <c r="E845" t="s">
        <v>807</v>
      </c>
    </row>
    <row r="846" spans="1:5" x14ac:dyDescent="0.25">
      <c r="A846" s="1">
        <v>45222</v>
      </c>
      <c r="B846" s="2">
        <v>0.83402777777777781</v>
      </c>
      <c r="C846" t="s">
        <v>1328</v>
      </c>
      <c r="D846">
        <v>109</v>
      </c>
      <c r="E846" t="s">
        <v>808</v>
      </c>
    </row>
    <row r="847" spans="1:5" x14ac:dyDescent="0.25">
      <c r="A847" s="1">
        <v>45215</v>
      </c>
      <c r="B847" s="2">
        <v>0.10833333333333334</v>
      </c>
      <c r="C847" t="s">
        <v>1329</v>
      </c>
      <c r="D847">
        <v>39</v>
      </c>
      <c r="E847" t="s">
        <v>812</v>
      </c>
    </row>
    <row r="848" spans="1:5" x14ac:dyDescent="0.25">
      <c r="A848" s="1">
        <v>45214</v>
      </c>
      <c r="B848" s="2">
        <v>0.27291666666666664</v>
      </c>
      <c r="C848" t="s">
        <v>1329</v>
      </c>
      <c r="D848">
        <v>26</v>
      </c>
      <c r="E848" t="s">
        <v>808</v>
      </c>
    </row>
    <row r="849" spans="1:5" x14ac:dyDescent="0.25">
      <c r="A849" s="1">
        <v>45217</v>
      </c>
      <c r="B849" s="2">
        <v>0.94444444444444442</v>
      </c>
      <c r="C849" t="s">
        <v>1330</v>
      </c>
      <c r="D849">
        <v>33</v>
      </c>
      <c r="E849" t="s">
        <v>807</v>
      </c>
    </row>
    <row r="850" spans="1:5" x14ac:dyDescent="0.25">
      <c r="A850" s="1">
        <v>45216</v>
      </c>
      <c r="B850" s="2">
        <v>0.2326388888888889</v>
      </c>
      <c r="C850" t="s">
        <v>1331</v>
      </c>
      <c r="D850">
        <v>11</v>
      </c>
      <c r="E850" t="s">
        <v>812</v>
      </c>
    </row>
    <row r="851" spans="1:5" x14ac:dyDescent="0.25">
      <c r="A851" s="1">
        <v>45206</v>
      </c>
      <c r="B851" s="2">
        <v>0.6875</v>
      </c>
      <c r="C851" t="s">
        <v>1332</v>
      </c>
      <c r="D851">
        <v>76</v>
      </c>
      <c r="E851" t="s">
        <v>812</v>
      </c>
    </row>
    <row r="852" spans="1:5" x14ac:dyDescent="0.25">
      <c r="A852" s="1">
        <v>45216</v>
      </c>
      <c r="B852" s="2">
        <v>0.69374999999999998</v>
      </c>
      <c r="C852" t="s">
        <v>1332</v>
      </c>
      <c r="D852">
        <v>24</v>
      </c>
      <c r="E852" t="s">
        <v>812</v>
      </c>
    </row>
    <row r="853" spans="1:5" x14ac:dyDescent="0.25">
      <c r="A853" s="1">
        <v>45222</v>
      </c>
      <c r="B853" s="2">
        <v>0.47847222222222224</v>
      </c>
      <c r="C853" t="s">
        <v>1333</v>
      </c>
      <c r="D853">
        <v>72</v>
      </c>
      <c r="E853" t="s">
        <v>808</v>
      </c>
    </row>
    <row r="854" spans="1:5" x14ac:dyDescent="0.25">
      <c r="A854" s="1">
        <v>45227</v>
      </c>
      <c r="B854" s="2">
        <v>0.3298611111111111</v>
      </c>
      <c r="C854" t="s">
        <v>1333</v>
      </c>
      <c r="D854">
        <v>81</v>
      </c>
      <c r="E854" t="s">
        <v>808</v>
      </c>
    </row>
    <row r="855" spans="1:5" x14ac:dyDescent="0.25">
      <c r="A855" s="1">
        <v>45209</v>
      </c>
      <c r="B855" s="2">
        <v>0.90486111111111112</v>
      </c>
      <c r="C855" t="s">
        <v>1333</v>
      </c>
      <c r="D855">
        <v>45</v>
      </c>
      <c r="E855" t="s">
        <v>812</v>
      </c>
    </row>
    <row r="856" spans="1:5" x14ac:dyDescent="0.25">
      <c r="A856" s="1">
        <v>45220</v>
      </c>
      <c r="B856" s="2">
        <v>0.4284722222222222</v>
      </c>
      <c r="C856" t="s">
        <v>1333</v>
      </c>
      <c r="D856">
        <v>26</v>
      </c>
      <c r="E856" t="s">
        <v>812</v>
      </c>
    </row>
    <row r="857" spans="1:5" x14ac:dyDescent="0.25">
      <c r="A857" s="1">
        <v>45209</v>
      </c>
      <c r="B857" s="2">
        <v>0.58194444444444449</v>
      </c>
      <c r="C857" t="s">
        <v>1334</v>
      </c>
      <c r="D857">
        <v>93</v>
      </c>
      <c r="E857" t="s">
        <v>808</v>
      </c>
    </row>
    <row r="858" spans="1:5" x14ac:dyDescent="0.25">
      <c r="A858" s="1">
        <v>45201</v>
      </c>
      <c r="B858" s="2">
        <v>0.45763888888888887</v>
      </c>
      <c r="C858" t="s">
        <v>1335</v>
      </c>
      <c r="D858">
        <v>42</v>
      </c>
      <c r="E858" t="s">
        <v>812</v>
      </c>
    </row>
    <row r="859" spans="1:5" x14ac:dyDescent="0.25">
      <c r="A859" s="1">
        <v>45221</v>
      </c>
      <c r="B859" s="2">
        <v>0.33958333333333335</v>
      </c>
      <c r="C859" t="s">
        <v>1336</v>
      </c>
      <c r="D859">
        <v>97</v>
      </c>
      <c r="E859" t="s">
        <v>808</v>
      </c>
    </row>
    <row r="860" spans="1:5" x14ac:dyDescent="0.25">
      <c r="A860" s="1">
        <v>45204</v>
      </c>
      <c r="B860" s="2">
        <v>0.84652777777777777</v>
      </c>
      <c r="C860" t="s">
        <v>1336</v>
      </c>
      <c r="D860">
        <v>16</v>
      </c>
      <c r="E860" t="s">
        <v>812</v>
      </c>
    </row>
    <row r="861" spans="1:5" x14ac:dyDescent="0.25">
      <c r="A861" s="1">
        <v>45220</v>
      </c>
      <c r="B861" s="2">
        <v>0.11041666666666666</v>
      </c>
      <c r="C861" t="s">
        <v>1337</v>
      </c>
      <c r="D861">
        <v>111</v>
      </c>
      <c r="E861" t="s">
        <v>812</v>
      </c>
    </row>
    <row r="862" spans="1:5" x14ac:dyDescent="0.25">
      <c r="A862" s="1">
        <v>45228</v>
      </c>
      <c r="B862" s="2">
        <v>0.88055555555555554</v>
      </c>
      <c r="C862" t="s">
        <v>1337</v>
      </c>
      <c r="D862">
        <v>112</v>
      </c>
      <c r="E862" t="s">
        <v>812</v>
      </c>
    </row>
    <row r="863" spans="1:5" x14ac:dyDescent="0.25">
      <c r="A863" s="1">
        <v>45213</v>
      </c>
      <c r="B863" s="2">
        <v>0.32847222222222222</v>
      </c>
      <c r="C863" t="s">
        <v>1338</v>
      </c>
      <c r="D863">
        <v>22</v>
      </c>
      <c r="E863" t="s">
        <v>812</v>
      </c>
    </row>
    <row r="864" spans="1:5" x14ac:dyDescent="0.25">
      <c r="A864" s="1">
        <v>45210</v>
      </c>
      <c r="B864" s="2">
        <v>5.4166666666666669E-2</v>
      </c>
      <c r="C864" t="s">
        <v>1339</v>
      </c>
      <c r="D864">
        <v>68</v>
      </c>
      <c r="E864" t="s">
        <v>812</v>
      </c>
    </row>
    <row r="865" spans="1:5" x14ac:dyDescent="0.25">
      <c r="A865" s="1">
        <v>45227</v>
      </c>
      <c r="B865" s="2">
        <v>0.83958333333333335</v>
      </c>
      <c r="C865" t="s">
        <v>1340</v>
      </c>
      <c r="D865">
        <v>94</v>
      </c>
      <c r="E865" t="s">
        <v>812</v>
      </c>
    </row>
    <row r="866" spans="1:5" x14ac:dyDescent="0.25">
      <c r="A866" s="1">
        <v>45200</v>
      </c>
      <c r="B866" s="2">
        <v>0.67083333333333328</v>
      </c>
      <c r="C866" t="s">
        <v>1341</v>
      </c>
      <c r="D866">
        <v>74</v>
      </c>
      <c r="E866" t="s">
        <v>812</v>
      </c>
    </row>
    <row r="867" spans="1:5" x14ac:dyDescent="0.25">
      <c r="A867" s="1">
        <v>45211</v>
      </c>
      <c r="B867" s="2">
        <v>0.10625</v>
      </c>
      <c r="C867" t="s">
        <v>1342</v>
      </c>
      <c r="D867">
        <v>107</v>
      </c>
      <c r="E867" t="s">
        <v>807</v>
      </c>
    </row>
    <row r="868" spans="1:5" x14ac:dyDescent="0.25">
      <c r="A868" s="1">
        <v>45227</v>
      </c>
      <c r="B868" s="2">
        <v>0.66041666666666665</v>
      </c>
      <c r="C868" t="s">
        <v>1342</v>
      </c>
      <c r="D868">
        <v>67</v>
      </c>
      <c r="E868" t="s">
        <v>812</v>
      </c>
    </row>
    <row r="869" spans="1:5" x14ac:dyDescent="0.25">
      <c r="A869" s="1">
        <v>45211</v>
      </c>
      <c r="B869" s="2">
        <v>0.23472222222222222</v>
      </c>
      <c r="C869" t="s">
        <v>1343</v>
      </c>
      <c r="D869">
        <v>62</v>
      </c>
      <c r="E869" t="s">
        <v>812</v>
      </c>
    </row>
    <row r="870" spans="1:5" x14ac:dyDescent="0.25">
      <c r="A870" s="1">
        <v>45220</v>
      </c>
      <c r="B870" s="2">
        <v>0.46944444444444444</v>
      </c>
      <c r="C870" t="s">
        <v>1344</v>
      </c>
      <c r="D870">
        <v>17</v>
      </c>
      <c r="E870" t="s">
        <v>808</v>
      </c>
    </row>
    <row r="871" spans="1:5" x14ac:dyDescent="0.25">
      <c r="A871" s="1">
        <v>45200</v>
      </c>
      <c r="B871" s="2">
        <v>0.49305555555555558</v>
      </c>
      <c r="C871" t="s">
        <v>1344</v>
      </c>
      <c r="D871">
        <v>113</v>
      </c>
      <c r="E871" t="s">
        <v>807</v>
      </c>
    </row>
    <row r="872" spans="1:5" x14ac:dyDescent="0.25">
      <c r="A872" s="1">
        <v>45211</v>
      </c>
      <c r="B872" s="2">
        <v>0.7055555555555556</v>
      </c>
      <c r="C872" t="s">
        <v>1345</v>
      </c>
      <c r="D872">
        <v>95</v>
      </c>
      <c r="E872" t="s">
        <v>808</v>
      </c>
    </row>
    <row r="873" spans="1:5" x14ac:dyDescent="0.25">
      <c r="A873" s="1">
        <v>45207</v>
      </c>
      <c r="B873" s="2">
        <v>0.7729166666666667</v>
      </c>
      <c r="C873" t="s">
        <v>1345</v>
      </c>
      <c r="D873">
        <v>55</v>
      </c>
      <c r="E873" t="s">
        <v>808</v>
      </c>
    </row>
    <row r="874" spans="1:5" x14ac:dyDescent="0.25">
      <c r="A874" s="1">
        <v>45205</v>
      </c>
      <c r="B874" s="2">
        <v>0.89166666666666672</v>
      </c>
      <c r="C874" t="s">
        <v>1345</v>
      </c>
      <c r="D874">
        <v>45</v>
      </c>
      <c r="E874" t="s">
        <v>808</v>
      </c>
    </row>
    <row r="875" spans="1:5" x14ac:dyDescent="0.25">
      <c r="A875" s="1">
        <v>45203</v>
      </c>
      <c r="B875" s="2">
        <v>3.472222222222222E-3</v>
      </c>
      <c r="C875" t="s">
        <v>1346</v>
      </c>
      <c r="D875">
        <v>46</v>
      </c>
      <c r="E875" t="s">
        <v>808</v>
      </c>
    </row>
    <row r="876" spans="1:5" x14ac:dyDescent="0.25">
      <c r="A876" s="1">
        <v>45210</v>
      </c>
      <c r="B876" s="2">
        <v>0.80277777777777781</v>
      </c>
      <c r="C876" t="s">
        <v>1347</v>
      </c>
      <c r="D876">
        <v>9</v>
      </c>
      <c r="E876" t="s">
        <v>808</v>
      </c>
    </row>
    <row r="877" spans="1:5" x14ac:dyDescent="0.25">
      <c r="A877" s="1">
        <v>45221</v>
      </c>
      <c r="B877" s="2">
        <v>0.57847222222222228</v>
      </c>
      <c r="C877" t="s">
        <v>1347</v>
      </c>
      <c r="D877">
        <v>76</v>
      </c>
      <c r="E877" t="s">
        <v>812</v>
      </c>
    </row>
    <row r="878" spans="1:5" x14ac:dyDescent="0.25">
      <c r="A878" s="1">
        <v>45212</v>
      </c>
      <c r="B878" s="2">
        <v>0.77430555555555558</v>
      </c>
      <c r="C878" t="s">
        <v>1348</v>
      </c>
      <c r="D878">
        <v>33</v>
      </c>
      <c r="E878" t="s">
        <v>807</v>
      </c>
    </row>
    <row r="879" spans="1:5" x14ac:dyDescent="0.25">
      <c r="A879" s="1">
        <v>45218</v>
      </c>
      <c r="B879" s="2">
        <v>0.9916666666666667</v>
      </c>
      <c r="C879" t="s">
        <v>1349</v>
      </c>
      <c r="D879">
        <v>82</v>
      </c>
      <c r="E879" t="s">
        <v>807</v>
      </c>
    </row>
    <row r="880" spans="1:5" x14ac:dyDescent="0.25">
      <c r="A880" s="1">
        <v>45227</v>
      </c>
      <c r="B880" s="2">
        <v>0.91527777777777775</v>
      </c>
      <c r="C880" t="s">
        <v>1349</v>
      </c>
      <c r="D880">
        <v>26</v>
      </c>
      <c r="E880" t="s">
        <v>808</v>
      </c>
    </row>
    <row r="881" spans="1:5" x14ac:dyDescent="0.25">
      <c r="A881" s="1">
        <v>45207</v>
      </c>
      <c r="B881" s="2">
        <v>0.57916666666666672</v>
      </c>
      <c r="C881" t="s">
        <v>1349</v>
      </c>
      <c r="D881">
        <v>68</v>
      </c>
      <c r="E881" t="s">
        <v>807</v>
      </c>
    </row>
    <row r="882" spans="1:5" x14ac:dyDescent="0.25">
      <c r="A882" s="1">
        <v>45218</v>
      </c>
      <c r="B882" s="2">
        <v>0.28749999999999998</v>
      </c>
      <c r="C882" t="s">
        <v>1350</v>
      </c>
      <c r="D882">
        <v>71</v>
      </c>
      <c r="E882" t="s">
        <v>812</v>
      </c>
    </row>
    <row r="883" spans="1:5" x14ac:dyDescent="0.25">
      <c r="A883" s="1">
        <v>45214</v>
      </c>
      <c r="B883" s="2">
        <v>0.74097222222222225</v>
      </c>
      <c r="C883" t="s">
        <v>1351</v>
      </c>
      <c r="D883">
        <v>8</v>
      </c>
      <c r="E883" t="s">
        <v>807</v>
      </c>
    </row>
    <row r="884" spans="1:5" x14ac:dyDescent="0.25">
      <c r="A884" s="1">
        <v>45222</v>
      </c>
      <c r="B884" s="2">
        <v>0.35347222222222224</v>
      </c>
      <c r="C884" t="s">
        <v>1351</v>
      </c>
      <c r="D884">
        <v>101</v>
      </c>
      <c r="E884" t="s">
        <v>808</v>
      </c>
    </row>
    <row r="885" spans="1:5" x14ac:dyDescent="0.25">
      <c r="A885" s="1">
        <v>45223</v>
      </c>
      <c r="B885" s="2">
        <v>0.25208333333333333</v>
      </c>
      <c r="C885" t="s">
        <v>1351</v>
      </c>
      <c r="D885">
        <v>12</v>
      </c>
      <c r="E885" t="s">
        <v>808</v>
      </c>
    </row>
    <row r="886" spans="1:5" x14ac:dyDescent="0.25">
      <c r="A886" s="1">
        <v>45207</v>
      </c>
      <c r="B886" s="2">
        <v>0.47222222222222221</v>
      </c>
      <c r="C886" t="s">
        <v>1352</v>
      </c>
      <c r="D886">
        <v>30</v>
      </c>
      <c r="E886" t="s">
        <v>812</v>
      </c>
    </row>
    <row r="887" spans="1:5" x14ac:dyDescent="0.25">
      <c r="A887" s="1">
        <v>45226</v>
      </c>
      <c r="B887" s="2">
        <v>0.37777777777777777</v>
      </c>
      <c r="C887" t="s">
        <v>1353</v>
      </c>
      <c r="D887">
        <v>74</v>
      </c>
      <c r="E887" t="s">
        <v>812</v>
      </c>
    </row>
    <row r="888" spans="1:5" x14ac:dyDescent="0.25">
      <c r="A888" s="1">
        <v>45221</v>
      </c>
      <c r="B888" s="2">
        <v>0.5493055555555556</v>
      </c>
      <c r="C888" t="s">
        <v>1354</v>
      </c>
      <c r="D888">
        <v>39</v>
      </c>
      <c r="E888" t="s">
        <v>808</v>
      </c>
    </row>
    <row r="889" spans="1:5" x14ac:dyDescent="0.25">
      <c r="A889" s="1">
        <v>45207</v>
      </c>
      <c r="B889" s="2">
        <v>0.34236111111111112</v>
      </c>
      <c r="C889" t="s">
        <v>1355</v>
      </c>
      <c r="D889">
        <v>28</v>
      </c>
      <c r="E889" t="s">
        <v>807</v>
      </c>
    </row>
    <row r="890" spans="1:5" x14ac:dyDescent="0.25">
      <c r="A890" s="1">
        <v>45210</v>
      </c>
      <c r="B890" s="2">
        <v>0.83611111111111114</v>
      </c>
      <c r="C890" t="s">
        <v>1356</v>
      </c>
      <c r="D890">
        <v>25</v>
      </c>
      <c r="E890" t="s">
        <v>812</v>
      </c>
    </row>
    <row r="891" spans="1:5" x14ac:dyDescent="0.25">
      <c r="A891" s="1">
        <v>45210</v>
      </c>
      <c r="B891" s="2">
        <v>0.39166666666666666</v>
      </c>
      <c r="C891" t="s">
        <v>1357</v>
      </c>
      <c r="D891">
        <v>85</v>
      </c>
      <c r="E891" t="s">
        <v>808</v>
      </c>
    </row>
    <row r="892" spans="1:5" x14ac:dyDescent="0.25">
      <c r="A892" s="1">
        <v>45208</v>
      </c>
      <c r="B892" s="2">
        <v>7.2916666666666671E-2</v>
      </c>
      <c r="C892" t="s">
        <v>1357</v>
      </c>
      <c r="D892">
        <v>68</v>
      </c>
      <c r="E892" t="s">
        <v>807</v>
      </c>
    </row>
    <row r="893" spans="1:5" x14ac:dyDescent="0.25">
      <c r="A893" s="1">
        <v>45217</v>
      </c>
      <c r="B893" s="2">
        <v>0.89166666666666672</v>
      </c>
      <c r="C893" t="s">
        <v>1358</v>
      </c>
      <c r="D893">
        <v>108</v>
      </c>
      <c r="E893" t="s">
        <v>812</v>
      </c>
    </row>
    <row r="894" spans="1:5" x14ac:dyDescent="0.25">
      <c r="A894" s="1">
        <v>45211</v>
      </c>
      <c r="B894" s="2">
        <v>4.583333333333333E-2</v>
      </c>
      <c r="C894" t="s">
        <v>1358</v>
      </c>
      <c r="D894">
        <v>18</v>
      </c>
      <c r="E894" t="s">
        <v>812</v>
      </c>
    </row>
    <row r="895" spans="1:5" x14ac:dyDescent="0.25">
      <c r="A895" s="1">
        <v>45223</v>
      </c>
      <c r="B895" s="2">
        <v>0.75972222222222219</v>
      </c>
      <c r="C895" t="s">
        <v>1358</v>
      </c>
      <c r="D895">
        <v>78</v>
      </c>
      <c r="E895" t="s">
        <v>808</v>
      </c>
    </row>
    <row r="896" spans="1:5" x14ac:dyDescent="0.25">
      <c r="A896" s="1">
        <v>45222</v>
      </c>
      <c r="B896" s="2">
        <v>0.18888888888888888</v>
      </c>
      <c r="C896" t="s">
        <v>1358</v>
      </c>
      <c r="D896">
        <v>33</v>
      </c>
      <c r="E896" t="s">
        <v>807</v>
      </c>
    </row>
    <row r="897" spans="1:5" x14ac:dyDescent="0.25">
      <c r="A897" s="1">
        <v>45228</v>
      </c>
      <c r="B897" s="2">
        <v>0.56319444444444444</v>
      </c>
      <c r="C897" t="s">
        <v>1359</v>
      </c>
      <c r="D897">
        <v>44</v>
      </c>
      <c r="E897" t="s">
        <v>807</v>
      </c>
    </row>
    <row r="898" spans="1:5" x14ac:dyDescent="0.25">
      <c r="A898" s="1">
        <v>45224</v>
      </c>
      <c r="B898" s="2">
        <v>0.11527777777777778</v>
      </c>
      <c r="C898" t="s">
        <v>1359</v>
      </c>
      <c r="D898">
        <v>45</v>
      </c>
      <c r="E898" t="s">
        <v>808</v>
      </c>
    </row>
    <row r="899" spans="1:5" x14ac:dyDescent="0.25">
      <c r="A899" s="1">
        <v>45225</v>
      </c>
      <c r="B899" s="2">
        <v>0.94930555555555551</v>
      </c>
      <c r="C899" t="s">
        <v>1360</v>
      </c>
      <c r="D899">
        <v>117</v>
      </c>
      <c r="E899" t="s">
        <v>807</v>
      </c>
    </row>
    <row r="900" spans="1:5" x14ac:dyDescent="0.25">
      <c r="A900" s="1">
        <v>45221</v>
      </c>
      <c r="B900" s="2">
        <v>0.55902777777777779</v>
      </c>
      <c r="C900" t="s">
        <v>1361</v>
      </c>
      <c r="D900">
        <v>22</v>
      </c>
      <c r="E900" t="s">
        <v>807</v>
      </c>
    </row>
    <row r="901" spans="1:5" x14ac:dyDescent="0.25">
      <c r="A901" s="1">
        <v>45219</v>
      </c>
      <c r="B901" s="2">
        <v>0.10625</v>
      </c>
      <c r="C901" t="s">
        <v>1362</v>
      </c>
      <c r="D901">
        <v>87</v>
      </c>
      <c r="E901" t="s">
        <v>808</v>
      </c>
    </row>
    <row r="902" spans="1:5" x14ac:dyDescent="0.25">
      <c r="A902" s="1">
        <v>45213</v>
      </c>
      <c r="B902" s="2">
        <v>0.59305555555555556</v>
      </c>
      <c r="C902" t="s">
        <v>1362</v>
      </c>
      <c r="D902">
        <v>50</v>
      </c>
      <c r="E902" t="s">
        <v>812</v>
      </c>
    </row>
    <row r="903" spans="1:5" x14ac:dyDescent="0.25">
      <c r="A903" s="1">
        <v>45209</v>
      </c>
      <c r="B903" s="2">
        <v>0.89861111111111114</v>
      </c>
      <c r="C903" t="s">
        <v>1363</v>
      </c>
      <c r="D903">
        <v>29</v>
      </c>
      <c r="E903" t="s">
        <v>808</v>
      </c>
    </row>
    <row r="904" spans="1:5" x14ac:dyDescent="0.25">
      <c r="A904" s="1">
        <v>45208</v>
      </c>
      <c r="B904" s="2">
        <v>0.52847222222222223</v>
      </c>
      <c r="C904" t="s">
        <v>1363</v>
      </c>
      <c r="D904">
        <v>33</v>
      </c>
      <c r="E904" t="s">
        <v>808</v>
      </c>
    </row>
    <row r="905" spans="1:5" x14ac:dyDescent="0.25">
      <c r="A905" s="1">
        <v>45207</v>
      </c>
      <c r="B905" s="2">
        <v>0.14930555555555555</v>
      </c>
      <c r="C905" t="s">
        <v>1363</v>
      </c>
      <c r="D905">
        <v>101</v>
      </c>
      <c r="E905" t="s">
        <v>812</v>
      </c>
    </row>
    <row r="906" spans="1:5" x14ac:dyDescent="0.25">
      <c r="A906" s="1">
        <v>45230</v>
      </c>
      <c r="B906" s="2">
        <v>0.59513888888888888</v>
      </c>
      <c r="C906" t="s">
        <v>1364</v>
      </c>
      <c r="D906">
        <v>14</v>
      </c>
      <c r="E906" t="s">
        <v>807</v>
      </c>
    </row>
    <row r="907" spans="1:5" x14ac:dyDescent="0.25">
      <c r="A907" s="1">
        <v>45227</v>
      </c>
      <c r="B907" s="2">
        <v>0.8979166666666667</v>
      </c>
      <c r="C907" t="s">
        <v>1364</v>
      </c>
      <c r="D907">
        <v>61</v>
      </c>
      <c r="E907" t="s">
        <v>807</v>
      </c>
    </row>
    <row r="908" spans="1:5" x14ac:dyDescent="0.25">
      <c r="A908" s="1">
        <v>45217</v>
      </c>
      <c r="B908" s="2">
        <v>0.86319444444444449</v>
      </c>
      <c r="C908" t="s">
        <v>1365</v>
      </c>
      <c r="D908">
        <v>89</v>
      </c>
      <c r="E908" t="s">
        <v>807</v>
      </c>
    </row>
    <row r="909" spans="1:5" x14ac:dyDescent="0.25">
      <c r="A909" s="1">
        <v>45230</v>
      </c>
      <c r="B909" s="2">
        <v>0.84722222222222221</v>
      </c>
      <c r="C909" t="s">
        <v>1366</v>
      </c>
      <c r="D909">
        <v>58</v>
      </c>
      <c r="E909" t="s">
        <v>812</v>
      </c>
    </row>
    <row r="910" spans="1:5" x14ac:dyDescent="0.25">
      <c r="A910" s="1">
        <v>45207</v>
      </c>
      <c r="B910" s="2">
        <v>0.10277777777777777</v>
      </c>
      <c r="C910" t="s">
        <v>1366</v>
      </c>
      <c r="D910">
        <v>41</v>
      </c>
      <c r="E910" t="s">
        <v>807</v>
      </c>
    </row>
    <row r="911" spans="1:5" x14ac:dyDescent="0.25">
      <c r="A911" s="1">
        <v>45207</v>
      </c>
      <c r="B911" s="2">
        <v>0.61111111111111116</v>
      </c>
      <c r="C911" t="s">
        <v>1367</v>
      </c>
      <c r="D911">
        <v>107</v>
      </c>
      <c r="E911" t="s">
        <v>808</v>
      </c>
    </row>
    <row r="912" spans="1:5" x14ac:dyDescent="0.25">
      <c r="A912" s="1">
        <v>45220</v>
      </c>
      <c r="B912" s="2">
        <v>0.96875</v>
      </c>
      <c r="C912" t="s">
        <v>1367</v>
      </c>
      <c r="D912">
        <v>103</v>
      </c>
      <c r="E912" t="s">
        <v>807</v>
      </c>
    </row>
    <row r="913" spans="1:5" x14ac:dyDescent="0.25">
      <c r="A913" s="1">
        <v>45213</v>
      </c>
      <c r="B913" s="2">
        <v>0.1125</v>
      </c>
      <c r="C913" t="s">
        <v>1367</v>
      </c>
      <c r="D913">
        <v>93</v>
      </c>
      <c r="E913" t="s">
        <v>807</v>
      </c>
    </row>
    <row r="914" spans="1:5" x14ac:dyDescent="0.25">
      <c r="A914" s="1">
        <v>45221</v>
      </c>
      <c r="B914" s="2">
        <v>0.92847222222222225</v>
      </c>
      <c r="C914" t="s">
        <v>1368</v>
      </c>
      <c r="D914">
        <v>21</v>
      </c>
      <c r="E914" t="s">
        <v>807</v>
      </c>
    </row>
    <row r="915" spans="1:5" x14ac:dyDescent="0.25">
      <c r="A915" s="1">
        <v>45226</v>
      </c>
      <c r="B915" s="2">
        <v>7.7083333333333337E-2</v>
      </c>
      <c r="C915" t="s">
        <v>1368</v>
      </c>
      <c r="D915">
        <v>101</v>
      </c>
      <c r="E915" t="s">
        <v>807</v>
      </c>
    </row>
    <row r="916" spans="1:5" x14ac:dyDescent="0.25">
      <c r="A916" s="1">
        <v>45219</v>
      </c>
      <c r="B916" s="2">
        <v>0.82638888888888884</v>
      </c>
      <c r="C916" t="s">
        <v>1368</v>
      </c>
      <c r="D916">
        <v>93</v>
      </c>
      <c r="E916" t="s">
        <v>812</v>
      </c>
    </row>
    <row r="917" spans="1:5" x14ac:dyDescent="0.25">
      <c r="A917" s="1">
        <v>45221</v>
      </c>
      <c r="B917" s="2">
        <v>0.77500000000000002</v>
      </c>
      <c r="C917" t="s">
        <v>1369</v>
      </c>
      <c r="D917">
        <v>24</v>
      </c>
      <c r="E917" t="s">
        <v>807</v>
      </c>
    </row>
    <row r="918" spans="1:5" x14ac:dyDescent="0.25">
      <c r="A918" s="1">
        <v>45205</v>
      </c>
      <c r="B918" s="2">
        <v>0.52986111111111112</v>
      </c>
      <c r="C918" t="s">
        <v>1369</v>
      </c>
      <c r="D918">
        <v>74</v>
      </c>
      <c r="E918" t="s">
        <v>808</v>
      </c>
    </row>
    <row r="919" spans="1:5" x14ac:dyDescent="0.25">
      <c r="A919" s="1">
        <v>45230</v>
      </c>
      <c r="B919" s="2">
        <v>0.99791666666666667</v>
      </c>
      <c r="C919" t="s">
        <v>1370</v>
      </c>
      <c r="D919">
        <v>72</v>
      </c>
      <c r="E919" t="s">
        <v>812</v>
      </c>
    </row>
    <row r="920" spans="1:5" x14ac:dyDescent="0.25">
      <c r="A920" s="1">
        <v>45215</v>
      </c>
      <c r="B920" s="2">
        <v>1.6666666666666666E-2</v>
      </c>
      <c r="C920" t="s">
        <v>1371</v>
      </c>
      <c r="D920">
        <v>35</v>
      </c>
      <c r="E920" t="s">
        <v>808</v>
      </c>
    </row>
    <row r="921" spans="1:5" x14ac:dyDescent="0.25">
      <c r="A921" s="1">
        <v>45210</v>
      </c>
      <c r="B921" s="2">
        <v>0.97916666666666663</v>
      </c>
      <c r="C921" t="s">
        <v>1372</v>
      </c>
      <c r="D921">
        <v>114</v>
      </c>
      <c r="E921" t="s">
        <v>812</v>
      </c>
    </row>
    <row r="922" spans="1:5" x14ac:dyDescent="0.25">
      <c r="A922" s="1">
        <v>45226</v>
      </c>
      <c r="B922" s="2">
        <v>0.38819444444444445</v>
      </c>
      <c r="C922" t="s">
        <v>1373</v>
      </c>
      <c r="D922">
        <v>115</v>
      </c>
      <c r="E922" t="s">
        <v>812</v>
      </c>
    </row>
    <row r="923" spans="1:5" x14ac:dyDescent="0.25">
      <c r="A923" s="1">
        <v>45201</v>
      </c>
      <c r="B923" s="2">
        <v>0.51944444444444449</v>
      </c>
      <c r="C923" t="s">
        <v>1374</v>
      </c>
      <c r="D923">
        <v>113</v>
      </c>
      <c r="E923" t="s">
        <v>812</v>
      </c>
    </row>
    <row r="924" spans="1:5" x14ac:dyDescent="0.25">
      <c r="A924" s="1">
        <v>45209</v>
      </c>
      <c r="B924" s="2">
        <v>0.26874999999999999</v>
      </c>
      <c r="C924" t="s">
        <v>1374</v>
      </c>
      <c r="D924">
        <v>94</v>
      </c>
      <c r="E924" t="s">
        <v>808</v>
      </c>
    </row>
    <row r="925" spans="1:5" x14ac:dyDescent="0.25">
      <c r="A925" s="1">
        <v>45212</v>
      </c>
      <c r="B925" s="2">
        <v>0.14027777777777778</v>
      </c>
      <c r="C925" t="s">
        <v>1375</v>
      </c>
      <c r="D925">
        <v>19</v>
      </c>
      <c r="E925" t="s">
        <v>808</v>
      </c>
    </row>
    <row r="926" spans="1:5" x14ac:dyDescent="0.25">
      <c r="A926" s="1">
        <v>45211</v>
      </c>
      <c r="B926" s="2">
        <v>1.4583333333333334E-2</v>
      </c>
      <c r="C926" t="s">
        <v>1376</v>
      </c>
      <c r="D926">
        <v>7</v>
      </c>
      <c r="E926" t="s">
        <v>812</v>
      </c>
    </row>
    <row r="927" spans="1:5" x14ac:dyDescent="0.25">
      <c r="A927" s="1">
        <v>45230</v>
      </c>
      <c r="B927" s="2">
        <v>0.90625</v>
      </c>
      <c r="C927" t="s">
        <v>1376</v>
      </c>
      <c r="D927">
        <v>87</v>
      </c>
      <c r="E927" t="s">
        <v>807</v>
      </c>
    </row>
    <row r="928" spans="1:5" x14ac:dyDescent="0.25">
      <c r="A928" s="1">
        <v>45204</v>
      </c>
      <c r="B928" s="2">
        <v>0.98611111111111116</v>
      </c>
      <c r="C928" t="s">
        <v>1377</v>
      </c>
      <c r="D928">
        <v>76</v>
      </c>
      <c r="E928" t="s">
        <v>808</v>
      </c>
    </row>
    <row r="929" spans="1:5" x14ac:dyDescent="0.25">
      <c r="A929" s="1">
        <v>45210</v>
      </c>
      <c r="B929" s="2">
        <v>0.68958333333333333</v>
      </c>
      <c r="C929" t="s">
        <v>1377</v>
      </c>
      <c r="D929">
        <v>16</v>
      </c>
      <c r="E929" t="s">
        <v>807</v>
      </c>
    </row>
    <row r="930" spans="1:5" x14ac:dyDescent="0.25">
      <c r="A930" s="1">
        <v>45225</v>
      </c>
      <c r="B930" s="2">
        <v>0.55347222222222225</v>
      </c>
      <c r="C930" t="s">
        <v>1378</v>
      </c>
      <c r="D930">
        <v>120</v>
      </c>
      <c r="E930" t="s">
        <v>807</v>
      </c>
    </row>
    <row r="931" spans="1:5" x14ac:dyDescent="0.25">
      <c r="A931" s="1">
        <v>45211</v>
      </c>
      <c r="B931" s="2">
        <v>0.38263888888888886</v>
      </c>
      <c r="C931" t="s">
        <v>1379</v>
      </c>
      <c r="D931">
        <v>105</v>
      </c>
      <c r="E931" t="s">
        <v>807</v>
      </c>
    </row>
    <row r="932" spans="1:5" x14ac:dyDescent="0.25">
      <c r="A932" s="1">
        <v>45219</v>
      </c>
      <c r="B932" s="2">
        <v>0.95</v>
      </c>
      <c r="C932" t="s">
        <v>1379</v>
      </c>
      <c r="D932">
        <v>45</v>
      </c>
      <c r="E932" t="s">
        <v>812</v>
      </c>
    </row>
    <row r="933" spans="1:5" x14ac:dyDescent="0.25">
      <c r="A933" s="1">
        <v>45223</v>
      </c>
      <c r="B933" s="2">
        <v>0.45208333333333334</v>
      </c>
      <c r="C933" t="s">
        <v>1379</v>
      </c>
      <c r="D933">
        <v>117</v>
      </c>
      <c r="E933" t="s">
        <v>812</v>
      </c>
    </row>
    <row r="934" spans="1:5" x14ac:dyDescent="0.25">
      <c r="A934" s="1">
        <v>45221</v>
      </c>
      <c r="B934" s="2">
        <v>0.93194444444444446</v>
      </c>
      <c r="C934" t="s">
        <v>1380</v>
      </c>
      <c r="D934">
        <v>26</v>
      </c>
      <c r="E934" t="s">
        <v>807</v>
      </c>
    </row>
    <row r="935" spans="1:5" x14ac:dyDescent="0.25">
      <c r="A935" s="1">
        <v>45210</v>
      </c>
      <c r="B935" s="2">
        <v>0.36666666666666664</v>
      </c>
      <c r="C935" t="s">
        <v>1381</v>
      </c>
      <c r="D935">
        <v>67</v>
      </c>
      <c r="E935" t="s">
        <v>808</v>
      </c>
    </row>
    <row r="936" spans="1:5" x14ac:dyDescent="0.25">
      <c r="A936" s="1">
        <v>45223</v>
      </c>
      <c r="B936" s="2">
        <v>0.61111111111111116</v>
      </c>
      <c r="C936" t="s">
        <v>1381</v>
      </c>
      <c r="D936">
        <v>88</v>
      </c>
      <c r="E936" t="s">
        <v>807</v>
      </c>
    </row>
    <row r="937" spans="1:5" x14ac:dyDescent="0.25">
      <c r="A937" s="1">
        <v>45228</v>
      </c>
      <c r="B937" s="2">
        <v>0.74791666666666667</v>
      </c>
      <c r="C937" t="s">
        <v>1381</v>
      </c>
      <c r="D937">
        <v>27</v>
      </c>
      <c r="E937" t="s">
        <v>807</v>
      </c>
    </row>
    <row r="938" spans="1:5" x14ac:dyDescent="0.25">
      <c r="A938" s="1">
        <v>45222</v>
      </c>
      <c r="B938" s="2">
        <v>0.58472222222222225</v>
      </c>
      <c r="C938" t="s">
        <v>1382</v>
      </c>
      <c r="D938">
        <v>15</v>
      </c>
      <c r="E938" t="s">
        <v>812</v>
      </c>
    </row>
    <row r="939" spans="1:5" x14ac:dyDescent="0.25">
      <c r="A939" s="1">
        <v>45230</v>
      </c>
      <c r="B939" s="2">
        <v>0.6333333333333333</v>
      </c>
      <c r="C939" t="s">
        <v>1383</v>
      </c>
      <c r="D939">
        <v>34</v>
      </c>
      <c r="E939" t="s">
        <v>807</v>
      </c>
    </row>
    <row r="940" spans="1:5" x14ac:dyDescent="0.25">
      <c r="A940" s="1">
        <v>45226</v>
      </c>
      <c r="B940" s="2">
        <v>0.11597222222222223</v>
      </c>
      <c r="C940" t="s">
        <v>1383</v>
      </c>
      <c r="D940">
        <v>5</v>
      </c>
      <c r="E940" t="s">
        <v>812</v>
      </c>
    </row>
    <row r="941" spans="1:5" x14ac:dyDescent="0.25">
      <c r="A941" s="1">
        <v>45226</v>
      </c>
      <c r="B941" s="2">
        <v>0.9555555555555556</v>
      </c>
      <c r="C941" t="s">
        <v>1384</v>
      </c>
      <c r="D941">
        <v>20</v>
      </c>
      <c r="E941" t="s">
        <v>808</v>
      </c>
    </row>
    <row r="942" spans="1:5" x14ac:dyDescent="0.25">
      <c r="A942" s="1">
        <v>45225</v>
      </c>
      <c r="B942" s="2">
        <v>0.66041666666666665</v>
      </c>
      <c r="C942" t="s">
        <v>1385</v>
      </c>
      <c r="D942">
        <v>14</v>
      </c>
      <c r="E942" t="s">
        <v>807</v>
      </c>
    </row>
    <row r="943" spans="1:5" x14ac:dyDescent="0.25">
      <c r="A943" s="1">
        <v>45208</v>
      </c>
      <c r="B943" s="2">
        <v>4.7222222222222221E-2</v>
      </c>
      <c r="C943" t="s">
        <v>1385</v>
      </c>
      <c r="D943">
        <v>92</v>
      </c>
      <c r="E943" t="s">
        <v>812</v>
      </c>
    </row>
    <row r="944" spans="1:5" x14ac:dyDescent="0.25">
      <c r="A944" s="1">
        <v>45213</v>
      </c>
      <c r="B944" s="2">
        <v>0.21041666666666667</v>
      </c>
      <c r="C944" t="s">
        <v>1386</v>
      </c>
      <c r="D944">
        <v>28</v>
      </c>
      <c r="E944" t="s">
        <v>812</v>
      </c>
    </row>
    <row r="945" spans="1:5" x14ac:dyDescent="0.25">
      <c r="A945" s="1">
        <v>45203</v>
      </c>
      <c r="B945" s="2">
        <v>0.21388888888888888</v>
      </c>
      <c r="C945" t="s">
        <v>1387</v>
      </c>
      <c r="D945">
        <v>5</v>
      </c>
      <c r="E945" t="s">
        <v>807</v>
      </c>
    </row>
    <row r="946" spans="1:5" x14ac:dyDescent="0.25">
      <c r="A946" s="1">
        <v>45224</v>
      </c>
      <c r="B946" s="2">
        <v>0.19513888888888889</v>
      </c>
      <c r="C946" t="s">
        <v>1388</v>
      </c>
      <c r="D946">
        <v>81</v>
      </c>
      <c r="E946" t="s">
        <v>808</v>
      </c>
    </row>
    <row r="947" spans="1:5" x14ac:dyDescent="0.25">
      <c r="A947" s="1">
        <v>45218</v>
      </c>
      <c r="B947" s="2">
        <v>7.6388888888888886E-3</v>
      </c>
      <c r="C947" t="s">
        <v>1389</v>
      </c>
      <c r="D947">
        <v>44</v>
      </c>
      <c r="E947" t="s">
        <v>808</v>
      </c>
    </row>
    <row r="948" spans="1:5" x14ac:dyDescent="0.25">
      <c r="A948" s="1">
        <v>45217</v>
      </c>
      <c r="B948" s="2">
        <v>0.17499999999999999</v>
      </c>
      <c r="C948" t="s">
        <v>1389</v>
      </c>
      <c r="D948">
        <v>18</v>
      </c>
      <c r="E948" t="s">
        <v>812</v>
      </c>
    </row>
    <row r="949" spans="1:5" x14ac:dyDescent="0.25">
      <c r="A949" s="1">
        <v>45203</v>
      </c>
      <c r="B949" s="2">
        <v>0.22430555555555556</v>
      </c>
      <c r="C949" t="s">
        <v>1389</v>
      </c>
      <c r="D949">
        <v>102</v>
      </c>
      <c r="E949" t="s">
        <v>812</v>
      </c>
    </row>
    <row r="950" spans="1:5" x14ac:dyDescent="0.25">
      <c r="A950" s="1">
        <v>45211</v>
      </c>
      <c r="B950" s="2">
        <v>0.73333333333333328</v>
      </c>
      <c r="C950" t="s">
        <v>1390</v>
      </c>
      <c r="D950">
        <v>108</v>
      </c>
      <c r="E950" t="s">
        <v>808</v>
      </c>
    </row>
    <row r="951" spans="1:5" x14ac:dyDescent="0.25">
      <c r="A951" s="1">
        <v>45204</v>
      </c>
      <c r="B951" s="2">
        <v>0.20208333333333334</v>
      </c>
      <c r="C951" t="s">
        <v>1391</v>
      </c>
      <c r="D951">
        <v>10</v>
      </c>
      <c r="E951" t="s">
        <v>807</v>
      </c>
    </row>
    <row r="952" spans="1:5" x14ac:dyDescent="0.25">
      <c r="A952" s="1">
        <v>45223</v>
      </c>
      <c r="B952" s="2">
        <v>0.6479166666666667</v>
      </c>
      <c r="C952" t="s">
        <v>1392</v>
      </c>
      <c r="D952">
        <v>14</v>
      </c>
      <c r="E952" t="s">
        <v>812</v>
      </c>
    </row>
    <row r="953" spans="1:5" x14ac:dyDescent="0.25">
      <c r="A953" s="1">
        <v>45205</v>
      </c>
      <c r="B953" s="2">
        <v>0.58611111111111114</v>
      </c>
      <c r="C953" t="s">
        <v>1393</v>
      </c>
      <c r="D953">
        <v>89</v>
      </c>
      <c r="E953" t="s">
        <v>812</v>
      </c>
    </row>
    <row r="954" spans="1:5" x14ac:dyDescent="0.25">
      <c r="A954" s="1">
        <v>45217</v>
      </c>
      <c r="B954" s="2">
        <v>2.7777777777777776E-2</v>
      </c>
      <c r="C954" t="s">
        <v>1394</v>
      </c>
      <c r="D954">
        <v>54</v>
      </c>
      <c r="E954" t="s">
        <v>808</v>
      </c>
    </row>
    <row r="955" spans="1:5" x14ac:dyDescent="0.25">
      <c r="A955" s="1">
        <v>45224</v>
      </c>
      <c r="B955" s="2">
        <v>0.68333333333333335</v>
      </c>
      <c r="C955" t="s">
        <v>1394</v>
      </c>
      <c r="D955">
        <v>71</v>
      </c>
      <c r="E955" t="s">
        <v>807</v>
      </c>
    </row>
    <row r="956" spans="1:5" x14ac:dyDescent="0.25">
      <c r="A956" s="1">
        <v>45221</v>
      </c>
      <c r="B956" s="2">
        <v>9.5138888888888884E-2</v>
      </c>
      <c r="C956" t="s">
        <v>1395</v>
      </c>
      <c r="D956">
        <v>10</v>
      </c>
      <c r="E956" t="s">
        <v>808</v>
      </c>
    </row>
    <row r="957" spans="1:5" x14ac:dyDescent="0.25">
      <c r="A957" s="1">
        <v>45213</v>
      </c>
      <c r="B957" s="2">
        <v>0.4284722222222222</v>
      </c>
      <c r="C957" t="s">
        <v>1395</v>
      </c>
      <c r="D957">
        <v>101</v>
      </c>
      <c r="E957" t="s">
        <v>808</v>
      </c>
    </row>
    <row r="958" spans="1:5" x14ac:dyDescent="0.25">
      <c r="A958" s="1">
        <v>45204</v>
      </c>
      <c r="B958" s="2">
        <v>0.47152777777777777</v>
      </c>
      <c r="C958" t="s">
        <v>1396</v>
      </c>
      <c r="D958">
        <v>10</v>
      </c>
      <c r="E958" t="s">
        <v>807</v>
      </c>
    </row>
    <row r="959" spans="1:5" x14ac:dyDescent="0.25">
      <c r="A959" s="1">
        <v>45220</v>
      </c>
      <c r="B959" s="2">
        <v>0.45277777777777778</v>
      </c>
      <c r="C959" t="s">
        <v>1397</v>
      </c>
      <c r="D959">
        <v>35</v>
      </c>
      <c r="E959" t="s">
        <v>808</v>
      </c>
    </row>
    <row r="960" spans="1:5" x14ac:dyDescent="0.25">
      <c r="A960" s="1">
        <v>45226</v>
      </c>
      <c r="B960" s="2">
        <v>0.90625</v>
      </c>
      <c r="C960" t="s">
        <v>1397</v>
      </c>
      <c r="D960">
        <v>26</v>
      </c>
      <c r="E960" t="s">
        <v>808</v>
      </c>
    </row>
    <row r="961" spans="1:5" x14ac:dyDescent="0.25">
      <c r="A961" s="1">
        <v>45217</v>
      </c>
      <c r="B961" s="2">
        <v>0.10902777777777778</v>
      </c>
      <c r="C961" t="s">
        <v>1398</v>
      </c>
      <c r="D961">
        <v>59</v>
      </c>
      <c r="E961" t="s">
        <v>807</v>
      </c>
    </row>
    <row r="962" spans="1:5" x14ac:dyDescent="0.25">
      <c r="A962" s="1">
        <v>45217</v>
      </c>
      <c r="B962" s="2">
        <v>0.50902777777777775</v>
      </c>
      <c r="C962" t="s">
        <v>1398</v>
      </c>
      <c r="D962">
        <v>49</v>
      </c>
      <c r="E962" t="s">
        <v>807</v>
      </c>
    </row>
    <row r="963" spans="1:5" x14ac:dyDescent="0.25">
      <c r="A963" s="1">
        <v>45222</v>
      </c>
      <c r="B963" s="2">
        <v>0.77152777777777781</v>
      </c>
      <c r="C963" t="s">
        <v>1398</v>
      </c>
      <c r="D963">
        <v>53</v>
      </c>
      <c r="E963" t="s">
        <v>812</v>
      </c>
    </row>
    <row r="964" spans="1:5" x14ac:dyDescent="0.25">
      <c r="A964" s="1">
        <v>45204</v>
      </c>
      <c r="B964" s="2">
        <v>0.31458333333333333</v>
      </c>
      <c r="C964" t="s">
        <v>1399</v>
      </c>
      <c r="D964">
        <v>120</v>
      </c>
      <c r="E964" t="s">
        <v>808</v>
      </c>
    </row>
    <row r="965" spans="1:5" x14ac:dyDescent="0.25">
      <c r="A965" s="1">
        <v>45210</v>
      </c>
      <c r="B965" s="2">
        <v>5.1388888888888887E-2</v>
      </c>
      <c r="C965" t="s">
        <v>1400</v>
      </c>
      <c r="D965">
        <v>73</v>
      </c>
      <c r="E965" t="s">
        <v>807</v>
      </c>
    </row>
    <row r="966" spans="1:5" x14ac:dyDescent="0.25">
      <c r="A966" s="1">
        <v>45214</v>
      </c>
      <c r="B966" s="2">
        <v>0.43472222222222223</v>
      </c>
      <c r="C966" t="s">
        <v>1400</v>
      </c>
      <c r="D966">
        <v>61</v>
      </c>
      <c r="E966" t="s">
        <v>812</v>
      </c>
    </row>
    <row r="967" spans="1:5" x14ac:dyDescent="0.25">
      <c r="A967" s="1">
        <v>45228</v>
      </c>
      <c r="B967" s="2">
        <v>0.85347222222222219</v>
      </c>
      <c r="C967" t="s">
        <v>1400</v>
      </c>
      <c r="D967">
        <v>42</v>
      </c>
      <c r="E967" t="s">
        <v>807</v>
      </c>
    </row>
    <row r="968" spans="1:5" x14ac:dyDescent="0.25">
      <c r="A968" s="1">
        <v>45208</v>
      </c>
      <c r="B968" s="2">
        <v>0.19444444444444445</v>
      </c>
      <c r="C968" t="s">
        <v>1401</v>
      </c>
      <c r="D968">
        <v>98</v>
      </c>
      <c r="E968" t="s">
        <v>808</v>
      </c>
    </row>
    <row r="969" spans="1:5" x14ac:dyDescent="0.25">
      <c r="A969" s="1">
        <v>45209</v>
      </c>
      <c r="B969" s="2">
        <v>0.82430555555555551</v>
      </c>
      <c r="C969" t="s">
        <v>1402</v>
      </c>
      <c r="D969">
        <v>93</v>
      </c>
      <c r="E969" t="s">
        <v>812</v>
      </c>
    </row>
    <row r="970" spans="1:5" x14ac:dyDescent="0.25">
      <c r="A970" s="1">
        <v>45204</v>
      </c>
      <c r="B970" s="2">
        <v>0.81527777777777777</v>
      </c>
      <c r="C970" t="s">
        <v>1402</v>
      </c>
      <c r="D970">
        <v>71</v>
      </c>
      <c r="E970" t="s">
        <v>812</v>
      </c>
    </row>
    <row r="971" spans="1:5" x14ac:dyDescent="0.25">
      <c r="A971" s="1">
        <v>45221</v>
      </c>
      <c r="B971" s="2">
        <v>0.91041666666666665</v>
      </c>
      <c r="C971" t="s">
        <v>1402</v>
      </c>
      <c r="D971">
        <v>60</v>
      </c>
      <c r="E971" t="s">
        <v>808</v>
      </c>
    </row>
    <row r="972" spans="1:5" x14ac:dyDescent="0.25">
      <c r="A972" s="1">
        <v>45203</v>
      </c>
      <c r="B972" s="2">
        <v>0.25069444444444444</v>
      </c>
      <c r="C972" t="s">
        <v>1402</v>
      </c>
      <c r="D972">
        <v>49</v>
      </c>
      <c r="E972" t="s">
        <v>808</v>
      </c>
    </row>
    <row r="973" spans="1:5" x14ac:dyDescent="0.25">
      <c r="A973" s="1">
        <v>45210</v>
      </c>
      <c r="B973" s="2">
        <v>0.24722222222222223</v>
      </c>
      <c r="C973" t="s">
        <v>1403</v>
      </c>
      <c r="D973">
        <v>74</v>
      </c>
      <c r="E973" t="s">
        <v>807</v>
      </c>
    </row>
    <row r="974" spans="1:5" x14ac:dyDescent="0.25">
      <c r="A974" s="1">
        <v>45211</v>
      </c>
      <c r="B974" s="2">
        <v>0.2902777777777778</v>
      </c>
      <c r="C974" t="s">
        <v>1403</v>
      </c>
      <c r="D974">
        <v>73</v>
      </c>
      <c r="E974" t="s">
        <v>812</v>
      </c>
    </row>
    <row r="975" spans="1:5" x14ac:dyDescent="0.25">
      <c r="A975" s="1">
        <v>45227</v>
      </c>
      <c r="B975" s="2">
        <v>0.21111111111111111</v>
      </c>
      <c r="C975" t="s">
        <v>1404</v>
      </c>
      <c r="D975">
        <v>38</v>
      </c>
      <c r="E975" t="s">
        <v>807</v>
      </c>
    </row>
    <row r="976" spans="1:5" x14ac:dyDescent="0.25">
      <c r="A976" s="1">
        <v>45226</v>
      </c>
      <c r="B976" s="2">
        <v>0.16319444444444445</v>
      </c>
      <c r="C976" t="s">
        <v>1405</v>
      </c>
      <c r="D976">
        <v>36</v>
      </c>
      <c r="E976" t="s">
        <v>808</v>
      </c>
    </row>
    <row r="977" spans="1:5" x14ac:dyDescent="0.25">
      <c r="A977" s="1">
        <v>45225</v>
      </c>
      <c r="B977" s="2">
        <v>0.77986111111111112</v>
      </c>
      <c r="C977" t="s">
        <v>1406</v>
      </c>
      <c r="D977">
        <v>69</v>
      </c>
      <c r="E977" t="s">
        <v>808</v>
      </c>
    </row>
    <row r="978" spans="1:5" x14ac:dyDescent="0.25">
      <c r="A978" s="1">
        <v>45210</v>
      </c>
      <c r="B978" s="2">
        <v>0.56805555555555554</v>
      </c>
      <c r="C978" t="s">
        <v>1407</v>
      </c>
      <c r="D978">
        <v>96</v>
      </c>
      <c r="E978" t="s">
        <v>807</v>
      </c>
    </row>
    <row r="979" spans="1:5" x14ac:dyDescent="0.25">
      <c r="A979" s="1">
        <v>45214</v>
      </c>
      <c r="B979" s="2">
        <v>0.68402777777777779</v>
      </c>
      <c r="C979" t="s">
        <v>1408</v>
      </c>
      <c r="D979">
        <v>119</v>
      </c>
      <c r="E979" t="s">
        <v>812</v>
      </c>
    </row>
    <row r="980" spans="1:5" x14ac:dyDescent="0.25">
      <c r="A980" s="1">
        <v>45229</v>
      </c>
      <c r="B980" s="2">
        <v>0.73819444444444449</v>
      </c>
      <c r="C980" t="s">
        <v>1408</v>
      </c>
      <c r="D980">
        <v>36</v>
      </c>
      <c r="E980" t="s">
        <v>808</v>
      </c>
    </row>
    <row r="981" spans="1:5" x14ac:dyDescent="0.25">
      <c r="A981" s="1">
        <v>45216</v>
      </c>
      <c r="B981" s="2">
        <v>0.46041666666666664</v>
      </c>
      <c r="C981" t="s">
        <v>1409</v>
      </c>
      <c r="D981">
        <v>36</v>
      </c>
      <c r="E981" t="s">
        <v>812</v>
      </c>
    </row>
    <row r="982" spans="1:5" x14ac:dyDescent="0.25">
      <c r="A982" s="1">
        <v>45209</v>
      </c>
      <c r="B982" s="2">
        <v>0.67986111111111114</v>
      </c>
      <c r="C982" t="s">
        <v>1410</v>
      </c>
      <c r="D982">
        <v>115</v>
      </c>
      <c r="E982" t="s">
        <v>812</v>
      </c>
    </row>
    <row r="983" spans="1:5" x14ac:dyDescent="0.25">
      <c r="A983" s="1">
        <v>45228</v>
      </c>
      <c r="B983" s="2">
        <v>1.4583333333333334E-2</v>
      </c>
      <c r="C983" t="s">
        <v>1410</v>
      </c>
      <c r="D983">
        <v>98</v>
      </c>
      <c r="E983" t="s">
        <v>807</v>
      </c>
    </row>
    <row r="984" spans="1:5" x14ac:dyDescent="0.25">
      <c r="A984" s="1">
        <v>45205</v>
      </c>
      <c r="B984" s="2">
        <v>0.33680555555555558</v>
      </c>
      <c r="C984" t="s">
        <v>1411</v>
      </c>
      <c r="D984">
        <v>119</v>
      </c>
      <c r="E984" t="s">
        <v>812</v>
      </c>
    </row>
    <row r="985" spans="1:5" x14ac:dyDescent="0.25">
      <c r="A985" s="1">
        <v>45203</v>
      </c>
      <c r="B985" s="2">
        <v>0.65208333333333335</v>
      </c>
      <c r="C985" t="s">
        <v>1412</v>
      </c>
      <c r="D985">
        <v>65</v>
      </c>
      <c r="E985" t="s">
        <v>812</v>
      </c>
    </row>
    <row r="986" spans="1:5" x14ac:dyDescent="0.25">
      <c r="A986" s="1">
        <v>45207</v>
      </c>
      <c r="B986" s="2">
        <v>0.9555555555555556</v>
      </c>
      <c r="C986" t="s">
        <v>1412</v>
      </c>
      <c r="D986">
        <v>73</v>
      </c>
      <c r="E986" t="s">
        <v>808</v>
      </c>
    </row>
    <row r="987" spans="1:5" x14ac:dyDescent="0.25">
      <c r="A987" s="1">
        <v>45209</v>
      </c>
      <c r="B987" s="2">
        <v>1.6666666666666666E-2</v>
      </c>
      <c r="C987" t="s">
        <v>1413</v>
      </c>
      <c r="D987">
        <v>43</v>
      </c>
      <c r="E987" t="s">
        <v>807</v>
      </c>
    </row>
    <row r="988" spans="1:5" x14ac:dyDescent="0.25">
      <c r="A988" s="1">
        <v>45221</v>
      </c>
      <c r="B988" s="2">
        <v>0.38819444444444445</v>
      </c>
      <c r="C988" t="s">
        <v>1414</v>
      </c>
      <c r="D988">
        <v>64</v>
      </c>
      <c r="E988" t="s">
        <v>808</v>
      </c>
    </row>
    <row r="989" spans="1:5" x14ac:dyDescent="0.25">
      <c r="A989" s="1">
        <v>45213</v>
      </c>
      <c r="B989" s="2">
        <v>0.57777777777777772</v>
      </c>
      <c r="C989" t="s">
        <v>1415</v>
      </c>
      <c r="D989">
        <v>93</v>
      </c>
      <c r="E989" t="s">
        <v>808</v>
      </c>
    </row>
    <row r="990" spans="1:5" x14ac:dyDescent="0.25">
      <c r="A990" s="1">
        <v>45205</v>
      </c>
      <c r="B990" s="2">
        <v>0.8305555555555556</v>
      </c>
      <c r="C990" t="s">
        <v>1416</v>
      </c>
      <c r="D990">
        <v>52</v>
      </c>
      <c r="E990" t="s">
        <v>807</v>
      </c>
    </row>
    <row r="991" spans="1:5" x14ac:dyDescent="0.25">
      <c r="A991" s="1">
        <v>45214</v>
      </c>
      <c r="B991" s="2">
        <v>0.77430555555555558</v>
      </c>
      <c r="C991" t="s">
        <v>1417</v>
      </c>
      <c r="D991">
        <v>118</v>
      </c>
      <c r="E991" t="s">
        <v>807</v>
      </c>
    </row>
    <row r="992" spans="1:5" x14ac:dyDescent="0.25">
      <c r="A992" s="1">
        <v>45216</v>
      </c>
      <c r="B992" s="2">
        <v>0.76458333333333328</v>
      </c>
      <c r="C992" t="s">
        <v>1417</v>
      </c>
      <c r="D992">
        <v>53</v>
      </c>
      <c r="E992" t="s">
        <v>808</v>
      </c>
    </row>
    <row r="993" spans="1:5" x14ac:dyDescent="0.25">
      <c r="A993" s="1">
        <v>45227</v>
      </c>
      <c r="B993" s="2">
        <v>0.30902777777777779</v>
      </c>
      <c r="C993" t="s">
        <v>1417</v>
      </c>
      <c r="D993">
        <v>118</v>
      </c>
      <c r="E993" t="s">
        <v>812</v>
      </c>
    </row>
    <row r="994" spans="1:5" x14ac:dyDescent="0.25">
      <c r="A994" s="1">
        <v>45225</v>
      </c>
      <c r="B994" s="2">
        <v>0.6479166666666667</v>
      </c>
      <c r="C994" t="s">
        <v>1418</v>
      </c>
      <c r="D994">
        <v>49</v>
      </c>
      <c r="E994" t="s">
        <v>807</v>
      </c>
    </row>
    <row r="995" spans="1:5" x14ac:dyDescent="0.25">
      <c r="A995" s="1">
        <v>45221</v>
      </c>
      <c r="B995" s="2">
        <v>0.8618055555555556</v>
      </c>
      <c r="C995" t="s">
        <v>1419</v>
      </c>
      <c r="D995">
        <v>21</v>
      </c>
      <c r="E995" t="s">
        <v>808</v>
      </c>
    </row>
    <row r="996" spans="1:5" x14ac:dyDescent="0.25">
      <c r="A996" s="1">
        <v>45229</v>
      </c>
      <c r="B996" s="2">
        <v>0.44374999999999998</v>
      </c>
      <c r="C996" t="s">
        <v>1420</v>
      </c>
      <c r="D996">
        <v>5</v>
      </c>
      <c r="E996" t="s">
        <v>807</v>
      </c>
    </row>
    <row r="997" spans="1:5" x14ac:dyDescent="0.25">
      <c r="A997" s="1">
        <v>45203</v>
      </c>
      <c r="B997" s="2">
        <v>5.9027777777777776E-2</v>
      </c>
      <c r="C997" t="s">
        <v>1421</v>
      </c>
      <c r="D997">
        <v>49</v>
      </c>
      <c r="E997" t="s">
        <v>807</v>
      </c>
    </row>
    <row r="998" spans="1:5" x14ac:dyDescent="0.25">
      <c r="A998" s="1">
        <v>45224</v>
      </c>
      <c r="B998" s="2">
        <v>0.98819444444444449</v>
      </c>
      <c r="C998" t="s">
        <v>1421</v>
      </c>
      <c r="D998">
        <v>39</v>
      </c>
      <c r="E998" t="s">
        <v>807</v>
      </c>
    </row>
    <row r="999" spans="1:5" x14ac:dyDescent="0.25">
      <c r="A999" s="1">
        <v>45219</v>
      </c>
      <c r="B999" s="2">
        <v>0.79305555555555551</v>
      </c>
      <c r="C999" t="s">
        <v>1422</v>
      </c>
      <c r="D999">
        <v>9</v>
      </c>
      <c r="E999" t="s">
        <v>808</v>
      </c>
    </row>
    <row r="1000" spans="1:5" x14ac:dyDescent="0.25">
      <c r="A1000" s="1">
        <v>45230</v>
      </c>
      <c r="B1000" s="2">
        <v>0.72638888888888886</v>
      </c>
      <c r="C1000" t="s">
        <v>1422</v>
      </c>
      <c r="D1000">
        <v>19</v>
      </c>
      <c r="E1000" t="s">
        <v>808</v>
      </c>
    </row>
    <row r="1001" spans="1:5" x14ac:dyDescent="0.25">
      <c r="A1001" s="1">
        <v>45217</v>
      </c>
      <c r="B1001" s="2">
        <v>6.8750000000000006E-2</v>
      </c>
      <c r="C1001" t="s">
        <v>1422</v>
      </c>
      <c r="D1001">
        <v>77</v>
      </c>
      <c r="E1001" t="s">
        <v>812</v>
      </c>
    </row>
    <row r="1002" spans="1:5" x14ac:dyDescent="0.25">
      <c r="A1002" s="1">
        <v>45216</v>
      </c>
      <c r="B1002" s="2">
        <v>0.76041666666666663</v>
      </c>
      <c r="C1002" t="s">
        <v>1423</v>
      </c>
      <c r="D1002">
        <v>48</v>
      </c>
      <c r="E1002" t="s">
        <v>807</v>
      </c>
    </row>
    <row r="1003" spans="1:5" x14ac:dyDescent="0.25">
      <c r="A1003" s="1">
        <v>45227</v>
      </c>
      <c r="B1003" s="2">
        <v>3.3333333333333333E-2</v>
      </c>
      <c r="C1003" t="s">
        <v>1424</v>
      </c>
      <c r="D1003">
        <v>68</v>
      </c>
      <c r="E1003" t="s">
        <v>812</v>
      </c>
    </row>
    <row r="1004" spans="1:5" x14ac:dyDescent="0.25">
      <c r="A1004" s="1">
        <v>45225</v>
      </c>
      <c r="B1004" s="2">
        <v>0.62291666666666667</v>
      </c>
      <c r="C1004" t="s">
        <v>1425</v>
      </c>
      <c r="D1004">
        <v>86</v>
      </c>
      <c r="E1004" t="s">
        <v>807</v>
      </c>
    </row>
    <row r="1005" spans="1:5" x14ac:dyDescent="0.25">
      <c r="A1005" s="1">
        <v>45221</v>
      </c>
      <c r="B1005" s="2">
        <v>0.31319444444444444</v>
      </c>
      <c r="C1005" t="s">
        <v>1425</v>
      </c>
      <c r="D1005">
        <v>34</v>
      </c>
      <c r="E1005" t="s">
        <v>808</v>
      </c>
    </row>
    <row r="1006" spans="1:5" x14ac:dyDescent="0.25">
      <c r="A1006" s="1">
        <v>45200</v>
      </c>
      <c r="B1006" s="2">
        <v>7.8472222222222221E-2</v>
      </c>
      <c r="C1006" t="s">
        <v>1425</v>
      </c>
      <c r="D1006">
        <v>40</v>
      </c>
      <c r="E1006" t="s">
        <v>807</v>
      </c>
    </row>
    <row r="1007" spans="1:5" x14ac:dyDescent="0.25">
      <c r="A1007" s="1">
        <v>45211</v>
      </c>
      <c r="B1007" s="2">
        <v>0.22430555555555556</v>
      </c>
      <c r="C1007" t="s">
        <v>1426</v>
      </c>
      <c r="D1007">
        <v>37</v>
      </c>
      <c r="E1007" t="s">
        <v>807</v>
      </c>
    </row>
    <row r="1008" spans="1:5" x14ac:dyDescent="0.25">
      <c r="A1008" s="1">
        <v>45221</v>
      </c>
      <c r="B1008" s="2">
        <v>0.71736111111111112</v>
      </c>
      <c r="C1008" t="s">
        <v>1426</v>
      </c>
      <c r="D1008">
        <v>14</v>
      </c>
      <c r="E1008" t="s">
        <v>807</v>
      </c>
    </row>
    <row r="1009" spans="1:5" x14ac:dyDescent="0.25">
      <c r="A1009" s="1">
        <v>45222</v>
      </c>
      <c r="B1009" s="2">
        <v>0.4152777777777778</v>
      </c>
      <c r="C1009" t="s">
        <v>1427</v>
      </c>
      <c r="D1009">
        <v>73</v>
      </c>
      <c r="E1009" t="s">
        <v>807</v>
      </c>
    </row>
    <row r="1010" spans="1:5" x14ac:dyDescent="0.25">
      <c r="A1010" s="1">
        <v>45223</v>
      </c>
      <c r="B1010" s="2">
        <v>0.36527777777777776</v>
      </c>
      <c r="C1010" t="s">
        <v>1428</v>
      </c>
      <c r="D1010">
        <v>104</v>
      </c>
      <c r="E1010" t="s">
        <v>808</v>
      </c>
    </row>
    <row r="1011" spans="1:5" x14ac:dyDescent="0.25">
      <c r="A1011" s="1">
        <v>45203</v>
      </c>
      <c r="B1011" s="2">
        <v>0.51180555555555551</v>
      </c>
      <c r="C1011" t="s">
        <v>1429</v>
      </c>
      <c r="D1011">
        <v>64</v>
      </c>
      <c r="E1011" t="s">
        <v>812</v>
      </c>
    </row>
    <row r="1012" spans="1:5" x14ac:dyDescent="0.25">
      <c r="A1012" s="1">
        <v>45220</v>
      </c>
      <c r="B1012" s="2">
        <v>0.20694444444444443</v>
      </c>
      <c r="C1012" t="s">
        <v>1430</v>
      </c>
      <c r="D1012">
        <v>25</v>
      </c>
      <c r="E1012" t="s">
        <v>807</v>
      </c>
    </row>
    <row r="1013" spans="1:5" x14ac:dyDescent="0.25">
      <c r="A1013" s="1">
        <v>45219</v>
      </c>
      <c r="B1013" s="2">
        <v>0.9291666666666667</v>
      </c>
      <c r="C1013" t="s">
        <v>1431</v>
      </c>
      <c r="D1013">
        <v>115</v>
      </c>
      <c r="E1013" t="s">
        <v>807</v>
      </c>
    </row>
    <row r="1014" spans="1:5" x14ac:dyDescent="0.25">
      <c r="A1014" s="1">
        <v>45218</v>
      </c>
      <c r="B1014" s="2">
        <v>0.63194444444444442</v>
      </c>
      <c r="C1014" t="s">
        <v>1432</v>
      </c>
      <c r="D1014">
        <v>42</v>
      </c>
      <c r="E1014" t="s">
        <v>808</v>
      </c>
    </row>
    <row r="1015" spans="1:5" x14ac:dyDescent="0.25">
      <c r="A1015" s="1">
        <v>45208</v>
      </c>
      <c r="B1015" s="2">
        <v>0.86388888888888893</v>
      </c>
      <c r="C1015" t="s">
        <v>1432</v>
      </c>
      <c r="D1015">
        <v>92</v>
      </c>
      <c r="E1015" t="s">
        <v>807</v>
      </c>
    </row>
    <row r="1016" spans="1:5" x14ac:dyDescent="0.25">
      <c r="A1016" s="1">
        <v>45214</v>
      </c>
      <c r="B1016" s="2">
        <v>0.93125000000000002</v>
      </c>
      <c r="C1016" t="s">
        <v>1433</v>
      </c>
      <c r="D1016">
        <v>81</v>
      </c>
      <c r="E1016" t="s">
        <v>808</v>
      </c>
    </row>
    <row r="1017" spans="1:5" x14ac:dyDescent="0.25">
      <c r="A1017" s="1">
        <v>45220</v>
      </c>
      <c r="B1017" s="2">
        <v>0.36805555555555558</v>
      </c>
      <c r="C1017" t="s">
        <v>1433</v>
      </c>
      <c r="D1017">
        <v>47</v>
      </c>
      <c r="E1017" t="s">
        <v>812</v>
      </c>
    </row>
    <row r="1018" spans="1:5" x14ac:dyDescent="0.25">
      <c r="A1018" s="1">
        <v>45210</v>
      </c>
      <c r="B1018" s="2">
        <v>0.92152777777777772</v>
      </c>
      <c r="C1018" t="s">
        <v>1433</v>
      </c>
      <c r="D1018">
        <v>86</v>
      </c>
      <c r="E1018" t="s">
        <v>808</v>
      </c>
    </row>
    <row r="1019" spans="1:5" x14ac:dyDescent="0.25">
      <c r="A1019" s="1">
        <v>45212</v>
      </c>
      <c r="B1019" s="2">
        <v>0.11527777777777778</v>
      </c>
      <c r="C1019" t="s">
        <v>1434</v>
      </c>
      <c r="D1019">
        <v>15</v>
      </c>
      <c r="E1019" t="s">
        <v>808</v>
      </c>
    </row>
    <row r="1020" spans="1:5" x14ac:dyDescent="0.25">
      <c r="A1020" s="1">
        <v>45229</v>
      </c>
      <c r="B1020" s="2">
        <v>0.67013888888888884</v>
      </c>
      <c r="C1020" t="s">
        <v>1434</v>
      </c>
      <c r="D1020">
        <v>41</v>
      </c>
      <c r="E1020" t="s">
        <v>812</v>
      </c>
    </row>
    <row r="1021" spans="1:5" x14ac:dyDescent="0.25">
      <c r="A1021" s="1">
        <v>45216</v>
      </c>
      <c r="B1021" s="2">
        <v>0.46388888888888891</v>
      </c>
      <c r="C1021" t="s">
        <v>1434</v>
      </c>
      <c r="D1021">
        <v>58</v>
      </c>
      <c r="E1021" t="s">
        <v>807</v>
      </c>
    </row>
    <row r="1022" spans="1:5" x14ac:dyDescent="0.25">
      <c r="A1022" s="1">
        <v>45201</v>
      </c>
      <c r="B1022" s="2">
        <v>0.78055555555555556</v>
      </c>
      <c r="C1022" t="s">
        <v>1435</v>
      </c>
      <c r="D1022">
        <v>15</v>
      </c>
      <c r="E1022" t="s">
        <v>807</v>
      </c>
    </row>
    <row r="1023" spans="1:5" x14ac:dyDescent="0.25">
      <c r="A1023" s="1">
        <v>45225</v>
      </c>
      <c r="B1023" s="2">
        <v>5.4166666666666669E-2</v>
      </c>
      <c r="C1023" t="s">
        <v>1436</v>
      </c>
      <c r="D1023">
        <v>38</v>
      </c>
      <c r="E1023" t="s">
        <v>812</v>
      </c>
    </row>
    <row r="1024" spans="1:5" x14ac:dyDescent="0.25">
      <c r="A1024" s="1">
        <v>45209</v>
      </c>
      <c r="B1024" s="2">
        <v>0.94097222222222221</v>
      </c>
      <c r="C1024" t="s">
        <v>1437</v>
      </c>
      <c r="D1024">
        <v>30</v>
      </c>
      <c r="E1024" t="s">
        <v>812</v>
      </c>
    </row>
    <row r="1025" spans="1:5" x14ac:dyDescent="0.25">
      <c r="A1025" s="1">
        <v>45203</v>
      </c>
      <c r="B1025" s="2">
        <v>0.88402777777777775</v>
      </c>
      <c r="C1025" t="s">
        <v>1437</v>
      </c>
      <c r="D1025">
        <v>116</v>
      </c>
      <c r="E1025" t="s">
        <v>808</v>
      </c>
    </row>
    <row r="1026" spans="1:5" x14ac:dyDescent="0.25">
      <c r="A1026" s="1">
        <v>45208</v>
      </c>
      <c r="B1026" s="2">
        <v>0.52986111111111112</v>
      </c>
      <c r="C1026" t="s">
        <v>1438</v>
      </c>
      <c r="D1026">
        <v>72</v>
      </c>
      <c r="E1026" t="s">
        <v>812</v>
      </c>
    </row>
    <row r="1027" spans="1:5" x14ac:dyDescent="0.25">
      <c r="A1027" s="1">
        <v>45230</v>
      </c>
      <c r="B1027" s="2">
        <v>0.63888888888888884</v>
      </c>
      <c r="C1027" t="s">
        <v>1439</v>
      </c>
      <c r="D1027">
        <v>77</v>
      </c>
      <c r="E1027" t="s">
        <v>808</v>
      </c>
    </row>
    <row r="1028" spans="1:5" x14ac:dyDescent="0.25">
      <c r="A1028" s="1">
        <v>45211</v>
      </c>
      <c r="B1028" s="2">
        <v>0.33750000000000002</v>
      </c>
      <c r="C1028" t="s">
        <v>1440</v>
      </c>
      <c r="D1028">
        <v>88</v>
      </c>
      <c r="E1028" t="s">
        <v>808</v>
      </c>
    </row>
    <row r="1029" spans="1:5" x14ac:dyDescent="0.25">
      <c r="A1029" s="1">
        <v>45205</v>
      </c>
      <c r="B1029" s="2">
        <v>0.10277777777777777</v>
      </c>
      <c r="C1029" t="s">
        <v>1441</v>
      </c>
      <c r="D1029">
        <v>84</v>
      </c>
      <c r="E1029" t="s">
        <v>812</v>
      </c>
    </row>
    <row r="1030" spans="1:5" x14ac:dyDescent="0.25">
      <c r="A1030" s="1">
        <v>45219</v>
      </c>
      <c r="B1030" s="2">
        <v>0.99791666666666667</v>
      </c>
      <c r="C1030" t="s">
        <v>1442</v>
      </c>
      <c r="D1030">
        <v>102</v>
      </c>
      <c r="E1030" t="s">
        <v>808</v>
      </c>
    </row>
    <row r="1031" spans="1:5" x14ac:dyDescent="0.25">
      <c r="A1031" s="1">
        <v>45201</v>
      </c>
      <c r="B1031" s="2">
        <v>0.67013888888888884</v>
      </c>
      <c r="C1031" t="s">
        <v>1442</v>
      </c>
      <c r="D1031">
        <v>22</v>
      </c>
      <c r="E1031" t="s">
        <v>812</v>
      </c>
    </row>
    <row r="1032" spans="1:5" x14ac:dyDescent="0.25">
      <c r="A1032" s="1">
        <v>45225</v>
      </c>
      <c r="B1032" s="2">
        <v>0.17708333333333334</v>
      </c>
      <c r="C1032" t="s">
        <v>1443</v>
      </c>
      <c r="D1032">
        <v>36</v>
      </c>
      <c r="E1032" t="s">
        <v>812</v>
      </c>
    </row>
    <row r="1033" spans="1:5" x14ac:dyDescent="0.25">
      <c r="A1033" s="1">
        <v>45215</v>
      </c>
      <c r="B1033" s="2">
        <v>0.67291666666666672</v>
      </c>
      <c r="C1033" t="s">
        <v>1444</v>
      </c>
      <c r="D1033">
        <v>117</v>
      </c>
      <c r="E1033" t="s">
        <v>812</v>
      </c>
    </row>
    <row r="1034" spans="1:5" x14ac:dyDescent="0.25">
      <c r="A1034" s="1">
        <v>45207</v>
      </c>
      <c r="B1034" s="2">
        <v>0.98263888888888884</v>
      </c>
      <c r="C1034" t="s">
        <v>1444</v>
      </c>
      <c r="D1034">
        <v>25</v>
      </c>
      <c r="E1034" t="s">
        <v>812</v>
      </c>
    </row>
    <row r="1035" spans="1:5" x14ac:dyDescent="0.25">
      <c r="A1035" s="1">
        <v>45201</v>
      </c>
      <c r="B1035" s="2">
        <v>0.35</v>
      </c>
      <c r="C1035" t="s">
        <v>1445</v>
      </c>
      <c r="D1035">
        <v>73</v>
      </c>
      <c r="E1035" t="s">
        <v>807</v>
      </c>
    </row>
    <row r="1036" spans="1:5" x14ac:dyDescent="0.25">
      <c r="A1036" s="1">
        <v>45217</v>
      </c>
      <c r="B1036" s="2">
        <v>0.81874999999999998</v>
      </c>
      <c r="C1036" t="s">
        <v>1445</v>
      </c>
      <c r="D1036">
        <v>100</v>
      </c>
      <c r="E1036" t="s">
        <v>807</v>
      </c>
    </row>
    <row r="1037" spans="1:5" x14ac:dyDescent="0.25">
      <c r="A1037" s="1">
        <v>45202</v>
      </c>
      <c r="B1037" s="2">
        <v>0.28958333333333336</v>
      </c>
      <c r="C1037" t="s">
        <v>1445</v>
      </c>
      <c r="D1037">
        <v>103</v>
      </c>
      <c r="E1037" t="s">
        <v>808</v>
      </c>
    </row>
    <row r="1038" spans="1:5" x14ac:dyDescent="0.25">
      <c r="A1038" s="1">
        <v>45217</v>
      </c>
      <c r="B1038" s="2">
        <v>0.70138888888888884</v>
      </c>
      <c r="C1038" t="s">
        <v>1445</v>
      </c>
      <c r="D1038">
        <v>71</v>
      </c>
      <c r="E1038" t="s">
        <v>808</v>
      </c>
    </row>
    <row r="1039" spans="1:5" x14ac:dyDescent="0.25">
      <c r="A1039" s="1">
        <v>45205</v>
      </c>
      <c r="B1039" s="2">
        <v>0.76875000000000004</v>
      </c>
      <c r="C1039" t="s">
        <v>1446</v>
      </c>
      <c r="D1039">
        <v>36</v>
      </c>
      <c r="E1039" t="s">
        <v>807</v>
      </c>
    </row>
    <row r="1040" spans="1:5" x14ac:dyDescent="0.25">
      <c r="A1040" s="1">
        <v>45203</v>
      </c>
      <c r="B1040" s="2">
        <v>0.81041666666666667</v>
      </c>
      <c r="C1040" t="s">
        <v>1447</v>
      </c>
      <c r="D1040">
        <v>78</v>
      </c>
      <c r="E1040" t="s">
        <v>812</v>
      </c>
    </row>
    <row r="1041" spans="1:5" x14ac:dyDescent="0.25">
      <c r="A1041" s="1">
        <v>45213</v>
      </c>
      <c r="B1041" s="2">
        <v>0.58472222222222225</v>
      </c>
      <c r="C1041" t="s">
        <v>1448</v>
      </c>
      <c r="D1041">
        <v>35</v>
      </c>
      <c r="E1041" t="s">
        <v>808</v>
      </c>
    </row>
    <row r="1042" spans="1:5" x14ac:dyDescent="0.25">
      <c r="A1042" s="1">
        <v>45225</v>
      </c>
      <c r="B1042" s="2">
        <v>0.8881944444444444</v>
      </c>
      <c r="C1042" t="s">
        <v>1449</v>
      </c>
      <c r="D1042">
        <v>87</v>
      </c>
      <c r="E1042" t="s">
        <v>812</v>
      </c>
    </row>
    <row r="1043" spans="1:5" x14ac:dyDescent="0.25">
      <c r="A1043" s="1">
        <v>45226</v>
      </c>
      <c r="B1043" s="2">
        <v>0.89513888888888893</v>
      </c>
      <c r="C1043" t="s">
        <v>1450</v>
      </c>
      <c r="D1043">
        <v>42</v>
      </c>
      <c r="E1043" t="s">
        <v>807</v>
      </c>
    </row>
    <row r="1044" spans="1:5" x14ac:dyDescent="0.25">
      <c r="A1044" s="1">
        <v>45223</v>
      </c>
      <c r="B1044" s="2">
        <v>0.51388888888888884</v>
      </c>
      <c r="C1044" t="s">
        <v>1450</v>
      </c>
      <c r="D1044">
        <v>109</v>
      </c>
      <c r="E1044" t="s">
        <v>808</v>
      </c>
    </row>
    <row r="1045" spans="1:5" x14ac:dyDescent="0.25">
      <c r="A1045" s="1">
        <v>45208</v>
      </c>
      <c r="B1045" s="2">
        <v>0.49444444444444446</v>
      </c>
      <c r="C1045" t="s">
        <v>1450</v>
      </c>
      <c r="D1045">
        <v>59</v>
      </c>
      <c r="E1045" t="s">
        <v>808</v>
      </c>
    </row>
    <row r="1046" spans="1:5" x14ac:dyDescent="0.25">
      <c r="A1046" s="1">
        <v>45204</v>
      </c>
      <c r="B1046" s="2">
        <v>0.96250000000000002</v>
      </c>
      <c r="C1046" t="s">
        <v>1451</v>
      </c>
      <c r="D1046">
        <v>100</v>
      </c>
      <c r="E1046" t="s">
        <v>808</v>
      </c>
    </row>
    <row r="1047" spans="1:5" x14ac:dyDescent="0.25">
      <c r="A1047" s="1">
        <v>45224</v>
      </c>
      <c r="B1047" s="2">
        <v>0.37847222222222221</v>
      </c>
      <c r="C1047" t="s">
        <v>1451</v>
      </c>
      <c r="D1047">
        <v>53</v>
      </c>
      <c r="E1047" t="s">
        <v>812</v>
      </c>
    </row>
    <row r="1048" spans="1:5" x14ac:dyDescent="0.25">
      <c r="A1048" s="1">
        <v>45202</v>
      </c>
      <c r="B1048" s="2">
        <v>0.48749999999999999</v>
      </c>
      <c r="C1048" t="s">
        <v>1452</v>
      </c>
      <c r="D1048">
        <v>22</v>
      </c>
      <c r="E1048" t="s">
        <v>812</v>
      </c>
    </row>
    <row r="1049" spans="1:5" x14ac:dyDescent="0.25">
      <c r="A1049" s="1">
        <v>45219</v>
      </c>
      <c r="B1049" s="2">
        <v>0.90763888888888888</v>
      </c>
      <c r="C1049" t="s">
        <v>1453</v>
      </c>
      <c r="D1049">
        <v>92</v>
      </c>
      <c r="E1049" t="s">
        <v>808</v>
      </c>
    </row>
    <row r="1050" spans="1:5" x14ac:dyDescent="0.25">
      <c r="A1050" s="1">
        <v>45206</v>
      </c>
      <c r="B1050" s="2">
        <v>0.47222222222222221</v>
      </c>
      <c r="C1050" t="s">
        <v>1454</v>
      </c>
      <c r="D1050">
        <v>69</v>
      </c>
      <c r="E1050" t="s">
        <v>812</v>
      </c>
    </row>
    <row r="1051" spans="1:5" x14ac:dyDescent="0.25">
      <c r="A1051" s="1">
        <v>45209</v>
      </c>
      <c r="B1051" s="2">
        <v>0.90763888888888888</v>
      </c>
      <c r="C1051" t="s">
        <v>1455</v>
      </c>
      <c r="D1051">
        <v>99</v>
      </c>
      <c r="E1051" t="s">
        <v>812</v>
      </c>
    </row>
    <row r="1052" spans="1:5" x14ac:dyDescent="0.25">
      <c r="A1052" s="1">
        <v>45209</v>
      </c>
      <c r="B1052" s="2">
        <v>0.53125</v>
      </c>
      <c r="C1052" t="s">
        <v>1456</v>
      </c>
      <c r="D1052">
        <v>63</v>
      </c>
      <c r="E1052" t="s">
        <v>807</v>
      </c>
    </row>
    <row r="1053" spans="1:5" x14ac:dyDescent="0.25">
      <c r="A1053" s="1">
        <v>45225</v>
      </c>
      <c r="B1053" s="2">
        <v>0.21319444444444444</v>
      </c>
      <c r="C1053" t="s">
        <v>1457</v>
      </c>
      <c r="D1053">
        <v>35</v>
      </c>
      <c r="E1053" t="s">
        <v>812</v>
      </c>
    </row>
    <row r="1054" spans="1:5" x14ac:dyDescent="0.25">
      <c r="A1054" s="1">
        <v>45216</v>
      </c>
      <c r="B1054" s="2">
        <v>0.27430555555555558</v>
      </c>
      <c r="C1054" t="s">
        <v>1458</v>
      </c>
      <c r="D1054">
        <v>30</v>
      </c>
      <c r="E1054" t="s">
        <v>808</v>
      </c>
    </row>
    <row r="1055" spans="1:5" x14ac:dyDescent="0.25">
      <c r="A1055" s="1">
        <v>45224</v>
      </c>
      <c r="B1055" s="2">
        <v>0.77500000000000002</v>
      </c>
      <c r="C1055" t="s">
        <v>1458</v>
      </c>
      <c r="D1055">
        <v>107</v>
      </c>
      <c r="E1055" t="s">
        <v>812</v>
      </c>
    </row>
    <row r="1056" spans="1:5" x14ac:dyDescent="0.25">
      <c r="A1056" s="1">
        <v>45230</v>
      </c>
      <c r="B1056" s="2">
        <v>0.50277777777777777</v>
      </c>
      <c r="C1056" t="s">
        <v>1458</v>
      </c>
      <c r="D1056">
        <v>99</v>
      </c>
      <c r="E1056" t="s">
        <v>807</v>
      </c>
    </row>
    <row r="1057" spans="1:5" x14ac:dyDescent="0.25">
      <c r="A1057" s="1">
        <v>45226</v>
      </c>
      <c r="B1057" s="2">
        <v>0.65972222222222221</v>
      </c>
      <c r="C1057" t="s">
        <v>1459</v>
      </c>
      <c r="D1057">
        <v>65</v>
      </c>
      <c r="E1057" t="s">
        <v>808</v>
      </c>
    </row>
    <row r="1058" spans="1:5" x14ac:dyDescent="0.25">
      <c r="A1058" s="1">
        <v>45201</v>
      </c>
      <c r="B1058" s="2">
        <v>5.7638888888888892E-2</v>
      </c>
      <c r="C1058" t="s">
        <v>1459</v>
      </c>
      <c r="D1058">
        <v>103</v>
      </c>
      <c r="E1058" t="s">
        <v>807</v>
      </c>
    </row>
    <row r="1059" spans="1:5" x14ac:dyDescent="0.25">
      <c r="A1059" s="1">
        <v>45201</v>
      </c>
      <c r="B1059" s="2">
        <v>0.86736111111111114</v>
      </c>
      <c r="C1059" t="s">
        <v>1460</v>
      </c>
      <c r="D1059">
        <v>18</v>
      </c>
      <c r="E1059" t="s">
        <v>807</v>
      </c>
    </row>
    <row r="1060" spans="1:5" x14ac:dyDescent="0.25">
      <c r="A1060" s="1">
        <v>45220</v>
      </c>
      <c r="B1060" s="2">
        <v>0.84791666666666665</v>
      </c>
      <c r="C1060" t="s">
        <v>1460</v>
      </c>
      <c r="D1060">
        <v>103</v>
      </c>
      <c r="E1060" t="s">
        <v>807</v>
      </c>
    </row>
    <row r="1061" spans="1:5" x14ac:dyDescent="0.25">
      <c r="A1061" s="1">
        <v>45207</v>
      </c>
      <c r="B1061" s="2">
        <v>0.14027777777777778</v>
      </c>
      <c r="C1061" t="s">
        <v>1460</v>
      </c>
      <c r="D1061">
        <v>46</v>
      </c>
      <c r="E1061" t="s">
        <v>808</v>
      </c>
    </row>
    <row r="1062" spans="1:5" x14ac:dyDescent="0.25">
      <c r="A1062" s="1">
        <v>45215</v>
      </c>
      <c r="B1062" s="2">
        <v>0.37291666666666667</v>
      </c>
      <c r="C1062" t="s">
        <v>1460</v>
      </c>
      <c r="D1062">
        <v>70</v>
      </c>
      <c r="E1062" t="s">
        <v>808</v>
      </c>
    </row>
    <row r="1063" spans="1:5" x14ac:dyDescent="0.25">
      <c r="A1063" s="1">
        <v>45209</v>
      </c>
      <c r="B1063" s="2">
        <v>0.8520833333333333</v>
      </c>
      <c r="C1063" t="s">
        <v>1461</v>
      </c>
      <c r="D1063">
        <v>91</v>
      </c>
      <c r="E1063" t="s">
        <v>812</v>
      </c>
    </row>
    <row r="1064" spans="1:5" x14ac:dyDescent="0.25">
      <c r="A1064" s="1">
        <v>45205</v>
      </c>
      <c r="B1064" s="2">
        <v>0.34513888888888888</v>
      </c>
      <c r="C1064" t="s">
        <v>1462</v>
      </c>
      <c r="D1064">
        <v>109</v>
      </c>
      <c r="E1064" t="s">
        <v>808</v>
      </c>
    </row>
    <row r="1065" spans="1:5" x14ac:dyDescent="0.25">
      <c r="A1065" s="1">
        <v>45226</v>
      </c>
      <c r="B1065" s="2">
        <v>0.10069444444444445</v>
      </c>
      <c r="C1065" t="s">
        <v>1462</v>
      </c>
      <c r="D1065">
        <v>110</v>
      </c>
      <c r="E1065" t="s">
        <v>808</v>
      </c>
    </row>
    <row r="1066" spans="1:5" x14ac:dyDescent="0.25">
      <c r="A1066" s="1">
        <v>45222</v>
      </c>
      <c r="B1066" s="2">
        <v>0.90277777777777779</v>
      </c>
      <c r="C1066" t="s">
        <v>1463</v>
      </c>
      <c r="D1066">
        <v>31</v>
      </c>
      <c r="E1066" t="s">
        <v>812</v>
      </c>
    </row>
    <row r="1067" spans="1:5" x14ac:dyDescent="0.25">
      <c r="A1067" s="1">
        <v>45213</v>
      </c>
      <c r="B1067" s="2">
        <v>0.77986111111111112</v>
      </c>
      <c r="C1067" t="s">
        <v>1463</v>
      </c>
      <c r="D1067">
        <v>120</v>
      </c>
      <c r="E1067" t="s">
        <v>807</v>
      </c>
    </row>
    <row r="1068" spans="1:5" x14ac:dyDescent="0.25">
      <c r="A1068" s="1">
        <v>45216</v>
      </c>
      <c r="B1068" s="2">
        <v>0.79236111111111107</v>
      </c>
      <c r="C1068" t="s">
        <v>1464</v>
      </c>
      <c r="D1068">
        <v>56</v>
      </c>
      <c r="E1068" t="s">
        <v>807</v>
      </c>
    </row>
    <row r="1069" spans="1:5" x14ac:dyDescent="0.25">
      <c r="A1069" s="1">
        <v>45203</v>
      </c>
      <c r="B1069" s="2">
        <v>3.125E-2</v>
      </c>
      <c r="C1069" t="s">
        <v>1464</v>
      </c>
      <c r="D1069">
        <v>36</v>
      </c>
      <c r="E1069" t="s">
        <v>812</v>
      </c>
    </row>
    <row r="1070" spans="1:5" x14ac:dyDescent="0.25">
      <c r="A1070" s="1">
        <v>45216</v>
      </c>
      <c r="B1070" s="2">
        <v>0.72986111111111107</v>
      </c>
      <c r="C1070" t="s">
        <v>1465</v>
      </c>
      <c r="D1070">
        <v>109</v>
      </c>
      <c r="E1070" t="s">
        <v>812</v>
      </c>
    </row>
    <row r="1071" spans="1:5" x14ac:dyDescent="0.25">
      <c r="A1071" s="1">
        <v>45224</v>
      </c>
      <c r="B1071" s="2">
        <v>0.16458333333333333</v>
      </c>
      <c r="C1071" t="s">
        <v>1466</v>
      </c>
      <c r="D1071">
        <v>57</v>
      </c>
      <c r="E1071" t="s">
        <v>808</v>
      </c>
    </row>
    <row r="1072" spans="1:5" x14ac:dyDescent="0.25">
      <c r="A1072" s="1">
        <v>45228</v>
      </c>
      <c r="B1072" s="2">
        <v>0.72083333333333333</v>
      </c>
      <c r="C1072" t="s">
        <v>1467</v>
      </c>
      <c r="D1072">
        <v>101</v>
      </c>
      <c r="E1072" t="s">
        <v>808</v>
      </c>
    </row>
    <row r="1073" spans="1:5" x14ac:dyDescent="0.25">
      <c r="A1073" s="1">
        <v>45229</v>
      </c>
      <c r="B1073" s="2">
        <v>0.75138888888888888</v>
      </c>
      <c r="C1073" t="s">
        <v>1468</v>
      </c>
      <c r="D1073">
        <v>70</v>
      </c>
      <c r="E1073" t="s">
        <v>807</v>
      </c>
    </row>
    <row r="1074" spans="1:5" x14ac:dyDescent="0.25">
      <c r="A1074" s="1">
        <v>45201</v>
      </c>
      <c r="B1074" s="2">
        <v>0.17222222222222222</v>
      </c>
      <c r="C1074" t="s">
        <v>1469</v>
      </c>
      <c r="D1074">
        <v>33</v>
      </c>
      <c r="E1074" t="s">
        <v>812</v>
      </c>
    </row>
    <row r="1075" spans="1:5" x14ac:dyDescent="0.25">
      <c r="A1075" s="1">
        <v>45228</v>
      </c>
      <c r="B1075" s="2">
        <v>0.65138888888888891</v>
      </c>
      <c r="C1075" t="s">
        <v>1470</v>
      </c>
      <c r="D1075">
        <v>119</v>
      </c>
      <c r="E1075" t="s">
        <v>807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C1CC-8DA5-4858-9962-EE0092332D83}">
  <dimension ref="A1:P548"/>
  <sheetViews>
    <sheetView workbookViewId="0">
      <selection sqref="A1:XFD1048576"/>
    </sheetView>
  </sheetViews>
  <sheetFormatPr defaultRowHeight="15" x14ac:dyDescent="0.25"/>
  <cols>
    <col min="1" max="2" width="21.5703125" bestFit="1" customWidth="1"/>
    <col min="3" max="3" width="9.28515625" bestFit="1" customWidth="1"/>
    <col min="4" max="4" width="19.140625" bestFit="1" customWidth="1"/>
    <col min="5" max="5" width="18.7109375" bestFit="1" customWidth="1"/>
    <col min="6" max="6" width="17" customWidth="1"/>
    <col min="7" max="7" width="10.7109375" bestFit="1" customWidth="1"/>
    <col min="8" max="8" width="11.85546875" bestFit="1" customWidth="1"/>
    <col min="9" max="9" width="14" bestFit="1" customWidth="1"/>
    <col min="10" max="10" width="16.140625" bestFit="1" customWidth="1"/>
    <col min="11" max="11" width="11.85546875" bestFit="1" customWidth="1"/>
    <col min="12" max="12" width="18.42578125" bestFit="1" customWidth="1"/>
    <col min="13" max="13" width="17.85546875" bestFit="1" customWidth="1"/>
    <col min="14" max="14" width="28.85546875" bestFit="1" customWidth="1"/>
    <col min="15" max="15" width="19.7109375" bestFit="1" customWidth="1"/>
    <col min="16" max="16" width="25.42578125" bestFit="1" customWidth="1"/>
  </cols>
  <sheetData>
    <row r="1" spans="1:16" x14ac:dyDescent="0.25">
      <c r="A1" t="s">
        <v>801</v>
      </c>
      <c r="B1" t="s">
        <v>802</v>
      </c>
      <c r="C1" t="s">
        <v>803</v>
      </c>
      <c r="D1" t="s">
        <v>804</v>
      </c>
      <c r="E1" t="s">
        <v>805</v>
      </c>
      <c r="F1" t="s">
        <v>1667</v>
      </c>
      <c r="G1" t="s">
        <v>1473</v>
      </c>
      <c r="H1" t="s">
        <v>1474</v>
      </c>
      <c r="I1" t="s">
        <v>1475</v>
      </c>
      <c r="J1" t="s">
        <v>1476</v>
      </c>
      <c r="K1" t="s">
        <v>1666</v>
      </c>
      <c r="L1" t="s">
        <v>1661</v>
      </c>
      <c r="M1" t="s">
        <v>1662</v>
      </c>
      <c r="N1" t="s">
        <v>1663</v>
      </c>
      <c r="O1" t="s">
        <v>1664</v>
      </c>
      <c r="P1" t="s">
        <v>1665</v>
      </c>
    </row>
    <row r="2" spans="1:16" x14ac:dyDescent="0.25">
      <c r="A2" s="1">
        <v>45203</v>
      </c>
      <c r="B2" s="2">
        <v>0.51736111111111116</v>
      </c>
      <c r="C2" t="s">
        <v>806</v>
      </c>
      <c r="D2">
        <v>26</v>
      </c>
      <c r="E2" t="s">
        <v>807</v>
      </c>
      <c r="F2" t="s">
        <v>89</v>
      </c>
      <c r="G2">
        <v>-8.1437910000000002</v>
      </c>
      <c r="H2">
        <v>28.946161</v>
      </c>
      <c r="I2" t="s">
        <v>1480</v>
      </c>
      <c r="J2" t="s">
        <v>1483</v>
      </c>
      <c r="K2" t="s">
        <v>88</v>
      </c>
      <c r="L2">
        <v>98</v>
      </c>
      <c r="M2" t="s">
        <v>14</v>
      </c>
      <c r="N2">
        <v>482</v>
      </c>
      <c r="O2">
        <v>55.04</v>
      </c>
      <c r="P2">
        <v>5</v>
      </c>
    </row>
    <row r="3" spans="1:16" x14ac:dyDescent="0.25">
      <c r="A3" s="1">
        <v>45205</v>
      </c>
      <c r="B3" s="2">
        <v>1.3888888888888888E-2</v>
      </c>
      <c r="C3" t="s">
        <v>806</v>
      </c>
      <c r="D3">
        <v>35</v>
      </c>
      <c r="E3" t="s">
        <v>808</v>
      </c>
      <c r="F3" t="s">
        <v>89</v>
      </c>
      <c r="G3">
        <v>-8.1437910000000002</v>
      </c>
      <c r="H3">
        <v>28.946161</v>
      </c>
      <c r="I3" t="s">
        <v>1480</v>
      </c>
      <c r="J3" t="s">
        <v>1483</v>
      </c>
      <c r="K3" t="s">
        <v>88</v>
      </c>
      <c r="L3">
        <v>98</v>
      </c>
      <c r="M3" t="s">
        <v>14</v>
      </c>
      <c r="N3">
        <v>482</v>
      </c>
      <c r="O3">
        <v>55.04</v>
      </c>
      <c r="P3">
        <v>5</v>
      </c>
    </row>
    <row r="4" spans="1:16" x14ac:dyDescent="0.25">
      <c r="A4" s="1">
        <v>45211</v>
      </c>
      <c r="B4" s="2">
        <v>0.27916666666666667</v>
      </c>
      <c r="C4" t="s">
        <v>806</v>
      </c>
      <c r="D4">
        <v>75</v>
      </c>
      <c r="E4" t="s">
        <v>807</v>
      </c>
      <c r="F4" t="s">
        <v>89</v>
      </c>
      <c r="G4">
        <v>-8.1437910000000002</v>
      </c>
      <c r="H4">
        <v>28.946161</v>
      </c>
      <c r="I4" t="s">
        <v>1480</v>
      </c>
      <c r="J4" t="s">
        <v>1483</v>
      </c>
      <c r="K4" t="s">
        <v>88</v>
      </c>
      <c r="L4">
        <v>98</v>
      </c>
      <c r="M4" t="s">
        <v>14</v>
      </c>
      <c r="N4">
        <v>482</v>
      </c>
      <c r="O4">
        <v>55.04</v>
      </c>
      <c r="P4">
        <v>5</v>
      </c>
    </row>
    <row r="5" spans="1:16" x14ac:dyDescent="0.25">
      <c r="A5" s="1">
        <v>45224</v>
      </c>
      <c r="B5" s="2">
        <v>0.56805555555555554</v>
      </c>
      <c r="C5" t="s">
        <v>809</v>
      </c>
      <c r="D5">
        <v>27</v>
      </c>
      <c r="E5" t="s">
        <v>807</v>
      </c>
      <c r="F5" t="s">
        <v>44</v>
      </c>
      <c r="G5">
        <v>-10.442425</v>
      </c>
      <c r="H5">
        <v>23.243632000000002</v>
      </c>
      <c r="I5" t="s">
        <v>1480</v>
      </c>
      <c r="J5" t="s">
        <v>1490</v>
      </c>
      <c r="K5" t="s">
        <v>43</v>
      </c>
      <c r="L5">
        <v>66</v>
      </c>
      <c r="M5" t="s">
        <v>22</v>
      </c>
      <c r="N5">
        <v>270</v>
      </c>
      <c r="O5">
        <v>75.88</v>
      </c>
      <c r="P5">
        <v>3</v>
      </c>
    </row>
    <row r="6" spans="1:16" x14ac:dyDescent="0.25">
      <c r="A6" s="1">
        <v>45230</v>
      </c>
      <c r="B6" s="2">
        <v>0.86805555555555558</v>
      </c>
      <c r="C6" t="s">
        <v>811</v>
      </c>
      <c r="D6">
        <v>103</v>
      </c>
      <c r="E6" t="s">
        <v>812</v>
      </c>
      <c r="F6" t="s">
        <v>26</v>
      </c>
      <c r="G6">
        <v>-2.8532869999999999</v>
      </c>
      <c r="H6">
        <v>22.117896000000002</v>
      </c>
      <c r="I6" t="s">
        <v>1477</v>
      </c>
      <c r="J6" t="s">
        <v>1481</v>
      </c>
      <c r="K6" t="s">
        <v>25</v>
      </c>
      <c r="L6">
        <v>99</v>
      </c>
      <c r="M6" t="s">
        <v>11</v>
      </c>
      <c r="N6">
        <v>447</v>
      </c>
      <c r="O6">
        <v>38.1</v>
      </c>
      <c r="P6">
        <v>3</v>
      </c>
    </row>
    <row r="7" spans="1:16" x14ac:dyDescent="0.25">
      <c r="A7" s="1">
        <v>45230</v>
      </c>
      <c r="B7" s="2">
        <v>0.42916666666666664</v>
      </c>
      <c r="C7" t="s">
        <v>811</v>
      </c>
      <c r="D7">
        <v>11</v>
      </c>
      <c r="E7" t="s">
        <v>812</v>
      </c>
      <c r="F7" t="s">
        <v>26</v>
      </c>
      <c r="G7">
        <v>-2.8532869999999999</v>
      </c>
      <c r="H7">
        <v>22.117896000000002</v>
      </c>
      <c r="I7" t="s">
        <v>1477</v>
      </c>
      <c r="J7" t="s">
        <v>1481</v>
      </c>
      <c r="K7" t="s">
        <v>25</v>
      </c>
      <c r="L7">
        <v>99</v>
      </c>
      <c r="M7" t="s">
        <v>11</v>
      </c>
      <c r="N7">
        <v>447</v>
      </c>
      <c r="O7">
        <v>38.1</v>
      </c>
      <c r="P7">
        <v>3</v>
      </c>
    </row>
    <row r="8" spans="1:16" x14ac:dyDescent="0.25">
      <c r="A8" s="1">
        <v>45221</v>
      </c>
      <c r="B8" s="2">
        <v>0.56597222222222221</v>
      </c>
      <c r="C8" t="s">
        <v>813</v>
      </c>
      <c r="D8">
        <v>87</v>
      </c>
      <c r="E8" t="s">
        <v>808</v>
      </c>
      <c r="F8" t="s">
        <v>73</v>
      </c>
      <c r="G8">
        <v>4.7777349999999998</v>
      </c>
      <c r="H8">
        <v>16.392204</v>
      </c>
      <c r="I8" t="s">
        <v>1477</v>
      </c>
      <c r="J8" t="s">
        <v>1483</v>
      </c>
      <c r="K8" t="s">
        <v>72</v>
      </c>
      <c r="L8">
        <v>6</v>
      </c>
      <c r="M8" t="s">
        <v>11</v>
      </c>
      <c r="N8">
        <v>207</v>
      </c>
      <c r="O8">
        <v>61.55</v>
      </c>
      <c r="P8">
        <v>0</v>
      </c>
    </row>
    <row r="9" spans="1:16" x14ac:dyDescent="0.25">
      <c r="A9" s="1">
        <v>45222</v>
      </c>
      <c r="B9" s="2">
        <v>0.50138888888888888</v>
      </c>
      <c r="C9" t="s">
        <v>814</v>
      </c>
      <c r="D9">
        <v>39</v>
      </c>
      <c r="E9" t="s">
        <v>807</v>
      </c>
      <c r="F9" t="s">
        <v>18</v>
      </c>
      <c r="G9">
        <v>-11.89448</v>
      </c>
      <c r="H9">
        <v>19.216214999999998</v>
      </c>
      <c r="I9" t="s">
        <v>1482</v>
      </c>
      <c r="J9" t="s">
        <v>1483</v>
      </c>
      <c r="K9" t="s">
        <v>17</v>
      </c>
      <c r="L9">
        <v>44</v>
      </c>
      <c r="M9" t="s">
        <v>19</v>
      </c>
      <c r="N9">
        <v>348</v>
      </c>
      <c r="O9">
        <v>58.67</v>
      </c>
      <c r="P9">
        <v>0</v>
      </c>
    </row>
    <row r="10" spans="1:16" x14ac:dyDescent="0.25">
      <c r="A10" s="1">
        <v>45210</v>
      </c>
      <c r="B10" s="2">
        <v>0.8354166666666667</v>
      </c>
      <c r="C10" t="s">
        <v>815</v>
      </c>
      <c r="D10">
        <v>80</v>
      </c>
      <c r="E10" t="s">
        <v>808</v>
      </c>
      <c r="F10" t="s">
        <v>24</v>
      </c>
      <c r="G10">
        <v>4.4712560000000003</v>
      </c>
      <c r="H10">
        <v>27.107028</v>
      </c>
      <c r="I10" t="s">
        <v>1482</v>
      </c>
      <c r="J10" t="s">
        <v>1478</v>
      </c>
      <c r="K10" t="s">
        <v>23</v>
      </c>
      <c r="L10">
        <v>46</v>
      </c>
      <c r="M10" t="s">
        <v>11</v>
      </c>
      <c r="N10">
        <v>283</v>
      </c>
      <c r="O10">
        <v>56.05</v>
      </c>
      <c r="P10">
        <v>1</v>
      </c>
    </row>
    <row r="11" spans="1:16" x14ac:dyDescent="0.25">
      <c r="A11" s="1">
        <v>45223</v>
      </c>
      <c r="B11" s="2">
        <v>0.41875000000000001</v>
      </c>
      <c r="C11" t="s">
        <v>815</v>
      </c>
      <c r="D11">
        <v>89</v>
      </c>
      <c r="E11" t="s">
        <v>807</v>
      </c>
      <c r="F11" t="s">
        <v>24</v>
      </c>
      <c r="G11">
        <v>4.4712560000000003</v>
      </c>
      <c r="H11">
        <v>27.107028</v>
      </c>
      <c r="I11" t="s">
        <v>1482</v>
      </c>
      <c r="J11" t="s">
        <v>1478</v>
      </c>
      <c r="K11" t="s">
        <v>23</v>
      </c>
      <c r="L11">
        <v>46</v>
      </c>
      <c r="M11" t="s">
        <v>11</v>
      </c>
      <c r="N11">
        <v>283</v>
      </c>
      <c r="O11">
        <v>56.05</v>
      </c>
      <c r="P11">
        <v>1</v>
      </c>
    </row>
    <row r="12" spans="1:16" x14ac:dyDescent="0.25">
      <c r="A12" s="1">
        <v>45202</v>
      </c>
      <c r="B12" s="2">
        <v>0.8520833333333333</v>
      </c>
      <c r="C12" t="s">
        <v>816</v>
      </c>
      <c r="D12">
        <v>83</v>
      </c>
      <c r="E12" t="s">
        <v>807</v>
      </c>
      <c r="F12" t="s">
        <v>44</v>
      </c>
      <c r="G12">
        <v>-1.607639</v>
      </c>
      <c r="H12">
        <v>17.003636</v>
      </c>
      <c r="I12" t="s">
        <v>1480</v>
      </c>
      <c r="J12" t="s">
        <v>1478</v>
      </c>
      <c r="K12" t="s">
        <v>43</v>
      </c>
      <c r="L12">
        <v>66</v>
      </c>
      <c r="M12" t="s">
        <v>22</v>
      </c>
      <c r="N12">
        <v>270</v>
      </c>
      <c r="O12">
        <v>75.88</v>
      </c>
      <c r="P12">
        <v>3</v>
      </c>
    </row>
    <row r="13" spans="1:16" x14ac:dyDescent="0.25">
      <c r="A13" s="1">
        <v>45217</v>
      </c>
      <c r="B13" s="2">
        <v>0.96875</v>
      </c>
      <c r="C13" t="s">
        <v>820</v>
      </c>
      <c r="D13">
        <v>97</v>
      </c>
      <c r="E13" t="s">
        <v>808</v>
      </c>
      <c r="F13" t="s">
        <v>29</v>
      </c>
      <c r="G13">
        <v>-10.059846</v>
      </c>
      <c r="H13">
        <v>14.375757999999999</v>
      </c>
      <c r="I13" t="s">
        <v>1480</v>
      </c>
      <c r="J13" t="s">
        <v>1481</v>
      </c>
      <c r="K13" t="s">
        <v>28</v>
      </c>
      <c r="L13">
        <v>99</v>
      </c>
      <c r="M13" t="s">
        <v>19</v>
      </c>
      <c r="N13">
        <v>369</v>
      </c>
      <c r="O13">
        <v>67.209999999999994</v>
      </c>
      <c r="P13">
        <v>3</v>
      </c>
    </row>
    <row r="14" spans="1:16" x14ac:dyDescent="0.25">
      <c r="A14" s="1">
        <v>45206</v>
      </c>
      <c r="B14" s="2">
        <v>0.51597222222222228</v>
      </c>
      <c r="C14" t="s">
        <v>825</v>
      </c>
      <c r="D14">
        <v>108</v>
      </c>
      <c r="E14" t="s">
        <v>807</v>
      </c>
      <c r="F14" t="s">
        <v>64</v>
      </c>
      <c r="G14">
        <v>-10.227569000000001</v>
      </c>
      <c r="H14">
        <v>18.887930999999998</v>
      </c>
      <c r="I14" t="s">
        <v>1482</v>
      </c>
      <c r="J14" t="s">
        <v>1483</v>
      </c>
      <c r="K14" t="s">
        <v>63</v>
      </c>
      <c r="L14">
        <v>79</v>
      </c>
      <c r="M14" t="s">
        <v>11</v>
      </c>
      <c r="N14">
        <v>226</v>
      </c>
      <c r="O14">
        <v>94.38</v>
      </c>
      <c r="P14">
        <v>3</v>
      </c>
    </row>
    <row r="15" spans="1:16" x14ac:dyDescent="0.25">
      <c r="A15" s="1">
        <v>45222</v>
      </c>
      <c r="B15" s="2">
        <v>0.65277777777777779</v>
      </c>
      <c r="C15" t="s">
        <v>827</v>
      </c>
      <c r="D15">
        <v>46</v>
      </c>
      <c r="E15" t="s">
        <v>812</v>
      </c>
      <c r="F15" t="s">
        <v>67</v>
      </c>
      <c r="G15">
        <v>-11.266565999999999</v>
      </c>
      <c r="H15">
        <v>26.245055000000001</v>
      </c>
      <c r="I15" t="s">
        <v>1482</v>
      </c>
      <c r="J15" t="s">
        <v>1478</v>
      </c>
      <c r="K15" t="s">
        <v>66</v>
      </c>
      <c r="L15">
        <v>101</v>
      </c>
      <c r="M15" t="s">
        <v>14</v>
      </c>
      <c r="N15">
        <v>176</v>
      </c>
      <c r="O15">
        <v>86</v>
      </c>
      <c r="P15">
        <v>3</v>
      </c>
    </row>
    <row r="16" spans="1:16" x14ac:dyDescent="0.25">
      <c r="A16" s="1">
        <v>45208</v>
      </c>
      <c r="B16" s="2">
        <v>0.44374999999999998</v>
      </c>
      <c r="C16" t="s">
        <v>830</v>
      </c>
      <c r="D16">
        <v>7</v>
      </c>
      <c r="E16" t="s">
        <v>812</v>
      </c>
      <c r="F16" t="s">
        <v>18</v>
      </c>
      <c r="G16">
        <v>-6.3324319999999998</v>
      </c>
      <c r="H16">
        <v>24.887858000000001</v>
      </c>
      <c r="I16" t="s">
        <v>1480</v>
      </c>
      <c r="J16" t="s">
        <v>1483</v>
      </c>
      <c r="K16" t="s">
        <v>17</v>
      </c>
      <c r="L16">
        <v>44</v>
      </c>
      <c r="M16" t="s">
        <v>19</v>
      </c>
      <c r="N16">
        <v>348</v>
      </c>
      <c r="O16">
        <v>58.67</v>
      </c>
      <c r="P16">
        <v>0</v>
      </c>
    </row>
    <row r="17" spans="1:16" x14ac:dyDescent="0.25">
      <c r="A17" s="1">
        <v>45211</v>
      </c>
      <c r="B17" s="2">
        <v>0.61041666666666672</v>
      </c>
      <c r="C17" t="s">
        <v>832</v>
      </c>
      <c r="D17">
        <v>114</v>
      </c>
      <c r="E17" t="s">
        <v>807</v>
      </c>
      <c r="F17" t="s">
        <v>10</v>
      </c>
      <c r="G17">
        <v>-7.0076900000000002</v>
      </c>
      <c r="H17">
        <v>27.367121999999998</v>
      </c>
      <c r="I17" t="s">
        <v>1482</v>
      </c>
      <c r="J17" t="s">
        <v>1490</v>
      </c>
      <c r="K17" t="s">
        <v>9</v>
      </c>
      <c r="L17">
        <v>29</v>
      </c>
      <c r="M17" t="s">
        <v>11</v>
      </c>
      <c r="N17">
        <v>214</v>
      </c>
      <c r="O17">
        <v>74.7</v>
      </c>
      <c r="P17">
        <v>3</v>
      </c>
    </row>
    <row r="18" spans="1:16" x14ac:dyDescent="0.25">
      <c r="A18" s="1">
        <v>45219</v>
      </c>
      <c r="B18" s="2">
        <v>0.10138888888888889</v>
      </c>
      <c r="C18" t="s">
        <v>832</v>
      </c>
      <c r="D18">
        <v>75</v>
      </c>
      <c r="E18" t="s">
        <v>807</v>
      </c>
      <c r="F18" t="s">
        <v>10</v>
      </c>
      <c r="G18">
        <v>-7.0076900000000002</v>
      </c>
      <c r="H18">
        <v>27.367121999999998</v>
      </c>
      <c r="I18" t="s">
        <v>1482</v>
      </c>
      <c r="J18" t="s">
        <v>1490</v>
      </c>
      <c r="K18" t="s">
        <v>9</v>
      </c>
      <c r="L18">
        <v>29</v>
      </c>
      <c r="M18" t="s">
        <v>11</v>
      </c>
      <c r="N18">
        <v>214</v>
      </c>
      <c r="O18">
        <v>74.7</v>
      </c>
      <c r="P18">
        <v>3</v>
      </c>
    </row>
    <row r="19" spans="1:16" x14ac:dyDescent="0.25">
      <c r="A19" s="1">
        <v>45202</v>
      </c>
      <c r="B19" s="2">
        <v>0.35</v>
      </c>
      <c r="C19" t="s">
        <v>833</v>
      </c>
      <c r="D19">
        <v>78</v>
      </c>
      <c r="E19" t="s">
        <v>807</v>
      </c>
      <c r="F19" t="s">
        <v>16</v>
      </c>
      <c r="G19">
        <v>4.0988100000000003</v>
      </c>
      <c r="H19">
        <v>29.843810999999999</v>
      </c>
      <c r="I19" t="s">
        <v>1482</v>
      </c>
      <c r="J19" t="s">
        <v>1481</v>
      </c>
      <c r="K19" t="s">
        <v>15</v>
      </c>
      <c r="L19">
        <v>34</v>
      </c>
      <c r="M19" t="s">
        <v>14</v>
      </c>
      <c r="N19">
        <v>453</v>
      </c>
      <c r="O19">
        <v>56.84</v>
      </c>
      <c r="P19">
        <v>0</v>
      </c>
    </row>
    <row r="20" spans="1:16" x14ac:dyDescent="0.25">
      <c r="A20" s="1">
        <v>45216</v>
      </c>
      <c r="B20" s="2">
        <v>0.58333333333333337</v>
      </c>
      <c r="C20" t="s">
        <v>834</v>
      </c>
      <c r="D20">
        <v>78</v>
      </c>
      <c r="E20" t="s">
        <v>812</v>
      </c>
      <c r="F20" t="s">
        <v>24</v>
      </c>
      <c r="G20">
        <v>0.16841400000000001</v>
      </c>
      <c r="H20">
        <v>30.029876999999999</v>
      </c>
      <c r="I20" t="s">
        <v>1477</v>
      </c>
      <c r="J20" t="s">
        <v>1481</v>
      </c>
      <c r="K20" t="s">
        <v>23</v>
      </c>
      <c r="L20">
        <v>46</v>
      </c>
      <c r="M20" t="s">
        <v>11</v>
      </c>
      <c r="N20">
        <v>283</v>
      </c>
      <c r="O20">
        <v>56.05</v>
      </c>
      <c r="P20">
        <v>1</v>
      </c>
    </row>
    <row r="21" spans="1:16" x14ac:dyDescent="0.25">
      <c r="A21" s="1">
        <v>45223</v>
      </c>
      <c r="B21" s="2">
        <v>0.73611111111111116</v>
      </c>
      <c r="C21" t="s">
        <v>834</v>
      </c>
      <c r="D21">
        <v>116</v>
      </c>
      <c r="E21" t="s">
        <v>808</v>
      </c>
      <c r="F21" t="s">
        <v>24</v>
      </c>
      <c r="G21">
        <v>0.16841400000000001</v>
      </c>
      <c r="H21">
        <v>30.029876999999999</v>
      </c>
      <c r="I21" t="s">
        <v>1477</v>
      </c>
      <c r="J21" t="s">
        <v>1481</v>
      </c>
      <c r="K21" t="s">
        <v>23</v>
      </c>
      <c r="L21">
        <v>46</v>
      </c>
      <c r="M21" t="s">
        <v>11</v>
      </c>
      <c r="N21">
        <v>283</v>
      </c>
      <c r="O21">
        <v>56.05</v>
      </c>
      <c r="P21">
        <v>1</v>
      </c>
    </row>
    <row r="22" spans="1:16" x14ac:dyDescent="0.25">
      <c r="A22" s="1">
        <v>45217</v>
      </c>
      <c r="B22" s="2">
        <v>0.57847222222222228</v>
      </c>
      <c r="C22" t="s">
        <v>835</v>
      </c>
      <c r="D22">
        <v>93</v>
      </c>
      <c r="E22" t="s">
        <v>808</v>
      </c>
      <c r="F22" t="s">
        <v>33</v>
      </c>
      <c r="G22">
        <v>-10.735106</v>
      </c>
      <c r="H22">
        <v>27.868673999999999</v>
      </c>
      <c r="I22" t="s">
        <v>1482</v>
      </c>
      <c r="J22" t="s">
        <v>1478</v>
      </c>
      <c r="K22" t="s">
        <v>32</v>
      </c>
      <c r="L22">
        <v>72</v>
      </c>
      <c r="M22" t="s">
        <v>14</v>
      </c>
      <c r="N22">
        <v>160</v>
      </c>
      <c r="O22">
        <v>90.13</v>
      </c>
      <c r="P22">
        <v>2</v>
      </c>
    </row>
    <row r="23" spans="1:16" x14ac:dyDescent="0.25">
      <c r="A23" s="1">
        <v>45202</v>
      </c>
      <c r="B23" s="2">
        <v>0.16180555555555556</v>
      </c>
      <c r="C23" t="s">
        <v>837</v>
      </c>
      <c r="D23">
        <v>61</v>
      </c>
      <c r="E23" t="s">
        <v>808</v>
      </c>
      <c r="F23" t="s">
        <v>131</v>
      </c>
      <c r="G23">
        <v>-6.5529849999999996</v>
      </c>
      <c r="H23">
        <v>21.990606</v>
      </c>
      <c r="I23" t="s">
        <v>1482</v>
      </c>
      <c r="J23" t="s">
        <v>1481</v>
      </c>
      <c r="K23" t="s">
        <v>130</v>
      </c>
      <c r="L23">
        <v>16</v>
      </c>
      <c r="M23" t="s">
        <v>19</v>
      </c>
      <c r="N23">
        <v>390</v>
      </c>
      <c r="O23">
        <v>98.17</v>
      </c>
      <c r="P23">
        <v>5</v>
      </c>
    </row>
    <row r="24" spans="1:16" x14ac:dyDescent="0.25">
      <c r="A24" s="1">
        <v>45205</v>
      </c>
      <c r="B24" s="2">
        <v>0.46388888888888891</v>
      </c>
      <c r="C24" t="s">
        <v>838</v>
      </c>
      <c r="D24">
        <v>103</v>
      </c>
      <c r="E24" t="s">
        <v>807</v>
      </c>
      <c r="F24" t="s">
        <v>131</v>
      </c>
      <c r="G24">
        <v>-0.17258100000000001</v>
      </c>
      <c r="H24">
        <v>23.775555000000001</v>
      </c>
      <c r="I24" t="s">
        <v>1477</v>
      </c>
      <c r="J24" t="s">
        <v>1490</v>
      </c>
      <c r="K24" t="s">
        <v>130</v>
      </c>
      <c r="L24">
        <v>16</v>
      </c>
      <c r="M24" t="s">
        <v>19</v>
      </c>
      <c r="N24">
        <v>390</v>
      </c>
      <c r="O24">
        <v>98.17</v>
      </c>
      <c r="P24">
        <v>5</v>
      </c>
    </row>
    <row r="25" spans="1:16" x14ac:dyDescent="0.25">
      <c r="A25" s="1">
        <v>45223</v>
      </c>
      <c r="B25" s="2">
        <v>0.40069444444444446</v>
      </c>
      <c r="C25" t="s">
        <v>843</v>
      </c>
      <c r="D25">
        <v>41</v>
      </c>
      <c r="E25" t="s">
        <v>812</v>
      </c>
      <c r="F25" t="s">
        <v>16</v>
      </c>
      <c r="G25">
        <v>-1.231033</v>
      </c>
      <c r="H25">
        <v>28.851388</v>
      </c>
      <c r="I25" t="s">
        <v>1482</v>
      </c>
      <c r="J25" t="s">
        <v>1478</v>
      </c>
      <c r="K25" t="s">
        <v>15</v>
      </c>
      <c r="L25">
        <v>34</v>
      </c>
      <c r="M25" t="s">
        <v>14</v>
      </c>
      <c r="N25">
        <v>453</v>
      </c>
      <c r="O25">
        <v>56.84</v>
      </c>
      <c r="P25">
        <v>0</v>
      </c>
    </row>
    <row r="26" spans="1:16" x14ac:dyDescent="0.25">
      <c r="A26" s="1">
        <v>45221</v>
      </c>
      <c r="B26" s="2">
        <v>0.50555555555555554</v>
      </c>
      <c r="C26" t="s">
        <v>843</v>
      </c>
      <c r="D26">
        <v>51</v>
      </c>
      <c r="E26" t="s">
        <v>807</v>
      </c>
      <c r="F26" t="s">
        <v>16</v>
      </c>
      <c r="G26">
        <v>-1.231033</v>
      </c>
      <c r="H26">
        <v>28.851388</v>
      </c>
      <c r="I26" t="s">
        <v>1482</v>
      </c>
      <c r="J26" t="s">
        <v>1478</v>
      </c>
      <c r="K26" t="s">
        <v>15</v>
      </c>
      <c r="L26">
        <v>34</v>
      </c>
      <c r="M26" t="s">
        <v>14</v>
      </c>
      <c r="N26">
        <v>453</v>
      </c>
      <c r="O26">
        <v>56.84</v>
      </c>
      <c r="P26">
        <v>0</v>
      </c>
    </row>
    <row r="27" spans="1:16" x14ac:dyDescent="0.25">
      <c r="A27" s="1">
        <v>45206</v>
      </c>
      <c r="B27" s="2">
        <v>0.95694444444444449</v>
      </c>
      <c r="C27" t="s">
        <v>844</v>
      </c>
      <c r="D27">
        <v>32</v>
      </c>
      <c r="E27" t="s">
        <v>808</v>
      </c>
      <c r="F27" t="s">
        <v>44</v>
      </c>
      <c r="G27">
        <v>-9.3652280000000001</v>
      </c>
      <c r="H27">
        <v>18.674116000000001</v>
      </c>
      <c r="I27" t="s">
        <v>1480</v>
      </c>
      <c r="J27" t="s">
        <v>1481</v>
      </c>
      <c r="K27" t="s">
        <v>43</v>
      </c>
      <c r="L27">
        <v>66</v>
      </c>
      <c r="M27" t="s">
        <v>22</v>
      </c>
      <c r="N27">
        <v>270</v>
      </c>
      <c r="O27">
        <v>75.88</v>
      </c>
      <c r="P27">
        <v>3</v>
      </c>
    </row>
    <row r="28" spans="1:16" x14ac:dyDescent="0.25">
      <c r="A28" s="1">
        <v>45224</v>
      </c>
      <c r="B28" s="2">
        <v>0.98333333333333328</v>
      </c>
      <c r="C28" t="s">
        <v>844</v>
      </c>
      <c r="D28">
        <v>107</v>
      </c>
      <c r="E28" t="s">
        <v>812</v>
      </c>
      <c r="F28" t="s">
        <v>44</v>
      </c>
      <c r="G28">
        <v>-9.3652280000000001</v>
      </c>
      <c r="H28">
        <v>18.674116000000001</v>
      </c>
      <c r="I28" t="s">
        <v>1480</v>
      </c>
      <c r="J28" t="s">
        <v>1481</v>
      </c>
      <c r="K28" t="s">
        <v>43</v>
      </c>
      <c r="L28">
        <v>66</v>
      </c>
      <c r="M28" t="s">
        <v>22</v>
      </c>
      <c r="N28">
        <v>270</v>
      </c>
      <c r="O28">
        <v>75.88</v>
      </c>
      <c r="P28">
        <v>3</v>
      </c>
    </row>
    <row r="29" spans="1:16" x14ac:dyDescent="0.25">
      <c r="A29" s="1">
        <v>45201</v>
      </c>
      <c r="B29" s="2">
        <v>0.82430555555555551</v>
      </c>
      <c r="C29" t="s">
        <v>844</v>
      </c>
      <c r="D29">
        <v>28</v>
      </c>
      <c r="E29" t="s">
        <v>808</v>
      </c>
      <c r="F29" t="s">
        <v>44</v>
      </c>
      <c r="G29">
        <v>-9.3652280000000001</v>
      </c>
      <c r="H29">
        <v>18.674116000000001</v>
      </c>
      <c r="I29" t="s">
        <v>1480</v>
      </c>
      <c r="J29" t="s">
        <v>1481</v>
      </c>
      <c r="K29" t="s">
        <v>43</v>
      </c>
      <c r="L29">
        <v>66</v>
      </c>
      <c r="M29" t="s">
        <v>22</v>
      </c>
      <c r="N29">
        <v>270</v>
      </c>
      <c r="O29">
        <v>75.88</v>
      </c>
      <c r="P29">
        <v>3</v>
      </c>
    </row>
    <row r="30" spans="1:16" x14ac:dyDescent="0.25">
      <c r="A30" s="1">
        <v>45223</v>
      </c>
      <c r="B30" s="2">
        <v>0.57013888888888886</v>
      </c>
      <c r="C30" t="s">
        <v>844</v>
      </c>
      <c r="D30">
        <v>10</v>
      </c>
      <c r="E30" t="s">
        <v>808</v>
      </c>
      <c r="F30" t="s">
        <v>44</v>
      </c>
      <c r="G30">
        <v>-9.3652280000000001</v>
      </c>
      <c r="H30">
        <v>18.674116000000001</v>
      </c>
      <c r="I30" t="s">
        <v>1480</v>
      </c>
      <c r="J30" t="s">
        <v>1481</v>
      </c>
      <c r="K30" t="s">
        <v>43</v>
      </c>
      <c r="L30">
        <v>66</v>
      </c>
      <c r="M30" t="s">
        <v>22</v>
      </c>
      <c r="N30">
        <v>270</v>
      </c>
      <c r="O30">
        <v>75.88</v>
      </c>
      <c r="P30">
        <v>3</v>
      </c>
    </row>
    <row r="31" spans="1:16" x14ac:dyDescent="0.25">
      <c r="A31" s="1">
        <v>45220</v>
      </c>
      <c r="B31" s="2">
        <v>0.67708333333333337</v>
      </c>
      <c r="C31" t="s">
        <v>845</v>
      </c>
      <c r="D31">
        <v>107</v>
      </c>
      <c r="E31" t="s">
        <v>812</v>
      </c>
      <c r="F31" t="s">
        <v>73</v>
      </c>
      <c r="G31">
        <v>-6.4670189999999996</v>
      </c>
      <c r="H31">
        <v>29.487309</v>
      </c>
      <c r="I31" t="s">
        <v>1480</v>
      </c>
      <c r="J31" t="s">
        <v>1483</v>
      </c>
      <c r="K31" t="s">
        <v>72</v>
      </c>
      <c r="L31">
        <v>6</v>
      </c>
      <c r="M31" t="s">
        <v>11</v>
      </c>
      <c r="N31">
        <v>207</v>
      </c>
      <c r="O31">
        <v>61.55</v>
      </c>
      <c r="P31">
        <v>0</v>
      </c>
    </row>
    <row r="32" spans="1:16" x14ac:dyDescent="0.25">
      <c r="A32" s="1">
        <v>45201</v>
      </c>
      <c r="B32" s="2">
        <v>0.24583333333333332</v>
      </c>
      <c r="C32" t="s">
        <v>846</v>
      </c>
      <c r="D32">
        <v>91</v>
      </c>
      <c r="E32" t="s">
        <v>808</v>
      </c>
      <c r="F32" t="s">
        <v>10</v>
      </c>
      <c r="G32">
        <v>-0.34051900000000002</v>
      </c>
      <c r="H32">
        <v>17.079799000000001</v>
      </c>
      <c r="I32" t="s">
        <v>1477</v>
      </c>
      <c r="J32" t="s">
        <v>1478</v>
      </c>
      <c r="K32" t="s">
        <v>9</v>
      </c>
      <c r="L32">
        <v>29</v>
      </c>
      <c r="M32" t="s">
        <v>11</v>
      </c>
      <c r="N32">
        <v>214</v>
      </c>
      <c r="O32">
        <v>74.7</v>
      </c>
      <c r="P32">
        <v>3</v>
      </c>
    </row>
    <row r="33" spans="1:16" x14ac:dyDescent="0.25">
      <c r="A33" s="1">
        <v>45216</v>
      </c>
      <c r="B33" s="2">
        <v>0.70902777777777781</v>
      </c>
      <c r="C33" t="s">
        <v>846</v>
      </c>
      <c r="D33">
        <v>39</v>
      </c>
      <c r="E33" t="s">
        <v>807</v>
      </c>
      <c r="F33" t="s">
        <v>10</v>
      </c>
      <c r="G33">
        <v>-0.34051900000000002</v>
      </c>
      <c r="H33">
        <v>17.079799000000001</v>
      </c>
      <c r="I33" t="s">
        <v>1477</v>
      </c>
      <c r="J33" t="s">
        <v>1478</v>
      </c>
      <c r="K33" t="s">
        <v>9</v>
      </c>
      <c r="L33">
        <v>29</v>
      </c>
      <c r="M33" t="s">
        <v>11</v>
      </c>
      <c r="N33">
        <v>214</v>
      </c>
      <c r="O33">
        <v>74.7</v>
      </c>
      <c r="P33">
        <v>3</v>
      </c>
    </row>
    <row r="34" spans="1:16" x14ac:dyDescent="0.25">
      <c r="A34" s="1">
        <v>45211</v>
      </c>
      <c r="B34" s="2">
        <v>6.3888888888888884E-2</v>
      </c>
      <c r="C34" t="s">
        <v>852</v>
      </c>
      <c r="D34">
        <v>6</v>
      </c>
      <c r="E34" t="s">
        <v>812</v>
      </c>
      <c r="F34" t="s">
        <v>57</v>
      </c>
      <c r="G34">
        <v>1.7832440000000001</v>
      </c>
      <c r="H34">
        <v>25.477405999999998</v>
      </c>
      <c r="I34" t="s">
        <v>1477</v>
      </c>
      <c r="J34" t="s">
        <v>1481</v>
      </c>
      <c r="K34" t="s">
        <v>56</v>
      </c>
      <c r="L34">
        <v>97</v>
      </c>
      <c r="M34" t="s">
        <v>14</v>
      </c>
      <c r="N34">
        <v>319</v>
      </c>
      <c r="O34">
        <v>31.25</v>
      </c>
      <c r="P34">
        <v>1</v>
      </c>
    </row>
    <row r="35" spans="1:16" x14ac:dyDescent="0.25">
      <c r="A35" s="1">
        <v>45207</v>
      </c>
      <c r="B35" s="2">
        <v>0.70138888888888884</v>
      </c>
      <c r="C35" t="s">
        <v>855</v>
      </c>
      <c r="D35">
        <v>27</v>
      </c>
      <c r="E35" t="s">
        <v>812</v>
      </c>
      <c r="F35" t="s">
        <v>35</v>
      </c>
      <c r="G35">
        <v>-10.764815</v>
      </c>
      <c r="H35">
        <v>14.602039</v>
      </c>
      <c r="I35" t="s">
        <v>1480</v>
      </c>
      <c r="J35" t="s">
        <v>1490</v>
      </c>
      <c r="K35" t="s">
        <v>34</v>
      </c>
      <c r="L35">
        <v>35</v>
      </c>
      <c r="M35" t="s">
        <v>14</v>
      </c>
      <c r="N35">
        <v>465</v>
      </c>
      <c r="O35">
        <v>58.59</v>
      </c>
      <c r="P35">
        <v>5</v>
      </c>
    </row>
    <row r="36" spans="1:16" x14ac:dyDescent="0.25">
      <c r="A36" s="1">
        <v>45209</v>
      </c>
      <c r="B36" s="2">
        <v>0.55833333333333335</v>
      </c>
      <c r="C36" t="s">
        <v>856</v>
      </c>
      <c r="D36">
        <v>66</v>
      </c>
      <c r="E36" t="s">
        <v>808</v>
      </c>
      <c r="F36" t="s">
        <v>10</v>
      </c>
      <c r="G36">
        <v>-12.595355</v>
      </c>
      <c r="H36">
        <v>17.897442000000002</v>
      </c>
      <c r="I36" t="s">
        <v>1480</v>
      </c>
      <c r="J36" t="s">
        <v>1481</v>
      </c>
      <c r="K36" t="s">
        <v>9</v>
      </c>
      <c r="L36">
        <v>29</v>
      </c>
      <c r="M36" t="s">
        <v>11</v>
      </c>
      <c r="N36">
        <v>214</v>
      </c>
      <c r="O36">
        <v>74.7</v>
      </c>
      <c r="P36">
        <v>3</v>
      </c>
    </row>
    <row r="37" spans="1:16" x14ac:dyDescent="0.25">
      <c r="A37" s="1">
        <v>45208</v>
      </c>
      <c r="B37" s="2">
        <v>0.55833333333333335</v>
      </c>
      <c r="C37" t="s">
        <v>858</v>
      </c>
      <c r="D37">
        <v>44</v>
      </c>
      <c r="E37" t="s">
        <v>812</v>
      </c>
      <c r="F37" t="s">
        <v>33</v>
      </c>
      <c r="G37">
        <v>-8.0800809999999998</v>
      </c>
      <c r="H37">
        <v>30.147970999999998</v>
      </c>
      <c r="I37" t="s">
        <v>1477</v>
      </c>
      <c r="J37" t="s">
        <v>1481</v>
      </c>
      <c r="K37" t="s">
        <v>32</v>
      </c>
      <c r="L37">
        <v>72</v>
      </c>
      <c r="M37" t="s">
        <v>14</v>
      </c>
      <c r="N37">
        <v>160</v>
      </c>
      <c r="O37">
        <v>90.13</v>
      </c>
      <c r="P37">
        <v>2</v>
      </c>
    </row>
    <row r="38" spans="1:16" x14ac:dyDescent="0.25">
      <c r="A38" s="1">
        <v>45225</v>
      </c>
      <c r="B38" s="2">
        <v>0.22083333333333333</v>
      </c>
      <c r="C38" t="s">
        <v>858</v>
      </c>
      <c r="D38">
        <v>104</v>
      </c>
      <c r="E38" t="s">
        <v>808</v>
      </c>
      <c r="F38" t="s">
        <v>33</v>
      </c>
      <c r="G38">
        <v>-8.0800809999999998</v>
      </c>
      <c r="H38">
        <v>30.147970999999998</v>
      </c>
      <c r="I38" t="s">
        <v>1477</v>
      </c>
      <c r="J38" t="s">
        <v>1481</v>
      </c>
      <c r="K38" t="s">
        <v>32</v>
      </c>
      <c r="L38">
        <v>72</v>
      </c>
      <c r="M38" t="s">
        <v>14</v>
      </c>
      <c r="N38">
        <v>160</v>
      </c>
      <c r="O38">
        <v>90.13</v>
      </c>
      <c r="P38">
        <v>2</v>
      </c>
    </row>
    <row r="39" spans="1:16" x14ac:dyDescent="0.25">
      <c r="A39" s="1">
        <v>45216</v>
      </c>
      <c r="B39" s="2">
        <v>0.67361111111111116</v>
      </c>
      <c r="C39" t="s">
        <v>861</v>
      </c>
      <c r="D39">
        <v>117</v>
      </c>
      <c r="E39" t="s">
        <v>807</v>
      </c>
      <c r="F39" t="s">
        <v>31</v>
      </c>
      <c r="G39">
        <v>-12.141233</v>
      </c>
      <c r="H39">
        <v>15.179043999999999</v>
      </c>
      <c r="I39" t="s">
        <v>1477</v>
      </c>
      <c r="J39" t="s">
        <v>1478</v>
      </c>
      <c r="K39" t="s">
        <v>30</v>
      </c>
      <c r="L39">
        <v>113</v>
      </c>
      <c r="M39" t="s">
        <v>22</v>
      </c>
      <c r="N39">
        <v>380</v>
      </c>
      <c r="O39">
        <v>12.11</v>
      </c>
      <c r="P39">
        <v>0</v>
      </c>
    </row>
    <row r="40" spans="1:16" x14ac:dyDescent="0.25">
      <c r="A40" s="1">
        <v>45221</v>
      </c>
      <c r="B40" s="2">
        <v>0.37638888888888888</v>
      </c>
      <c r="C40" t="s">
        <v>862</v>
      </c>
      <c r="D40">
        <v>59</v>
      </c>
      <c r="E40" t="s">
        <v>812</v>
      </c>
      <c r="F40" t="s">
        <v>78</v>
      </c>
      <c r="G40">
        <v>-8.4824669999999998</v>
      </c>
      <c r="H40">
        <v>21.897777999999999</v>
      </c>
      <c r="I40" t="s">
        <v>1477</v>
      </c>
      <c r="J40" t="s">
        <v>1478</v>
      </c>
      <c r="K40" t="s">
        <v>77</v>
      </c>
      <c r="L40">
        <v>81</v>
      </c>
      <c r="M40" t="s">
        <v>14</v>
      </c>
      <c r="N40">
        <v>154</v>
      </c>
      <c r="O40">
        <v>19.47</v>
      </c>
      <c r="P40">
        <v>3</v>
      </c>
    </row>
    <row r="41" spans="1:16" x14ac:dyDescent="0.25">
      <c r="A41" s="1">
        <v>45206</v>
      </c>
      <c r="B41" s="2">
        <v>0.1673611111111111</v>
      </c>
      <c r="C41" t="s">
        <v>863</v>
      </c>
      <c r="D41">
        <v>64</v>
      </c>
      <c r="E41" t="s">
        <v>808</v>
      </c>
      <c r="F41" t="s">
        <v>10</v>
      </c>
      <c r="G41">
        <v>0.24202000000000001</v>
      </c>
      <c r="H41">
        <v>17.396256999999999</v>
      </c>
      <c r="I41" t="s">
        <v>1480</v>
      </c>
      <c r="J41" t="s">
        <v>1481</v>
      </c>
      <c r="K41" t="s">
        <v>9</v>
      </c>
      <c r="L41">
        <v>29</v>
      </c>
      <c r="M41" t="s">
        <v>11</v>
      </c>
      <c r="N41">
        <v>214</v>
      </c>
      <c r="O41">
        <v>74.7</v>
      </c>
      <c r="P41">
        <v>3</v>
      </c>
    </row>
    <row r="42" spans="1:16" x14ac:dyDescent="0.25">
      <c r="A42" s="1">
        <v>45225</v>
      </c>
      <c r="B42" s="2">
        <v>0.97916666666666663</v>
      </c>
      <c r="C42" t="s">
        <v>864</v>
      </c>
      <c r="D42">
        <v>6</v>
      </c>
      <c r="E42" t="s">
        <v>807</v>
      </c>
      <c r="F42" t="s">
        <v>13</v>
      </c>
      <c r="G42">
        <v>-10.577049000000001</v>
      </c>
      <c r="H42">
        <v>23.721854</v>
      </c>
      <c r="I42" t="s">
        <v>1480</v>
      </c>
      <c r="J42" t="s">
        <v>1483</v>
      </c>
      <c r="K42" t="s">
        <v>12</v>
      </c>
      <c r="L42">
        <v>63</v>
      </c>
      <c r="M42" t="s">
        <v>14</v>
      </c>
      <c r="N42">
        <v>205</v>
      </c>
      <c r="O42">
        <v>89.19</v>
      </c>
      <c r="P42">
        <v>0</v>
      </c>
    </row>
    <row r="43" spans="1:16" x14ac:dyDescent="0.25">
      <c r="A43" s="1">
        <v>45202</v>
      </c>
      <c r="B43" s="2">
        <v>4.791666666666667E-2</v>
      </c>
      <c r="C43" t="s">
        <v>864</v>
      </c>
      <c r="D43">
        <v>115</v>
      </c>
      <c r="E43" t="s">
        <v>808</v>
      </c>
      <c r="F43" t="s">
        <v>13</v>
      </c>
      <c r="G43">
        <v>-10.577049000000001</v>
      </c>
      <c r="H43">
        <v>23.721854</v>
      </c>
      <c r="I43" t="s">
        <v>1480</v>
      </c>
      <c r="J43" t="s">
        <v>1483</v>
      </c>
      <c r="K43" t="s">
        <v>12</v>
      </c>
      <c r="L43">
        <v>63</v>
      </c>
      <c r="M43" t="s">
        <v>14</v>
      </c>
      <c r="N43">
        <v>205</v>
      </c>
      <c r="O43">
        <v>89.19</v>
      </c>
      <c r="P43">
        <v>0</v>
      </c>
    </row>
    <row r="44" spans="1:16" x14ac:dyDescent="0.25">
      <c r="A44" s="1">
        <v>45219</v>
      </c>
      <c r="B44" s="2">
        <v>0.65625</v>
      </c>
      <c r="C44" t="s">
        <v>864</v>
      </c>
      <c r="D44">
        <v>118</v>
      </c>
      <c r="E44" t="s">
        <v>808</v>
      </c>
      <c r="F44" t="s">
        <v>13</v>
      </c>
      <c r="G44">
        <v>-10.577049000000001</v>
      </c>
      <c r="H44">
        <v>23.721854</v>
      </c>
      <c r="I44" t="s">
        <v>1480</v>
      </c>
      <c r="J44" t="s">
        <v>1483</v>
      </c>
      <c r="K44" t="s">
        <v>12</v>
      </c>
      <c r="L44">
        <v>63</v>
      </c>
      <c r="M44" t="s">
        <v>14</v>
      </c>
      <c r="N44">
        <v>205</v>
      </c>
      <c r="O44">
        <v>89.19</v>
      </c>
      <c r="P44">
        <v>0</v>
      </c>
    </row>
    <row r="45" spans="1:16" x14ac:dyDescent="0.25">
      <c r="A45" s="1">
        <v>45225</v>
      </c>
      <c r="B45" s="2">
        <v>0.14722222222222223</v>
      </c>
      <c r="C45" t="s">
        <v>866</v>
      </c>
      <c r="D45">
        <v>44</v>
      </c>
      <c r="E45" t="s">
        <v>807</v>
      </c>
      <c r="F45" t="s">
        <v>21</v>
      </c>
      <c r="G45">
        <v>4.2904629999999999</v>
      </c>
      <c r="H45">
        <v>26.354195000000001</v>
      </c>
      <c r="I45" t="s">
        <v>1482</v>
      </c>
      <c r="J45" t="s">
        <v>1478</v>
      </c>
      <c r="K45" t="s">
        <v>20</v>
      </c>
      <c r="L45">
        <v>101</v>
      </c>
      <c r="M45" t="s">
        <v>22</v>
      </c>
      <c r="N45">
        <v>358</v>
      </c>
      <c r="O45">
        <v>29.24</v>
      </c>
      <c r="P45">
        <v>3</v>
      </c>
    </row>
    <row r="46" spans="1:16" x14ac:dyDescent="0.25">
      <c r="A46" s="1">
        <v>45210</v>
      </c>
      <c r="B46" s="2">
        <v>0.45</v>
      </c>
      <c r="C46" t="s">
        <v>868</v>
      </c>
      <c r="D46">
        <v>66</v>
      </c>
      <c r="E46" t="s">
        <v>807</v>
      </c>
      <c r="F46" t="s">
        <v>137</v>
      </c>
      <c r="G46">
        <v>-9.7803979999999999</v>
      </c>
      <c r="H46">
        <v>17.686595000000001</v>
      </c>
      <c r="I46" t="s">
        <v>1480</v>
      </c>
      <c r="J46" t="s">
        <v>1478</v>
      </c>
      <c r="K46" t="s">
        <v>136</v>
      </c>
      <c r="L46">
        <v>80</v>
      </c>
      <c r="M46" t="s">
        <v>22</v>
      </c>
      <c r="N46">
        <v>155</v>
      </c>
      <c r="O46">
        <v>28.96</v>
      </c>
      <c r="P46">
        <v>2</v>
      </c>
    </row>
    <row r="47" spans="1:16" x14ac:dyDescent="0.25">
      <c r="A47" s="1">
        <v>45220</v>
      </c>
      <c r="B47" s="2">
        <v>0.75416666666666665</v>
      </c>
      <c r="C47" t="s">
        <v>868</v>
      </c>
      <c r="D47">
        <v>85</v>
      </c>
      <c r="E47" t="s">
        <v>807</v>
      </c>
      <c r="F47" t="s">
        <v>137</v>
      </c>
      <c r="G47">
        <v>-9.7803979999999999</v>
      </c>
      <c r="H47">
        <v>17.686595000000001</v>
      </c>
      <c r="I47" t="s">
        <v>1480</v>
      </c>
      <c r="J47" t="s">
        <v>1478</v>
      </c>
      <c r="K47" t="s">
        <v>136</v>
      </c>
      <c r="L47">
        <v>80</v>
      </c>
      <c r="M47" t="s">
        <v>22</v>
      </c>
      <c r="N47">
        <v>155</v>
      </c>
      <c r="O47">
        <v>28.96</v>
      </c>
      <c r="P47">
        <v>2</v>
      </c>
    </row>
    <row r="48" spans="1:16" x14ac:dyDescent="0.25">
      <c r="A48" s="1">
        <v>45212</v>
      </c>
      <c r="B48" s="2">
        <v>0.56805555555555554</v>
      </c>
      <c r="C48" t="s">
        <v>869</v>
      </c>
      <c r="D48">
        <v>42</v>
      </c>
      <c r="E48" t="s">
        <v>808</v>
      </c>
      <c r="F48" t="s">
        <v>33</v>
      </c>
      <c r="G48">
        <v>-7.3379339999999997</v>
      </c>
      <c r="H48">
        <v>28.404001999999998</v>
      </c>
      <c r="I48" t="s">
        <v>1482</v>
      </c>
      <c r="J48" t="s">
        <v>1490</v>
      </c>
      <c r="K48" t="s">
        <v>32</v>
      </c>
      <c r="L48">
        <v>72</v>
      </c>
      <c r="M48" t="s">
        <v>14</v>
      </c>
      <c r="N48">
        <v>160</v>
      </c>
      <c r="O48">
        <v>90.13</v>
      </c>
      <c r="P48">
        <v>2</v>
      </c>
    </row>
    <row r="49" spans="1:16" x14ac:dyDescent="0.25">
      <c r="A49" s="1">
        <v>45205</v>
      </c>
      <c r="B49" s="2">
        <v>0.19166666666666668</v>
      </c>
      <c r="C49" t="s">
        <v>870</v>
      </c>
      <c r="D49">
        <v>34</v>
      </c>
      <c r="E49" t="s">
        <v>807</v>
      </c>
      <c r="F49" t="s">
        <v>35</v>
      </c>
      <c r="G49">
        <v>-4.7886769999999999</v>
      </c>
      <c r="H49">
        <v>23.600221999999999</v>
      </c>
      <c r="I49" t="s">
        <v>1482</v>
      </c>
      <c r="J49" t="s">
        <v>1483</v>
      </c>
      <c r="K49" t="s">
        <v>34</v>
      </c>
      <c r="L49">
        <v>35</v>
      </c>
      <c r="M49" t="s">
        <v>14</v>
      </c>
      <c r="N49">
        <v>465</v>
      </c>
      <c r="O49">
        <v>58.59</v>
      </c>
      <c r="P49">
        <v>5</v>
      </c>
    </row>
    <row r="50" spans="1:16" x14ac:dyDescent="0.25">
      <c r="A50" s="1">
        <v>45222</v>
      </c>
      <c r="B50" s="2">
        <v>0.66319444444444442</v>
      </c>
      <c r="C50" t="s">
        <v>872</v>
      </c>
      <c r="D50">
        <v>6</v>
      </c>
      <c r="E50" t="s">
        <v>812</v>
      </c>
      <c r="F50" t="s">
        <v>62</v>
      </c>
      <c r="G50">
        <v>2.975352</v>
      </c>
      <c r="H50">
        <v>22.535886000000001</v>
      </c>
      <c r="I50" t="s">
        <v>1480</v>
      </c>
      <c r="J50" t="s">
        <v>1481</v>
      </c>
      <c r="K50" t="s">
        <v>61</v>
      </c>
      <c r="L50">
        <v>101</v>
      </c>
      <c r="M50" t="s">
        <v>14</v>
      </c>
      <c r="N50">
        <v>333</v>
      </c>
      <c r="O50">
        <v>74.319999999999993</v>
      </c>
      <c r="P50">
        <v>1</v>
      </c>
    </row>
    <row r="51" spans="1:16" x14ac:dyDescent="0.25">
      <c r="A51" s="1">
        <v>45204</v>
      </c>
      <c r="B51" s="2">
        <v>0.23749999999999999</v>
      </c>
      <c r="C51" t="s">
        <v>872</v>
      </c>
      <c r="D51">
        <v>21</v>
      </c>
      <c r="E51" t="s">
        <v>808</v>
      </c>
      <c r="F51" t="s">
        <v>62</v>
      </c>
      <c r="G51">
        <v>2.975352</v>
      </c>
      <c r="H51">
        <v>22.535886000000001</v>
      </c>
      <c r="I51" t="s">
        <v>1480</v>
      </c>
      <c r="J51" t="s">
        <v>1481</v>
      </c>
      <c r="K51" t="s">
        <v>61</v>
      </c>
      <c r="L51">
        <v>101</v>
      </c>
      <c r="M51" t="s">
        <v>14</v>
      </c>
      <c r="N51">
        <v>333</v>
      </c>
      <c r="O51">
        <v>74.319999999999993</v>
      </c>
      <c r="P51">
        <v>1</v>
      </c>
    </row>
    <row r="52" spans="1:16" x14ac:dyDescent="0.25">
      <c r="A52" s="1">
        <v>45204</v>
      </c>
      <c r="B52" s="2">
        <v>0.55000000000000004</v>
      </c>
      <c r="C52" t="s">
        <v>872</v>
      </c>
      <c r="D52">
        <v>113</v>
      </c>
      <c r="E52" t="s">
        <v>808</v>
      </c>
      <c r="F52" t="s">
        <v>62</v>
      </c>
      <c r="G52">
        <v>2.975352</v>
      </c>
      <c r="H52">
        <v>22.535886000000001</v>
      </c>
      <c r="I52" t="s">
        <v>1480</v>
      </c>
      <c r="J52" t="s">
        <v>1481</v>
      </c>
      <c r="K52" t="s">
        <v>61</v>
      </c>
      <c r="L52">
        <v>101</v>
      </c>
      <c r="M52" t="s">
        <v>14</v>
      </c>
      <c r="N52">
        <v>333</v>
      </c>
      <c r="O52">
        <v>74.319999999999993</v>
      </c>
      <c r="P52">
        <v>1</v>
      </c>
    </row>
    <row r="53" spans="1:16" x14ac:dyDescent="0.25">
      <c r="A53" s="1">
        <v>45226</v>
      </c>
      <c r="B53" s="2">
        <v>0.53055555555555556</v>
      </c>
      <c r="C53" t="s">
        <v>873</v>
      </c>
      <c r="D53">
        <v>101</v>
      </c>
      <c r="E53" t="s">
        <v>812</v>
      </c>
      <c r="F53" t="s">
        <v>78</v>
      </c>
      <c r="G53">
        <v>-10.650321</v>
      </c>
      <c r="H53">
        <v>15.917044000000001</v>
      </c>
      <c r="I53" t="s">
        <v>1480</v>
      </c>
      <c r="J53" t="s">
        <v>1490</v>
      </c>
      <c r="K53" t="s">
        <v>77</v>
      </c>
      <c r="L53">
        <v>81</v>
      </c>
      <c r="M53" t="s">
        <v>14</v>
      </c>
      <c r="N53">
        <v>154</v>
      </c>
      <c r="O53">
        <v>19.47</v>
      </c>
      <c r="P53">
        <v>3</v>
      </c>
    </row>
    <row r="54" spans="1:16" x14ac:dyDescent="0.25">
      <c r="A54" s="1">
        <v>45226</v>
      </c>
      <c r="B54" s="2">
        <v>0.96944444444444444</v>
      </c>
      <c r="C54" t="s">
        <v>875</v>
      </c>
      <c r="D54">
        <v>68</v>
      </c>
      <c r="E54" t="s">
        <v>807</v>
      </c>
      <c r="F54" t="s">
        <v>73</v>
      </c>
      <c r="G54">
        <v>3.0603760000000002</v>
      </c>
      <c r="H54">
        <v>19.708034000000001</v>
      </c>
      <c r="I54" t="s">
        <v>1482</v>
      </c>
      <c r="J54" t="s">
        <v>1483</v>
      </c>
      <c r="K54" t="s">
        <v>72</v>
      </c>
      <c r="L54">
        <v>6</v>
      </c>
      <c r="M54" t="s">
        <v>11</v>
      </c>
      <c r="N54">
        <v>207</v>
      </c>
      <c r="O54">
        <v>61.55</v>
      </c>
      <c r="P54">
        <v>0</v>
      </c>
    </row>
    <row r="55" spans="1:16" x14ac:dyDescent="0.25">
      <c r="A55" s="1">
        <v>45203</v>
      </c>
      <c r="B55" s="2">
        <v>0.22152777777777777</v>
      </c>
      <c r="C55" t="s">
        <v>875</v>
      </c>
      <c r="D55">
        <v>101</v>
      </c>
      <c r="E55" t="s">
        <v>807</v>
      </c>
      <c r="F55" t="s">
        <v>73</v>
      </c>
      <c r="G55">
        <v>3.0603760000000002</v>
      </c>
      <c r="H55">
        <v>19.708034000000001</v>
      </c>
      <c r="I55" t="s">
        <v>1482</v>
      </c>
      <c r="J55" t="s">
        <v>1483</v>
      </c>
      <c r="K55" t="s">
        <v>72</v>
      </c>
      <c r="L55">
        <v>6</v>
      </c>
      <c r="M55" t="s">
        <v>11</v>
      </c>
      <c r="N55">
        <v>207</v>
      </c>
      <c r="O55">
        <v>61.55</v>
      </c>
      <c r="P55">
        <v>0</v>
      </c>
    </row>
    <row r="56" spans="1:16" x14ac:dyDescent="0.25">
      <c r="A56" s="1">
        <v>45215</v>
      </c>
      <c r="B56" s="2">
        <v>0.28819444444444442</v>
      </c>
      <c r="C56" t="s">
        <v>877</v>
      </c>
      <c r="D56">
        <v>109</v>
      </c>
      <c r="E56" t="s">
        <v>807</v>
      </c>
      <c r="F56" t="s">
        <v>62</v>
      </c>
      <c r="G56">
        <v>-11.157245</v>
      </c>
      <c r="H56">
        <v>21.262627999999999</v>
      </c>
      <c r="I56" t="s">
        <v>1477</v>
      </c>
      <c r="J56" t="s">
        <v>1483</v>
      </c>
      <c r="K56" t="s">
        <v>61</v>
      </c>
      <c r="L56">
        <v>101</v>
      </c>
      <c r="M56" t="s">
        <v>14</v>
      </c>
      <c r="N56">
        <v>333</v>
      </c>
      <c r="O56">
        <v>74.319999999999993</v>
      </c>
      <c r="P56">
        <v>1</v>
      </c>
    </row>
    <row r="57" spans="1:16" x14ac:dyDescent="0.25">
      <c r="A57" s="1">
        <v>45223</v>
      </c>
      <c r="B57" s="2">
        <v>0.7944444444444444</v>
      </c>
      <c r="C57" t="s">
        <v>879</v>
      </c>
      <c r="D57">
        <v>97</v>
      </c>
      <c r="E57" t="s">
        <v>807</v>
      </c>
      <c r="F57" t="s">
        <v>127</v>
      </c>
      <c r="G57">
        <v>1.0134879999999999</v>
      </c>
      <c r="H57">
        <v>20.363515</v>
      </c>
      <c r="I57" t="s">
        <v>1480</v>
      </c>
      <c r="J57" t="s">
        <v>1490</v>
      </c>
      <c r="K57" t="s">
        <v>126</v>
      </c>
      <c r="L57">
        <v>40</v>
      </c>
      <c r="M57" t="s">
        <v>11</v>
      </c>
      <c r="N57">
        <v>345</v>
      </c>
      <c r="O57">
        <v>89.55</v>
      </c>
      <c r="P57">
        <v>3</v>
      </c>
    </row>
    <row r="58" spans="1:16" x14ac:dyDescent="0.25">
      <c r="A58" s="1">
        <v>45213</v>
      </c>
      <c r="B58" s="2">
        <v>0.7631944444444444</v>
      </c>
      <c r="C58" t="s">
        <v>881</v>
      </c>
      <c r="D58">
        <v>119</v>
      </c>
      <c r="E58" t="s">
        <v>812</v>
      </c>
      <c r="F58" t="s">
        <v>60</v>
      </c>
      <c r="G58">
        <v>-0.79459900000000006</v>
      </c>
      <c r="H58">
        <v>26.775570999999999</v>
      </c>
      <c r="I58" t="s">
        <v>1477</v>
      </c>
      <c r="J58" t="s">
        <v>1481</v>
      </c>
      <c r="K58" t="s">
        <v>59</v>
      </c>
      <c r="L58">
        <v>14</v>
      </c>
      <c r="M58" t="s">
        <v>14</v>
      </c>
      <c r="N58">
        <v>316</v>
      </c>
      <c r="O58">
        <v>62.34</v>
      </c>
      <c r="P58">
        <v>4</v>
      </c>
    </row>
    <row r="59" spans="1:16" x14ac:dyDescent="0.25">
      <c r="A59" s="1">
        <v>45230</v>
      </c>
      <c r="B59" s="2">
        <v>0.83958333333333335</v>
      </c>
      <c r="C59" t="s">
        <v>881</v>
      </c>
      <c r="D59">
        <v>83</v>
      </c>
      <c r="E59" t="s">
        <v>812</v>
      </c>
      <c r="F59" t="s">
        <v>60</v>
      </c>
      <c r="G59">
        <v>-0.79459900000000006</v>
      </c>
      <c r="H59">
        <v>26.775570999999999</v>
      </c>
      <c r="I59" t="s">
        <v>1477</v>
      </c>
      <c r="J59" t="s">
        <v>1481</v>
      </c>
      <c r="K59" t="s">
        <v>59</v>
      </c>
      <c r="L59">
        <v>14</v>
      </c>
      <c r="M59" t="s">
        <v>14</v>
      </c>
      <c r="N59">
        <v>316</v>
      </c>
      <c r="O59">
        <v>62.34</v>
      </c>
      <c r="P59">
        <v>4</v>
      </c>
    </row>
    <row r="60" spans="1:16" x14ac:dyDescent="0.25">
      <c r="A60" s="1">
        <v>45210</v>
      </c>
      <c r="B60" s="2">
        <v>0.70347222222222228</v>
      </c>
      <c r="C60" t="s">
        <v>881</v>
      </c>
      <c r="D60">
        <v>20</v>
      </c>
      <c r="E60" t="s">
        <v>807</v>
      </c>
      <c r="F60" t="s">
        <v>60</v>
      </c>
      <c r="G60">
        <v>-0.79459900000000006</v>
      </c>
      <c r="H60">
        <v>26.775570999999999</v>
      </c>
      <c r="I60" t="s">
        <v>1477</v>
      </c>
      <c r="J60" t="s">
        <v>1481</v>
      </c>
      <c r="K60" t="s">
        <v>59</v>
      </c>
      <c r="L60">
        <v>14</v>
      </c>
      <c r="M60" t="s">
        <v>14</v>
      </c>
      <c r="N60">
        <v>316</v>
      </c>
      <c r="O60">
        <v>62.34</v>
      </c>
      <c r="P60">
        <v>4</v>
      </c>
    </row>
    <row r="61" spans="1:16" x14ac:dyDescent="0.25">
      <c r="A61" s="1">
        <v>45220</v>
      </c>
      <c r="B61" s="2">
        <v>0.89375000000000004</v>
      </c>
      <c r="C61" t="s">
        <v>884</v>
      </c>
      <c r="D61">
        <v>101</v>
      </c>
      <c r="E61" t="s">
        <v>812</v>
      </c>
      <c r="F61" t="s">
        <v>26</v>
      </c>
      <c r="G61">
        <v>-2.2876210000000001</v>
      </c>
      <c r="H61">
        <v>27.582545</v>
      </c>
      <c r="I61" t="s">
        <v>1480</v>
      </c>
      <c r="J61" t="s">
        <v>1481</v>
      </c>
      <c r="K61" t="s">
        <v>25</v>
      </c>
      <c r="L61">
        <v>99</v>
      </c>
      <c r="M61" t="s">
        <v>11</v>
      </c>
      <c r="N61">
        <v>447</v>
      </c>
      <c r="O61">
        <v>38.1</v>
      </c>
      <c r="P61">
        <v>3</v>
      </c>
    </row>
    <row r="62" spans="1:16" x14ac:dyDescent="0.25">
      <c r="A62" s="1">
        <v>45203</v>
      </c>
      <c r="B62" s="2">
        <v>4.1666666666666664E-2</v>
      </c>
      <c r="C62" t="s">
        <v>884</v>
      </c>
      <c r="D62">
        <v>69</v>
      </c>
      <c r="E62" t="s">
        <v>812</v>
      </c>
      <c r="F62" t="s">
        <v>26</v>
      </c>
      <c r="G62">
        <v>-2.2876210000000001</v>
      </c>
      <c r="H62">
        <v>27.582545</v>
      </c>
      <c r="I62" t="s">
        <v>1480</v>
      </c>
      <c r="J62" t="s">
        <v>1481</v>
      </c>
      <c r="K62" t="s">
        <v>25</v>
      </c>
      <c r="L62">
        <v>99</v>
      </c>
      <c r="M62" t="s">
        <v>11</v>
      </c>
      <c r="N62">
        <v>447</v>
      </c>
      <c r="O62">
        <v>38.1</v>
      </c>
      <c r="P62">
        <v>3</v>
      </c>
    </row>
    <row r="63" spans="1:16" x14ac:dyDescent="0.25">
      <c r="A63" s="1">
        <v>45225</v>
      </c>
      <c r="B63" s="2">
        <v>0.78194444444444444</v>
      </c>
      <c r="C63" t="s">
        <v>887</v>
      </c>
      <c r="D63">
        <v>113</v>
      </c>
      <c r="E63" t="s">
        <v>808</v>
      </c>
      <c r="F63" t="s">
        <v>37</v>
      </c>
      <c r="G63">
        <v>-7.9425049999999997</v>
      </c>
      <c r="H63">
        <v>24.111059000000001</v>
      </c>
      <c r="I63" t="s">
        <v>1482</v>
      </c>
      <c r="J63" t="s">
        <v>1483</v>
      </c>
      <c r="K63" t="s">
        <v>36</v>
      </c>
      <c r="L63">
        <v>115</v>
      </c>
      <c r="M63" t="s">
        <v>19</v>
      </c>
      <c r="N63">
        <v>176</v>
      </c>
      <c r="O63">
        <v>33.28</v>
      </c>
      <c r="P63">
        <v>4</v>
      </c>
    </row>
    <row r="64" spans="1:16" x14ac:dyDescent="0.25">
      <c r="A64" s="1">
        <v>45212</v>
      </c>
      <c r="B64" s="2">
        <v>0.41736111111111113</v>
      </c>
      <c r="C64" t="s">
        <v>891</v>
      </c>
      <c r="D64">
        <v>55</v>
      </c>
      <c r="E64" t="s">
        <v>808</v>
      </c>
      <c r="F64" t="s">
        <v>78</v>
      </c>
      <c r="G64">
        <v>1.938083</v>
      </c>
      <c r="H64">
        <v>28.25281</v>
      </c>
      <c r="I64" t="s">
        <v>1480</v>
      </c>
      <c r="J64" t="s">
        <v>1490</v>
      </c>
      <c r="K64" t="s">
        <v>77</v>
      </c>
      <c r="L64">
        <v>81</v>
      </c>
      <c r="M64" t="s">
        <v>14</v>
      </c>
      <c r="N64">
        <v>154</v>
      </c>
      <c r="O64">
        <v>19.47</v>
      </c>
      <c r="P64">
        <v>3</v>
      </c>
    </row>
    <row r="65" spans="1:16" x14ac:dyDescent="0.25">
      <c r="A65" s="1">
        <v>45203</v>
      </c>
      <c r="B65" s="2">
        <v>0.91041666666666665</v>
      </c>
      <c r="C65" t="s">
        <v>891</v>
      </c>
      <c r="D65">
        <v>62</v>
      </c>
      <c r="E65" t="s">
        <v>807</v>
      </c>
      <c r="F65" t="s">
        <v>78</v>
      </c>
      <c r="G65">
        <v>1.938083</v>
      </c>
      <c r="H65">
        <v>28.25281</v>
      </c>
      <c r="I65" t="s">
        <v>1480</v>
      </c>
      <c r="J65" t="s">
        <v>1490</v>
      </c>
      <c r="K65" t="s">
        <v>77</v>
      </c>
      <c r="L65">
        <v>81</v>
      </c>
      <c r="M65" t="s">
        <v>14</v>
      </c>
      <c r="N65">
        <v>154</v>
      </c>
      <c r="O65">
        <v>19.47</v>
      </c>
      <c r="P65">
        <v>3</v>
      </c>
    </row>
    <row r="66" spans="1:16" x14ac:dyDescent="0.25">
      <c r="A66" s="1">
        <v>45216</v>
      </c>
      <c r="B66" s="2">
        <v>0.43541666666666667</v>
      </c>
      <c r="C66" t="s">
        <v>891</v>
      </c>
      <c r="D66">
        <v>88</v>
      </c>
      <c r="E66" t="s">
        <v>807</v>
      </c>
      <c r="F66" t="s">
        <v>78</v>
      </c>
      <c r="G66">
        <v>1.938083</v>
      </c>
      <c r="H66">
        <v>28.25281</v>
      </c>
      <c r="I66" t="s">
        <v>1480</v>
      </c>
      <c r="J66" t="s">
        <v>1490</v>
      </c>
      <c r="K66" t="s">
        <v>77</v>
      </c>
      <c r="L66">
        <v>81</v>
      </c>
      <c r="M66" t="s">
        <v>14</v>
      </c>
      <c r="N66">
        <v>154</v>
      </c>
      <c r="O66">
        <v>19.47</v>
      </c>
      <c r="P66">
        <v>3</v>
      </c>
    </row>
    <row r="67" spans="1:16" x14ac:dyDescent="0.25">
      <c r="A67" s="1">
        <v>45230</v>
      </c>
      <c r="B67" s="2">
        <v>0.39513888888888887</v>
      </c>
      <c r="C67" t="s">
        <v>894</v>
      </c>
      <c r="D67">
        <v>89</v>
      </c>
      <c r="E67" t="s">
        <v>812</v>
      </c>
      <c r="F67" t="s">
        <v>26</v>
      </c>
      <c r="G67">
        <v>-7.3952039999999997</v>
      </c>
      <c r="H67">
        <v>21.651043999999999</v>
      </c>
      <c r="I67" t="s">
        <v>1480</v>
      </c>
      <c r="J67" t="s">
        <v>1481</v>
      </c>
      <c r="K67" t="s">
        <v>25</v>
      </c>
      <c r="L67">
        <v>99</v>
      </c>
      <c r="M67" t="s">
        <v>11</v>
      </c>
      <c r="N67">
        <v>447</v>
      </c>
      <c r="O67">
        <v>38.1</v>
      </c>
      <c r="P67">
        <v>3</v>
      </c>
    </row>
    <row r="68" spans="1:16" x14ac:dyDescent="0.25">
      <c r="A68" s="1">
        <v>45207</v>
      </c>
      <c r="B68" s="2">
        <v>1.1111111111111112E-2</v>
      </c>
      <c r="C68" t="s">
        <v>895</v>
      </c>
      <c r="D68">
        <v>32</v>
      </c>
      <c r="E68" t="s">
        <v>807</v>
      </c>
      <c r="F68" t="s">
        <v>33</v>
      </c>
      <c r="G68">
        <v>1.897178</v>
      </c>
      <c r="H68">
        <v>23.902604</v>
      </c>
      <c r="I68" t="s">
        <v>1482</v>
      </c>
      <c r="J68" t="s">
        <v>1490</v>
      </c>
      <c r="K68" t="s">
        <v>32</v>
      </c>
      <c r="L68">
        <v>72</v>
      </c>
      <c r="M68" t="s">
        <v>14</v>
      </c>
      <c r="N68">
        <v>160</v>
      </c>
      <c r="O68">
        <v>90.13</v>
      </c>
      <c r="P68">
        <v>2</v>
      </c>
    </row>
    <row r="69" spans="1:16" x14ac:dyDescent="0.25">
      <c r="A69" s="1">
        <v>45204</v>
      </c>
      <c r="B69" s="2">
        <v>0.625</v>
      </c>
      <c r="C69" t="s">
        <v>896</v>
      </c>
      <c r="D69">
        <v>94</v>
      </c>
      <c r="E69" t="s">
        <v>812</v>
      </c>
      <c r="F69" t="s">
        <v>26</v>
      </c>
      <c r="G69">
        <v>-1.6893210000000001</v>
      </c>
      <c r="H69">
        <v>30.446543999999999</v>
      </c>
      <c r="I69" t="s">
        <v>1480</v>
      </c>
      <c r="J69" t="s">
        <v>1481</v>
      </c>
      <c r="K69" t="s">
        <v>25</v>
      </c>
      <c r="L69">
        <v>99</v>
      </c>
      <c r="M69" t="s">
        <v>11</v>
      </c>
      <c r="N69">
        <v>447</v>
      </c>
      <c r="O69">
        <v>38.1</v>
      </c>
      <c r="P69">
        <v>3</v>
      </c>
    </row>
    <row r="70" spans="1:16" x14ac:dyDescent="0.25">
      <c r="A70" s="1">
        <v>45214</v>
      </c>
      <c r="B70" s="2">
        <v>0.45763888888888887</v>
      </c>
      <c r="C70" t="s">
        <v>902</v>
      </c>
      <c r="D70">
        <v>48</v>
      </c>
      <c r="E70" t="s">
        <v>812</v>
      </c>
      <c r="F70" t="s">
        <v>31</v>
      </c>
      <c r="G70">
        <v>-9.3652239999999995</v>
      </c>
      <c r="H70">
        <v>22.593423999999999</v>
      </c>
      <c r="I70" t="s">
        <v>1477</v>
      </c>
      <c r="J70" t="s">
        <v>1490</v>
      </c>
      <c r="K70" t="s">
        <v>30</v>
      </c>
      <c r="L70">
        <v>113</v>
      </c>
      <c r="M70" t="s">
        <v>22</v>
      </c>
      <c r="N70">
        <v>380</v>
      </c>
      <c r="O70">
        <v>12.11</v>
      </c>
      <c r="P70">
        <v>0</v>
      </c>
    </row>
    <row r="71" spans="1:16" x14ac:dyDescent="0.25">
      <c r="A71" s="1">
        <v>45220</v>
      </c>
      <c r="B71" s="2">
        <v>0.48888888888888887</v>
      </c>
      <c r="C71" t="s">
        <v>902</v>
      </c>
      <c r="D71">
        <v>49</v>
      </c>
      <c r="E71" t="s">
        <v>812</v>
      </c>
      <c r="F71" t="s">
        <v>31</v>
      </c>
      <c r="G71">
        <v>-9.3652239999999995</v>
      </c>
      <c r="H71">
        <v>22.593423999999999</v>
      </c>
      <c r="I71" t="s">
        <v>1477</v>
      </c>
      <c r="J71" t="s">
        <v>1490</v>
      </c>
      <c r="K71" t="s">
        <v>30</v>
      </c>
      <c r="L71">
        <v>113</v>
      </c>
      <c r="M71" t="s">
        <v>22</v>
      </c>
      <c r="N71">
        <v>380</v>
      </c>
      <c r="O71">
        <v>12.11</v>
      </c>
      <c r="P71">
        <v>0</v>
      </c>
    </row>
    <row r="72" spans="1:16" x14ac:dyDescent="0.25">
      <c r="A72" s="1">
        <v>45212</v>
      </c>
      <c r="B72" s="2">
        <v>0.87569444444444444</v>
      </c>
      <c r="C72" t="s">
        <v>903</v>
      </c>
      <c r="D72">
        <v>23</v>
      </c>
      <c r="E72" t="s">
        <v>807</v>
      </c>
      <c r="F72" t="s">
        <v>51</v>
      </c>
      <c r="G72">
        <v>1.2691650000000001</v>
      </c>
      <c r="H72">
        <v>18.789956</v>
      </c>
      <c r="I72" t="s">
        <v>1482</v>
      </c>
      <c r="J72" t="s">
        <v>1490</v>
      </c>
      <c r="K72" t="s">
        <v>50</v>
      </c>
      <c r="L72">
        <v>119</v>
      </c>
      <c r="M72" t="s">
        <v>22</v>
      </c>
      <c r="N72">
        <v>228</v>
      </c>
      <c r="O72">
        <v>94.72</v>
      </c>
      <c r="P72">
        <v>3</v>
      </c>
    </row>
    <row r="73" spans="1:16" x14ac:dyDescent="0.25">
      <c r="A73" s="1">
        <v>45206</v>
      </c>
      <c r="B73" s="2">
        <v>0.5395833333333333</v>
      </c>
      <c r="C73" t="s">
        <v>904</v>
      </c>
      <c r="D73">
        <v>43</v>
      </c>
      <c r="E73" t="s">
        <v>807</v>
      </c>
      <c r="F73" t="s">
        <v>40</v>
      </c>
      <c r="G73">
        <v>-10.963041</v>
      </c>
      <c r="H73">
        <v>12.269857</v>
      </c>
      <c r="I73" t="s">
        <v>1480</v>
      </c>
      <c r="J73" t="s">
        <v>1481</v>
      </c>
      <c r="K73" t="s">
        <v>39</v>
      </c>
      <c r="L73">
        <v>110</v>
      </c>
      <c r="M73" t="s">
        <v>14</v>
      </c>
      <c r="N73">
        <v>423</v>
      </c>
      <c r="O73">
        <v>37.35</v>
      </c>
      <c r="P73">
        <v>4</v>
      </c>
    </row>
    <row r="74" spans="1:16" x14ac:dyDescent="0.25">
      <c r="A74" s="1">
        <v>45228</v>
      </c>
      <c r="B74" s="2">
        <v>0.62152777777777779</v>
      </c>
      <c r="C74" t="s">
        <v>904</v>
      </c>
      <c r="D74">
        <v>98</v>
      </c>
      <c r="E74" t="s">
        <v>812</v>
      </c>
      <c r="F74" t="s">
        <v>40</v>
      </c>
      <c r="G74">
        <v>-10.963041</v>
      </c>
      <c r="H74">
        <v>12.269857</v>
      </c>
      <c r="I74" t="s">
        <v>1480</v>
      </c>
      <c r="J74" t="s">
        <v>1481</v>
      </c>
      <c r="K74" t="s">
        <v>39</v>
      </c>
      <c r="L74">
        <v>110</v>
      </c>
      <c r="M74" t="s">
        <v>14</v>
      </c>
      <c r="N74">
        <v>423</v>
      </c>
      <c r="O74">
        <v>37.35</v>
      </c>
      <c r="P74">
        <v>4</v>
      </c>
    </row>
    <row r="75" spans="1:16" x14ac:dyDescent="0.25">
      <c r="A75" s="1">
        <v>45212</v>
      </c>
      <c r="B75" s="2">
        <v>0.90138888888888891</v>
      </c>
      <c r="C75" t="s">
        <v>904</v>
      </c>
      <c r="D75">
        <v>58</v>
      </c>
      <c r="E75" t="s">
        <v>807</v>
      </c>
      <c r="F75" t="s">
        <v>40</v>
      </c>
      <c r="G75">
        <v>-10.963041</v>
      </c>
      <c r="H75">
        <v>12.269857</v>
      </c>
      <c r="I75" t="s">
        <v>1480</v>
      </c>
      <c r="J75" t="s">
        <v>1481</v>
      </c>
      <c r="K75" t="s">
        <v>39</v>
      </c>
      <c r="L75">
        <v>110</v>
      </c>
      <c r="M75" t="s">
        <v>14</v>
      </c>
      <c r="N75">
        <v>423</v>
      </c>
      <c r="O75">
        <v>37.35</v>
      </c>
      <c r="P75">
        <v>4</v>
      </c>
    </row>
    <row r="76" spans="1:16" x14ac:dyDescent="0.25">
      <c r="A76" s="1">
        <v>45210</v>
      </c>
      <c r="B76" s="2">
        <v>0.49722222222222223</v>
      </c>
      <c r="C76" t="s">
        <v>906</v>
      </c>
      <c r="D76">
        <v>75</v>
      </c>
      <c r="E76" t="s">
        <v>812</v>
      </c>
      <c r="F76" t="s">
        <v>21</v>
      </c>
      <c r="G76">
        <v>-9.3900009999999998</v>
      </c>
      <c r="H76">
        <v>30.001517</v>
      </c>
      <c r="I76" t="s">
        <v>1482</v>
      </c>
      <c r="J76" t="s">
        <v>1490</v>
      </c>
      <c r="K76" t="s">
        <v>20</v>
      </c>
      <c r="L76">
        <v>101</v>
      </c>
      <c r="M76" t="s">
        <v>22</v>
      </c>
      <c r="N76">
        <v>358</v>
      </c>
      <c r="O76">
        <v>29.24</v>
      </c>
      <c r="P76">
        <v>3</v>
      </c>
    </row>
    <row r="77" spans="1:16" x14ac:dyDescent="0.25">
      <c r="A77" s="1">
        <v>45228</v>
      </c>
      <c r="B77" s="2">
        <v>1.3888888888888889E-3</v>
      </c>
      <c r="C77" t="s">
        <v>906</v>
      </c>
      <c r="D77">
        <v>100</v>
      </c>
      <c r="E77" t="s">
        <v>808</v>
      </c>
      <c r="F77" t="s">
        <v>21</v>
      </c>
      <c r="G77">
        <v>-9.3900009999999998</v>
      </c>
      <c r="H77">
        <v>30.001517</v>
      </c>
      <c r="I77" t="s">
        <v>1482</v>
      </c>
      <c r="J77" t="s">
        <v>1490</v>
      </c>
      <c r="K77" t="s">
        <v>20</v>
      </c>
      <c r="L77">
        <v>101</v>
      </c>
      <c r="M77" t="s">
        <v>22</v>
      </c>
      <c r="N77">
        <v>358</v>
      </c>
      <c r="O77">
        <v>29.24</v>
      </c>
      <c r="P77">
        <v>3</v>
      </c>
    </row>
    <row r="78" spans="1:16" x14ac:dyDescent="0.25">
      <c r="A78" s="1">
        <v>45202</v>
      </c>
      <c r="B78" s="2">
        <v>0.77916666666666667</v>
      </c>
      <c r="C78" t="s">
        <v>909</v>
      </c>
      <c r="D78">
        <v>61</v>
      </c>
      <c r="E78" t="s">
        <v>812</v>
      </c>
      <c r="F78" t="s">
        <v>37</v>
      </c>
      <c r="G78">
        <v>-12.229338</v>
      </c>
      <c r="H78">
        <v>29.587834999999998</v>
      </c>
      <c r="I78" t="s">
        <v>1480</v>
      </c>
      <c r="J78" t="s">
        <v>1490</v>
      </c>
      <c r="K78" t="s">
        <v>36</v>
      </c>
      <c r="L78">
        <v>115</v>
      </c>
      <c r="M78" t="s">
        <v>19</v>
      </c>
      <c r="N78">
        <v>176</v>
      </c>
      <c r="O78">
        <v>33.28</v>
      </c>
      <c r="P78">
        <v>4</v>
      </c>
    </row>
    <row r="79" spans="1:16" x14ac:dyDescent="0.25">
      <c r="A79" s="1">
        <v>45213</v>
      </c>
      <c r="B79" s="2">
        <v>0.35138888888888886</v>
      </c>
      <c r="C79" t="s">
        <v>910</v>
      </c>
      <c r="D79">
        <v>86</v>
      </c>
      <c r="E79" t="s">
        <v>812</v>
      </c>
      <c r="F79" t="s">
        <v>78</v>
      </c>
      <c r="G79">
        <v>4.8228650000000002</v>
      </c>
      <c r="H79">
        <v>30.555627000000001</v>
      </c>
      <c r="I79" t="s">
        <v>1480</v>
      </c>
      <c r="J79" t="s">
        <v>1481</v>
      </c>
      <c r="K79" t="s">
        <v>77</v>
      </c>
      <c r="L79">
        <v>81</v>
      </c>
      <c r="M79" t="s">
        <v>14</v>
      </c>
      <c r="N79">
        <v>154</v>
      </c>
      <c r="O79">
        <v>19.47</v>
      </c>
      <c r="P79">
        <v>3</v>
      </c>
    </row>
    <row r="80" spans="1:16" x14ac:dyDescent="0.25">
      <c r="A80" s="1">
        <v>45205</v>
      </c>
      <c r="B80" s="2">
        <v>0.16944444444444445</v>
      </c>
      <c r="C80" t="s">
        <v>913</v>
      </c>
      <c r="D80">
        <v>18</v>
      </c>
      <c r="E80" t="s">
        <v>808</v>
      </c>
      <c r="F80" t="s">
        <v>29</v>
      </c>
      <c r="G80">
        <v>4.8689660000000003</v>
      </c>
      <c r="H80">
        <v>25.112373000000002</v>
      </c>
      <c r="I80" t="s">
        <v>1482</v>
      </c>
      <c r="J80" t="s">
        <v>1481</v>
      </c>
      <c r="K80" t="s">
        <v>28</v>
      </c>
      <c r="L80">
        <v>99</v>
      </c>
      <c r="M80" t="s">
        <v>19</v>
      </c>
      <c r="N80">
        <v>369</v>
      </c>
      <c r="O80">
        <v>67.209999999999994</v>
      </c>
      <c r="P80">
        <v>3</v>
      </c>
    </row>
    <row r="81" spans="1:16" x14ac:dyDescent="0.25">
      <c r="A81" s="1">
        <v>45203</v>
      </c>
      <c r="B81" s="2">
        <v>0.76041666666666663</v>
      </c>
      <c r="C81" t="s">
        <v>915</v>
      </c>
      <c r="D81">
        <v>18</v>
      </c>
      <c r="E81" t="s">
        <v>812</v>
      </c>
      <c r="F81" t="s">
        <v>89</v>
      </c>
      <c r="G81">
        <v>0.94539899999999999</v>
      </c>
      <c r="H81">
        <v>14.401821999999999</v>
      </c>
      <c r="I81" t="s">
        <v>1477</v>
      </c>
      <c r="J81" t="s">
        <v>1490</v>
      </c>
      <c r="K81" t="s">
        <v>88</v>
      </c>
      <c r="L81">
        <v>98</v>
      </c>
      <c r="M81" t="s">
        <v>14</v>
      </c>
      <c r="N81">
        <v>482</v>
      </c>
      <c r="O81">
        <v>55.04</v>
      </c>
      <c r="P81">
        <v>5</v>
      </c>
    </row>
    <row r="82" spans="1:16" x14ac:dyDescent="0.25">
      <c r="A82" s="1">
        <v>45230</v>
      </c>
      <c r="B82" s="2">
        <v>9.0277777777777769E-3</v>
      </c>
      <c r="C82" t="s">
        <v>915</v>
      </c>
      <c r="D82">
        <v>11</v>
      </c>
      <c r="E82" t="s">
        <v>808</v>
      </c>
      <c r="F82" t="s">
        <v>89</v>
      </c>
      <c r="G82">
        <v>0.94539899999999999</v>
      </c>
      <c r="H82">
        <v>14.401821999999999</v>
      </c>
      <c r="I82" t="s">
        <v>1477</v>
      </c>
      <c r="J82" t="s">
        <v>1490</v>
      </c>
      <c r="K82" t="s">
        <v>88</v>
      </c>
      <c r="L82">
        <v>98</v>
      </c>
      <c r="M82" t="s">
        <v>14</v>
      </c>
      <c r="N82">
        <v>482</v>
      </c>
      <c r="O82">
        <v>55.04</v>
      </c>
      <c r="P82">
        <v>5</v>
      </c>
    </row>
    <row r="83" spans="1:16" x14ac:dyDescent="0.25">
      <c r="A83" s="1">
        <v>45205</v>
      </c>
      <c r="B83" s="2">
        <v>0.65069444444444446</v>
      </c>
      <c r="C83" t="s">
        <v>916</v>
      </c>
      <c r="D83">
        <v>63</v>
      </c>
      <c r="E83" t="s">
        <v>807</v>
      </c>
      <c r="F83" t="s">
        <v>62</v>
      </c>
      <c r="G83">
        <v>-10.977309</v>
      </c>
      <c r="H83">
        <v>12.408281000000001</v>
      </c>
      <c r="I83" t="s">
        <v>1477</v>
      </c>
      <c r="J83" t="s">
        <v>1483</v>
      </c>
      <c r="K83" t="s">
        <v>61</v>
      </c>
      <c r="L83">
        <v>101</v>
      </c>
      <c r="M83" t="s">
        <v>14</v>
      </c>
      <c r="N83">
        <v>333</v>
      </c>
      <c r="O83">
        <v>74.319999999999993</v>
      </c>
      <c r="P83">
        <v>1</v>
      </c>
    </row>
    <row r="84" spans="1:16" x14ac:dyDescent="0.25">
      <c r="A84" s="1">
        <v>45216</v>
      </c>
      <c r="B84" s="2">
        <v>0.27500000000000002</v>
      </c>
      <c r="C84" t="s">
        <v>920</v>
      </c>
      <c r="D84">
        <v>119</v>
      </c>
      <c r="E84" t="s">
        <v>812</v>
      </c>
      <c r="F84" t="s">
        <v>21</v>
      </c>
      <c r="G84">
        <v>2.4414509999999998</v>
      </c>
      <c r="H84">
        <v>30.167489</v>
      </c>
      <c r="I84" t="s">
        <v>1477</v>
      </c>
      <c r="J84" t="s">
        <v>1490</v>
      </c>
      <c r="K84" t="s">
        <v>20</v>
      </c>
      <c r="L84">
        <v>101</v>
      </c>
      <c r="M84" t="s">
        <v>22</v>
      </c>
      <c r="N84">
        <v>358</v>
      </c>
      <c r="O84">
        <v>29.24</v>
      </c>
      <c r="P84">
        <v>3</v>
      </c>
    </row>
    <row r="85" spans="1:16" x14ac:dyDescent="0.25">
      <c r="A85" s="1">
        <v>45227</v>
      </c>
      <c r="B85" s="2">
        <v>0.44791666666666669</v>
      </c>
      <c r="C85" t="s">
        <v>920</v>
      </c>
      <c r="D85">
        <v>84</v>
      </c>
      <c r="E85" t="s">
        <v>808</v>
      </c>
      <c r="F85" t="s">
        <v>21</v>
      </c>
      <c r="G85">
        <v>2.4414509999999998</v>
      </c>
      <c r="H85">
        <v>30.167489</v>
      </c>
      <c r="I85" t="s">
        <v>1477</v>
      </c>
      <c r="J85" t="s">
        <v>1490</v>
      </c>
      <c r="K85" t="s">
        <v>20</v>
      </c>
      <c r="L85">
        <v>101</v>
      </c>
      <c r="M85" t="s">
        <v>22</v>
      </c>
      <c r="N85">
        <v>358</v>
      </c>
      <c r="O85">
        <v>29.24</v>
      </c>
      <c r="P85">
        <v>3</v>
      </c>
    </row>
    <row r="86" spans="1:16" x14ac:dyDescent="0.25">
      <c r="A86" s="1">
        <v>45216</v>
      </c>
      <c r="B86" s="2">
        <v>0.86527777777777781</v>
      </c>
      <c r="C86" t="s">
        <v>921</v>
      </c>
      <c r="D86">
        <v>10</v>
      </c>
      <c r="E86" t="s">
        <v>808</v>
      </c>
      <c r="F86" t="s">
        <v>57</v>
      </c>
      <c r="G86">
        <v>-1.648326</v>
      </c>
      <c r="H86">
        <v>25.528901999999999</v>
      </c>
      <c r="I86" t="s">
        <v>1480</v>
      </c>
      <c r="J86" t="s">
        <v>1481</v>
      </c>
      <c r="K86" t="s">
        <v>56</v>
      </c>
      <c r="L86">
        <v>97</v>
      </c>
      <c r="M86" t="s">
        <v>14</v>
      </c>
      <c r="N86">
        <v>319</v>
      </c>
      <c r="O86">
        <v>31.25</v>
      </c>
      <c r="P86">
        <v>1</v>
      </c>
    </row>
    <row r="87" spans="1:16" x14ac:dyDescent="0.25">
      <c r="A87" s="1">
        <v>45218</v>
      </c>
      <c r="B87" s="2">
        <v>8.8888888888888892E-2</v>
      </c>
      <c r="C87" t="s">
        <v>923</v>
      </c>
      <c r="D87">
        <v>12</v>
      </c>
      <c r="E87" t="s">
        <v>812</v>
      </c>
      <c r="F87" t="s">
        <v>64</v>
      </c>
      <c r="G87">
        <v>-11.389362</v>
      </c>
      <c r="H87">
        <v>22.240174</v>
      </c>
      <c r="I87" t="s">
        <v>1477</v>
      </c>
      <c r="J87" t="s">
        <v>1483</v>
      </c>
      <c r="K87" t="s">
        <v>63</v>
      </c>
      <c r="L87">
        <v>79</v>
      </c>
      <c r="M87" t="s">
        <v>11</v>
      </c>
      <c r="N87">
        <v>226</v>
      </c>
      <c r="O87">
        <v>94.38</v>
      </c>
      <c r="P87">
        <v>3</v>
      </c>
    </row>
    <row r="88" spans="1:16" x14ac:dyDescent="0.25">
      <c r="A88" s="1">
        <v>45209</v>
      </c>
      <c r="B88" s="2">
        <v>0.21527777777777779</v>
      </c>
      <c r="C88" t="s">
        <v>923</v>
      </c>
      <c r="D88">
        <v>23</v>
      </c>
      <c r="E88" t="s">
        <v>812</v>
      </c>
      <c r="F88" t="s">
        <v>64</v>
      </c>
      <c r="G88">
        <v>-11.389362</v>
      </c>
      <c r="H88">
        <v>22.240174</v>
      </c>
      <c r="I88" t="s">
        <v>1477</v>
      </c>
      <c r="J88" t="s">
        <v>1483</v>
      </c>
      <c r="K88" t="s">
        <v>63</v>
      </c>
      <c r="L88">
        <v>79</v>
      </c>
      <c r="M88" t="s">
        <v>11</v>
      </c>
      <c r="N88">
        <v>226</v>
      </c>
      <c r="O88">
        <v>94.38</v>
      </c>
      <c r="P88">
        <v>3</v>
      </c>
    </row>
    <row r="89" spans="1:16" x14ac:dyDescent="0.25">
      <c r="A89" s="1">
        <v>45226</v>
      </c>
      <c r="B89" s="2">
        <v>0.84097222222222223</v>
      </c>
      <c r="C89" t="s">
        <v>923</v>
      </c>
      <c r="D89">
        <v>74</v>
      </c>
      <c r="E89" t="s">
        <v>808</v>
      </c>
      <c r="F89" t="s">
        <v>64</v>
      </c>
      <c r="G89">
        <v>-11.389362</v>
      </c>
      <c r="H89">
        <v>22.240174</v>
      </c>
      <c r="I89" t="s">
        <v>1477</v>
      </c>
      <c r="J89" t="s">
        <v>1483</v>
      </c>
      <c r="K89" t="s">
        <v>63</v>
      </c>
      <c r="L89">
        <v>79</v>
      </c>
      <c r="M89" t="s">
        <v>11</v>
      </c>
      <c r="N89">
        <v>226</v>
      </c>
      <c r="O89">
        <v>94.38</v>
      </c>
      <c r="P89">
        <v>3</v>
      </c>
    </row>
    <row r="90" spans="1:16" x14ac:dyDescent="0.25">
      <c r="A90" s="1">
        <v>45219</v>
      </c>
      <c r="B90" s="2">
        <v>0.43888888888888888</v>
      </c>
      <c r="C90" t="s">
        <v>924</v>
      </c>
      <c r="D90">
        <v>105</v>
      </c>
      <c r="E90" t="s">
        <v>808</v>
      </c>
      <c r="F90" t="s">
        <v>31</v>
      </c>
      <c r="G90">
        <v>-0.54908599999999996</v>
      </c>
      <c r="H90">
        <v>14.816867</v>
      </c>
      <c r="I90" t="s">
        <v>1477</v>
      </c>
      <c r="J90" t="s">
        <v>1483</v>
      </c>
      <c r="K90" t="s">
        <v>30</v>
      </c>
      <c r="L90">
        <v>113</v>
      </c>
      <c r="M90" t="s">
        <v>22</v>
      </c>
      <c r="N90">
        <v>380</v>
      </c>
      <c r="O90">
        <v>12.11</v>
      </c>
      <c r="P90">
        <v>0</v>
      </c>
    </row>
    <row r="91" spans="1:16" x14ac:dyDescent="0.25">
      <c r="A91" s="1">
        <v>45202</v>
      </c>
      <c r="B91" s="2">
        <v>0.42083333333333334</v>
      </c>
      <c r="C91" t="s">
        <v>925</v>
      </c>
      <c r="D91">
        <v>84</v>
      </c>
      <c r="E91" t="s">
        <v>807</v>
      </c>
      <c r="F91" t="s">
        <v>31</v>
      </c>
      <c r="G91">
        <v>-10.56448</v>
      </c>
      <c r="H91">
        <v>19.792876</v>
      </c>
      <c r="I91" t="s">
        <v>1477</v>
      </c>
      <c r="J91" t="s">
        <v>1478</v>
      </c>
      <c r="K91" t="s">
        <v>30</v>
      </c>
      <c r="L91">
        <v>113</v>
      </c>
      <c r="M91" t="s">
        <v>22</v>
      </c>
      <c r="N91">
        <v>380</v>
      </c>
      <c r="O91">
        <v>12.11</v>
      </c>
      <c r="P91">
        <v>0</v>
      </c>
    </row>
    <row r="92" spans="1:16" x14ac:dyDescent="0.25">
      <c r="A92" s="1">
        <v>45229</v>
      </c>
      <c r="B92" s="2">
        <v>0.59583333333333333</v>
      </c>
      <c r="C92" t="s">
        <v>925</v>
      </c>
      <c r="D92">
        <v>88</v>
      </c>
      <c r="E92" t="s">
        <v>812</v>
      </c>
      <c r="F92" t="s">
        <v>31</v>
      </c>
      <c r="G92">
        <v>-10.56448</v>
      </c>
      <c r="H92">
        <v>19.792876</v>
      </c>
      <c r="I92" t="s">
        <v>1477</v>
      </c>
      <c r="J92" t="s">
        <v>1478</v>
      </c>
      <c r="K92" t="s">
        <v>30</v>
      </c>
      <c r="L92">
        <v>113</v>
      </c>
      <c r="M92" t="s">
        <v>22</v>
      </c>
      <c r="N92">
        <v>380</v>
      </c>
      <c r="O92">
        <v>12.11</v>
      </c>
      <c r="P92">
        <v>0</v>
      </c>
    </row>
    <row r="93" spans="1:16" x14ac:dyDescent="0.25">
      <c r="A93" s="1">
        <v>45206</v>
      </c>
      <c r="B93" s="2">
        <v>0.9194444444444444</v>
      </c>
      <c r="C93" t="s">
        <v>925</v>
      </c>
      <c r="D93">
        <v>13</v>
      </c>
      <c r="E93" t="s">
        <v>808</v>
      </c>
      <c r="F93" t="s">
        <v>31</v>
      </c>
      <c r="G93">
        <v>-10.56448</v>
      </c>
      <c r="H93">
        <v>19.792876</v>
      </c>
      <c r="I93" t="s">
        <v>1477</v>
      </c>
      <c r="J93" t="s">
        <v>1478</v>
      </c>
      <c r="K93" t="s">
        <v>30</v>
      </c>
      <c r="L93">
        <v>113</v>
      </c>
      <c r="M93" t="s">
        <v>22</v>
      </c>
      <c r="N93">
        <v>380</v>
      </c>
      <c r="O93">
        <v>12.11</v>
      </c>
      <c r="P93">
        <v>0</v>
      </c>
    </row>
    <row r="94" spans="1:16" x14ac:dyDescent="0.25">
      <c r="A94" s="1">
        <v>45215</v>
      </c>
      <c r="B94" s="2">
        <v>0.5805555555555556</v>
      </c>
      <c r="C94" t="s">
        <v>929</v>
      </c>
      <c r="D94">
        <v>102</v>
      </c>
      <c r="E94" t="s">
        <v>812</v>
      </c>
      <c r="F94" t="s">
        <v>73</v>
      </c>
      <c r="G94">
        <v>2.4425979999999998</v>
      </c>
      <c r="H94">
        <v>24.924308</v>
      </c>
      <c r="I94" t="s">
        <v>1477</v>
      </c>
      <c r="J94" t="s">
        <v>1478</v>
      </c>
      <c r="K94" t="s">
        <v>72</v>
      </c>
      <c r="L94">
        <v>6</v>
      </c>
      <c r="M94" t="s">
        <v>11</v>
      </c>
      <c r="N94">
        <v>207</v>
      </c>
      <c r="O94">
        <v>61.55</v>
      </c>
      <c r="P94">
        <v>0</v>
      </c>
    </row>
    <row r="95" spans="1:16" x14ac:dyDescent="0.25">
      <c r="A95" s="1">
        <v>45227</v>
      </c>
      <c r="B95" s="2">
        <v>0.14444444444444443</v>
      </c>
      <c r="C95" t="s">
        <v>929</v>
      </c>
      <c r="D95">
        <v>11</v>
      </c>
      <c r="E95" t="s">
        <v>808</v>
      </c>
      <c r="F95" t="s">
        <v>73</v>
      </c>
      <c r="G95">
        <v>2.4425979999999998</v>
      </c>
      <c r="H95">
        <v>24.924308</v>
      </c>
      <c r="I95" t="s">
        <v>1477</v>
      </c>
      <c r="J95" t="s">
        <v>1478</v>
      </c>
      <c r="K95" t="s">
        <v>72</v>
      </c>
      <c r="L95">
        <v>6</v>
      </c>
      <c r="M95" t="s">
        <v>11</v>
      </c>
      <c r="N95">
        <v>207</v>
      </c>
      <c r="O95">
        <v>61.55</v>
      </c>
      <c r="P95">
        <v>0</v>
      </c>
    </row>
    <row r="96" spans="1:16" x14ac:dyDescent="0.25">
      <c r="A96" s="1">
        <v>45213</v>
      </c>
      <c r="B96" s="2">
        <v>0.31111111111111112</v>
      </c>
      <c r="C96" t="s">
        <v>930</v>
      </c>
      <c r="D96">
        <v>22</v>
      </c>
      <c r="E96" t="s">
        <v>808</v>
      </c>
      <c r="F96" t="s">
        <v>40</v>
      </c>
      <c r="G96">
        <v>4.8319039999999998</v>
      </c>
      <c r="H96">
        <v>20.733468999999999</v>
      </c>
      <c r="I96" t="s">
        <v>1477</v>
      </c>
      <c r="J96" t="s">
        <v>1478</v>
      </c>
      <c r="K96" t="s">
        <v>39</v>
      </c>
      <c r="L96">
        <v>110</v>
      </c>
      <c r="M96" t="s">
        <v>14</v>
      </c>
      <c r="N96">
        <v>423</v>
      </c>
      <c r="O96">
        <v>37.35</v>
      </c>
      <c r="P96">
        <v>4</v>
      </c>
    </row>
    <row r="97" spans="1:16" x14ac:dyDescent="0.25">
      <c r="A97" s="1">
        <v>45212</v>
      </c>
      <c r="B97" s="2">
        <v>0.31111111111111112</v>
      </c>
      <c r="C97" t="s">
        <v>930</v>
      </c>
      <c r="D97">
        <v>79</v>
      </c>
      <c r="E97" t="s">
        <v>807</v>
      </c>
      <c r="F97" t="s">
        <v>40</v>
      </c>
      <c r="G97">
        <v>4.8319039999999998</v>
      </c>
      <c r="H97">
        <v>20.733468999999999</v>
      </c>
      <c r="I97" t="s">
        <v>1477</v>
      </c>
      <c r="J97" t="s">
        <v>1478</v>
      </c>
      <c r="K97" t="s">
        <v>39</v>
      </c>
      <c r="L97">
        <v>110</v>
      </c>
      <c r="M97" t="s">
        <v>14</v>
      </c>
      <c r="N97">
        <v>423</v>
      </c>
      <c r="O97">
        <v>37.35</v>
      </c>
      <c r="P97">
        <v>4</v>
      </c>
    </row>
    <row r="98" spans="1:16" x14ac:dyDescent="0.25">
      <c r="A98" s="1">
        <v>45227</v>
      </c>
      <c r="B98" s="2">
        <v>9.166666666666666E-2</v>
      </c>
      <c r="C98" t="s">
        <v>931</v>
      </c>
      <c r="D98">
        <v>112</v>
      </c>
      <c r="E98" t="s">
        <v>807</v>
      </c>
      <c r="F98" t="s">
        <v>51</v>
      </c>
      <c r="G98">
        <v>-10.161428000000001</v>
      </c>
      <c r="H98">
        <v>19.362325999999999</v>
      </c>
      <c r="I98" t="s">
        <v>1482</v>
      </c>
      <c r="J98" t="s">
        <v>1490</v>
      </c>
      <c r="K98" t="s">
        <v>50</v>
      </c>
      <c r="L98">
        <v>119</v>
      </c>
      <c r="M98" t="s">
        <v>22</v>
      </c>
      <c r="N98">
        <v>228</v>
      </c>
      <c r="O98">
        <v>94.72</v>
      </c>
      <c r="P98">
        <v>3</v>
      </c>
    </row>
    <row r="99" spans="1:16" x14ac:dyDescent="0.25">
      <c r="A99" s="1">
        <v>45202</v>
      </c>
      <c r="B99" s="2">
        <v>0.8041666666666667</v>
      </c>
      <c r="C99" t="s">
        <v>932</v>
      </c>
      <c r="D99">
        <v>115</v>
      </c>
      <c r="E99" t="s">
        <v>808</v>
      </c>
      <c r="F99" t="s">
        <v>127</v>
      </c>
      <c r="G99">
        <v>1.2391989999999999</v>
      </c>
      <c r="H99">
        <v>15.386718999999999</v>
      </c>
      <c r="I99" t="s">
        <v>1477</v>
      </c>
      <c r="J99" t="s">
        <v>1483</v>
      </c>
      <c r="K99" t="s">
        <v>126</v>
      </c>
      <c r="L99">
        <v>40</v>
      </c>
      <c r="M99" t="s">
        <v>11</v>
      </c>
      <c r="N99">
        <v>345</v>
      </c>
      <c r="O99">
        <v>89.55</v>
      </c>
      <c r="P99">
        <v>3</v>
      </c>
    </row>
    <row r="100" spans="1:16" x14ac:dyDescent="0.25">
      <c r="A100" s="1">
        <v>45210</v>
      </c>
      <c r="B100" s="2">
        <v>0.90833333333333333</v>
      </c>
      <c r="C100" t="s">
        <v>936</v>
      </c>
      <c r="D100">
        <v>57</v>
      </c>
      <c r="E100" t="s">
        <v>812</v>
      </c>
      <c r="F100" t="s">
        <v>89</v>
      </c>
      <c r="G100">
        <v>8.5490999999999998E-2</v>
      </c>
      <c r="H100">
        <v>26.296129000000001</v>
      </c>
      <c r="I100" t="s">
        <v>1482</v>
      </c>
      <c r="J100" t="s">
        <v>1483</v>
      </c>
      <c r="K100" t="s">
        <v>88</v>
      </c>
      <c r="L100">
        <v>98</v>
      </c>
      <c r="M100" t="s">
        <v>14</v>
      </c>
      <c r="N100">
        <v>482</v>
      </c>
      <c r="O100">
        <v>55.04</v>
      </c>
      <c r="P100">
        <v>5</v>
      </c>
    </row>
    <row r="101" spans="1:16" x14ac:dyDescent="0.25">
      <c r="A101" s="1">
        <v>45210</v>
      </c>
      <c r="B101" s="2">
        <v>0.68611111111111112</v>
      </c>
      <c r="C101" t="s">
        <v>936</v>
      </c>
      <c r="D101">
        <v>62</v>
      </c>
      <c r="E101" t="s">
        <v>808</v>
      </c>
      <c r="F101" t="s">
        <v>89</v>
      </c>
      <c r="G101">
        <v>8.5490999999999998E-2</v>
      </c>
      <c r="H101">
        <v>26.296129000000001</v>
      </c>
      <c r="I101" t="s">
        <v>1482</v>
      </c>
      <c r="J101" t="s">
        <v>1483</v>
      </c>
      <c r="K101" t="s">
        <v>88</v>
      </c>
      <c r="L101">
        <v>98</v>
      </c>
      <c r="M101" t="s">
        <v>14</v>
      </c>
      <c r="N101">
        <v>482</v>
      </c>
      <c r="O101">
        <v>55.04</v>
      </c>
      <c r="P101">
        <v>5</v>
      </c>
    </row>
    <row r="102" spans="1:16" x14ac:dyDescent="0.25">
      <c r="A102" s="1">
        <v>45216</v>
      </c>
      <c r="B102" s="2">
        <v>7.8472222222222221E-2</v>
      </c>
      <c r="C102" t="s">
        <v>937</v>
      </c>
      <c r="D102">
        <v>48</v>
      </c>
      <c r="E102" t="s">
        <v>808</v>
      </c>
      <c r="F102" t="s">
        <v>31</v>
      </c>
      <c r="G102">
        <v>-8.0864899999999995</v>
      </c>
      <c r="H102">
        <v>14.555277</v>
      </c>
      <c r="I102" t="s">
        <v>1482</v>
      </c>
      <c r="J102" t="s">
        <v>1478</v>
      </c>
      <c r="K102" t="s">
        <v>30</v>
      </c>
      <c r="L102">
        <v>113</v>
      </c>
      <c r="M102" t="s">
        <v>22</v>
      </c>
      <c r="N102">
        <v>380</v>
      </c>
      <c r="O102">
        <v>12.11</v>
      </c>
      <c r="P102">
        <v>0</v>
      </c>
    </row>
    <row r="103" spans="1:16" x14ac:dyDescent="0.25">
      <c r="A103" s="1">
        <v>45209</v>
      </c>
      <c r="B103" s="2">
        <v>0.36527777777777776</v>
      </c>
      <c r="C103" t="s">
        <v>943</v>
      </c>
      <c r="D103">
        <v>120</v>
      </c>
      <c r="E103" t="s">
        <v>807</v>
      </c>
      <c r="F103" t="s">
        <v>35</v>
      </c>
      <c r="G103">
        <v>-1.4110389999999999</v>
      </c>
      <c r="H103">
        <v>21.261644</v>
      </c>
      <c r="I103" t="s">
        <v>1480</v>
      </c>
      <c r="J103" t="s">
        <v>1483</v>
      </c>
      <c r="K103" t="s">
        <v>34</v>
      </c>
      <c r="L103">
        <v>35</v>
      </c>
      <c r="M103" t="s">
        <v>14</v>
      </c>
      <c r="N103">
        <v>465</v>
      </c>
      <c r="O103">
        <v>58.59</v>
      </c>
      <c r="P103">
        <v>5</v>
      </c>
    </row>
    <row r="104" spans="1:16" x14ac:dyDescent="0.25">
      <c r="A104" s="1">
        <v>45211</v>
      </c>
      <c r="B104" s="2">
        <v>0.72499999999999998</v>
      </c>
      <c r="C104" t="s">
        <v>943</v>
      </c>
      <c r="D104">
        <v>84</v>
      </c>
      <c r="E104" t="s">
        <v>812</v>
      </c>
      <c r="F104" t="s">
        <v>35</v>
      </c>
      <c r="G104">
        <v>-1.4110389999999999</v>
      </c>
      <c r="H104">
        <v>21.261644</v>
      </c>
      <c r="I104" t="s">
        <v>1480</v>
      </c>
      <c r="J104" t="s">
        <v>1483</v>
      </c>
      <c r="K104" t="s">
        <v>34</v>
      </c>
      <c r="L104">
        <v>35</v>
      </c>
      <c r="M104" t="s">
        <v>14</v>
      </c>
      <c r="N104">
        <v>465</v>
      </c>
      <c r="O104">
        <v>58.59</v>
      </c>
      <c r="P104">
        <v>5</v>
      </c>
    </row>
    <row r="105" spans="1:16" x14ac:dyDescent="0.25">
      <c r="A105" s="1">
        <v>45215</v>
      </c>
      <c r="B105" s="2">
        <v>0.99027777777777781</v>
      </c>
      <c r="C105" t="s">
        <v>943</v>
      </c>
      <c r="D105">
        <v>66</v>
      </c>
      <c r="E105" t="s">
        <v>812</v>
      </c>
      <c r="F105" t="s">
        <v>35</v>
      </c>
      <c r="G105">
        <v>-1.4110389999999999</v>
      </c>
      <c r="H105">
        <v>21.261644</v>
      </c>
      <c r="I105" t="s">
        <v>1480</v>
      </c>
      <c r="J105" t="s">
        <v>1483</v>
      </c>
      <c r="K105" t="s">
        <v>34</v>
      </c>
      <c r="L105">
        <v>35</v>
      </c>
      <c r="M105" t="s">
        <v>14</v>
      </c>
      <c r="N105">
        <v>465</v>
      </c>
      <c r="O105">
        <v>58.59</v>
      </c>
      <c r="P105">
        <v>5</v>
      </c>
    </row>
    <row r="106" spans="1:16" x14ac:dyDescent="0.25">
      <c r="A106" s="1">
        <v>45205</v>
      </c>
      <c r="B106" s="2">
        <v>0.92986111111111114</v>
      </c>
      <c r="C106" t="s">
        <v>944</v>
      </c>
      <c r="D106">
        <v>82</v>
      </c>
      <c r="E106" t="s">
        <v>812</v>
      </c>
      <c r="F106" t="s">
        <v>137</v>
      </c>
      <c r="G106">
        <v>4.0157999999999996</v>
      </c>
      <c r="H106">
        <v>21.430246</v>
      </c>
      <c r="I106" t="s">
        <v>1477</v>
      </c>
      <c r="J106" t="s">
        <v>1490</v>
      </c>
      <c r="K106" t="s">
        <v>136</v>
      </c>
      <c r="L106">
        <v>80</v>
      </c>
      <c r="M106" t="s">
        <v>22</v>
      </c>
      <c r="N106">
        <v>155</v>
      </c>
      <c r="O106">
        <v>28.96</v>
      </c>
      <c r="P106">
        <v>2</v>
      </c>
    </row>
    <row r="107" spans="1:16" x14ac:dyDescent="0.25">
      <c r="A107" s="1">
        <v>45207</v>
      </c>
      <c r="B107" s="2">
        <v>0.36805555555555558</v>
      </c>
      <c r="C107" t="s">
        <v>945</v>
      </c>
      <c r="D107">
        <v>46</v>
      </c>
      <c r="E107" t="s">
        <v>807</v>
      </c>
      <c r="F107" t="s">
        <v>37</v>
      </c>
      <c r="G107">
        <v>-10.481026999999999</v>
      </c>
      <c r="H107">
        <v>18.160464000000001</v>
      </c>
      <c r="I107" t="s">
        <v>1477</v>
      </c>
      <c r="J107" t="s">
        <v>1481</v>
      </c>
      <c r="K107" t="s">
        <v>36</v>
      </c>
      <c r="L107">
        <v>115</v>
      </c>
      <c r="M107" t="s">
        <v>19</v>
      </c>
      <c r="N107">
        <v>176</v>
      </c>
      <c r="O107">
        <v>33.28</v>
      </c>
      <c r="P107">
        <v>4</v>
      </c>
    </row>
    <row r="108" spans="1:16" x14ac:dyDescent="0.25">
      <c r="A108" s="1">
        <v>45206</v>
      </c>
      <c r="B108" s="2">
        <v>0.63680555555555551</v>
      </c>
      <c r="C108" t="s">
        <v>946</v>
      </c>
      <c r="D108">
        <v>32</v>
      </c>
      <c r="E108" t="s">
        <v>812</v>
      </c>
      <c r="F108" t="s">
        <v>21</v>
      </c>
      <c r="G108">
        <v>-11.514817000000001</v>
      </c>
      <c r="H108">
        <v>24.891375</v>
      </c>
      <c r="I108" t="s">
        <v>1482</v>
      </c>
      <c r="J108" t="s">
        <v>1490</v>
      </c>
      <c r="K108" t="s">
        <v>20</v>
      </c>
      <c r="L108">
        <v>101</v>
      </c>
      <c r="M108" t="s">
        <v>22</v>
      </c>
      <c r="N108">
        <v>358</v>
      </c>
      <c r="O108">
        <v>29.24</v>
      </c>
      <c r="P108">
        <v>3</v>
      </c>
    </row>
    <row r="109" spans="1:16" x14ac:dyDescent="0.25">
      <c r="A109" s="1">
        <v>45218</v>
      </c>
      <c r="B109" s="2">
        <v>0.58958333333333335</v>
      </c>
      <c r="C109" t="s">
        <v>946</v>
      </c>
      <c r="D109">
        <v>21</v>
      </c>
      <c r="E109" t="s">
        <v>807</v>
      </c>
      <c r="F109" t="s">
        <v>21</v>
      </c>
      <c r="G109">
        <v>-11.514817000000001</v>
      </c>
      <c r="H109">
        <v>24.891375</v>
      </c>
      <c r="I109" t="s">
        <v>1482</v>
      </c>
      <c r="J109" t="s">
        <v>1490</v>
      </c>
      <c r="K109" t="s">
        <v>20</v>
      </c>
      <c r="L109">
        <v>101</v>
      </c>
      <c r="M109" t="s">
        <v>22</v>
      </c>
      <c r="N109">
        <v>358</v>
      </c>
      <c r="O109">
        <v>29.24</v>
      </c>
      <c r="P109">
        <v>3</v>
      </c>
    </row>
    <row r="110" spans="1:16" x14ac:dyDescent="0.25">
      <c r="A110" s="1">
        <v>45200</v>
      </c>
      <c r="B110" s="2">
        <v>0.91388888888888886</v>
      </c>
      <c r="C110" t="s">
        <v>947</v>
      </c>
      <c r="D110">
        <v>87</v>
      </c>
      <c r="E110" t="s">
        <v>807</v>
      </c>
      <c r="F110" t="s">
        <v>35</v>
      </c>
      <c r="G110">
        <v>3.175935</v>
      </c>
      <c r="H110">
        <v>16.862832000000001</v>
      </c>
      <c r="I110" t="s">
        <v>1477</v>
      </c>
      <c r="J110" t="s">
        <v>1478</v>
      </c>
      <c r="K110" t="s">
        <v>34</v>
      </c>
      <c r="L110">
        <v>35</v>
      </c>
      <c r="M110" t="s">
        <v>14</v>
      </c>
      <c r="N110">
        <v>465</v>
      </c>
      <c r="O110">
        <v>58.59</v>
      </c>
      <c r="P110">
        <v>5</v>
      </c>
    </row>
    <row r="111" spans="1:16" x14ac:dyDescent="0.25">
      <c r="A111" s="1">
        <v>45203</v>
      </c>
      <c r="B111" s="2">
        <v>0.71597222222222223</v>
      </c>
      <c r="C111" t="s">
        <v>950</v>
      </c>
      <c r="D111">
        <v>68</v>
      </c>
      <c r="E111" t="s">
        <v>808</v>
      </c>
      <c r="F111" t="s">
        <v>131</v>
      </c>
      <c r="G111">
        <v>-7.9866700000000002</v>
      </c>
      <c r="H111">
        <v>17.757847000000002</v>
      </c>
      <c r="I111" t="s">
        <v>1477</v>
      </c>
      <c r="J111" t="s">
        <v>1481</v>
      </c>
      <c r="K111" t="s">
        <v>130</v>
      </c>
      <c r="L111">
        <v>16</v>
      </c>
      <c r="M111" t="s">
        <v>19</v>
      </c>
      <c r="N111">
        <v>390</v>
      </c>
      <c r="O111">
        <v>98.17</v>
      </c>
      <c r="P111">
        <v>5</v>
      </c>
    </row>
    <row r="112" spans="1:16" x14ac:dyDescent="0.25">
      <c r="A112" s="1">
        <v>45222</v>
      </c>
      <c r="B112" s="2">
        <v>0.47916666666666669</v>
      </c>
      <c r="C112" t="s">
        <v>951</v>
      </c>
      <c r="D112">
        <v>112</v>
      </c>
      <c r="E112" t="s">
        <v>808</v>
      </c>
      <c r="F112" t="s">
        <v>127</v>
      </c>
      <c r="G112">
        <v>-8.8118569999999998</v>
      </c>
      <c r="H112">
        <v>14.465711000000001</v>
      </c>
      <c r="I112" t="s">
        <v>1477</v>
      </c>
      <c r="J112" t="s">
        <v>1490</v>
      </c>
      <c r="K112" t="s">
        <v>126</v>
      </c>
      <c r="L112">
        <v>40</v>
      </c>
      <c r="M112" t="s">
        <v>11</v>
      </c>
      <c r="N112">
        <v>345</v>
      </c>
      <c r="O112">
        <v>89.55</v>
      </c>
      <c r="P112">
        <v>3</v>
      </c>
    </row>
    <row r="113" spans="1:16" x14ac:dyDescent="0.25">
      <c r="A113" s="1">
        <v>45211</v>
      </c>
      <c r="B113" s="2">
        <v>0.58750000000000002</v>
      </c>
      <c r="C113" t="s">
        <v>952</v>
      </c>
      <c r="D113">
        <v>27</v>
      </c>
      <c r="E113" t="s">
        <v>812</v>
      </c>
      <c r="F113" t="s">
        <v>60</v>
      </c>
      <c r="G113">
        <v>-7.8215969999999997</v>
      </c>
      <c r="H113">
        <v>26.797349000000001</v>
      </c>
      <c r="I113" t="s">
        <v>1482</v>
      </c>
      <c r="J113" t="s">
        <v>1478</v>
      </c>
      <c r="K113" t="s">
        <v>59</v>
      </c>
      <c r="L113">
        <v>14</v>
      </c>
      <c r="M113" t="s">
        <v>14</v>
      </c>
      <c r="N113">
        <v>316</v>
      </c>
      <c r="O113">
        <v>62.34</v>
      </c>
      <c r="P113">
        <v>4</v>
      </c>
    </row>
    <row r="114" spans="1:16" x14ac:dyDescent="0.25">
      <c r="A114" s="1">
        <v>45230</v>
      </c>
      <c r="B114" s="2">
        <v>0.91319444444444442</v>
      </c>
      <c r="C114" t="s">
        <v>954</v>
      </c>
      <c r="D114">
        <v>62</v>
      </c>
      <c r="E114" t="s">
        <v>807</v>
      </c>
      <c r="F114" t="s">
        <v>13</v>
      </c>
      <c r="G114">
        <v>-1.9540519999999999</v>
      </c>
      <c r="H114">
        <v>12.667945</v>
      </c>
      <c r="I114" t="s">
        <v>1480</v>
      </c>
      <c r="J114" t="s">
        <v>1481</v>
      </c>
      <c r="K114" t="s">
        <v>12</v>
      </c>
      <c r="L114">
        <v>63</v>
      </c>
      <c r="M114" t="s">
        <v>14</v>
      </c>
      <c r="N114">
        <v>205</v>
      </c>
      <c r="O114">
        <v>89.19</v>
      </c>
      <c r="P114">
        <v>0</v>
      </c>
    </row>
    <row r="115" spans="1:16" x14ac:dyDescent="0.25">
      <c r="A115" s="1">
        <v>45203</v>
      </c>
      <c r="B115" s="2">
        <v>0.59652777777777777</v>
      </c>
      <c r="C115" t="s">
        <v>954</v>
      </c>
      <c r="D115">
        <v>13</v>
      </c>
      <c r="E115" t="s">
        <v>808</v>
      </c>
      <c r="F115" t="s">
        <v>13</v>
      </c>
      <c r="G115">
        <v>-1.9540519999999999</v>
      </c>
      <c r="H115">
        <v>12.667945</v>
      </c>
      <c r="I115" t="s">
        <v>1480</v>
      </c>
      <c r="J115" t="s">
        <v>1481</v>
      </c>
      <c r="K115" t="s">
        <v>12</v>
      </c>
      <c r="L115">
        <v>63</v>
      </c>
      <c r="M115" t="s">
        <v>14</v>
      </c>
      <c r="N115">
        <v>205</v>
      </c>
      <c r="O115">
        <v>89.19</v>
      </c>
      <c r="P115">
        <v>0</v>
      </c>
    </row>
    <row r="116" spans="1:16" x14ac:dyDescent="0.25">
      <c r="A116" s="1">
        <v>45228</v>
      </c>
      <c r="B116" s="2">
        <v>0.67222222222222228</v>
      </c>
      <c r="C116" t="s">
        <v>956</v>
      </c>
      <c r="D116">
        <v>106</v>
      </c>
      <c r="E116" t="s">
        <v>807</v>
      </c>
      <c r="F116" t="s">
        <v>137</v>
      </c>
      <c r="G116">
        <v>2.0392079999999999</v>
      </c>
      <c r="H116">
        <v>19.090841999999999</v>
      </c>
      <c r="I116" t="s">
        <v>1480</v>
      </c>
      <c r="J116" t="s">
        <v>1490</v>
      </c>
      <c r="K116" t="s">
        <v>136</v>
      </c>
      <c r="L116">
        <v>80</v>
      </c>
      <c r="M116" t="s">
        <v>22</v>
      </c>
      <c r="N116">
        <v>155</v>
      </c>
      <c r="O116">
        <v>28.96</v>
      </c>
      <c r="P116">
        <v>2</v>
      </c>
    </row>
    <row r="117" spans="1:16" x14ac:dyDescent="0.25">
      <c r="A117" s="1">
        <v>45204</v>
      </c>
      <c r="B117" s="2">
        <v>0.26458333333333334</v>
      </c>
      <c r="C117" t="s">
        <v>956</v>
      </c>
      <c r="D117">
        <v>90</v>
      </c>
      <c r="E117" t="s">
        <v>812</v>
      </c>
      <c r="F117" t="s">
        <v>137</v>
      </c>
      <c r="G117">
        <v>2.0392079999999999</v>
      </c>
      <c r="H117">
        <v>19.090841999999999</v>
      </c>
      <c r="I117" t="s">
        <v>1480</v>
      </c>
      <c r="J117" t="s">
        <v>1490</v>
      </c>
      <c r="K117" t="s">
        <v>136</v>
      </c>
      <c r="L117">
        <v>80</v>
      </c>
      <c r="M117" t="s">
        <v>22</v>
      </c>
      <c r="N117">
        <v>155</v>
      </c>
      <c r="O117">
        <v>28.96</v>
      </c>
      <c r="P117">
        <v>2</v>
      </c>
    </row>
    <row r="118" spans="1:16" x14ac:dyDescent="0.25">
      <c r="A118" s="1">
        <v>45214</v>
      </c>
      <c r="B118" s="2">
        <v>0.69791666666666663</v>
      </c>
      <c r="C118" t="s">
        <v>958</v>
      </c>
      <c r="D118">
        <v>98</v>
      </c>
      <c r="E118" t="s">
        <v>812</v>
      </c>
      <c r="F118" t="s">
        <v>44</v>
      </c>
      <c r="G118">
        <v>-12.192204</v>
      </c>
      <c r="H118">
        <v>28.468682000000001</v>
      </c>
      <c r="I118" t="s">
        <v>1482</v>
      </c>
      <c r="J118" t="s">
        <v>1483</v>
      </c>
      <c r="K118" t="s">
        <v>43</v>
      </c>
      <c r="L118">
        <v>66</v>
      </c>
      <c r="M118" t="s">
        <v>22</v>
      </c>
      <c r="N118">
        <v>270</v>
      </c>
      <c r="O118">
        <v>75.88</v>
      </c>
      <c r="P118">
        <v>3</v>
      </c>
    </row>
    <row r="119" spans="1:16" x14ac:dyDescent="0.25">
      <c r="A119" s="1">
        <v>45228</v>
      </c>
      <c r="B119" s="2">
        <v>0.15902777777777777</v>
      </c>
      <c r="C119" t="s">
        <v>959</v>
      </c>
      <c r="D119">
        <v>30</v>
      </c>
      <c r="E119" t="s">
        <v>807</v>
      </c>
      <c r="F119" t="s">
        <v>51</v>
      </c>
      <c r="G119">
        <v>0.62055499999999997</v>
      </c>
      <c r="H119">
        <v>21.222035000000002</v>
      </c>
      <c r="I119" t="s">
        <v>1477</v>
      </c>
      <c r="J119" t="s">
        <v>1490</v>
      </c>
      <c r="K119" t="s">
        <v>50</v>
      </c>
      <c r="L119">
        <v>119</v>
      </c>
      <c r="M119" t="s">
        <v>22</v>
      </c>
      <c r="N119">
        <v>228</v>
      </c>
      <c r="O119">
        <v>94.72</v>
      </c>
      <c r="P119">
        <v>3</v>
      </c>
    </row>
    <row r="120" spans="1:16" x14ac:dyDescent="0.25">
      <c r="A120" s="1">
        <v>45230</v>
      </c>
      <c r="B120" s="2">
        <v>0.40902777777777777</v>
      </c>
      <c r="C120" t="s">
        <v>959</v>
      </c>
      <c r="D120">
        <v>80</v>
      </c>
      <c r="E120" t="s">
        <v>808</v>
      </c>
      <c r="F120" t="s">
        <v>51</v>
      </c>
      <c r="G120">
        <v>0.62055499999999997</v>
      </c>
      <c r="H120">
        <v>21.222035000000002</v>
      </c>
      <c r="I120" t="s">
        <v>1477</v>
      </c>
      <c r="J120" t="s">
        <v>1490</v>
      </c>
      <c r="K120" t="s">
        <v>50</v>
      </c>
      <c r="L120">
        <v>119</v>
      </c>
      <c r="M120" t="s">
        <v>22</v>
      </c>
      <c r="N120">
        <v>228</v>
      </c>
      <c r="O120">
        <v>94.72</v>
      </c>
      <c r="P120">
        <v>3</v>
      </c>
    </row>
    <row r="121" spans="1:16" x14ac:dyDescent="0.25">
      <c r="A121" s="1">
        <v>45220</v>
      </c>
      <c r="B121" s="2">
        <v>0.74305555555555558</v>
      </c>
      <c r="C121" t="s">
        <v>960</v>
      </c>
      <c r="D121">
        <v>54</v>
      </c>
      <c r="E121" t="s">
        <v>808</v>
      </c>
      <c r="F121" t="s">
        <v>131</v>
      </c>
      <c r="G121">
        <v>-5.42171</v>
      </c>
      <c r="H121">
        <v>24.202960999999998</v>
      </c>
      <c r="I121" t="s">
        <v>1477</v>
      </c>
      <c r="J121" t="s">
        <v>1478</v>
      </c>
      <c r="K121" t="s">
        <v>130</v>
      </c>
      <c r="L121">
        <v>16</v>
      </c>
      <c r="M121" t="s">
        <v>19</v>
      </c>
      <c r="N121">
        <v>390</v>
      </c>
      <c r="O121">
        <v>98.17</v>
      </c>
      <c r="P121">
        <v>5</v>
      </c>
    </row>
    <row r="122" spans="1:16" x14ac:dyDescent="0.25">
      <c r="A122" s="1">
        <v>45205</v>
      </c>
      <c r="B122" s="2">
        <v>0.52708333333333335</v>
      </c>
      <c r="C122" t="s">
        <v>960</v>
      </c>
      <c r="D122">
        <v>40</v>
      </c>
      <c r="E122" t="s">
        <v>812</v>
      </c>
      <c r="F122" t="s">
        <v>131</v>
      </c>
      <c r="G122">
        <v>-5.42171</v>
      </c>
      <c r="H122">
        <v>24.202960999999998</v>
      </c>
      <c r="I122" t="s">
        <v>1477</v>
      </c>
      <c r="J122" t="s">
        <v>1478</v>
      </c>
      <c r="K122" t="s">
        <v>130</v>
      </c>
      <c r="L122">
        <v>16</v>
      </c>
      <c r="M122" t="s">
        <v>19</v>
      </c>
      <c r="N122">
        <v>390</v>
      </c>
      <c r="O122">
        <v>98.17</v>
      </c>
      <c r="P122">
        <v>5</v>
      </c>
    </row>
    <row r="123" spans="1:16" x14ac:dyDescent="0.25">
      <c r="A123" s="1">
        <v>45212</v>
      </c>
      <c r="B123" s="2">
        <v>0.72083333333333333</v>
      </c>
      <c r="C123" t="s">
        <v>961</v>
      </c>
      <c r="D123">
        <v>33</v>
      </c>
      <c r="E123" t="s">
        <v>812</v>
      </c>
      <c r="F123" t="s">
        <v>13</v>
      </c>
      <c r="G123">
        <v>-5.7957599999999996</v>
      </c>
      <c r="H123">
        <v>14.078258</v>
      </c>
      <c r="I123" t="s">
        <v>1477</v>
      </c>
      <c r="J123" t="s">
        <v>1478</v>
      </c>
      <c r="K123" t="s">
        <v>12</v>
      </c>
      <c r="L123">
        <v>63</v>
      </c>
      <c r="M123" t="s">
        <v>14</v>
      </c>
      <c r="N123">
        <v>205</v>
      </c>
      <c r="O123">
        <v>89.19</v>
      </c>
      <c r="P123">
        <v>0</v>
      </c>
    </row>
    <row r="124" spans="1:16" x14ac:dyDescent="0.25">
      <c r="A124" s="1">
        <v>45219</v>
      </c>
      <c r="B124" s="2">
        <v>0.4201388888888889</v>
      </c>
      <c r="C124" t="s">
        <v>965</v>
      </c>
      <c r="D124">
        <v>63</v>
      </c>
      <c r="E124" t="s">
        <v>812</v>
      </c>
      <c r="F124" t="s">
        <v>67</v>
      </c>
      <c r="G124">
        <v>-9.9875139999999991</v>
      </c>
      <c r="H124">
        <v>12.013676999999999</v>
      </c>
      <c r="I124" t="s">
        <v>1482</v>
      </c>
      <c r="J124" t="s">
        <v>1483</v>
      </c>
      <c r="K124" t="s">
        <v>66</v>
      </c>
      <c r="L124">
        <v>101</v>
      </c>
      <c r="M124" t="s">
        <v>14</v>
      </c>
      <c r="N124">
        <v>176</v>
      </c>
      <c r="O124">
        <v>86</v>
      </c>
      <c r="P124">
        <v>3</v>
      </c>
    </row>
    <row r="125" spans="1:16" x14ac:dyDescent="0.25">
      <c r="A125" s="1">
        <v>45230</v>
      </c>
      <c r="B125" s="2">
        <v>0.32361111111111113</v>
      </c>
      <c r="C125" t="s">
        <v>968</v>
      </c>
      <c r="D125">
        <v>105</v>
      </c>
      <c r="E125" t="s">
        <v>807</v>
      </c>
      <c r="F125" t="s">
        <v>127</v>
      </c>
      <c r="G125">
        <v>-4.4351269999999996</v>
      </c>
      <c r="H125">
        <v>24.825467</v>
      </c>
      <c r="I125" t="s">
        <v>1480</v>
      </c>
      <c r="J125" t="s">
        <v>1481</v>
      </c>
      <c r="K125" t="s">
        <v>126</v>
      </c>
      <c r="L125">
        <v>40</v>
      </c>
      <c r="M125" t="s">
        <v>11</v>
      </c>
      <c r="N125">
        <v>345</v>
      </c>
      <c r="O125">
        <v>89.55</v>
      </c>
      <c r="P125">
        <v>3</v>
      </c>
    </row>
    <row r="126" spans="1:16" x14ac:dyDescent="0.25">
      <c r="A126" s="1">
        <v>45228</v>
      </c>
      <c r="B126" s="2">
        <v>0.51180555555555551</v>
      </c>
      <c r="C126" t="s">
        <v>968</v>
      </c>
      <c r="D126">
        <v>64</v>
      </c>
      <c r="E126" t="s">
        <v>808</v>
      </c>
      <c r="F126" t="s">
        <v>127</v>
      </c>
      <c r="G126">
        <v>-4.4351269999999996</v>
      </c>
      <c r="H126">
        <v>24.825467</v>
      </c>
      <c r="I126" t="s">
        <v>1480</v>
      </c>
      <c r="J126" t="s">
        <v>1481</v>
      </c>
      <c r="K126" t="s">
        <v>126</v>
      </c>
      <c r="L126">
        <v>40</v>
      </c>
      <c r="M126" t="s">
        <v>11</v>
      </c>
      <c r="N126">
        <v>345</v>
      </c>
      <c r="O126">
        <v>89.55</v>
      </c>
      <c r="P126">
        <v>3</v>
      </c>
    </row>
    <row r="127" spans="1:16" x14ac:dyDescent="0.25">
      <c r="A127" s="1">
        <v>45202</v>
      </c>
      <c r="B127" s="2">
        <v>0.78055555555555556</v>
      </c>
      <c r="C127" t="s">
        <v>969</v>
      </c>
      <c r="D127">
        <v>53</v>
      </c>
      <c r="E127" t="s">
        <v>812</v>
      </c>
      <c r="F127" t="s">
        <v>78</v>
      </c>
      <c r="G127">
        <v>-2.3743210000000001</v>
      </c>
      <c r="H127">
        <v>22.399491000000001</v>
      </c>
      <c r="I127" t="s">
        <v>1477</v>
      </c>
      <c r="J127" t="s">
        <v>1478</v>
      </c>
      <c r="K127" t="s">
        <v>77</v>
      </c>
      <c r="L127">
        <v>81</v>
      </c>
      <c r="M127" t="s">
        <v>14</v>
      </c>
      <c r="N127">
        <v>154</v>
      </c>
      <c r="O127">
        <v>19.47</v>
      </c>
      <c r="P127">
        <v>3</v>
      </c>
    </row>
    <row r="128" spans="1:16" x14ac:dyDescent="0.25">
      <c r="A128" s="1">
        <v>45217</v>
      </c>
      <c r="B128" s="2">
        <v>0.77569444444444446</v>
      </c>
      <c r="C128" t="s">
        <v>969</v>
      </c>
      <c r="D128">
        <v>84</v>
      </c>
      <c r="E128" t="s">
        <v>807</v>
      </c>
      <c r="F128" t="s">
        <v>78</v>
      </c>
      <c r="G128">
        <v>-2.3743210000000001</v>
      </c>
      <c r="H128">
        <v>22.399491000000001</v>
      </c>
      <c r="I128" t="s">
        <v>1477</v>
      </c>
      <c r="J128" t="s">
        <v>1478</v>
      </c>
      <c r="K128" t="s">
        <v>77</v>
      </c>
      <c r="L128">
        <v>81</v>
      </c>
      <c r="M128" t="s">
        <v>14</v>
      </c>
      <c r="N128">
        <v>154</v>
      </c>
      <c r="O128">
        <v>19.47</v>
      </c>
      <c r="P128">
        <v>3</v>
      </c>
    </row>
    <row r="129" spans="1:16" x14ac:dyDescent="0.25">
      <c r="A129" s="1">
        <v>45216</v>
      </c>
      <c r="B129" s="2">
        <v>0.26666666666666666</v>
      </c>
      <c r="C129" t="s">
        <v>969</v>
      </c>
      <c r="D129">
        <v>90</v>
      </c>
      <c r="E129" t="s">
        <v>812</v>
      </c>
      <c r="F129" t="s">
        <v>78</v>
      </c>
      <c r="G129">
        <v>-2.3743210000000001</v>
      </c>
      <c r="H129">
        <v>22.399491000000001</v>
      </c>
      <c r="I129" t="s">
        <v>1477</v>
      </c>
      <c r="J129" t="s">
        <v>1478</v>
      </c>
      <c r="K129" t="s">
        <v>77</v>
      </c>
      <c r="L129">
        <v>81</v>
      </c>
      <c r="M129" t="s">
        <v>14</v>
      </c>
      <c r="N129">
        <v>154</v>
      </c>
      <c r="O129">
        <v>19.47</v>
      </c>
      <c r="P129">
        <v>3</v>
      </c>
    </row>
    <row r="130" spans="1:16" x14ac:dyDescent="0.25">
      <c r="A130" s="1">
        <v>45228</v>
      </c>
      <c r="B130" s="2">
        <v>8.611111111111111E-2</v>
      </c>
      <c r="C130" t="s">
        <v>971</v>
      </c>
      <c r="D130">
        <v>43</v>
      </c>
      <c r="E130" t="s">
        <v>812</v>
      </c>
      <c r="F130" t="s">
        <v>35</v>
      </c>
      <c r="G130">
        <v>-6.4883290000000002</v>
      </c>
      <c r="H130">
        <v>25.103404000000001</v>
      </c>
      <c r="I130" t="s">
        <v>1477</v>
      </c>
      <c r="J130" t="s">
        <v>1483</v>
      </c>
      <c r="K130" t="s">
        <v>34</v>
      </c>
      <c r="L130">
        <v>35</v>
      </c>
      <c r="M130" t="s">
        <v>14</v>
      </c>
      <c r="N130">
        <v>465</v>
      </c>
      <c r="O130">
        <v>58.59</v>
      </c>
      <c r="P130">
        <v>5</v>
      </c>
    </row>
    <row r="131" spans="1:16" x14ac:dyDescent="0.25">
      <c r="A131" s="1">
        <v>45230</v>
      </c>
      <c r="B131" s="2">
        <v>0.86388888888888893</v>
      </c>
      <c r="C131" t="s">
        <v>972</v>
      </c>
      <c r="D131">
        <v>57</v>
      </c>
      <c r="E131" t="s">
        <v>807</v>
      </c>
      <c r="F131" t="s">
        <v>21</v>
      </c>
      <c r="G131">
        <v>-4.1694589999999998</v>
      </c>
      <c r="H131">
        <v>23.376487000000001</v>
      </c>
      <c r="I131" t="s">
        <v>1482</v>
      </c>
      <c r="J131" t="s">
        <v>1490</v>
      </c>
      <c r="K131" t="s">
        <v>20</v>
      </c>
      <c r="L131">
        <v>101</v>
      </c>
      <c r="M131" t="s">
        <v>22</v>
      </c>
      <c r="N131">
        <v>358</v>
      </c>
      <c r="O131">
        <v>29.24</v>
      </c>
      <c r="P131">
        <v>3</v>
      </c>
    </row>
    <row r="132" spans="1:16" x14ac:dyDescent="0.25">
      <c r="A132" s="1">
        <v>45217</v>
      </c>
      <c r="B132" s="2">
        <v>2.8472222222222222E-2</v>
      </c>
      <c r="C132" t="s">
        <v>972</v>
      </c>
      <c r="D132">
        <v>120</v>
      </c>
      <c r="E132" t="s">
        <v>812</v>
      </c>
      <c r="F132" t="s">
        <v>21</v>
      </c>
      <c r="G132">
        <v>-4.1694589999999998</v>
      </c>
      <c r="H132">
        <v>23.376487000000001</v>
      </c>
      <c r="I132" t="s">
        <v>1482</v>
      </c>
      <c r="J132" t="s">
        <v>1490</v>
      </c>
      <c r="K132" t="s">
        <v>20</v>
      </c>
      <c r="L132">
        <v>101</v>
      </c>
      <c r="M132" t="s">
        <v>22</v>
      </c>
      <c r="N132">
        <v>358</v>
      </c>
      <c r="O132">
        <v>29.24</v>
      </c>
      <c r="P132">
        <v>3</v>
      </c>
    </row>
    <row r="133" spans="1:16" x14ac:dyDescent="0.25">
      <c r="A133" s="1">
        <v>45214</v>
      </c>
      <c r="B133" s="2">
        <v>0.9604166666666667</v>
      </c>
      <c r="C133" t="s">
        <v>973</v>
      </c>
      <c r="D133">
        <v>38</v>
      </c>
      <c r="E133" t="s">
        <v>807</v>
      </c>
      <c r="F133" t="s">
        <v>137</v>
      </c>
      <c r="G133">
        <v>-11.710407999999999</v>
      </c>
      <c r="H133">
        <v>23.741330999999999</v>
      </c>
      <c r="I133" t="s">
        <v>1482</v>
      </c>
      <c r="J133" t="s">
        <v>1481</v>
      </c>
      <c r="K133" t="s">
        <v>136</v>
      </c>
      <c r="L133">
        <v>80</v>
      </c>
      <c r="M133" t="s">
        <v>22</v>
      </c>
      <c r="N133">
        <v>155</v>
      </c>
      <c r="O133">
        <v>28.96</v>
      </c>
      <c r="P133">
        <v>2</v>
      </c>
    </row>
    <row r="134" spans="1:16" x14ac:dyDescent="0.25">
      <c r="A134" s="1">
        <v>45221</v>
      </c>
      <c r="B134" s="2">
        <v>3.9583333333333331E-2</v>
      </c>
      <c r="C134" t="s">
        <v>976</v>
      </c>
      <c r="D134">
        <v>33</v>
      </c>
      <c r="E134" t="s">
        <v>808</v>
      </c>
      <c r="F134" t="s">
        <v>64</v>
      </c>
      <c r="G134">
        <v>0.48965500000000001</v>
      </c>
      <c r="H134">
        <v>26.176860000000001</v>
      </c>
      <c r="I134" t="s">
        <v>1480</v>
      </c>
      <c r="J134" t="s">
        <v>1481</v>
      </c>
      <c r="K134" t="s">
        <v>63</v>
      </c>
      <c r="L134">
        <v>79</v>
      </c>
      <c r="M134" t="s">
        <v>11</v>
      </c>
      <c r="N134">
        <v>226</v>
      </c>
      <c r="O134">
        <v>94.38</v>
      </c>
      <c r="P134">
        <v>3</v>
      </c>
    </row>
    <row r="135" spans="1:16" x14ac:dyDescent="0.25">
      <c r="A135" s="1">
        <v>45200</v>
      </c>
      <c r="B135" s="2">
        <v>0.46666666666666667</v>
      </c>
      <c r="C135" t="s">
        <v>978</v>
      </c>
      <c r="D135">
        <v>31</v>
      </c>
      <c r="E135" t="s">
        <v>808</v>
      </c>
      <c r="F135" t="s">
        <v>67</v>
      </c>
      <c r="G135">
        <v>-9.5619429999999994</v>
      </c>
      <c r="H135">
        <v>21.445726000000001</v>
      </c>
      <c r="I135" t="s">
        <v>1480</v>
      </c>
      <c r="J135" t="s">
        <v>1490</v>
      </c>
      <c r="K135" t="s">
        <v>66</v>
      </c>
      <c r="L135">
        <v>101</v>
      </c>
      <c r="M135" t="s">
        <v>14</v>
      </c>
      <c r="N135">
        <v>176</v>
      </c>
      <c r="O135">
        <v>86</v>
      </c>
      <c r="P135">
        <v>3</v>
      </c>
    </row>
    <row r="136" spans="1:16" x14ac:dyDescent="0.25">
      <c r="A136" s="1">
        <v>45201</v>
      </c>
      <c r="B136" s="2">
        <v>0.29305555555555557</v>
      </c>
      <c r="C136" t="s">
        <v>978</v>
      </c>
      <c r="D136">
        <v>95</v>
      </c>
      <c r="E136" t="s">
        <v>812</v>
      </c>
      <c r="F136" t="s">
        <v>67</v>
      </c>
      <c r="G136">
        <v>-9.5619429999999994</v>
      </c>
      <c r="H136">
        <v>21.445726000000001</v>
      </c>
      <c r="I136" t="s">
        <v>1480</v>
      </c>
      <c r="J136" t="s">
        <v>1490</v>
      </c>
      <c r="K136" t="s">
        <v>66</v>
      </c>
      <c r="L136">
        <v>101</v>
      </c>
      <c r="M136" t="s">
        <v>14</v>
      </c>
      <c r="N136">
        <v>176</v>
      </c>
      <c r="O136">
        <v>86</v>
      </c>
      <c r="P136">
        <v>3</v>
      </c>
    </row>
    <row r="137" spans="1:16" x14ac:dyDescent="0.25">
      <c r="A137" s="1">
        <v>45221</v>
      </c>
      <c r="B137" s="2">
        <v>0.18055555555555555</v>
      </c>
      <c r="C137" t="s">
        <v>980</v>
      </c>
      <c r="D137">
        <v>8</v>
      </c>
      <c r="E137" t="s">
        <v>807</v>
      </c>
      <c r="F137" t="s">
        <v>33</v>
      </c>
      <c r="G137">
        <v>-1.648264</v>
      </c>
      <c r="H137">
        <v>28.866143999999998</v>
      </c>
      <c r="I137" t="s">
        <v>1477</v>
      </c>
      <c r="J137" t="s">
        <v>1478</v>
      </c>
      <c r="K137" t="s">
        <v>32</v>
      </c>
      <c r="L137">
        <v>72</v>
      </c>
      <c r="M137" t="s">
        <v>14</v>
      </c>
      <c r="N137">
        <v>160</v>
      </c>
      <c r="O137">
        <v>90.13</v>
      </c>
      <c r="P137">
        <v>2</v>
      </c>
    </row>
    <row r="138" spans="1:16" x14ac:dyDescent="0.25">
      <c r="A138" s="1">
        <v>45202</v>
      </c>
      <c r="B138" s="2">
        <v>0.25972222222222224</v>
      </c>
      <c r="C138" t="s">
        <v>980</v>
      </c>
      <c r="D138">
        <v>79</v>
      </c>
      <c r="E138" t="s">
        <v>807</v>
      </c>
      <c r="F138" t="s">
        <v>33</v>
      </c>
      <c r="G138">
        <v>-1.648264</v>
      </c>
      <c r="H138">
        <v>28.866143999999998</v>
      </c>
      <c r="I138" t="s">
        <v>1477</v>
      </c>
      <c r="J138" t="s">
        <v>1478</v>
      </c>
      <c r="K138" t="s">
        <v>32</v>
      </c>
      <c r="L138">
        <v>72</v>
      </c>
      <c r="M138" t="s">
        <v>14</v>
      </c>
      <c r="N138">
        <v>160</v>
      </c>
      <c r="O138">
        <v>90.13</v>
      </c>
      <c r="P138">
        <v>2</v>
      </c>
    </row>
    <row r="139" spans="1:16" x14ac:dyDescent="0.25">
      <c r="A139" s="1">
        <v>45213</v>
      </c>
      <c r="B139" s="2">
        <v>0.25416666666666665</v>
      </c>
      <c r="C139" t="s">
        <v>981</v>
      </c>
      <c r="D139">
        <v>73</v>
      </c>
      <c r="E139" t="s">
        <v>812</v>
      </c>
      <c r="F139" t="s">
        <v>13</v>
      </c>
      <c r="G139">
        <v>-5.1030600000000002</v>
      </c>
      <c r="H139">
        <v>22.849231</v>
      </c>
      <c r="I139" t="s">
        <v>1477</v>
      </c>
      <c r="J139" t="s">
        <v>1483</v>
      </c>
      <c r="K139" t="s">
        <v>12</v>
      </c>
      <c r="L139">
        <v>63</v>
      </c>
      <c r="M139" t="s">
        <v>14</v>
      </c>
      <c r="N139">
        <v>205</v>
      </c>
      <c r="O139">
        <v>89.19</v>
      </c>
      <c r="P139">
        <v>0</v>
      </c>
    </row>
    <row r="140" spans="1:16" x14ac:dyDescent="0.25">
      <c r="A140" s="1">
        <v>45226</v>
      </c>
      <c r="B140" s="2">
        <v>0.17083333333333334</v>
      </c>
      <c r="C140" t="s">
        <v>981</v>
      </c>
      <c r="D140">
        <v>54</v>
      </c>
      <c r="E140" t="s">
        <v>807</v>
      </c>
      <c r="F140" t="s">
        <v>13</v>
      </c>
      <c r="G140">
        <v>-5.1030600000000002</v>
      </c>
      <c r="H140">
        <v>22.849231</v>
      </c>
      <c r="I140" t="s">
        <v>1477</v>
      </c>
      <c r="J140" t="s">
        <v>1483</v>
      </c>
      <c r="K140" t="s">
        <v>12</v>
      </c>
      <c r="L140">
        <v>63</v>
      </c>
      <c r="M140" t="s">
        <v>14</v>
      </c>
      <c r="N140">
        <v>205</v>
      </c>
      <c r="O140">
        <v>89.19</v>
      </c>
      <c r="P140">
        <v>0</v>
      </c>
    </row>
    <row r="141" spans="1:16" x14ac:dyDescent="0.25">
      <c r="A141" s="1">
        <v>45226</v>
      </c>
      <c r="B141" s="2">
        <v>0.22500000000000001</v>
      </c>
      <c r="C141" t="s">
        <v>984</v>
      </c>
      <c r="D141">
        <v>11</v>
      </c>
      <c r="E141" t="s">
        <v>808</v>
      </c>
      <c r="F141" t="s">
        <v>35</v>
      </c>
      <c r="G141">
        <v>-0.157111</v>
      </c>
      <c r="H141">
        <v>25.415125</v>
      </c>
      <c r="I141" t="s">
        <v>1480</v>
      </c>
      <c r="J141" t="s">
        <v>1478</v>
      </c>
      <c r="K141" t="s">
        <v>34</v>
      </c>
      <c r="L141">
        <v>35</v>
      </c>
      <c r="M141" t="s">
        <v>14</v>
      </c>
      <c r="N141">
        <v>465</v>
      </c>
      <c r="O141">
        <v>58.59</v>
      </c>
      <c r="P141">
        <v>5</v>
      </c>
    </row>
    <row r="142" spans="1:16" x14ac:dyDescent="0.25">
      <c r="A142" s="1">
        <v>45230</v>
      </c>
      <c r="B142" s="2">
        <v>0.64166666666666672</v>
      </c>
      <c r="C142" t="s">
        <v>985</v>
      </c>
      <c r="D142">
        <v>106</v>
      </c>
      <c r="E142" t="s">
        <v>807</v>
      </c>
      <c r="F142" t="s">
        <v>89</v>
      </c>
      <c r="G142">
        <v>-6.8149179999999996</v>
      </c>
      <c r="H142">
        <v>23.258102000000001</v>
      </c>
      <c r="I142" t="s">
        <v>1477</v>
      </c>
      <c r="J142" t="s">
        <v>1481</v>
      </c>
      <c r="K142" t="s">
        <v>88</v>
      </c>
      <c r="L142">
        <v>98</v>
      </c>
      <c r="M142" t="s">
        <v>14</v>
      </c>
      <c r="N142">
        <v>482</v>
      </c>
      <c r="O142">
        <v>55.04</v>
      </c>
      <c r="P142">
        <v>5</v>
      </c>
    </row>
    <row r="143" spans="1:16" x14ac:dyDescent="0.25">
      <c r="A143" s="1">
        <v>45227</v>
      </c>
      <c r="B143" s="2">
        <v>0.92291666666666672</v>
      </c>
      <c r="C143" t="s">
        <v>987</v>
      </c>
      <c r="D143">
        <v>26</v>
      </c>
      <c r="E143" t="s">
        <v>812</v>
      </c>
      <c r="F143" t="s">
        <v>131</v>
      </c>
      <c r="G143">
        <v>-10.25074</v>
      </c>
      <c r="H143">
        <v>26.099086</v>
      </c>
      <c r="I143" t="s">
        <v>1480</v>
      </c>
      <c r="J143" t="s">
        <v>1481</v>
      </c>
      <c r="K143" t="s">
        <v>130</v>
      </c>
      <c r="L143">
        <v>16</v>
      </c>
      <c r="M143" t="s">
        <v>19</v>
      </c>
      <c r="N143">
        <v>390</v>
      </c>
      <c r="O143">
        <v>98.17</v>
      </c>
      <c r="P143">
        <v>5</v>
      </c>
    </row>
    <row r="144" spans="1:16" x14ac:dyDescent="0.25">
      <c r="A144" s="1">
        <v>45213</v>
      </c>
      <c r="B144" s="2">
        <v>0.23749999999999999</v>
      </c>
      <c r="C144" t="s">
        <v>987</v>
      </c>
      <c r="D144">
        <v>68</v>
      </c>
      <c r="E144" t="s">
        <v>812</v>
      </c>
      <c r="F144" t="s">
        <v>131</v>
      </c>
      <c r="G144">
        <v>-10.25074</v>
      </c>
      <c r="H144">
        <v>26.099086</v>
      </c>
      <c r="I144" t="s">
        <v>1480</v>
      </c>
      <c r="J144" t="s">
        <v>1481</v>
      </c>
      <c r="K144" t="s">
        <v>130</v>
      </c>
      <c r="L144">
        <v>16</v>
      </c>
      <c r="M144" t="s">
        <v>19</v>
      </c>
      <c r="N144">
        <v>390</v>
      </c>
      <c r="O144">
        <v>98.17</v>
      </c>
      <c r="P144">
        <v>5</v>
      </c>
    </row>
    <row r="145" spans="1:16" x14ac:dyDescent="0.25">
      <c r="A145" s="1">
        <v>45207</v>
      </c>
      <c r="B145" s="2">
        <v>0.59930555555555554</v>
      </c>
      <c r="C145" t="s">
        <v>987</v>
      </c>
      <c r="D145">
        <v>59</v>
      </c>
      <c r="E145" t="s">
        <v>807</v>
      </c>
      <c r="F145" t="s">
        <v>131</v>
      </c>
      <c r="G145">
        <v>-10.25074</v>
      </c>
      <c r="H145">
        <v>26.099086</v>
      </c>
      <c r="I145" t="s">
        <v>1480</v>
      </c>
      <c r="J145" t="s">
        <v>1481</v>
      </c>
      <c r="K145" t="s">
        <v>130</v>
      </c>
      <c r="L145">
        <v>16</v>
      </c>
      <c r="M145" t="s">
        <v>19</v>
      </c>
      <c r="N145">
        <v>390</v>
      </c>
      <c r="O145">
        <v>98.17</v>
      </c>
      <c r="P145">
        <v>5</v>
      </c>
    </row>
    <row r="146" spans="1:16" x14ac:dyDescent="0.25">
      <c r="A146" s="1">
        <v>45201</v>
      </c>
      <c r="B146" s="2">
        <v>0.51180555555555551</v>
      </c>
      <c r="C146" t="s">
        <v>987</v>
      </c>
      <c r="D146">
        <v>62</v>
      </c>
      <c r="E146" t="s">
        <v>808</v>
      </c>
      <c r="F146" t="s">
        <v>131</v>
      </c>
      <c r="G146">
        <v>-10.25074</v>
      </c>
      <c r="H146">
        <v>26.099086</v>
      </c>
      <c r="I146" t="s">
        <v>1480</v>
      </c>
      <c r="J146" t="s">
        <v>1481</v>
      </c>
      <c r="K146" t="s">
        <v>130</v>
      </c>
      <c r="L146">
        <v>16</v>
      </c>
      <c r="M146" t="s">
        <v>19</v>
      </c>
      <c r="N146">
        <v>390</v>
      </c>
      <c r="O146">
        <v>98.17</v>
      </c>
      <c r="P146">
        <v>5</v>
      </c>
    </row>
    <row r="147" spans="1:16" x14ac:dyDescent="0.25">
      <c r="A147" s="1">
        <v>45226</v>
      </c>
      <c r="B147" s="2">
        <v>0.3215277777777778</v>
      </c>
      <c r="C147" t="s">
        <v>987</v>
      </c>
      <c r="D147">
        <v>22</v>
      </c>
      <c r="E147" t="s">
        <v>812</v>
      </c>
      <c r="F147" t="s">
        <v>131</v>
      </c>
      <c r="G147">
        <v>-10.25074</v>
      </c>
      <c r="H147">
        <v>26.099086</v>
      </c>
      <c r="I147" t="s">
        <v>1480</v>
      </c>
      <c r="J147" t="s">
        <v>1481</v>
      </c>
      <c r="K147" t="s">
        <v>130</v>
      </c>
      <c r="L147">
        <v>16</v>
      </c>
      <c r="M147" t="s">
        <v>19</v>
      </c>
      <c r="N147">
        <v>390</v>
      </c>
      <c r="O147">
        <v>98.17</v>
      </c>
      <c r="P147">
        <v>5</v>
      </c>
    </row>
    <row r="148" spans="1:16" x14ac:dyDescent="0.25">
      <c r="A148" s="1">
        <v>45217</v>
      </c>
      <c r="B148" s="2">
        <v>0.1736111111111111</v>
      </c>
      <c r="C148" t="s">
        <v>988</v>
      </c>
      <c r="D148">
        <v>53</v>
      </c>
      <c r="E148" t="s">
        <v>808</v>
      </c>
      <c r="F148" t="s">
        <v>64</v>
      </c>
      <c r="G148">
        <v>-1.6097570000000001</v>
      </c>
      <c r="H148">
        <v>30.661662</v>
      </c>
      <c r="I148" t="s">
        <v>1480</v>
      </c>
      <c r="J148" t="s">
        <v>1478</v>
      </c>
      <c r="K148" t="s">
        <v>63</v>
      </c>
      <c r="L148">
        <v>79</v>
      </c>
      <c r="M148" t="s">
        <v>11</v>
      </c>
      <c r="N148">
        <v>226</v>
      </c>
      <c r="O148">
        <v>94.38</v>
      </c>
      <c r="P148">
        <v>3</v>
      </c>
    </row>
    <row r="149" spans="1:16" x14ac:dyDescent="0.25">
      <c r="A149" s="1">
        <v>45200</v>
      </c>
      <c r="B149" s="2">
        <v>0.52569444444444446</v>
      </c>
      <c r="C149" t="s">
        <v>988</v>
      </c>
      <c r="D149">
        <v>88</v>
      </c>
      <c r="E149" t="s">
        <v>812</v>
      </c>
      <c r="F149" t="s">
        <v>64</v>
      </c>
      <c r="G149">
        <v>-1.6097570000000001</v>
      </c>
      <c r="H149">
        <v>30.661662</v>
      </c>
      <c r="I149" t="s">
        <v>1480</v>
      </c>
      <c r="J149" t="s">
        <v>1478</v>
      </c>
      <c r="K149" t="s">
        <v>63</v>
      </c>
      <c r="L149">
        <v>79</v>
      </c>
      <c r="M149" t="s">
        <v>11</v>
      </c>
      <c r="N149">
        <v>226</v>
      </c>
      <c r="O149">
        <v>94.38</v>
      </c>
      <c r="P149">
        <v>3</v>
      </c>
    </row>
    <row r="150" spans="1:16" x14ac:dyDescent="0.25">
      <c r="A150" s="1">
        <v>45206</v>
      </c>
      <c r="B150" s="2">
        <v>0.28680555555555554</v>
      </c>
      <c r="C150" t="s">
        <v>989</v>
      </c>
      <c r="D150">
        <v>96</v>
      </c>
      <c r="E150" t="s">
        <v>808</v>
      </c>
      <c r="F150" t="s">
        <v>24</v>
      </c>
      <c r="G150">
        <v>-5.5445120000000001</v>
      </c>
      <c r="H150">
        <v>27.547335</v>
      </c>
      <c r="I150" t="s">
        <v>1480</v>
      </c>
      <c r="J150" t="s">
        <v>1478</v>
      </c>
      <c r="K150" t="s">
        <v>23</v>
      </c>
      <c r="L150">
        <v>46</v>
      </c>
      <c r="M150" t="s">
        <v>11</v>
      </c>
      <c r="N150">
        <v>283</v>
      </c>
      <c r="O150">
        <v>56.05</v>
      </c>
      <c r="P150">
        <v>1</v>
      </c>
    </row>
    <row r="151" spans="1:16" x14ac:dyDescent="0.25">
      <c r="A151" s="1">
        <v>45209</v>
      </c>
      <c r="B151" s="2">
        <v>0.93888888888888888</v>
      </c>
      <c r="C151" t="s">
        <v>989</v>
      </c>
      <c r="D151">
        <v>37</v>
      </c>
      <c r="E151" t="s">
        <v>808</v>
      </c>
      <c r="F151" t="s">
        <v>24</v>
      </c>
      <c r="G151">
        <v>-5.5445120000000001</v>
      </c>
      <c r="H151">
        <v>27.547335</v>
      </c>
      <c r="I151" t="s">
        <v>1480</v>
      </c>
      <c r="J151" t="s">
        <v>1478</v>
      </c>
      <c r="K151" t="s">
        <v>23</v>
      </c>
      <c r="L151">
        <v>46</v>
      </c>
      <c r="M151" t="s">
        <v>11</v>
      </c>
      <c r="N151">
        <v>283</v>
      </c>
      <c r="O151">
        <v>56.05</v>
      </c>
      <c r="P151">
        <v>1</v>
      </c>
    </row>
    <row r="152" spans="1:16" x14ac:dyDescent="0.25">
      <c r="A152" s="1">
        <v>45220</v>
      </c>
      <c r="B152" s="2">
        <v>0.43680555555555556</v>
      </c>
      <c r="C152" t="s">
        <v>989</v>
      </c>
      <c r="D152">
        <v>64</v>
      </c>
      <c r="E152" t="s">
        <v>808</v>
      </c>
      <c r="F152" t="s">
        <v>24</v>
      </c>
      <c r="G152">
        <v>-5.5445120000000001</v>
      </c>
      <c r="H152">
        <v>27.547335</v>
      </c>
      <c r="I152" t="s">
        <v>1480</v>
      </c>
      <c r="J152" t="s">
        <v>1478</v>
      </c>
      <c r="K152" t="s">
        <v>23</v>
      </c>
      <c r="L152">
        <v>46</v>
      </c>
      <c r="M152" t="s">
        <v>11</v>
      </c>
      <c r="N152">
        <v>283</v>
      </c>
      <c r="O152">
        <v>56.05</v>
      </c>
      <c r="P152">
        <v>1</v>
      </c>
    </row>
    <row r="153" spans="1:16" x14ac:dyDescent="0.25">
      <c r="A153" s="1">
        <v>45225</v>
      </c>
      <c r="B153" s="2">
        <v>0.71250000000000002</v>
      </c>
      <c r="C153" t="s">
        <v>989</v>
      </c>
      <c r="D153">
        <v>25</v>
      </c>
      <c r="E153" t="s">
        <v>807</v>
      </c>
      <c r="F153" t="s">
        <v>24</v>
      </c>
      <c r="G153">
        <v>-5.5445120000000001</v>
      </c>
      <c r="H153">
        <v>27.547335</v>
      </c>
      <c r="I153" t="s">
        <v>1480</v>
      </c>
      <c r="J153" t="s">
        <v>1478</v>
      </c>
      <c r="K153" t="s">
        <v>23</v>
      </c>
      <c r="L153">
        <v>46</v>
      </c>
      <c r="M153" t="s">
        <v>11</v>
      </c>
      <c r="N153">
        <v>283</v>
      </c>
      <c r="O153">
        <v>56.05</v>
      </c>
      <c r="P153">
        <v>1</v>
      </c>
    </row>
    <row r="154" spans="1:16" x14ac:dyDescent="0.25">
      <c r="A154" s="1">
        <v>45200</v>
      </c>
      <c r="B154" s="2">
        <v>0.51458333333333328</v>
      </c>
      <c r="C154" t="s">
        <v>991</v>
      </c>
      <c r="D154">
        <v>24</v>
      </c>
      <c r="E154" t="s">
        <v>812</v>
      </c>
      <c r="F154" t="s">
        <v>13</v>
      </c>
      <c r="G154">
        <v>-11.622688999999999</v>
      </c>
      <c r="H154">
        <v>18.483874</v>
      </c>
      <c r="I154" t="s">
        <v>1477</v>
      </c>
      <c r="J154" t="s">
        <v>1483</v>
      </c>
      <c r="K154" t="s">
        <v>12</v>
      </c>
      <c r="L154">
        <v>63</v>
      </c>
      <c r="M154" t="s">
        <v>14</v>
      </c>
      <c r="N154">
        <v>205</v>
      </c>
      <c r="O154">
        <v>89.19</v>
      </c>
      <c r="P154">
        <v>0</v>
      </c>
    </row>
    <row r="155" spans="1:16" x14ac:dyDescent="0.25">
      <c r="A155" s="1">
        <v>45216</v>
      </c>
      <c r="B155" s="2">
        <v>0.70138888888888884</v>
      </c>
      <c r="C155" t="s">
        <v>991</v>
      </c>
      <c r="D155">
        <v>80</v>
      </c>
      <c r="E155" t="s">
        <v>807</v>
      </c>
      <c r="F155" t="s">
        <v>13</v>
      </c>
      <c r="G155">
        <v>-11.622688999999999</v>
      </c>
      <c r="H155">
        <v>18.483874</v>
      </c>
      <c r="I155" t="s">
        <v>1477</v>
      </c>
      <c r="J155" t="s">
        <v>1483</v>
      </c>
      <c r="K155" t="s">
        <v>12</v>
      </c>
      <c r="L155">
        <v>63</v>
      </c>
      <c r="M155" t="s">
        <v>14</v>
      </c>
      <c r="N155">
        <v>205</v>
      </c>
      <c r="O155">
        <v>89.19</v>
      </c>
      <c r="P155">
        <v>0</v>
      </c>
    </row>
    <row r="156" spans="1:16" x14ac:dyDescent="0.25">
      <c r="A156" s="1">
        <v>45202</v>
      </c>
      <c r="B156" s="2">
        <v>0.69930555555555551</v>
      </c>
      <c r="C156" t="s">
        <v>992</v>
      </c>
      <c r="D156">
        <v>63</v>
      </c>
      <c r="E156" t="s">
        <v>808</v>
      </c>
      <c r="F156" t="s">
        <v>73</v>
      </c>
      <c r="G156">
        <v>1.400674</v>
      </c>
      <c r="H156">
        <v>13.503126999999999</v>
      </c>
      <c r="I156" t="s">
        <v>1477</v>
      </c>
      <c r="J156" t="s">
        <v>1483</v>
      </c>
      <c r="K156" t="s">
        <v>72</v>
      </c>
      <c r="L156">
        <v>6</v>
      </c>
      <c r="M156" t="s">
        <v>11</v>
      </c>
      <c r="N156">
        <v>207</v>
      </c>
      <c r="O156">
        <v>61.55</v>
      </c>
      <c r="P156">
        <v>0</v>
      </c>
    </row>
    <row r="157" spans="1:16" x14ac:dyDescent="0.25">
      <c r="A157" s="1">
        <v>45202</v>
      </c>
      <c r="B157" s="2">
        <v>0.41249999999999998</v>
      </c>
      <c r="C157" t="s">
        <v>995</v>
      </c>
      <c r="D157">
        <v>35</v>
      </c>
      <c r="E157" t="s">
        <v>807</v>
      </c>
      <c r="F157" t="s">
        <v>26</v>
      </c>
      <c r="G157">
        <v>-6.4197189999999997</v>
      </c>
      <c r="H157">
        <v>22.287264</v>
      </c>
      <c r="I157" t="s">
        <v>1482</v>
      </c>
      <c r="J157" t="s">
        <v>1478</v>
      </c>
      <c r="K157" t="s">
        <v>25</v>
      </c>
      <c r="L157">
        <v>99</v>
      </c>
      <c r="M157" t="s">
        <v>11</v>
      </c>
      <c r="N157">
        <v>447</v>
      </c>
      <c r="O157">
        <v>38.1</v>
      </c>
      <c r="P157">
        <v>3</v>
      </c>
    </row>
    <row r="158" spans="1:16" x14ac:dyDescent="0.25">
      <c r="A158" s="1">
        <v>45209</v>
      </c>
      <c r="B158" s="2">
        <v>0.91388888888888886</v>
      </c>
      <c r="C158" t="s">
        <v>995</v>
      </c>
      <c r="D158">
        <v>111</v>
      </c>
      <c r="E158" t="s">
        <v>812</v>
      </c>
      <c r="F158" t="s">
        <v>26</v>
      </c>
      <c r="G158">
        <v>-6.4197189999999997</v>
      </c>
      <c r="H158">
        <v>22.287264</v>
      </c>
      <c r="I158" t="s">
        <v>1482</v>
      </c>
      <c r="J158" t="s">
        <v>1478</v>
      </c>
      <c r="K158" t="s">
        <v>25</v>
      </c>
      <c r="L158">
        <v>99</v>
      </c>
      <c r="M158" t="s">
        <v>11</v>
      </c>
      <c r="N158">
        <v>447</v>
      </c>
      <c r="O158">
        <v>38.1</v>
      </c>
      <c r="P158">
        <v>3</v>
      </c>
    </row>
    <row r="159" spans="1:16" x14ac:dyDescent="0.25">
      <c r="A159" s="1">
        <v>45216</v>
      </c>
      <c r="B159" s="2">
        <v>0.97013888888888888</v>
      </c>
      <c r="C159" t="s">
        <v>995</v>
      </c>
      <c r="D159">
        <v>13</v>
      </c>
      <c r="E159" t="s">
        <v>812</v>
      </c>
      <c r="F159" t="s">
        <v>26</v>
      </c>
      <c r="G159">
        <v>-6.4197189999999997</v>
      </c>
      <c r="H159">
        <v>22.287264</v>
      </c>
      <c r="I159" t="s">
        <v>1482</v>
      </c>
      <c r="J159" t="s">
        <v>1478</v>
      </c>
      <c r="K159" t="s">
        <v>25</v>
      </c>
      <c r="L159">
        <v>99</v>
      </c>
      <c r="M159" t="s">
        <v>11</v>
      </c>
      <c r="N159">
        <v>447</v>
      </c>
      <c r="O159">
        <v>38.1</v>
      </c>
      <c r="P159">
        <v>3</v>
      </c>
    </row>
    <row r="160" spans="1:16" x14ac:dyDescent="0.25">
      <c r="A160" s="1">
        <v>45230</v>
      </c>
      <c r="B160" s="2">
        <v>0.22847222222222222</v>
      </c>
      <c r="C160" t="s">
        <v>996</v>
      </c>
      <c r="D160">
        <v>39</v>
      </c>
      <c r="E160" t="s">
        <v>812</v>
      </c>
      <c r="F160" t="s">
        <v>67</v>
      </c>
      <c r="G160">
        <v>-5.7035130000000001</v>
      </c>
      <c r="H160">
        <v>14.331479</v>
      </c>
      <c r="I160" t="s">
        <v>1477</v>
      </c>
      <c r="J160" t="s">
        <v>1490</v>
      </c>
      <c r="K160" t="s">
        <v>66</v>
      </c>
      <c r="L160">
        <v>101</v>
      </c>
      <c r="M160" t="s">
        <v>14</v>
      </c>
      <c r="N160">
        <v>176</v>
      </c>
      <c r="O160">
        <v>86</v>
      </c>
      <c r="P160">
        <v>3</v>
      </c>
    </row>
    <row r="161" spans="1:16" x14ac:dyDescent="0.25">
      <c r="A161" s="1">
        <v>45219</v>
      </c>
      <c r="B161" s="2">
        <v>0.10347222222222222</v>
      </c>
      <c r="C161" t="s">
        <v>996</v>
      </c>
      <c r="D161">
        <v>72</v>
      </c>
      <c r="E161" t="s">
        <v>808</v>
      </c>
      <c r="F161" t="s">
        <v>67</v>
      </c>
      <c r="G161">
        <v>-5.7035130000000001</v>
      </c>
      <c r="H161">
        <v>14.331479</v>
      </c>
      <c r="I161" t="s">
        <v>1477</v>
      </c>
      <c r="J161" t="s">
        <v>1490</v>
      </c>
      <c r="K161" t="s">
        <v>66</v>
      </c>
      <c r="L161">
        <v>101</v>
      </c>
      <c r="M161" t="s">
        <v>14</v>
      </c>
      <c r="N161">
        <v>176</v>
      </c>
      <c r="O161">
        <v>86</v>
      </c>
      <c r="P161">
        <v>3</v>
      </c>
    </row>
    <row r="162" spans="1:16" x14ac:dyDescent="0.25">
      <c r="A162" s="1">
        <v>45201</v>
      </c>
      <c r="B162" s="2">
        <v>0.72638888888888886</v>
      </c>
      <c r="C162" t="s">
        <v>997</v>
      </c>
      <c r="D162">
        <v>97</v>
      </c>
      <c r="E162" t="s">
        <v>808</v>
      </c>
      <c r="F162" t="s">
        <v>57</v>
      </c>
      <c r="G162">
        <v>-4.3639070000000002</v>
      </c>
      <c r="H162">
        <v>16.283307000000001</v>
      </c>
      <c r="I162" t="s">
        <v>1477</v>
      </c>
      <c r="J162" t="s">
        <v>1481</v>
      </c>
      <c r="K162" t="s">
        <v>56</v>
      </c>
      <c r="L162">
        <v>97</v>
      </c>
      <c r="M162" t="s">
        <v>14</v>
      </c>
      <c r="N162">
        <v>319</v>
      </c>
      <c r="O162">
        <v>31.25</v>
      </c>
      <c r="P162">
        <v>1</v>
      </c>
    </row>
    <row r="163" spans="1:16" x14ac:dyDescent="0.25">
      <c r="A163" s="1">
        <v>45208</v>
      </c>
      <c r="B163" s="2">
        <v>0.16944444444444445</v>
      </c>
      <c r="C163" t="s">
        <v>998</v>
      </c>
      <c r="D163">
        <v>47</v>
      </c>
      <c r="E163" t="s">
        <v>807</v>
      </c>
      <c r="F163" t="s">
        <v>29</v>
      </c>
      <c r="G163">
        <v>-4.351254</v>
      </c>
      <c r="H163">
        <v>30.097408999999999</v>
      </c>
      <c r="I163" t="s">
        <v>1477</v>
      </c>
      <c r="J163" t="s">
        <v>1490</v>
      </c>
      <c r="K163" t="s">
        <v>28</v>
      </c>
      <c r="L163">
        <v>99</v>
      </c>
      <c r="M163" t="s">
        <v>19</v>
      </c>
      <c r="N163">
        <v>369</v>
      </c>
      <c r="O163">
        <v>67.209999999999994</v>
      </c>
      <c r="P163">
        <v>3</v>
      </c>
    </row>
    <row r="164" spans="1:16" x14ac:dyDescent="0.25">
      <c r="A164" s="1">
        <v>45210</v>
      </c>
      <c r="B164" s="2">
        <v>0.89583333333333337</v>
      </c>
      <c r="C164" t="s">
        <v>998</v>
      </c>
      <c r="D164">
        <v>110</v>
      </c>
      <c r="E164" t="s">
        <v>812</v>
      </c>
      <c r="F164" t="s">
        <v>29</v>
      </c>
      <c r="G164">
        <v>-4.351254</v>
      </c>
      <c r="H164">
        <v>30.097408999999999</v>
      </c>
      <c r="I164" t="s">
        <v>1477</v>
      </c>
      <c r="J164" t="s">
        <v>1490</v>
      </c>
      <c r="K164" t="s">
        <v>28</v>
      </c>
      <c r="L164">
        <v>99</v>
      </c>
      <c r="M164" t="s">
        <v>19</v>
      </c>
      <c r="N164">
        <v>369</v>
      </c>
      <c r="O164">
        <v>67.209999999999994</v>
      </c>
      <c r="P164">
        <v>3</v>
      </c>
    </row>
    <row r="165" spans="1:16" x14ac:dyDescent="0.25">
      <c r="A165" s="1">
        <v>45214</v>
      </c>
      <c r="B165" s="2">
        <v>0.85069444444444442</v>
      </c>
      <c r="C165" t="s">
        <v>1000</v>
      </c>
      <c r="D165">
        <v>31</v>
      </c>
      <c r="E165" t="s">
        <v>812</v>
      </c>
      <c r="F165" t="s">
        <v>57</v>
      </c>
      <c r="G165">
        <v>-5.4073029999999997</v>
      </c>
      <c r="H165">
        <v>29.762294000000001</v>
      </c>
      <c r="I165" t="s">
        <v>1482</v>
      </c>
      <c r="J165" t="s">
        <v>1478</v>
      </c>
      <c r="K165" t="s">
        <v>56</v>
      </c>
      <c r="L165">
        <v>97</v>
      </c>
      <c r="M165" t="s">
        <v>14</v>
      </c>
      <c r="N165">
        <v>319</v>
      </c>
      <c r="O165">
        <v>31.25</v>
      </c>
      <c r="P165">
        <v>1</v>
      </c>
    </row>
    <row r="166" spans="1:16" x14ac:dyDescent="0.25">
      <c r="A166" s="1">
        <v>45207</v>
      </c>
      <c r="B166" s="2">
        <v>0.13333333333333333</v>
      </c>
      <c r="C166" t="s">
        <v>1000</v>
      </c>
      <c r="D166">
        <v>66</v>
      </c>
      <c r="E166" t="s">
        <v>808</v>
      </c>
      <c r="F166" t="s">
        <v>57</v>
      </c>
      <c r="G166">
        <v>-5.4073029999999997</v>
      </c>
      <c r="H166">
        <v>29.762294000000001</v>
      </c>
      <c r="I166" t="s">
        <v>1482</v>
      </c>
      <c r="J166" t="s">
        <v>1478</v>
      </c>
      <c r="K166" t="s">
        <v>56</v>
      </c>
      <c r="L166">
        <v>97</v>
      </c>
      <c r="M166" t="s">
        <v>14</v>
      </c>
      <c r="N166">
        <v>319</v>
      </c>
      <c r="O166">
        <v>31.25</v>
      </c>
      <c r="P166">
        <v>1</v>
      </c>
    </row>
    <row r="167" spans="1:16" x14ac:dyDescent="0.25">
      <c r="A167" s="1">
        <v>45203</v>
      </c>
      <c r="B167" s="2">
        <v>0.75069444444444444</v>
      </c>
      <c r="C167" t="s">
        <v>1002</v>
      </c>
      <c r="D167">
        <v>64</v>
      </c>
      <c r="E167" t="s">
        <v>812</v>
      </c>
      <c r="F167" t="s">
        <v>78</v>
      </c>
      <c r="G167">
        <v>-4.6818410000000004</v>
      </c>
      <c r="H167">
        <v>17.541618</v>
      </c>
      <c r="I167" t="s">
        <v>1480</v>
      </c>
      <c r="J167" t="s">
        <v>1478</v>
      </c>
      <c r="K167" t="s">
        <v>77</v>
      </c>
      <c r="L167">
        <v>81</v>
      </c>
      <c r="M167" t="s">
        <v>14</v>
      </c>
      <c r="N167">
        <v>154</v>
      </c>
      <c r="O167">
        <v>19.47</v>
      </c>
      <c r="P167">
        <v>3</v>
      </c>
    </row>
    <row r="168" spans="1:16" x14ac:dyDescent="0.25">
      <c r="A168" s="1">
        <v>45224</v>
      </c>
      <c r="B168" s="2">
        <v>0.2013888888888889</v>
      </c>
      <c r="C168" t="s">
        <v>1002</v>
      </c>
      <c r="D168">
        <v>43</v>
      </c>
      <c r="E168" t="s">
        <v>812</v>
      </c>
      <c r="F168" t="s">
        <v>78</v>
      </c>
      <c r="G168">
        <v>-4.6818410000000004</v>
      </c>
      <c r="H168">
        <v>17.541618</v>
      </c>
      <c r="I168" t="s">
        <v>1480</v>
      </c>
      <c r="J168" t="s">
        <v>1478</v>
      </c>
      <c r="K168" t="s">
        <v>77</v>
      </c>
      <c r="L168">
        <v>81</v>
      </c>
      <c r="M168" t="s">
        <v>14</v>
      </c>
      <c r="N168">
        <v>154</v>
      </c>
      <c r="O168">
        <v>19.47</v>
      </c>
      <c r="P168">
        <v>3</v>
      </c>
    </row>
    <row r="169" spans="1:16" x14ac:dyDescent="0.25">
      <c r="A169" s="1">
        <v>45202</v>
      </c>
      <c r="B169" s="2">
        <v>0.2902777777777778</v>
      </c>
      <c r="C169" t="s">
        <v>1012</v>
      </c>
      <c r="D169">
        <v>103</v>
      </c>
      <c r="E169" t="s">
        <v>808</v>
      </c>
      <c r="F169" t="s">
        <v>60</v>
      </c>
      <c r="G169">
        <v>4.9250049999999996</v>
      </c>
      <c r="H169">
        <v>19.887931999999999</v>
      </c>
      <c r="I169" t="s">
        <v>1480</v>
      </c>
      <c r="J169" t="s">
        <v>1481</v>
      </c>
      <c r="K169" t="s">
        <v>59</v>
      </c>
      <c r="L169">
        <v>14</v>
      </c>
      <c r="M169" t="s">
        <v>14</v>
      </c>
      <c r="N169">
        <v>316</v>
      </c>
      <c r="O169">
        <v>62.34</v>
      </c>
      <c r="P169">
        <v>4</v>
      </c>
    </row>
    <row r="170" spans="1:16" x14ac:dyDescent="0.25">
      <c r="A170" s="1">
        <v>45221</v>
      </c>
      <c r="B170" s="2">
        <v>0.83611111111111114</v>
      </c>
      <c r="C170" t="s">
        <v>1022</v>
      </c>
      <c r="D170">
        <v>6</v>
      </c>
      <c r="E170" t="s">
        <v>812</v>
      </c>
      <c r="F170" t="s">
        <v>29</v>
      </c>
      <c r="G170">
        <v>-4.9789079999999997</v>
      </c>
      <c r="H170">
        <v>28.506295000000001</v>
      </c>
      <c r="I170" t="s">
        <v>1480</v>
      </c>
      <c r="J170" t="s">
        <v>1481</v>
      </c>
      <c r="K170" t="s">
        <v>28</v>
      </c>
      <c r="L170">
        <v>99</v>
      </c>
      <c r="M170" t="s">
        <v>19</v>
      </c>
      <c r="N170">
        <v>369</v>
      </c>
      <c r="O170">
        <v>67.209999999999994</v>
      </c>
      <c r="P170">
        <v>3</v>
      </c>
    </row>
    <row r="171" spans="1:16" x14ac:dyDescent="0.25">
      <c r="A171" s="1">
        <v>45205</v>
      </c>
      <c r="B171" s="2">
        <v>5.2777777777777778E-2</v>
      </c>
      <c r="C171" t="s">
        <v>1022</v>
      </c>
      <c r="D171">
        <v>102</v>
      </c>
      <c r="E171" t="s">
        <v>808</v>
      </c>
      <c r="F171" t="s">
        <v>29</v>
      </c>
      <c r="G171">
        <v>-4.9789079999999997</v>
      </c>
      <c r="H171">
        <v>28.506295000000001</v>
      </c>
      <c r="I171" t="s">
        <v>1480</v>
      </c>
      <c r="J171" t="s">
        <v>1481</v>
      </c>
      <c r="K171" t="s">
        <v>28</v>
      </c>
      <c r="L171">
        <v>99</v>
      </c>
      <c r="M171" t="s">
        <v>19</v>
      </c>
      <c r="N171">
        <v>369</v>
      </c>
      <c r="O171">
        <v>67.209999999999994</v>
      </c>
      <c r="P171">
        <v>3</v>
      </c>
    </row>
    <row r="172" spans="1:16" x14ac:dyDescent="0.25">
      <c r="A172" s="1">
        <v>45219</v>
      </c>
      <c r="B172" s="2">
        <v>9.583333333333334E-2</v>
      </c>
      <c r="C172" t="s">
        <v>1027</v>
      </c>
      <c r="D172">
        <v>113</v>
      </c>
      <c r="E172" t="s">
        <v>812</v>
      </c>
      <c r="F172" t="s">
        <v>26</v>
      </c>
      <c r="G172">
        <v>-3.6945459999999999</v>
      </c>
      <c r="H172">
        <v>16.809108999999999</v>
      </c>
      <c r="I172" t="s">
        <v>1477</v>
      </c>
      <c r="J172" t="s">
        <v>1483</v>
      </c>
      <c r="K172" t="s">
        <v>25</v>
      </c>
      <c r="L172">
        <v>99</v>
      </c>
      <c r="M172" t="s">
        <v>11</v>
      </c>
      <c r="N172">
        <v>447</v>
      </c>
      <c r="O172">
        <v>38.1</v>
      </c>
      <c r="P172">
        <v>3</v>
      </c>
    </row>
    <row r="173" spans="1:16" x14ac:dyDescent="0.25">
      <c r="A173" s="1">
        <v>45214</v>
      </c>
      <c r="B173" s="2">
        <v>0.17222222222222222</v>
      </c>
      <c r="C173" t="s">
        <v>1027</v>
      </c>
      <c r="D173">
        <v>6</v>
      </c>
      <c r="E173" t="s">
        <v>807</v>
      </c>
      <c r="F173" t="s">
        <v>26</v>
      </c>
      <c r="G173">
        <v>-3.6945459999999999</v>
      </c>
      <c r="H173">
        <v>16.809108999999999</v>
      </c>
      <c r="I173" t="s">
        <v>1477</v>
      </c>
      <c r="J173" t="s">
        <v>1483</v>
      </c>
      <c r="K173" t="s">
        <v>25</v>
      </c>
      <c r="L173">
        <v>99</v>
      </c>
      <c r="M173" t="s">
        <v>11</v>
      </c>
      <c r="N173">
        <v>447</v>
      </c>
      <c r="O173">
        <v>38.1</v>
      </c>
      <c r="P173">
        <v>3</v>
      </c>
    </row>
    <row r="174" spans="1:16" x14ac:dyDescent="0.25">
      <c r="A174" s="1">
        <v>45228</v>
      </c>
      <c r="B174" s="2">
        <v>0.61458333333333337</v>
      </c>
      <c r="C174" t="s">
        <v>1027</v>
      </c>
      <c r="D174">
        <v>48</v>
      </c>
      <c r="E174" t="s">
        <v>808</v>
      </c>
      <c r="F174" t="s">
        <v>26</v>
      </c>
      <c r="G174">
        <v>-3.6945459999999999</v>
      </c>
      <c r="H174">
        <v>16.809108999999999</v>
      </c>
      <c r="I174" t="s">
        <v>1477</v>
      </c>
      <c r="J174" t="s">
        <v>1483</v>
      </c>
      <c r="K174" t="s">
        <v>25</v>
      </c>
      <c r="L174">
        <v>99</v>
      </c>
      <c r="M174" t="s">
        <v>11</v>
      </c>
      <c r="N174">
        <v>447</v>
      </c>
      <c r="O174">
        <v>38.1</v>
      </c>
      <c r="P174">
        <v>3</v>
      </c>
    </row>
    <row r="175" spans="1:16" x14ac:dyDescent="0.25">
      <c r="A175" s="1">
        <v>45222</v>
      </c>
      <c r="B175" s="2">
        <v>0.7631944444444444</v>
      </c>
      <c r="C175" t="s">
        <v>1027</v>
      </c>
      <c r="D175">
        <v>91</v>
      </c>
      <c r="E175" t="s">
        <v>812</v>
      </c>
      <c r="F175" t="s">
        <v>26</v>
      </c>
      <c r="G175">
        <v>-3.6945459999999999</v>
      </c>
      <c r="H175">
        <v>16.809108999999999</v>
      </c>
      <c r="I175" t="s">
        <v>1477</v>
      </c>
      <c r="J175" t="s">
        <v>1483</v>
      </c>
      <c r="K175" t="s">
        <v>25</v>
      </c>
      <c r="L175">
        <v>99</v>
      </c>
      <c r="M175" t="s">
        <v>11</v>
      </c>
      <c r="N175">
        <v>447</v>
      </c>
      <c r="O175">
        <v>38.1</v>
      </c>
      <c r="P175">
        <v>3</v>
      </c>
    </row>
    <row r="176" spans="1:16" x14ac:dyDescent="0.25">
      <c r="A176" s="1">
        <v>45213</v>
      </c>
      <c r="B176" s="2">
        <v>0.34236111111111112</v>
      </c>
      <c r="C176" t="s">
        <v>1031</v>
      </c>
      <c r="D176">
        <v>63</v>
      </c>
      <c r="E176" t="s">
        <v>808</v>
      </c>
      <c r="F176" t="s">
        <v>21</v>
      </c>
      <c r="G176">
        <v>0.31740800000000002</v>
      </c>
      <c r="H176">
        <v>27.197666999999999</v>
      </c>
      <c r="I176" t="s">
        <v>1477</v>
      </c>
      <c r="J176" t="s">
        <v>1490</v>
      </c>
      <c r="K176" t="s">
        <v>20</v>
      </c>
      <c r="L176">
        <v>101</v>
      </c>
      <c r="M176" t="s">
        <v>22</v>
      </c>
      <c r="N176">
        <v>358</v>
      </c>
      <c r="O176">
        <v>29.24</v>
      </c>
      <c r="P176">
        <v>3</v>
      </c>
    </row>
    <row r="177" spans="1:16" x14ac:dyDescent="0.25">
      <c r="A177" s="1">
        <v>45220</v>
      </c>
      <c r="B177" s="2">
        <v>0.41666666666666669</v>
      </c>
      <c r="C177" t="s">
        <v>1033</v>
      </c>
      <c r="D177">
        <v>32</v>
      </c>
      <c r="E177" t="s">
        <v>808</v>
      </c>
      <c r="F177" t="s">
        <v>64</v>
      </c>
      <c r="G177">
        <v>-11.991020000000001</v>
      </c>
      <c r="H177">
        <v>22.514747</v>
      </c>
      <c r="I177" t="s">
        <v>1477</v>
      </c>
      <c r="J177" t="s">
        <v>1483</v>
      </c>
      <c r="K177" t="s">
        <v>63</v>
      </c>
      <c r="L177">
        <v>79</v>
      </c>
      <c r="M177" t="s">
        <v>11</v>
      </c>
      <c r="N177">
        <v>226</v>
      </c>
      <c r="O177">
        <v>94.38</v>
      </c>
      <c r="P177">
        <v>3</v>
      </c>
    </row>
    <row r="178" spans="1:16" x14ac:dyDescent="0.25">
      <c r="A178" s="1">
        <v>45210</v>
      </c>
      <c r="B178" s="2">
        <v>0.96111111111111114</v>
      </c>
      <c r="C178" t="s">
        <v>1033</v>
      </c>
      <c r="D178">
        <v>66</v>
      </c>
      <c r="E178" t="s">
        <v>807</v>
      </c>
      <c r="F178" t="s">
        <v>64</v>
      </c>
      <c r="G178">
        <v>-11.991020000000001</v>
      </c>
      <c r="H178">
        <v>22.514747</v>
      </c>
      <c r="I178" t="s">
        <v>1477</v>
      </c>
      <c r="J178" t="s">
        <v>1483</v>
      </c>
      <c r="K178" t="s">
        <v>63</v>
      </c>
      <c r="L178">
        <v>79</v>
      </c>
      <c r="M178" t="s">
        <v>11</v>
      </c>
      <c r="N178">
        <v>226</v>
      </c>
      <c r="O178">
        <v>94.38</v>
      </c>
      <c r="P178">
        <v>3</v>
      </c>
    </row>
    <row r="179" spans="1:16" x14ac:dyDescent="0.25">
      <c r="A179" s="1">
        <v>45215</v>
      </c>
      <c r="B179" s="2">
        <v>0.45763888888888887</v>
      </c>
      <c r="C179" t="s">
        <v>1035</v>
      </c>
      <c r="D179">
        <v>100</v>
      </c>
      <c r="E179" t="s">
        <v>807</v>
      </c>
      <c r="F179" t="s">
        <v>37</v>
      </c>
      <c r="G179">
        <v>-11.793894</v>
      </c>
      <c r="H179">
        <v>20.433340999999999</v>
      </c>
      <c r="I179" t="s">
        <v>1477</v>
      </c>
      <c r="J179" t="s">
        <v>1490</v>
      </c>
      <c r="K179" t="s">
        <v>36</v>
      </c>
      <c r="L179">
        <v>115</v>
      </c>
      <c r="M179" t="s">
        <v>19</v>
      </c>
      <c r="N179">
        <v>176</v>
      </c>
      <c r="O179">
        <v>33.28</v>
      </c>
      <c r="P179">
        <v>4</v>
      </c>
    </row>
    <row r="180" spans="1:16" x14ac:dyDescent="0.25">
      <c r="A180" s="1">
        <v>45203</v>
      </c>
      <c r="B180" s="2">
        <v>0.30486111111111114</v>
      </c>
      <c r="C180" t="s">
        <v>1035</v>
      </c>
      <c r="D180">
        <v>106</v>
      </c>
      <c r="E180" t="s">
        <v>808</v>
      </c>
      <c r="F180" t="s">
        <v>37</v>
      </c>
      <c r="G180">
        <v>-11.793894</v>
      </c>
      <c r="H180">
        <v>20.433340999999999</v>
      </c>
      <c r="I180" t="s">
        <v>1477</v>
      </c>
      <c r="J180" t="s">
        <v>1490</v>
      </c>
      <c r="K180" t="s">
        <v>36</v>
      </c>
      <c r="L180">
        <v>115</v>
      </c>
      <c r="M180" t="s">
        <v>19</v>
      </c>
      <c r="N180">
        <v>176</v>
      </c>
      <c r="O180">
        <v>33.28</v>
      </c>
      <c r="P180">
        <v>4</v>
      </c>
    </row>
    <row r="181" spans="1:16" x14ac:dyDescent="0.25">
      <c r="A181" s="1">
        <v>45222</v>
      </c>
      <c r="B181" s="2">
        <v>0.17916666666666667</v>
      </c>
      <c r="C181" t="s">
        <v>1038</v>
      </c>
      <c r="D181">
        <v>28</v>
      </c>
      <c r="E181" t="s">
        <v>808</v>
      </c>
      <c r="F181" t="s">
        <v>64</v>
      </c>
      <c r="G181">
        <v>-0.90854400000000002</v>
      </c>
      <c r="H181">
        <v>17.154896999999998</v>
      </c>
      <c r="I181" t="s">
        <v>1482</v>
      </c>
      <c r="J181" t="s">
        <v>1481</v>
      </c>
      <c r="K181" t="s">
        <v>63</v>
      </c>
      <c r="L181">
        <v>79</v>
      </c>
      <c r="M181" t="s">
        <v>11</v>
      </c>
      <c r="N181">
        <v>226</v>
      </c>
      <c r="O181">
        <v>94.38</v>
      </c>
      <c r="P181">
        <v>3</v>
      </c>
    </row>
    <row r="182" spans="1:16" x14ac:dyDescent="0.25">
      <c r="A182" s="1">
        <v>45214</v>
      </c>
      <c r="B182" s="2">
        <v>0.7368055555555556</v>
      </c>
      <c r="C182" t="s">
        <v>1039</v>
      </c>
      <c r="D182">
        <v>34</v>
      </c>
      <c r="E182" t="s">
        <v>812</v>
      </c>
      <c r="F182" t="s">
        <v>51</v>
      </c>
      <c r="G182">
        <v>5.3608999999999997E-2</v>
      </c>
      <c r="H182">
        <v>28.346852999999999</v>
      </c>
      <c r="I182" t="s">
        <v>1482</v>
      </c>
      <c r="J182" t="s">
        <v>1483</v>
      </c>
      <c r="K182" t="s">
        <v>50</v>
      </c>
      <c r="L182">
        <v>119</v>
      </c>
      <c r="M182" t="s">
        <v>22</v>
      </c>
      <c r="N182">
        <v>228</v>
      </c>
      <c r="O182">
        <v>94.72</v>
      </c>
      <c r="P182">
        <v>3</v>
      </c>
    </row>
    <row r="183" spans="1:16" x14ac:dyDescent="0.25">
      <c r="A183" s="1">
        <v>45225</v>
      </c>
      <c r="B183" s="2">
        <v>0.17152777777777778</v>
      </c>
      <c r="C183" t="s">
        <v>1042</v>
      </c>
      <c r="D183">
        <v>104</v>
      </c>
      <c r="E183" t="s">
        <v>808</v>
      </c>
      <c r="F183" t="s">
        <v>62</v>
      </c>
      <c r="G183">
        <v>1.2463919999999999</v>
      </c>
      <c r="H183">
        <v>13.266916999999999</v>
      </c>
      <c r="I183" t="s">
        <v>1477</v>
      </c>
      <c r="J183" t="s">
        <v>1481</v>
      </c>
      <c r="K183" t="s">
        <v>61</v>
      </c>
      <c r="L183">
        <v>101</v>
      </c>
      <c r="M183" t="s">
        <v>14</v>
      </c>
      <c r="N183">
        <v>333</v>
      </c>
      <c r="O183">
        <v>74.319999999999993</v>
      </c>
      <c r="P183">
        <v>1</v>
      </c>
    </row>
    <row r="184" spans="1:16" x14ac:dyDescent="0.25">
      <c r="A184" s="1">
        <v>45215</v>
      </c>
      <c r="B184" s="2">
        <v>9.3055555555555558E-2</v>
      </c>
      <c r="C184" t="s">
        <v>1043</v>
      </c>
      <c r="D184">
        <v>87</v>
      </c>
      <c r="E184" t="s">
        <v>807</v>
      </c>
      <c r="F184" t="s">
        <v>16</v>
      </c>
      <c r="G184">
        <v>-7.6951369999999999</v>
      </c>
      <c r="H184">
        <v>13.346605</v>
      </c>
      <c r="I184" t="s">
        <v>1480</v>
      </c>
      <c r="J184" t="s">
        <v>1478</v>
      </c>
      <c r="K184" t="s">
        <v>15</v>
      </c>
      <c r="L184">
        <v>34</v>
      </c>
      <c r="M184" t="s">
        <v>14</v>
      </c>
      <c r="N184">
        <v>453</v>
      </c>
      <c r="O184">
        <v>56.84</v>
      </c>
      <c r="P184">
        <v>0</v>
      </c>
    </row>
    <row r="185" spans="1:16" x14ac:dyDescent="0.25">
      <c r="A185" s="1">
        <v>45210</v>
      </c>
      <c r="B185" s="2">
        <v>0.45833333333333331</v>
      </c>
      <c r="C185" t="s">
        <v>1044</v>
      </c>
      <c r="D185">
        <v>95</v>
      </c>
      <c r="E185" t="s">
        <v>808</v>
      </c>
      <c r="F185" t="s">
        <v>18</v>
      </c>
      <c r="G185">
        <v>-12.112682</v>
      </c>
      <c r="H185">
        <v>19.972052000000001</v>
      </c>
      <c r="I185" t="s">
        <v>1480</v>
      </c>
      <c r="J185" t="s">
        <v>1481</v>
      </c>
      <c r="K185" t="s">
        <v>17</v>
      </c>
      <c r="L185">
        <v>44</v>
      </c>
      <c r="M185" t="s">
        <v>19</v>
      </c>
      <c r="N185">
        <v>348</v>
      </c>
      <c r="O185">
        <v>58.67</v>
      </c>
      <c r="P185">
        <v>0</v>
      </c>
    </row>
    <row r="186" spans="1:16" x14ac:dyDescent="0.25">
      <c r="A186" s="1">
        <v>45202</v>
      </c>
      <c r="B186" s="2">
        <v>0.21875</v>
      </c>
      <c r="C186" t="s">
        <v>1044</v>
      </c>
      <c r="D186">
        <v>86</v>
      </c>
      <c r="E186" t="s">
        <v>812</v>
      </c>
      <c r="F186" t="s">
        <v>18</v>
      </c>
      <c r="G186">
        <v>-12.112682</v>
      </c>
      <c r="H186">
        <v>19.972052000000001</v>
      </c>
      <c r="I186" t="s">
        <v>1480</v>
      </c>
      <c r="J186" t="s">
        <v>1481</v>
      </c>
      <c r="K186" t="s">
        <v>17</v>
      </c>
      <c r="L186">
        <v>44</v>
      </c>
      <c r="M186" t="s">
        <v>19</v>
      </c>
      <c r="N186">
        <v>348</v>
      </c>
      <c r="O186">
        <v>58.67</v>
      </c>
      <c r="P186">
        <v>0</v>
      </c>
    </row>
    <row r="187" spans="1:16" x14ac:dyDescent="0.25">
      <c r="A187" s="1">
        <v>45210</v>
      </c>
      <c r="B187" s="2">
        <v>3.125E-2</v>
      </c>
      <c r="C187" t="s">
        <v>1046</v>
      </c>
      <c r="D187">
        <v>63</v>
      </c>
      <c r="E187" t="s">
        <v>812</v>
      </c>
      <c r="F187" t="s">
        <v>40</v>
      </c>
      <c r="G187">
        <v>-9.0798120000000004</v>
      </c>
      <c r="H187">
        <v>14.945484</v>
      </c>
      <c r="I187" t="s">
        <v>1477</v>
      </c>
      <c r="J187" t="s">
        <v>1478</v>
      </c>
      <c r="K187" t="s">
        <v>39</v>
      </c>
      <c r="L187">
        <v>110</v>
      </c>
      <c r="M187" t="s">
        <v>14</v>
      </c>
      <c r="N187">
        <v>423</v>
      </c>
      <c r="O187">
        <v>37.35</v>
      </c>
      <c r="P187">
        <v>4</v>
      </c>
    </row>
    <row r="188" spans="1:16" x14ac:dyDescent="0.25">
      <c r="A188" s="1">
        <v>45207</v>
      </c>
      <c r="B188" s="2">
        <v>0.98750000000000004</v>
      </c>
      <c r="C188" t="s">
        <v>1046</v>
      </c>
      <c r="D188">
        <v>15</v>
      </c>
      <c r="E188" t="s">
        <v>808</v>
      </c>
      <c r="F188" t="s">
        <v>40</v>
      </c>
      <c r="G188">
        <v>-9.0798120000000004</v>
      </c>
      <c r="H188">
        <v>14.945484</v>
      </c>
      <c r="I188" t="s">
        <v>1477</v>
      </c>
      <c r="J188" t="s">
        <v>1478</v>
      </c>
      <c r="K188" t="s">
        <v>39</v>
      </c>
      <c r="L188">
        <v>110</v>
      </c>
      <c r="M188" t="s">
        <v>14</v>
      </c>
      <c r="N188">
        <v>423</v>
      </c>
      <c r="O188">
        <v>37.35</v>
      </c>
      <c r="P188">
        <v>4</v>
      </c>
    </row>
    <row r="189" spans="1:16" x14ac:dyDescent="0.25">
      <c r="A189" s="1">
        <v>45225</v>
      </c>
      <c r="B189" s="2">
        <v>0.21527777777777779</v>
      </c>
      <c r="C189" t="s">
        <v>1048</v>
      </c>
      <c r="D189">
        <v>41</v>
      </c>
      <c r="E189" t="s">
        <v>812</v>
      </c>
      <c r="F189" t="s">
        <v>44</v>
      </c>
      <c r="G189">
        <v>-4.9552579999999997</v>
      </c>
      <c r="H189">
        <v>22.008103999999999</v>
      </c>
      <c r="I189" t="s">
        <v>1480</v>
      </c>
      <c r="J189" t="s">
        <v>1481</v>
      </c>
      <c r="K189" t="s">
        <v>43</v>
      </c>
      <c r="L189">
        <v>66</v>
      </c>
      <c r="M189" t="s">
        <v>22</v>
      </c>
      <c r="N189">
        <v>270</v>
      </c>
      <c r="O189">
        <v>75.88</v>
      </c>
      <c r="P189">
        <v>3</v>
      </c>
    </row>
    <row r="190" spans="1:16" x14ac:dyDescent="0.25">
      <c r="A190" s="1">
        <v>45216</v>
      </c>
      <c r="B190" s="2">
        <v>0.45763888888888887</v>
      </c>
      <c r="C190" t="s">
        <v>1052</v>
      </c>
      <c r="D190">
        <v>39</v>
      </c>
      <c r="E190" t="s">
        <v>807</v>
      </c>
      <c r="F190" t="s">
        <v>33</v>
      </c>
      <c r="G190">
        <v>-9.5266249999999992</v>
      </c>
      <c r="H190">
        <v>27.889690999999999</v>
      </c>
      <c r="I190" t="s">
        <v>1480</v>
      </c>
      <c r="J190" t="s">
        <v>1478</v>
      </c>
      <c r="K190" t="s">
        <v>32</v>
      </c>
      <c r="L190">
        <v>72</v>
      </c>
      <c r="M190" t="s">
        <v>14</v>
      </c>
      <c r="N190">
        <v>160</v>
      </c>
      <c r="O190">
        <v>90.13</v>
      </c>
      <c r="P190">
        <v>2</v>
      </c>
    </row>
    <row r="191" spans="1:16" x14ac:dyDescent="0.25">
      <c r="A191" s="1">
        <v>45204</v>
      </c>
      <c r="B191" s="2">
        <v>0.90555555555555556</v>
      </c>
      <c r="C191" t="s">
        <v>1053</v>
      </c>
      <c r="D191">
        <v>61</v>
      </c>
      <c r="E191" t="s">
        <v>807</v>
      </c>
      <c r="F191" t="s">
        <v>26</v>
      </c>
      <c r="G191">
        <v>4.497306</v>
      </c>
      <c r="H191">
        <v>12.857251</v>
      </c>
      <c r="I191" t="s">
        <v>1477</v>
      </c>
      <c r="J191" t="s">
        <v>1478</v>
      </c>
      <c r="K191" t="s">
        <v>25</v>
      </c>
      <c r="L191">
        <v>99</v>
      </c>
      <c r="M191" t="s">
        <v>11</v>
      </c>
      <c r="N191">
        <v>447</v>
      </c>
      <c r="O191">
        <v>38.1</v>
      </c>
      <c r="P191">
        <v>3</v>
      </c>
    </row>
    <row r="192" spans="1:16" x14ac:dyDescent="0.25">
      <c r="A192" s="1">
        <v>45225</v>
      </c>
      <c r="B192" s="2">
        <v>0.94861111111111107</v>
      </c>
      <c r="C192" t="s">
        <v>1057</v>
      </c>
      <c r="D192">
        <v>30</v>
      </c>
      <c r="E192" t="s">
        <v>807</v>
      </c>
      <c r="F192" t="s">
        <v>40</v>
      </c>
      <c r="G192">
        <v>-10.653247</v>
      </c>
      <c r="H192">
        <v>14.685601</v>
      </c>
      <c r="I192" t="s">
        <v>1480</v>
      </c>
      <c r="J192" t="s">
        <v>1478</v>
      </c>
      <c r="K192" t="s">
        <v>39</v>
      </c>
      <c r="L192">
        <v>110</v>
      </c>
      <c r="M192" t="s">
        <v>14</v>
      </c>
      <c r="N192">
        <v>423</v>
      </c>
      <c r="O192">
        <v>37.35</v>
      </c>
      <c r="P192">
        <v>4</v>
      </c>
    </row>
    <row r="193" spans="1:16" x14ac:dyDescent="0.25">
      <c r="A193" s="1">
        <v>45216</v>
      </c>
      <c r="B193" s="2">
        <v>0.9604166666666667</v>
      </c>
      <c r="C193" t="s">
        <v>1058</v>
      </c>
      <c r="D193">
        <v>41</v>
      </c>
      <c r="E193" t="s">
        <v>808</v>
      </c>
      <c r="F193" t="s">
        <v>44</v>
      </c>
      <c r="G193">
        <v>-7.5641280000000002</v>
      </c>
      <c r="H193">
        <v>18.129529999999999</v>
      </c>
      <c r="I193" t="s">
        <v>1482</v>
      </c>
      <c r="J193" t="s">
        <v>1481</v>
      </c>
      <c r="K193" t="s">
        <v>43</v>
      </c>
      <c r="L193">
        <v>66</v>
      </c>
      <c r="M193" t="s">
        <v>22</v>
      </c>
      <c r="N193">
        <v>270</v>
      </c>
      <c r="O193">
        <v>75.88</v>
      </c>
      <c r="P193">
        <v>3</v>
      </c>
    </row>
    <row r="194" spans="1:16" x14ac:dyDescent="0.25">
      <c r="A194" s="1">
        <v>45202</v>
      </c>
      <c r="B194" s="2">
        <v>0.71736111111111112</v>
      </c>
      <c r="C194" t="s">
        <v>1061</v>
      </c>
      <c r="D194">
        <v>115</v>
      </c>
      <c r="E194" t="s">
        <v>812</v>
      </c>
      <c r="F194" t="s">
        <v>37</v>
      </c>
      <c r="G194">
        <v>-1.5936220000000001</v>
      </c>
      <c r="H194">
        <v>14.928856</v>
      </c>
      <c r="I194" t="s">
        <v>1477</v>
      </c>
      <c r="J194" t="s">
        <v>1478</v>
      </c>
      <c r="K194" t="s">
        <v>36</v>
      </c>
      <c r="L194">
        <v>115</v>
      </c>
      <c r="M194" t="s">
        <v>19</v>
      </c>
      <c r="N194">
        <v>176</v>
      </c>
      <c r="O194">
        <v>33.28</v>
      </c>
      <c r="P194">
        <v>4</v>
      </c>
    </row>
    <row r="195" spans="1:16" x14ac:dyDescent="0.25">
      <c r="A195" s="1">
        <v>45205</v>
      </c>
      <c r="B195" s="2">
        <v>0.47430555555555554</v>
      </c>
      <c r="C195" t="s">
        <v>1062</v>
      </c>
      <c r="D195">
        <v>25</v>
      </c>
      <c r="E195" t="s">
        <v>807</v>
      </c>
      <c r="F195" t="s">
        <v>127</v>
      </c>
      <c r="G195">
        <v>-1.013558</v>
      </c>
      <c r="H195">
        <v>17.346937</v>
      </c>
      <c r="I195" t="s">
        <v>1477</v>
      </c>
      <c r="J195" t="s">
        <v>1481</v>
      </c>
      <c r="K195" t="s">
        <v>126</v>
      </c>
      <c r="L195">
        <v>40</v>
      </c>
      <c r="M195" t="s">
        <v>11</v>
      </c>
      <c r="N195">
        <v>345</v>
      </c>
      <c r="O195">
        <v>89.55</v>
      </c>
      <c r="P195">
        <v>3</v>
      </c>
    </row>
    <row r="196" spans="1:16" x14ac:dyDescent="0.25">
      <c r="A196" s="1">
        <v>45225</v>
      </c>
      <c r="B196" s="2">
        <v>0.62569444444444444</v>
      </c>
      <c r="C196" t="s">
        <v>1063</v>
      </c>
      <c r="D196">
        <v>108</v>
      </c>
      <c r="E196" t="s">
        <v>812</v>
      </c>
      <c r="F196" t="s">
        <v>31</v>
      </c>
      <c r="G196">
        <v>-10.611184</v>
      </c>
      <c r="H196">
        <v>23.022268</v>
      </c>
      <c r="I196" t="s">
        <v>1477</v>
      </c>
      <c r="J196" t="s">
        <v>1483</v>
      </c>
      <c r="K196" t="s">
        <v>30</v>
      </c>
      <c r="L196">
        <v>113</v>
      </c>
      <c r="M196" t="s">
        <v>22</v>
      </c>
      <c r="N196">
        <v>380</v>
      </c>
      <c r="O196">
        <v>12.11</v>
      </c>
      <c r="P196">
        <v>0</v>
      </c>
    </row>
    <row r="197" spans="1:16" x14ac:dyDescent="0.25">
      <c r="A197" s="1">
        <v>45220</v>
      </c>
      <c r="B197" s="2">
        <v>0.58402777777777781</v>
      </c>
      <c r="C197" t="s">
        <v>1066</v>
      </c>
      <c r="D197">
        <v>92</v>
      </c>
      <c r="E197" t="s">
        <v>812</v>
      </c>
      <c r="F197" t="s">
        <v>89</v>
      </c>
      <c r="G197">
        <v>-11.588665000000001</v>
      </c>
      <c r="H197">
        <v>15.241552</v>
      </c>
      <c r="I197" t="s">
        <v>1480</v>
      </c>
      <c r="J197" t="s">
        <v>1490</v>
      </c>
      <c r="K197" t="s">
        <v>88</v>
      </c>
      <c r="L197">
        <v>98</v>
      </c>
      <c r="M197" t="s">
        <v>14</v>
      </c>
      <c r="N197">
        <v>482</v>
      </c>
      <c r="O197">
        <v>55.04</v>
      </c>
      <c r="P197">
        <v>5</v>
      </c>
    </row>
    <row r="198" spans="1:16" x14ac:dyDescent="0.25">
      <c r="A198" s="1">
        <v>45200</v>
      </c>
      <c r="B198" s="2">
        <v>0.57013888888888886</v>
      </c>
      <c r="C198" t="s">
        <v>1069</v>
      </c>
      <c r="D198">
        <v>53</v>
      </c>
      <c r="E198" t="s">
        <v>812</v>
      </c>
      <c r="F198" t="s">
        <v>62</v>
      </c>
      <c r="G198">
        <v>2.8552499999999998</v>
      </c>
      <c r="H198">
        <v>14.077933</v>
      </c>
      <c r="I198" t="s">
        <v>1480</v>
      </c>
      <c r="J198" t="s">
        <v>1483</v>
      </c>
      <c r="K198" t="s">
        <v>61</v>
      </c>
      <c r="L198">
        <v>101</v>
      </c>
      <c r="M198" t="s">
        <v>14</v>
      </c>
      <c r="N198">
        <v>333</v>
      </c>
      <c r="O198">
        <v>74.319999999999993</v>
      </c>
      <c r="P198">
        <v>1</v>
      </c>
    </row>
    <row r="199" spans="1:16" x14ac:dyDescent="0.25">
      <c r="A199" s="1">
        <v>45215</v>
      </c>
      <c r="B199" s="2">
        <v>0.58750000000000002</v>
      </c>
      <c r="C199" t="s">
        <v>1071</v>
      </c>
      <c r="D199">
        <v>24</v>
      </c>
      <c r="E199" t="s">
        <v>808</v>
      </c>
      <c r="F199" t="s">
        <v>78</v>
      </c>
      <c r="G199">
        <v>2.5458379999999998</v>
      </c>
      <c r="H199">
        <v>13.308655</v>
      </c>
      <c r="I199" t="s">
        <v>1477</v>
      </c>
      <c r="J199" t="s">
        <v>1483</v>
      </c>
      <c r="K199" t="s">
        <v>77</v>
      </c>
      <c r="L199">
        <v>81</v>
      </c>
      <c r="M199" t="s">
        <v>14</v>
      </c>
      <c r="N199">
        <v>154</v>
      </c>
      <c r="O199">
        <v>19.47</v>
      </c>
      <c r="P199">
        <v>3</v>
      </c>
    </row>
    <row r="200" spans="1:16" x14ac:dyDescent="0.25">
      <c r="A200" s="1">
        <v>45215</v>
      </c>
      <c r="B200" s="2">
        <v>4.9305555555555554E-2</v>
      </c>
      <c r="C200" t="s">
        <v>1071</v>
      </c>
      <c r="D200">
        <v>33</v>
      </c>
      <c r="E200" t="s">
        <v>808</v>
      </c>
      <c r="F200" t="s">
        <v>78</v>
      </c>
      <c r="G200">
        <v>2.5458379999999998</v>
      </c>
      <c r="H200">
        <v>13.308655</v>
      </c>
      <c r="I200" t="s">
        <v>1477</v>
      </c>
      <c r="J200" t="s">
        <v>1483</v>
      </c>
      <c r="K200" t="s">
        <v>77</v>
      </c>
      <c r="L200">
        <v>81</v>
      </c>
      <c r="M200" t="s">
        <v>14</v>
      </c>
      <c r="N200">
        <v>154</v>
      </c>
      <c r="O200">
        <v>19.47</v>
      </c>
      <c r="P200">
        <v>3</v>
      </c>
    </row>
    <row r="201" spans="1:16" x14ac:dyDescent="0.25">
      <c r="A201" s="1">
        <v>45223</v>
      </c>
      <c r="B201" s="2">
        <v>0.45069444444444445</v>
      </c>
      <c r="C201" t="s">
        <v>1072</v>
      </c>
      <c r="D201">
        <v>14</v>
      </c>
      <c r="E201" t="s">
        <v>812</v>
      </c>
      <c r="F201" t="s">
        <v>13</v>
      </c>
      <c r="G201">
        <v>-2.571777</v>
      </c>
      <c r="H201">
        <v>12.120642</v>
      </c>
      <c r="I201" t="s">
        <v>1482</v>
      </c>
      <c r="J201" t="s">
        <v>1481</v>
      </c>
      <c r="K201" t="s">
        <v>12</v>
      </c>
      <c r="L201">
        <v>63</v>
      </c>
      <c r="M201" t="s">
        <v>14</v>
      </c>
      <c r="N201">
        <v>205</v>
      </c>
      <c r="O201">
        <v>89.19</v>
      </c>
      <c r="P201">
        <v>0</v>
      </c>
    </row>
    <row r="202" spans="1:16" x14ac:dyDescent="0.25">
      <c r="A202" s="1">
        <v>45227</v>
      </c>
      <c r="B202" s="2">
        <v>0.19583333333333333</v>
      </c>
      <c r="C202" t="s">
        <v>1073</v>
      </c>
      <c r="D202">
        <v>113</v>
      </c>
      <c r="E202" t="s">
        <v>808</v>
      </c>
      <c r="F202" t="s">
        <v>64</v>
      </c>
      <c r="G202">
        <v>-7.5418399999999997</v>
      </c>
      <c r="H202">
        <v>16.931206</v>
      </c>
      <c r="I202" t="s">
        <v>1482</v>
      </c>
      <c r="J202" t="s">
        <v>1490</v>
      </c>
      <c r="K202" t="s">
        <v>63</v>
      </c>
      <c r="L202">
        <v>79</v>
      </c>
      <c r="M202" t="s">
        <v>11</v>
      </c>
      <c r="N202">
        <v>226</v>
      </c>
      <c r="O202">
        <v>94.38</v>
      </c>
      <c r="P202">
        <v>3</v>
      </c>
    </row>
    <row r="203" spans="1:16" x14ac:dyDescent="0.25">
      <c r="A203" s="1">
        <v>45220</v>
      </c>
      <c r="B203" s="2">
        <v>0.87708333333333333</v>
      </c>
      <c r="C203" t="s">
        <v>1073</v>
      </c>
      <c r="D203">
        <v>78</v>
      </c>
      <c r="E203" t="s">
        <v>807</v>
      </c>
      <c r="F203" t="s">
        <v>64</v>
      </c>
      <c r="G203">
        <v>-7.5418399999999997</v>
      </c>
      <c r="H203">
        <v>16.931206</v>
      </c>
      <c r="I203" t="s">
        <v>1482</v>
      </c>
      <c r="J203" t="s">
        <v>1490</v>
      </c>
      <c r="K203" t="s">
        <v>63</v>
      </c>
      <c r="L203">
        <v>79</v>
      </c>
      <c r="M203" t="s">
        <v>11</v>
      </c>
      <c r="N203">
        <v>226</v>
      </c>
      <c r="O203">
        <v>94.38</v>
      </c>
      <c r="P203">
        <v>3</v>
      </c>
    </row>
    <row r="204" spans="1:16" x14ac:dyDescent="0.25">
      <c r="A204" s="1">
        <v>45218</v>
      </c>
      <c r="B204" s="2">
        <v>0.67569444444444449</v>
      </c>
      <c r="C204" t="s">
        <v>1074</v>
      </c>
      <c r="D204">
        <v>37</v>
      </c>
      <c r="E204" t="s">
        <v>812</v>
      </c>
      <c r="F204" t="s">
        <v>21</v>
      </c>
      <c r="G204">
        <v>-2.9651529999999999</v>
      </c>
      <c r="H204">
        <v>29.79908</v>
      </c>
      <c r="I204" t="s">
        <v>1480</v>
      </c>
      <c r="J204" t="s">
        <v>1478</v>
      </c>
      <c r="K204" t="s">
        <v>20</v>
      </c>
      <c r="L204">
        <v>101</v>
      </c>
      <c r="M204" t="s">
        <v>22</v>
      </c>
      <c r="N204">
        <v>358</v>
      </c>
      <c r="O204">
        <v>29.24</v>
      </c>
      <c r="P204">
        <v>3</v>
      </c>
    </row>
    <row r="205" spans="1:16" x14ac:dyDescent="0.25">
      <c r="A205" s="1">
        <v>45221</v>
      </c>
      <c r="B205" s="2">
        <v>0.51736111111111116</v>
      </c>
      <c r="C205" t="s">
        <v>1074</v>
      </c>
      <c r="D205">
        <v>83</v>
      </c>
      <c r="E205" t="s">
        <v>812</v>
      </c>
      <c r="F205" t="s">
        <v>21</v>
      </c>
      <c r="G205">
        <v>-2.9651529999999999</v>
      </c>
      <c r="H205">
        <v>29.79908</v>
      </c>
      <c r="I205" t="s">
        <v>1480</v>
      </c>
      <c r="J205" t="s">
        <v>1478</v>
      </c>
      <c r="K205" t="s">
        <v>20</v>
      </c>
      <c r="L205">
        <v>101</v>
      </c>
      <c r="M205" t="s">
        <v>22</v>
      </c>
      <c r="N205">
        <v>358</v>
      </c>
      <c r="O205">
        <v>29.24</v>
      </c>
      <c r="P205">
        <v>3</v>
      </c>
    </row>
    <row r="206" spans="1:16" x14ac:dyDescent="0.25">
      <c r="A206" s="1">
        <v>45213</v>
      </c>
      <c r="B206" s="2">
        <v>6.6666666666666666E-2</v>
      </c>
      <c r="C206" t="s">
        <v>1075</v>
      </c>
      <c r="D206">
        <v>63</v>
      </c>
      <c r="E206" t="s">
        <v>807</v>
      </c>
      <c r="F206" t="s">
        <v>31</v>
      </c>
      <c r="G206">
        <v>-11.387295999999999</v>
      </c>
      <c r="H206">
        <v>19.384257999999999</v>
      </c>
      <c r="I206" t="s">
        <v>1482</v>
      </c>
      <c r="J206" t="s">
        <v>1481</v>
      </c>
      <c r="K206" t="s">
        <v>30</v>
      </c>
      <c r="L206">
        <v>113</v>
      </c>
      <c r="M206" t="s">
        <v>22</v>
      </c>
      <c r="N206">
        <v>380</v>
      </c>
      <c r="O206">
        <v>12.11</v>
      </c>
      <c r="P206">
        <v>0</v>
      </c>
    </row>
    <row r="207" spans="1:16" x14ac:dyDescent="0.25">
      <c r="A207" s="1">
        <v>45211</v>
      </c>
      <c r="B207" s="2">
        <v>9.8611111111111108E-2</v>
      </c>
      <c r="C207" t="s">
        <v>1075</v>
      </c>
      <c r="D207">
        <v>59</v>
      </c>
      <c r="E207" t="s">
        <v>812</v>
      </c>
      <c r="F207" t="s">
        <v>31</v>
      </c>
      <c r="G207">
        <v>-11.387295999999999</v>
      </c>
      <c r="H207">
        <v>19.384257999999999</v>
      </c>
      <c r="I207" t="s">
        <v>1482</v>
      </c>
      <c r="J207" t="s">
        <v>1481</v>
      </c>
      <c r="K207" t="s">
        <v>30</v>
      </c>
      <c r="L207">
        <v>113</v>
      </c>
      <c r="M207" t="s">
        <v>22</v>
      </c>
      <c r="N207">
        <v>380</v>
      </c>
      <c r="O207">
        <v>12.11</v>
      </c>
      <c r="P207">
        <v>0</v>
      </c>
    </row>
    <row r="208" spans="1:16" x14ac:dyDescent="0.25">
      <c r="A208" s="1">
        <v>45226</v>
      </c>
      <c r="B208" s="2">
        <v>0.10416666666666667</v>
      </c>
      <c r="C208" t="s">
        <v>1076</v>
      </c>
      <c r="D208">
        <v>110</v>
      </c>
      <c r="E208" t="s">
        <v>808</v>
      </c>
      <c r="F208" t="s">
        <v>13</v>
      </c>
      <c r="G208">
        <v>-2.3677800000000002</v>
      </c>
      <c r="H208">
        <v>18.790323999999998</v>
      </c>
      <c r="I208" t="s">
        <v>1477</v>
      </c>
      <c r="J208" t="s">
        <v>1481</v>
      </c>
      <c r="K208" t="s">
        <v>12</v>
      </c>
      <c r="L208">
        <v>63</v>
      </c>
      <c r="M208" t="s">
        <v>14</v>
      </c>
      <c r="N208">
        <v>205</v>
      </c>
      <c r="O208">
        <v>89.19</v>
      </c>
      <c r="P208">
        <v>0</v>
      </c>
    </row>
    <row r="209" spans="1:16" x14ac:dyDescent="0.25">
      <c r="A209" s="1">
        <v>45219</v>
      </c>
      <c r="B209" s="2">
        <v>0.50624999999999998</v>
      </c>
      <c r="C209" t="s">
        <v>1076</v>
      </c>
      <c r="D209">
        <v>41</v>
      </c>
      <c r="E209" t="s">
        <v>808</v>
      </c>
      <c r="F209" t="s">
        <v>13</v>
      </c>
      <c r="G209">
        <v>-2.3677800000000002</v>
      </c>
      <c r="H209">
        <v>18.790323999999998</v>
      </c>
      <c r="I209" t="s">
        <v>1477</v>
      </c>
      <c r="J209" t="s">
        <v>1481</v>
      </c>
      <c r="K209" t="s">
        <v>12</v>
      </c>
      <c r="L209">
        <v>63</v>
      </c>
      <c r="M209" t="s">
        <v>14</v>
      </c>
      <c r="N209">
        <v>205</v>
      </c>
      <c r="O209">
        <v>89.19</v>
      </c>
      <c r="P209">
        <v>0</v>
      </c>
    </row>
    <row r="210" spans="1:16" x14ac:dyDescent="0.25">
      <c r="A210" s="1">
        <v>45205</v>
      </c>
      <c r="B210" s="2">
        <v>0.17847222222222223</v>
      </c>
      <c r="C210" t="s">
        <v>1077</v>
      </c>
      <c r="D210">
        <v>42</v>
      </c>
      <c r="E210" t="s">
        <v>808</v>
      </c>
      <c r="F210" t="s">
        <v>31</v>
      </c>
      <c r="G210">
        <v>3.611561</v>
      </c>
      <c r="H210">
        <v>17.725974999999998</v>
      </c>
      <c r="I210" t="s">
        <v>1482</v>
      </c>
      <c r="J210" t="s">
        <v>1483</v>
      </c>
      <c r="K210" t="s">
        <v>30</v>
      </c>
      <c r="L210">
        <v>113</v>
      </c>
      <c r="M210" t="s">
        <v>22</v>
      </c>
      <c r="N210">
        <v>380</v>
      </c>
      <c r="O210">
        <v>12.11</v>
      </c>
      <c r="P210">
        <v>0</v>
      </c>
    </row>
    <row r="211" spans="1:16" x14ac:dyDescent="0.25">
      <c r="A211" s="1">
        <v>45220</v>
      </c>
      <c r="B211" s="2">
        <v>0.22291666666666668</v>
      </c>
      <c r="C211" t="s">
        <v>1079</v>
      </c>
      <c r="D211">
        <v>65</v>
      </c>
      <c r="E211" t="s">
        <v>812</v>
      </c>
      <c r="F211" t="s">
        <v>18</v>
      </c>
      <c r="G211">
        <v>-1.3938550000000001</v>
      </c>
      <c r="H211">
        <v>15.097554000000001</v>
      </c>
      <c r="I211" t="s">
        <v>1480</v>
      </c>
      <c r="J211" t="s">
        <v>1481</v>
      </c>
      <c r="K211" t="s">
        <v>17</v>
      </c>
      <c r="L211">
        <v>44</v>
      </c>
      <c r="M211" t="s">
        <v>19</v>
      </c>
      <c r="N211">
        <v>348</v>
      </c>
      <c r="O211">
        <v>58.67</v>
      </c>
      <c r="P211">
        <v>0</v>
      </c>
    </row>
    <row r="212" spans="1:16" x14ac:dyDescent="0.25">
      <c r="A212" s="1">
        <v>45222</v>
      </c>
      <c r="B212" s="2">
        <v>0.77777777777777779</v>
      </c>
      <c r="C212" t="s">
        <v>1079</v>
      </c>
      <c r="D212">
        <v>102</v>
      </c>
      <c r="E212" t="s">
        <v>812</v>
      </c>
      <c r="F212" t="s">
        <v>18</v>
      </c>
      <c r="G212">
        <v>-1.3938550000000001</v>
      </c>
      <c r="H212">
        <v>15.097554000000001</v>
      </c>
      <c r="I212" t="s">
        <v>1480</v>
      </c>
      <c r="J212" t="s">
        <v>1481</v>
      </c>
      <c r="K212" t="s">
        <v>17</v>
      </c>
      <c r="L212">
        <v>44</v>
      </c>
      <c r="M212" t="s">
        <v>19</v>
      </c>
      <c r="N212">
        <v>348</v>
      </c>
      <c r="O212">
        <v>58.67</v>
      </c>
      <c r="P212">
        <v>0</v>
      </c>
    </row>
    <row r="213" spans="1:16" x14ac:dyDescent="0.25">
      <c r="A213" s="1">
        <v>45209</v>
      </c>
      <c r="B213" s="2">
        <v>0.77708333333333335</v>
      </c>
      <c r="C213" t="s">
        <v>1080</v>
      </c>
      <c r="D213">
        <v>40</v>
      </c>
      <c r="E213" t="s">
        <v>812</v>
      </c>
      <c r="F213" t="s">
        <v>137</v>
      </c>
      <c r="G213">
        <v>-9.5243310000000001</v>
      </c>
      <c r="H213">
        <v>30.541212000000002</v>
      </c>
      <c r="I213" t="s">
        <v>1482</v>
      </c>
      <c r="J213" t="s">
        <v>1478</v>
      </c>
      <c r="K213" t="s">
        <v>136</v>
      </c>
      <c r="L213">
        <v>80</v>
      </c>
      <c r="M213" t="s">
        <v>22</v>
      </c>
      <c r="N213">
        <v>155</v>
      </c>
      <c r="O213">
        <v>28.96</v>
      </c>
      <c r="P213">
        <v>2</v>
      </c>
    </row>
    <row r="214" spans="1:16" x14ac:dyDescent="0.25">
      <c r="A214" s="1">
        <v>45216</v>
      </c>
      <c r="B214" s="2">
        <v>0.72986111111111107</v>
      </c>
      <c r="C214" t="s">
        <v>1080</v>
      </c>
      <c r="D214">
        <v>78</v>
      </c>
      <c r="E214" t="s">
        <v>808</v>
      </c>
      <c r="F214" t="s">
        <v>137</v>
      </c>
      <c r="G214">
        <v>-9.5243310000000001</v>
      </c>
      <c r="H214">
        <v>30.541212000000002</v>
      </c>
      <c r="I214" t="s">
        <v>1482</v>
      </c>
      <c r="J214" t="s">
        <v>1478</v>
      </c>
      <c r="K214" t="s">
        <v>136</v>
      </c>
      <c r="L214">
        <v>80</v>
      </c>
      <c r="M214" t="s">
        <v>22</v>
      </c>
      <c r="N214">
        <v>155</v>
      </c>
      <c r="O214">
        <v>28.96</v>
      </c>
      <c r="P214">
        <v>2</v>
      </c>
    </row>
    <row r="215" spans="1:16" x14ac:dyDescent="0.25">
      <c r="A215" s="1">
        <v>45230</v>
      </c>
      <c r="B215" s="2">
        <v>0.11944444444444445</v>
      </c>
      <c r="C215" t="s">
        <v>1080</v>
      </c>
      <c r="D215">
        <v>8</v>
      </c>
      <c r="E215" t="s">
        <v>808</v>
      </c>
      <c r="F215" t="s">
        <v>137</v>
      </c>
      <c r="G215">
        <v>-9.5243310000000001</v>
      </c>
      <c r="H215">
        <v>30.541212000000002</v>
      </c>
      <c r="I215" t="s">
        <v>1482</v>
      </c>
      <c r="J215" t="s">
        <v>1478</v>
      </c>
      <c r="K215" t="s">
        <v>136</v>
      </c>
      <c r="L215">
        <v>80</v>
      </c>
      <c r="M215" t="s">
        <v>22</v>
      </c>
      <c r="N215">
        <v>155</v>
      </c>
      <c r="O215">
        <v>28.96</v>
      </c>
      <c r="P215">
        <v>2</v>
      </c>
    </row>
    <row r="216" spans="1:16" x14ac:dyDescent="0.25">
      <c r="A216" s="1">
        <v>45200</v>
      </c>
      <c r="B216" s="2">
        <v>0.51111111111111107</v>
      </c>
      <c r="C216" t="s">
        <v>1085</v>
      </c>
      <c r="D216">
        <v>22</v>
      </c>
      <c r="E216" t="s">
        <v>812</v>
      </c>
      <c r="F216" t="s">
        <v>51</v>
      </c>
      <c r="G216">
        <v>-10.939712999999999</v>
      </c>
      <c r="H216">
        <v>18.276230999999999</v>
      </c>
      <c r="I216" t="s">
        <v>1480</v>
      </c>
      <c r="J216" t="s">
        <v>1483</v>
      </c>
      <c r="K216" t="s">
        <v>50</v>
      </c>
      <c r="L216">
        <v>119</v>
      </c>
      <c r="M216" t="s">
        <v>22</v>
      </c>
      <c r="N216">
        <v>228</v>
      </c>
      <c r="O216">
        <v>94.72</v>
      </c>
      <c r="P216">
        <v>3</v>
      </c>
    </row>
    <row r="217" spans="1:16" x14ac:dyDescent="0.25">
      <c r="A217" s="1">
        <v>45213</v>
      </c>
      <c r="B217" s="2">
        <v>0.1451388888888889</v>
      </c>
      <c r="C217" t="s">
        <v>1085</v>
      </c>
      <c r="D217">
        <v>105</v>
      </c>
      <c r="E217" t="s">
        <v>808</v>
      </c>
      <c r="F217" t="s">
        <v>51</v>
      </c>
      <c r="G217">
        <v>-10.939712999999999</v>
      </c>
      <c r="H217">
        <v>18.276230999999999</v>
      </c>
      <c r="I217" t="s">
        <v>1480</v>
      </c>
      <c r="J217" t="s">
        <v>1483</v>
      </c>
      <c r="K217" t="s">
        <v>50</v>
      </c>
      <c r="L217">
        <v>119</v>
      </c>
      <c r="M217" t="s">
        <v>22</v>
      </c>
      <c r="N217">
        <v>228</v>
      </c>
      <c r="O217">
        <v>94.72</v>
      </c>
      <c r="P217">
        <v>3</v>
      </c>
    </row>
    <row r="218" spans="1:16" x14ac:dyDescent="0.25">
      <c r="A218" s="1">
        <v>45206</v>
      </c>
      <c r="B218" s="2">
        <v>0.23333333333333334</v>
      </c>
      <c r="C218" t="s">
        <v>1086</v>
      </c>
      <c r="D218">
        <v>26</v>
      </c>
      <c r="E218" t="s">
        <v>812</v>
      </c>
      <c r="F218" t="s">
        <v>44</v>
      </c>
      <c r="G218">
        <v>-4.6311460000000002</v>
      </c>
      <c r="H218">
        <v>25.314723000000001</v>
      </c>
      <c r="I218" t="s">
        <v>1480</v>
      </c>
      <c r="J218" t="s">
        <v>1481</v>
      </c>
      <c r="K218" t="s">
        <v>43</v>
      </c>
      <c r="L218">
        <v>66</v>
      </c>
      <c r="M218" t="s">
        <v>22</v>
      </c>
      <c r="N218">
        <v>270</v>
      </c>
      <c r="O218">
        <v>75.88</v>
      </c>
      <c r="P218">
        <v>3</v>
      </c>
    </row>
    <row r="219" spans="1:16" x14ac:dyDescent="0.25">
      <c r="A219" s="1">
        <v>45205</v>
      </c>
      <c r="B219" s="2">
        <v>0.35347222222222224</v>
      </c>
      <c r="C219" t="s">
        <v>1087</v>
      </c>
      <c r="D219">
        <v>52</v>
      </c>
      <c r="E219" t="s">
        <v>808</v>
      </c>
      <c r="F219" t="s">
        <v>37</v>
      </c>
      <c r="G219">
        <v>3.1362930000000002</v>
      </c>
      <c r="H219">
        <v>16.190878000000001</v>
      </c>
      <c r="I219" t="s">
        <v>1482</v>
      </c>
      <c r="J219" t="s">
        <v>1490</v>
      </c>
      <c r="K219" t="s">
        <v>36</v>
      </c>
      <c r="L219">
        <v>115</v>
      </c>
      <c r="M219" t="s">
        <v>19</v>
      </c>
      <c r="N219">
        <v>176</v>
      </c>
      <c r="O219">
        <v>33.28</v>
      </c>
      <c r="P219">
        <v>4</v>
      </c>
    </row>
    <row r="220" spans="1:16" x14ac:dyDescent="0.25">
      <c r="A220" s="1">
        <v>45211</v>
      </c>
      <c r="B220" s="2">
        <v>0.42499999999999999</v>
      </c>
      <c r="C220" t="s">
        <v>1089</v>
      </c>
      <c r="D220">
        <v>57</v>
      </c>
      <c r="E220" t="s">
        <v>808</v>
      </c>
      <c r="F220" t="s">
        <v>73</v>
      </c>
      <c r="G220">
        <v>-4.5603610000000003</v>
      </c>
      <c r="H220">
        <v>24.113918999999999</v>
      </c>
      <c r="I220" t="s">
        <v>1477</v>
      </c>
      <c r="J220" t="s">
        <v>1483</v>
      </c>
      <c r="K220" t="s">
        <v>72</v>
      </c>
      <c r="L220">
        <v>6</v>
      </c>
      <c r="M220" t="s">
        <v>11</v>
      </c>
      <c r="N220">
        <v>207</v>
      </c>
      <c r="O220">
        <v>61.55</v>
      </c>
      <c r="P220">
        <v>0</v>
      </c>
    </row>
    <row r="221" spans="1:16" x14ac:dyDescent="0.25">
      <c r="A221" s="1">
        <v>45227</v>
      </c>
      <c r="B221" s="2">
        <v>0.57777777777777772</v>
      </c>
      <c r="C221" t="s">
        <v>1089</v>
      </c>
      <c r="D221">
        <v>50</v>
      </c>
      <c r="E221" t="s">
        <v>812</v>
      </c>
      <c r="F221" t="s">
        <v>73</v>
      </c>
      <c r="G221">
        <v>-4.5603610000000003</v>
      </c>
      <c r="H221">
        <v>24.113918999999999</v>
      </c>
      <c r="I221" t="s">
        <v>1477</v>
      </c>
      <c r="J221" t="s">
        <v>1483</v>
      </c>
      <c r="K221" t="s">
        <v>72</v>
      </c>
      <c r="L221">
        <v>6</v>
      </c>
      <c r="M221" t="s">
        <v>11</v>
      </c>
      <c r="N221">
        <v>207</v>
      </c>
      <c r="O221">
        <v>61.55</v>
      </c>
      <c r="P221">
        <v>0</v>
      </c>
    </row>
    <row r="222" spans="1:16" x14ac:dyDescent="0.25">
      <c r="A222" s="1">
        <v>45221</v>
      </c>
      <c r="B222" s="2">
        <v>0.26597222222222222</v>
      </c>
      <c r="C222" t="s">
        <v>1090</v>
      </c>
      <c r="D222">
        <v>88</v>
      </c>
      <c r="E222" t="s">
        <v>808</v>
      </c>
      <c r="F222" t="s">
        <v>64</v>
      </c>
      <c r="G222">
        <v>-1.339734</v>
      </c>
      <c r="H222">
        <v>15.243098</v>
      </c>
      <c r="I222" t="s">
        <v>1482</v>
      </c>
      <c r="J222" t="s">
        <v>1490</v>
      </c>
      <c r="K222" t="s">
        <v>63</v>
      </c>
      <c r="L222">
        <v>79</v>
      </c>
      <c r="M222" t="s">
        <v>11</v>
      </c>
      <c r="N222">
        <v>226</v>
      </c>
      <c r="O222">
        <v>94.38</v>
      </c>
      <c r="P222">
        <v>3</v>
      </c>
    </row>
    <row r="223" spans="1:16" x14ac:dyDescent="0.25">
      <c r="A223" s="1">
        <v>45205</v>
      </c>
      <c r="B223" s="2">
        <v>0.15416666666666667</v>
      </c>
      <c r="C223" t="s">
        <v>1093</v>
      </c>
      <c r="D223">
        <v>12</v>
      </c>
      <c r="E223" t="s">
        <v>807</v>
      </c>
      <c r="F223" t="s">
        <v>21</v>
      </c>
      <c r="G223">
        <v>-5.2526849999999996</v>
      </c>
      <c r="H223">
        <v>12.374528</v>
      </c>
      <c r="I223" t="s">
        <v>1482</v>
      </c>
      <c r="J223" t="s">
        <v>1490</v>
      </c>
      <c r="K223" t="s">
        <v>20</v>
      </c>
      <c r="L223">
        <v>101</v>
      </c>
      <c r="M223" t="s">
        <v>22</v>
      </c>
      <c r="N223">
        <v>358</v>
      </c>
      <c r="O223">
        <v>29.24</v>
      </c>
      <c r="P223">
        <v>3</v>
      </c>
    </row>
    <row r="224" spans="1:16" x14ac:dyDescent="0.25">
      <c r="A224" s="1">
        <v>45211</v>
      </c>
      <c r="B224" s="2">
        <v>0.10694444444444444</v>
      </c>
      <c r="C224" t="s">
        <v>1093</v>
      </c>
      <c r="D224">
        <v>87</v>
      </c>
      <c r="E224" t="s">
        <v>812</v>
      </c>
      <c r="F224" t="s">
        <v>21</v>
      </c>
      <c r="G224">
        <v>-5.2526849999999996</v>
      </c>
      <c r="H224">
        <v>12.374528</v>
      </c>
      <c r="I224" t="s">
        <v>1482</v>
      </c>
      <c r="J224" t="s">
        <v>1490</v>
      </c>
      <c r="K224" t="s">
        <v>20</v>
      </c>
      <c r="L224">
        <v>101</v>
      </c>
      <c r="M224" t="s">
        <v>22</v>
      </c>
      <c r="N224">
        <v>358</v>
      </c>
      <c r="O224">
        <v>29.24</v>
      </c>
      <c r="P224">
        <v>3</v>
      </c>
    </row>
    <row r="225" spans="1:16" x14ac:dyDescent="0.25">
      <c r="A225" s="1">
        <v>45221</v>
      </c>
      <c r="B225" s="2">
        <v>0.84652777777777777</v>
      </c>
      <c r="C225" t="s">
        <v>1093</v>
      </c>
      <c r="D225">
        <v>96</v>
      </c>
      <c r="E225" t="s">
        <v>812</v>
      </c>
      <c r="F225" t="s">
        <v>21</v>
      </c>
      <c r="G225">
        <v>-5.2526849999999996</v>
      </c>
      <c r="H225">
        <v>12.374528</v>
      </c>
      <c r="I225" t="s">
        <v>1482</v>
      </c>
      <c r="J225" t="s">
        <v>1490</v>
      </c>
      <c r="K225" t="s">
        <v>20</v>
      </c>
      <c r="L225">
        <v>101</v>
      </c>
      <c r="M225" t="s">
        <v>22</v>
      </c>
      <c r="N225">
        <v>358</v>
      </c>
      <c r="O225">
        <v>29.24</v>
      </c>
      <c r="P225">
        <v>3</v>
      </c>
    </row>
    <row r="226" spans="1:16" x14ac:dyDescent="0.25">
      <c r="A226" s="1">
        <v>45221</v>
      </c>
      <c r="B226" s="2">
        <v>4.9305555555555554E-2</v>
      </c>
      <c r="C226" t="s">
        <v>1094</v>
      </c>
      <c r="D226">
        <v>53</v>
      </c>
      <c r="E226" t="s">
        <v>808</v>
      </c>
      <c r="F226" t="s">
        <v>137</v>
      </c>
      <c r="G226">
        <v>1.286548</v>
      </c>
      <c r="H226">
        <v>29.823702999999998</v>
      </c>
      <c r="I226" t="s">
        <v>1480</v>
      </c>
      <c r="J226" t="s">
        <v>1483</v>
      </c>
      <c r="K226" t="s">
        <v>136</v>
      </c>
      <c r="L226">
        <v>80</v>
      </c>
      <c r="M226" t="s">
        <v>22</v>
      </c>
      <c r="N226">
        <v>155</v>
      </c>
      <c r="O226">
        <v>28.96</v>
      </c>
      <c r="P226">
        <v>2</v>
      </c>
    </row>
    <row r="227" spans="1:16" x14ac:dyDescent="0.25">
      <c r="A227" s="1">
        <v>45211</v>
      </c>
      <c r="B227" s="2">
        <v>0.31666666666666665</v>
      </c>
      <c r="C227" t="s">
        <v>1094</v>
      </c>
      <c r="D227">
        <v>93</v>
      </c>
      <c r="E227" t="s">
        <v>812</v>
      </c>
      <c r="F227" t="s">
        <v>137</v>
      </c>
      <c r="G227">
        <v>1.286548</v>
      </c>
      <c r="H227">
        <v>29.823702999999998</v>
      </c>
      <c r="I227" t="s">
        <v>1480</v>
      </c>
      <c r="J227" t="s">
        <v>1483</v>
      </c>
      <c r="K227" t="s">
        <v>136</v>
      </c>
      <c r="L227">
        <v>80</v>
      </c>
      <c r="M227" t="s">
        <v>22</v>
      </c>
      <c r="N227">
        <v>155</v>
      </c>
      <c r="O227">
        <v>28.96</v>
      </c>
      <c r="P227">
        <v>2</v>
      </c>
    </row>
    <row r="228" spans="1:16" x14ac:dyDescent="0.25">
      <c r="A228" s="1">
        <v>45204</v>
      </c>
      <c r="B228" s="2">
        <v>0.76666666666666672</v>
      </c>
      <c r="C228" t="s">
        <v>1098</v>
      </c>
      <c r="D228">
        <v>9</v>
      </c>
      <c r="E228" t="s">
        <v>812</v>
      </c>
      <c r="F228" t="s">
        <v>33</v>
      </c>
      <c r="G228">
        <v>-12.560556999999999</v>
      </c>
      <c r="H228">
        <v>13.204014000000001</v>
      </c>
      <c r="I228" t="s">
        <v>1480</v>
      </c>
      <c r="J228" t="s">
        <v>1478</v>
      </c>
      <c r="K228" t="s">
        <v>32</v>
      </c>
      <c r="L228">
        <v>72</v>
      </c>
      <c r="M228" t="s">
        <v>14</v>
      </c>
      <c r="N228">
        <v>160</v>
      </c>
      <c r="O228">
        <v>90.13</v>
      </c>
      <c r="P228">
        <v>2</v>
      </c>
    </row>
    <row r="229" spans="1:16" x14ac:dyDescent="0.25">
      <c r="A229" s="1">
        <v>45209</v>
      </c>
      <c r="B229" s="2">
        <v>0.32708333333333334</v>
      </c>
      <c r="C229" t="s">
        <v>1099</v>
      </c>
      <c r="D229">
        <v>107</v>
      </c>
      <c r="E229" t="s">
        <v>808</v>
      </c>
      <c r="F229" t="s">
        <v>60</v>
      </c>
      <c r="G229">
        <v>-5.0402180000000003</v>
      </c>
      <c r="H229">
        <v>13.892471</v>
      </c>
      <c r="I229" t="s">
        <v>1482</v>
      </c>
      <c r="J229" t="s">
        <v>1483</v>
      </c>
      <c r="K229" t="s">
        <v>59</v>
      </c>
      <c r="L229">
        <v>14</v>
      </c>
      <c r="M229" t="s">
        <v>14</v>
      </c>
      <c r="N229">
        <v>316</v>
      </c>
      <c r="O229">
        <v>62.34</v>
      </c>
      <c r="P229">
        <v>4</v>
      </c>
    </row>
    <row r="230" spans="1:16" x14ac:dyDescent="0.25">
      <c r="A230" s="1">
        <v>45216</v>
      </c>
      <c r="B230" s="2">
        <v>0.14166666666666666</v>
      </c>
      <c r="C230" t="s">
        <v>1102</v>
      </c>
      <c r="D230">
        <v>94</v>
      </c>
      <c r="E230" t="s">
        <v>807</v>
      </c>
      <c r="F230" t="s">
        <v>131</v>
      </c>
      <c r="G230">
        <v>1.8103860000000001</v>
      </c>
      <c r="H230">
        <v>15.175582</v>
      </c>
      <c r="I230" t="s">
        <v>1482</v>
      </c>
      <c r="J230" t="s">
        <v>1481</v>
      </c>
      <c r="K230" t="s">
        <v>130</v>
      </c>
      <c r="L230">
        <v>16</v>
      </c>
      <c r="M230" t="s">
        <v>19</v>
      </c>
      <c r="N230">
        <v>390</v>
      </c>
      <c r="O230">
        <v>98.17</v>
      </c>
      <c r="P230">
        <v>5</v>
      </c>
    </row>
    <row r="231" spans="1:16" x14ac:dyDescent="0.25">
      <c r="A231" s="1">
        <v>45203</v>
      </c>
      <c r="B231" s="2">
        <v>0.99791666666666667</v>
      </c>
      <c r="C231" t="s">
        <v>1104</v>
      </c>
      <c r="D231">
        <v>101</v>
      </c>
      <c r="E231" t="s">
        <v>812</v>
      </c>
      <c r="F231" t="s">
        <v>131</v>
      </c>
      <c r="G231">
        <v>-6.3148239999999998</v>
      </c>
      <c r="H231">
        <v>24.507498999999999</v>
      </c>
      <c r="I231" t="s">
        <v>1482</v>
      </c>
      <c r="J231" t="s">
        <v>1483</v>
      </c>
      <c r="K231" t="s">
        <v>130</v>
      </c>
      <c r="L231">
        <v>16</v>
      </c>
      <c r="M231" t="s">
        <v>19</v>
      </c>
      <c r="N231">
        <v>390</v>
      </c>
      <c r="O231">
        <v>98.17</v>
      </c>
      <c r="P231">
        <v>5</v>
      </c>
    </row>
    <row r="232" spans="1:16" x14ac:dyDescent="0.25">
      <c r="A232" s="1">
        <v>45220</v>
      </c>
      <c r="B232" s="2">
        <v>0.81180555555555556</v>
      </c>
      <c r="C232" t="s">
        <v>1105</v>
      </c>
      <c r="D232">
        <v>100</v>
      </c>
      <c r="E232" t="s">
        <v>812</v>
      </c>
      <c r="F232" t="s">
        <v>51</v>
      </c>
      <c r="G232">
        <v>-0.98830399999999996</v>
      </c>
      <c r="H232">
        <v>28.099966999999999</v>
      </c>
      <c r="I232" t="s">
        <v>1482</v>
      </c>
      <c r="J232" t="s">
        <v>1481</v>
      </c>
      <c r="K232" t="s">
        <v>50</v>
      </c>
      <c r="L232">
        <v>119</v>
      </c>
      <c r="M232" t="s">
        <v>22</v>
      </c>
      <c r="N232">
        <v>228</v>
      </c>
      <c r="O232">
        <v>94.72</v>
      </c>
      <c r="P232">
        <v>3</v>
      </c>
    </row>
    <row r="233" spans="1:16" x14ac:dyDescent="0.25">
      <c r="A233" s="1">
        <v>45203</v>
      </c>
      <c r="B233" s="2">
        <v>3.2638888888888891E-2</v>
      </c>
      <c r="C233" t="s">
        <v>1108</v>
      </c>
      <c r="D233">
        <v>73</v>
      </c>
      <c r="E233" t="s">
        <v>807</v>
      </c>
      <c r="F233" t="s">
        <v>37</v>
      </c>
      <c r="G233">
        <v>-11.144149000000001</v>
      </c>
      <c r="H233">
        <v>27.244658999999999</v>
      </c>
      <c r="I233" t="s">
        <v>1480</v>
      </c>
      <c r="J233" t="s">
        <v>1490</v>
      </c>
      <c r="K233" t="s">
        <v>36</v>
      </c>
      <c r="L233">
        <v>115</v>
      </c>
      <c r="M233" t="s">
        <v>19</v>
      </c>
      <c r="N233">
        <v>176</v>
      </c>
      <c r="O233">
        <v>33.28</v>
      </c>
      <c r="P233">
        <v>4</v>
      </c>
    </row>
    <row r="234" spans="1:16" x14ac:dyDescent="0.25">
      <c r="A234" s="1">
        <v>45228</v>
      </c>
      <c r="B234" s="2">
        <v>0.79166666666666663</v>
      </c>
      <c r="C234" t="s">
        <v>1108</v>
      </c>
      <c r="D234">
        <v>63</v>
      </c>
      <c r="E234" t="s">
        <v>807</v>
      </c>
      <c r="F234" t="s">
        <v>37</v>
      </c>
      <c r="G234">
        <v>-11.144149000000001</v>
      </c>
      <c r="H234">
        <v>27.244658999999999</v>
      </c>
      <c r="I234" t="s">
        <v>1480</v>
      </c>
      <c r="J234" t="s">
        <v>1490</v>
      </c>
      <c r="K234" t="s">
        <v>36</v>
      </c>
      <c r="L234">
        <v>115</v>
      </c>
      <c r="M234" t="s">
        <v>19</v>
      </c>
      <c r="N234">
        <v>176</v>
      </c>
      <c r="O234">
        <v>33.28</v>
      </c>
      <c r="P234">
        <v>4</v>
      </c>
    </row>
    <row r="235" spans="1:16" x14ac:dyDescent="0.25">
      <c r="A235" s="1">
        <v>45222</v>
      </c>
      <c r="B235" s="2">
        <v>0.94374999999999998</v>
      </c>
      <c r="C235" t="s">
        <v>1109</v>
      </c>
      <c r="D235">
        <v>114</v>
      </c>
      <c r="E235" t="s">
        <v>807</v>
      </c>
      <c r="F235" t="s">
        <v>18</v>
      </c>
      <c r="G235">
        <v>-9.6407190000000007</v>
      </c>
      <c r="H235">
        <v>21.336704999999998</v>
      </c>
      <c r="I235" t="s">
        <v>1480</v>
      </c>
      <c r="J235" t="s">
        <v>1483</v>
      </c>
      <c r="K235" t="s">
        <v>17</v>
      </c>
      <c r="L235">
        <v>44</v>
      </c>
      <c r="M235" t="s">
        <v>19</v>
      </c>
      <c r="N235">
        <v>348</v>
      </c>
      <c r="O235">
        <v>58.67</v>
      </c>
      <c r="P235">
        <v>0</v>
      </c>
    </row>
    <row r="236" spans="1:16" x14ac:dyDescent="0.25">
      <c r="A236" s="1">
        <v>45211</v>
      </c>
      <c r="B236" s="2">
        <v>0.21944444444444444</v>
      </c>
      <c r="C236" t="s">
        <v>1112</v>
      </c>
      <c r="D236">
        <v>5</v>
      </c>
      <c r="E236" t="s">
        <v>807</v>
      </c>
      <c r="F236" t="s">
        <v>131</v>
      </c>
      <c r="G236">
        <v>-8.9586360000000003</v>
      </c>
      <c r="H236">
        <v>17.157720000000001</v>
      </c>
      <c r="I236" t="s">
        <v>1482</v>
      </c>
      <c r="J236" t="s">
        <v>1490</v>
      </c>
      <c r="K236" t="s">
        <v>130</v>
      </c>
      <c r="L236">
        <v>16</v>
      </c>
      <c r="M236" t="s">
        <v>19</v>
      </c>
      <c r="N236">
        <v>390</v>
      </c>
      <c r="O236">
        <v>98.17</v>
      </c>
      <c r="P236">
        <v>5</v>
      </c>
    </row>
    <row r="237" spans="1:16" x14ac:dyDescent="0.25">
      <c r="A237" s="1">
        <v>45218</v>
      </c>
      <c r="B237" s="2">
        <v>0.12708333333333333</v>
      </c>
      <c r="C237" t="s">
        <v>1114</v>
      </c>
      <c r="D237">
        <v>58</v>
      </c>
      <c r="E237" t="s">
        <v>808</v>
      </c>
      <c r="F237" t="s">
        <v>21</v>
      </c>
      <c r="G237">
        <v>1.2419519999999999</v>
      </c>
      <c r="H237">
        <v>25.261382999999999</v>
      </c>
      <c r="I237" t="s">
        <v>1480</v>
      </c>
      <c r="J237" t="s">
        <v>1481</v>
      </c>
      <c r="K237" t="s">
        <v>20</v>
      </c>
      <c r="L237">
        <v>101</v>
      </c>
      <c r="M237" t="s">
        <v>22</v>
      </c>
      <c r="N237">
        <v>358</v>
      </c>
      <c r="O237">
        <v>29.24</v>
      </c>
      <c r="P237">
        <v>3</v>
      </c>
    </row>
    <row r="238" spans="1:16" x14ac:dyDescent="0.25">
      <c r="A238" s="1">
        <v>45200</v>
      </c>
      <c r="B238" s="2">
        <v>0.83263888888888893</v>
      </c>
      <c r="C238" t="s">
        <v>1114</v>
      </c>
      <c r="D238">
        <v>27</v>
      </c>
      <c r="E238" t="s">
        <v>807</v>
      </c>
      <c r="F238" t="s">
        <v>21</v>
      </c>
      <c r="G238">
        <v>1.2419519999999999</v>
      </c>
      <c r="H238">
        <v>25.261382999999999</v>
      </c>
      <c r="I238" t="s">
        <v>1480</v>
      </c>
      <c r="J238" t="s">
        <v>1481</v>
      </c>
      <c r="K238" t="s">
        <v>20</v>
      </c>
      <c r="L238">
        <v>101</v>
      </c>
      <c r="M238" t="s">
        <v>22</v>
      </c>
      <c r="N238">
        <v>358</v>
      </c>
      <c r="O238">
        <v>29.24</v>
      </c>
      <c r="P238">
        <v>3</v>
      </c>
    </row>
    <row r="239" spans="1:16" x14ac:dyDescent="0.25">
      <c r="A239" s="1">
        <v>45219</v>
      </c>
      <c r="B239" s="2">
        <v>0.68333333333333335</v>
      </c>
      <c r="C239" t="s">
        <v>1120</v>
      </c>
      <c r="D239">
        <v>99</v>
      </c>
      <c r="E239" t="s">
        <v>808</v>
      </c>
      <c r="F239" t="s">
        <v>62</v>
      </c>
      <c r="G239">
        <v>-9.5840350000000001</v>
      </c>
      <c r="H239">
        <v>15.966024000000001</v>
      </c>
      <c r="I239" t="s">
        <v>1477</v>
      </c>
      <c r="J239" t="s">
        <v>1490</v>
      </c>
      <c r="K239" t="s">
        <v>61</v>
      </c>
      <c r="L239">
        <v>101</v>
      </c>
      <c r="M239" t="s">
        <v>14</v>
      </c>
      <c r="N239">
        <v>333</v>
      </c>
      <c r="O239">
        <v>74.319999999999993</v>
      </c>
      <c r="P239">
        <v>1</v>
      </c>
    </row>
    <row r="240" spans="1:16" x14ac:dyDescent="0.25">
      <c r="A240" s="1">
        <v>45210</v>
      </c>
      <c r="B240" s="2">
        <v>0.87986111111111109</v>
      </c>
      <c r="C240" t="s">
        <v>1121</v>
      </c>
      <c r="D240">
        <v>53</v>
      </c>
      <c r="E240" t="s">
        <v>807</v>
      </c>
      <c r="F240" t="s">
        <v>67</v>
      </c>
      <c r="G240">
        <v>-7.8770429999999996</v>
      </c>
      <c r="H240">
        <v>16.357762999999998</v>
      </c>
      <c r="I240" t="s">
        <v>1480</v>
      </c>
      <c r="J240" t="s">
        <v>1478</v>
      </c>
      <c r="K240" t="s">
        <v>66</v>
      </c>
      <c r="L240">
        <v>101</v>
      </c>
      <c r="M240" t="s">
        <v>14</v>
      </c>
      <c r="N240">
        <v>176</v>
      </c>
      <c r="O240">
        <v>86</v>
      </c>
      <c r="P240">
        <v>3</v>
      </c>
    </row>
    <row r="241" spans="1:16" x14ac:dyDescent="0.25">
      <c r="A241" s="1">
        <v>45204</v>
      </c>
      <c r="B241" s="2">
        <v>0.57222222222222219</v>
      </c>
      <c r="C241" t="s">
        <v>1125</v>
      </c>
      <c r="D241">
        <v>88</v>
      </c>
      <c r="E241" t="s">
        <v>812</v>
      </c>
      <c r="F241" t="s">
        <v>33</v>
      </c>
      <c r="G241">
        <v>-3.111418</v>
      </c>
      <c r="H241">
        <v>14.144854</v>
      </c>
      <c r="I241" t="s">
        <v>1480</v>
      </c>
      <c r="J241" t="s">
        <v>1483</v>
      </c>
      <c r="K241" t="s">
        <v>32</v>
      </c>
      <c r="L241">
        <v>72</v>
      </c>
      <c r="M241" t="s">
        <v>14</v>
      </c>
      <c r="N241">
        <v>160</v>
      </c>
      <c r="O241">
        <v>90.13</v>
      </c>
      <c r="P241">
        <v>2</v>
      </c>
    </row>
    <row r="242" spans="1:16" x14ac:dyDescent="0.25">
      <c r="A242" s="1">
        <v>45206</v>
      </c>
      <c r="B242" s="2">
        <v>2.7083333333333334E-2</v>
      </c>
      <c r="C242" t="s">
        <v>1125</v>
      </c>
      <c r="D242">
        <v>36</v>
      </c>
      <c r="E242" t="s">
        <v>812</v>
      </c>
      <c r="F242" t="s">
        <v>33</v>
      </c>
      <c r="G242">
        <v>-3.111418</v>
      </c>
      <c r="H242">
        <v>14.144854</v>
      </c>
      <c r="I242" t="s">
        <v>1480</v>
      </c>
      <c r="J242" t="s">
        <v>1483</v>
      </c>
      <c r="K242" t="s">
        <v>32</v>
      </c>
      <c r="L242">
        <v>72</v>
      </c>
      <c r="M242" t="s">
        <v>14</v>
      </c>
      <c r="N242">
        <v>160</v>
      </c>
      <c r="O242">
        <v>90.13</v>
      </c>
      <c r="P242">
        <v>2</v>
      </c>
    </row>
    <row r="243" spans="1:16" x14ac:dyDescent="0.25">
      <c r="A243" s="1">
        <v>45202</v>
      </c>
      <c r="B243" s="2">
        <v>0.74791666666666667</v>
      </c>
      <c r="C243" t="s">
        <v>1125</v>
      </c>
      <c r="D243">
        <v>28</v>
      </c>
      <c r="E243" t="s">
        <v>808</v>
      </c>
      <c r="F243" t="s">
        <v>33</v>
      </c>
      <c r="G243">
        <v>-3.111418</v>
      </c>
      <c r="H243">
        <v>14.144854</v>
      </c>
      <c r="I243" t="s">
        <v>1480</v>
      </c>
      <c r="J243" t="s">
        <v>1483</v>
      </c>
      <c r="K243" t="s">
        <v>32</v>
      </c>
      <c r="L243">
        <v>72</v>
      </c>
      <c r="M243" t="s">
        <v>14</v>
      </c>
      <c r="N243">
        <v>160</v>
      </c>
      <c r="O243">
        <v>90.13</v>
      </c>
      <c r="P243">
        <v>2</v>
      </c>
    </row>
    <row r="244" spans="1:16" x14ac:dyDescent="0.25">
      <c r="A244" s="1">
        <v>45206</v>
      </c>
      <c r="B244" s="2">
        <v>0.56388888888888888</v>
      </c>
      <c r="C244" t="s">
        <v>1126</v>
      </c>
      <c r="D244">
        <v>37</v>
      </c>
      <c r="E244" t="s">
        <v>807</v>
      </c>
      <c r="F244" t="s">
        <v>127</v>
      </c>
      <c r="G244">
        <v>0.20866199999999999</v>
      </c>
      <c r="H244">
        <v>18.556439000000001</v>
      </c>
      <c r="I244" t="s">
        <v>1480</v>
      </c>
      <c r="J244" t="s">
        <v>1490</v>
      </c>
      <c r="K244" t="s">
        <v>126</v>
      </c>
      <c r="L244">
        <v>40</v>
      </c>
      <c r="M244" t="s">
        <v>11</v>
      </c>
      <c r="N244">
        <v>345</v>
      </c>
      <c r="O244">
        <v>89.55</v>
      </c>
      <c r="P244">
        <v>3</v>
      </c>
    </row>
    <row r="245" spans="1:16" x14ac:dyDescent="0.25">
      <c r="A245" s="1">
        <v>45215</v>
      </c>
      <c r="B245" s="2">
        <v>0.70486111111111116</v>
      </c>
      <c r="C245" t="s">
        <v>1129</v>
      </c>
      <c r="D245">
        <v>107</v>
      </c>
      <c r="E245" t="s">
        <v>807</v>
      </c>
      <c r="F245" t="s">
        <v>62</v>
      </c>
      <c r="G245">
        <v>-12.564277000000001</v>
      </c>
      <c r="H245">
        <v>28.480798</v>
      </c>
      <c r="I245" t="s">
        <v>1477</v>
      </c>
      <c r="J245" t="s">
        <v>1483</v>
      </c>
      <c r="K245" t="s">
        <v>61</v>
      </c>
      <c r="L245">
        <v>101</v>
      </c>
      <c r="M245" t="s">
        <v>14</v>
      </c>
      <c r="N245">
        <v>333</v>
      </c>
      <c r="O245">
        <v>74.319999999999993</v>
      </c>
      <c r="P245">
        <v>1</v>
      </c>
    </row>
    <row r="246" spans="1:16" x14ac:dyDescent="0.25">
      <c r="A246" s="1">
        <v>45230</v>
      </c>
      <c r="B246" s="2">
        <v>0.48402777777777778</v>
      </c>
      <c r="C246" t="s">
        <v>1129</v>
      </c>
      <c r="D246">
        <v>37</v>
      </c>
      <c r="E246" t="s">
        <v>808</v>
      </c>
      <c r="F246" t="s">
        <v>62</v>
      </c>
      <c r="G246">
        <v>-12.564277000000001</v>
      </c>
      <c r="H246">
        <v>28.480798</v>
      </c>
      <c r="I246" t="s">
        <v>1477</v>
      </c>
      <c r="J246" t="s">
        <v>1483</v>
      </c>
      <c r="K246" t="s">
        <v>61</v>
      </c>
      <c r="L246">
        <v>101</v>
      </c>
      <c r="M246" t="s">
        <v>14</v>
      </c>
      <c r="N246">
        <v>333</v>
      </c>
      <c r="O246">
        <v>74.319999999999993</v>
      </c>
      <c r="P246">
        <v>1</v>
      </c>
    </row>
    <row r="247" spans="1:16" x14ac:dyDescent="0.25">
      <c r="A247" s="1">
        <v>45216</v>
      </c>
      <c r="B247" s="2">
        <v>0.13750000000000001</v>
      </c>
      <c r="C247" t="s">
        <v>1131</v>
      </c>
      <c r="D247">
        <v>120</v>
      </c>
      <c r="E247" t="s">
        <v>808</v>
      </c>
      <c r="F247" t="s">
        <v>16</v>
      </c>
      <c r="G247">
        <v>-7.2267089999999996</v>
      </c>
      <c r="H247">
        <v>28.421362999999999</v>
      </c>
      <c r="I247" t="s">
        <v>1477</v>
      </c>
      <c r="J247" t="s">
        <v>1478</v>
      </c>
      <c r="K247" t="s">
        <v>15</v>
      </c>
      <c r="L247">
        <v>34</v>
      </c>
      <c r="M247" t="s">
        <v>14</v>
      </c>
      <c r="N247">
        <v>453</v>
      </c>
      <c r="O247">
        <v>56.84</v>
      </c>
      <c r="P247">
        <v>0</v>
      </c>
    </row>
    <row r="248" spans="1:16" x14ac:dyDescent="0.25">
      <c r="A248" s="1">
        <v>45228</v>
      </c>
      <c r="B248" s="2">
        <v>0.57708333333333328</v>
      </c>
      <c r="C248" t="s">
        <v>1133</v>
      </c>
      <c r="D248">
        <v>80</v>
      </c>
      <c r="E248" t="s">
        <v>812</v>
      </c>
      <c r="F248" t="s">
        <v>127</v>
      </c>
      <c r="G248">
        <v>-1.8045979999999999</v>
      </c>
      <c r="H248">
        <v>12.511096999999999</v>
      </c>
      <c r="I248" t="s">
        <v>1482</v>
      </c>
      <c r="J248" t="s">
        <v>1481</v>
      </c>
      <c r="K248" t="s">
        <v>126</v>
      </c>
      <c r="L248">
        <v>40</v>
      </c>
      <c r="M248" t="s">
        <v>11</v>
      </c>
      <c r="N248">
        <v>345</v>
      </c>
      <c r="O248">
        <v>89.55</v>
      </c>
      <c r="P248">
        <v>3</v>
      </c>
    </row>
    <row r="249" spans="1:16" x14ac:dyDescent="0.25">
      <c r="A249" s="1">
        <v>45217</v>
      </c>
      <c r="B249" s="2">
        <v>0.62708333333333333</v>
      </c>
      <c r="C249" t="s">
        <v>1133</v>
      </c>
      <c r="D249">
        <v>33</v>
      </c>
      <c r="E249" t="s">
        <v>807</v>
      </c>
      <c r="F249" t="s">
        <v>127</v>
      </c>
      <c r="G249">
        <v>-1.8045979999999999</v>
      </c>
      <c r="H249">
        <v>12.511096999999999</v>
      </c>
      <c r="I249" t="s">
        <v>1482</v>
      </c>
      <c r="J249" t="s">
        <v>1481</v>
      </c>
      <c r="K249" t="s">
        <v>126</v>
      </c>
      <c r="L249">
        <v>40</v>
      </c>
      <c r="M249" t="s">
        <v>11</v>
      </c>
      <c r="N249">
        <v>345</v>
      </c>
      <c r="O249">
        <v>89.55</v>
      </c>
      <c r="P249">
        <v>3</v>
      </c>
    </row>
    <row r="250" spans="1:16" x14ac:dyDescent="0.25">
      <c r="A250" s="1">
        <v>45212</v>
      </c>
      <c r="B250" s="2">
        <v>0.59930555555555554</v>
      </c>
      <c r="C250" t="s">
        <v>1133</v>
      </c>
      <c r="D250">
        <v>58</v>
      </c>
      <c r="E250" t="s">
        <v>808</v>
      </c>
      <c r="F250" t="s">
        <v>127</v>
      </c>
      <c r="G250">
        <v>-1.8045979999999999</v>
      </c>
      <c r="H250">
        <v>12.511096999999999</v>
      </c>
      <c r="I250" t="s">
        <v>1482</v>
      </c>
      <c r="J250" t="s">
        <v>1481</v>
      </c>
      <c r="K250" t="s">
        <v>126</v>
      </c>
      <c r="L250">
        <v>40</v>
      </c>
      <c r="M250" t="s">
        <v>11</v>
      </c>
      <c r="N250">
        <v>345</v>
      </c>
      <c r="O250">
        <v>89.55</v>
      </c>
      <c r="P250">
        <v>3</v>
      </c>
    </row>
    <row r="251" spans="1:16" x14ac:dyDescent="0.25">
      <c r="A251" s="1">
        <v>45218</v>
      </c>
      <c r="B251" s="2">
        <v>0.27013888888888887</v>
      </c>
      <c r="C251" t="s">
        <v>1133</v>
      </c>
      <c r="D251">
        <v>40</v>
      </c>
      <c r="E251" t="s">
        <v>808</v>
      </c>
      <c r="F251" t="s">
        <v>127</v>
      </c>
      <c r="G251">
        <v>-1.8045979999999999</v>
      </c>
      <c r="H251">
        <v>12.511096999999999</v>
      </c>
      <c r="I251" t="s">
        <v>1482</v>
      </c>
      <c r="J251" t="s">
        <v>1481</v>
      </c>
      <c r="K251" t="s">
        <v>126</v>
      </c>
      <c r="L251">
        <v>40</v>
      </c>
      <c r="M251" t="s">
        <v>11</v>
      </c>
      <c r="N251">
        <v>345</v>
      </c>
      <c r="O251">
        <v>89.55</v>
      </c>
      <c r="P251">
        <v>3</v>
      </c>
    </row>
    <row r="252" spans="1:16" x14ac:dyDescent="0.25">
      <c r="A252" s="1">
        <v>45214</v>
      </c>
      <c r="B252" s="2">
        <v>0.16805555555555557</v>
      </c>
      <c r="C252" t="s">
        <v>1135</v>
      </c>
      <c r="D252">
        <v>106</v>
      </c>
      <c r="E252" t="s">
        <v>807</v>
      </c>
      <c r="F252" t="s">
        <v>21</v>
      </c>
      <c r="G252">
        <v>-11.207139</v>
      </c>
      <c r="H252">
        <v>18.702511999999999</v>
      </c>
      <c r="I252" t="s">
        <v>1477</v>
      </c>
      <c r="J252" t="s">
        <v>1478</v>
      </c>
      <c r="K252" t="s">
        <v>20</v>
      </c>
      <c r="L252">
        <v>101</v>
      </c>
      <c r="M252" t="s">
        <v>22</v>
      </c>
      <c r="N252">
        <v>358</v>
      </c>
      <c r="O252">
        <v>29.24</v>
      </c>
      <c r="P252">
        <v>3</v>
      </c>
    </row>
    <row r="253" spans="1:16" x14ac:dyDescent="0.25">
      <c r="A253" s="1">
        <v>45201</v>
      </c>
      <c r="B253" s="2">
        <v>0.52777777777777779</v>
      </c>
      <c r="C253" t="s">
        <v>1136</v>
      </c>
      <c r="D253">
        <v>20</v>
      </c>
      <c r="E253" t="s">
        <v>808</v>
      </c>
      <c r="F253" t="s">
        <v>26</v>
      </c>
      <c r="G253">
        <v>0.45116099999999998</v>
      </c>
      <c r="H253">
        <v>17.265761000000001</v>
      </c>
      <c r="I253" t="s">
        <v>1480</v>
      </c>
      <c r="J253" t="s">
        <v>1481</v>
      </c>
      <c r="K253" t="s">
        <v>25</v>
      </c>
      <c r="L253">
        <v>99</v>
      </c>
      <c r="M253" t="s">
        <v>11</v>
      </c>
      <c r="N253">
        <v>447</v>
      </c>
      <c r="O253">
        <v>38.1</v>
      </c>
      <c r="P253">
        <v>3</v>
      </c>
    </row>
    <row r="254" spans="1:16" x14ac:dyDescent="0.25">
      <c r="A254" s="1">
        <v>45214</v>
      </c>
      <c r="B254" s="2">
        <v>0.94305555555555554</v>
      </c>
      <c r="C254" t="s">
        <v>1139</v>
      </c>
      <c r="D254">
        <v>16</v>
      </c>
      <c r="E254" t="s">
        <v>807</v>
      </c>
      <c r="F254" t="s">
        <v>18</v>
      </c>
      <c r="G254">
        <v>1.210869</v>
      </c>
      <c r="H254">
        <v>25.598741</v>
      </c>
      <c r="I254" t="s">
        <v>1480</v>
      </c>
      <c r="J254" t="s">
        <v>1478</v>
      </c>
      <c r="K254" t="s">
        <v>17</v>
      </c>
      <c r="L254">
        <v>44</v>
      </c>
      <c r="M254" t="s">
        <v>19</v>
      </c>
      <c r="N254">
        <v>348</v>
      </c>
      <c r="O254">
        <v>58.67</v>
      </c>
      <c r="P254">
        <v>0</v>
      </c>
    </row>
    <row r="255" spans="1:16" x14ac:dyDescent="0.25">
      <c r="A255" s="1">
        <v>45206</v>
      </c>
      <c r="B255" s="2">
        <v>0.85763888888888884</v>
      </c>
      <c r="C255" t="s">
        <v>1139</v>
      </c>
      <c r="D255">
        <v>45</v>
      </c>
      <c r="E255" t="s">
        <v>812</v>
      </c>
      <c r="F255" t="s">
        <v>18</v>
      </c>
      <c r="G255">
        <v>1.210869</v>
      </c>
      <c r="H255">
        <v>25.598741</v>
      </c>
      <c r="I255" t="s">
        <v>1480</v>
      </c>
      <c r="J255" t="s">
        <v>1478</v>
      </c>
      <c r="K255" t="s">
        <v>17</v>
      </c>
      <c r="L255">
        <v>44</v>
      </c>
      <c r="M255" t="s">
        <v>19</v>
      </c>
      <c r="N255">
        <v>348</v>
      </c>
      <c r="O255">
        <v>58.67</v>
      </c>
      <c r="P255">
        <v>0</v>
      </c>
    </row>
    <row r="256" spans="1:16" x14ac:dyDescent="0.25">
      <c r="A256" s="1">
        <v>45210</v>
      </c>
      <c r="B256" s="2">
        <v>0.92638888888888893</v>
      </c>
      <c r="C256" t="s">
        <v>1139</v>
      </c>
      <c r="D256">
        <v>45</v>
      </c>
      <c r="E256" t="s">
        <v>808</v>
      </c>
      <c r="F256" t="s">
        <v>18</v>
      </c>
      <c r="G256">
        <v>1.210869</v>
      </c>
      <c r="H256">
        <v>25.598741</v>
      </c>
      <c r="I256" t="s">
        <v>1480</v>
      </c>
      <c r="J256" t="s">
        <v>1478</v>
      </c>
      <c r="K256" t="s">
        <v>17</v>
      </c>
      <c r="L256">
        <v>44</v>
      </c>
      <c r="M256" t="s">
        <v>19</v>
      </c>
      <c r="N256">
        <v>348</v>
      </c>
      <c r="O256">
        <v>58.67</v>
      </c>
      <c r="P256">
        <v>0</v>
      </c>
    </row>
    <row r="257" spans="1:16" x14ac:dyDescent="0.25">
      <c r="A257" s="1">
        <v>45227</v>
      </c>
      <c r="B257" s="2">
        <v>0.52708333333333335</v>
      </c>
      <c r="C257" t="s">
        <v>1142</v>
      </c>
      <c r="D257">
        <v>107</v>
      </c>
      <c r="E257" t="s">
        <v>808</v>
      </c>
      <c r="F257" t="s">
        <v>37</v>
      </c>
      <c r="G257">
        <v>-1.50664</v>
      </c>
      <c r="H257">
        <v>27.795642000000001</v>
      </c>
      <c r="I257" t="s">
        <v>1477</v>
      </c>
      <c r="J257" t="s">
        <v>1483</v>
      </c>
      <c r="K257" t="s">
        <v>36</v>
      </c>
      <c r="L257">
        <v>115</v>
      </c>
      <c r="M257" t="s">
        <v>19</v>
      </c>
      <c r="N257">
        <v>176</v>
      </c>
      <c r="O257">
        <v>33.28</v>
      </c>
      <c r="P257">
        <v>4</v>
      </c>
    </row>
    <row r="258" spans="1:16" x14ac:dyDescent="0.25">
      <c r="A258" s="1">
        <v>45229</v>
      </c>
      <c r="B258" s="2">
        <v>0.39166666666666666</v>
      </c>
      <c r="C258" t="s">
        <v>1143</v>
      </c>
      <c r="D258">
        <v>28</v>
      </c>
      <c r="E258" t="s">
        <v>812</v>
      </c>
      <c r="F258" t="s">
        <v>137</v>
      </c>
      <c r="G258">
        <v>-10.967288</v>
      </c>
      <c r="H258">
        <v>17.617781000000001</v>
      </c>
      <c r="I258" t="s">
        <v>1480</v>
      </c>
      <c r="J258" t="s">
        <v>1478</v>
      </c>
      <c r="K258" t="s">
        <v>136</v>
      </c>
      <c r="L258">
        <v>80</v>
      </c>
      <c r="M258" t="s">
        <v>22</v>
      </c>
      <c r="N258">
        <v>155</v>
      </c>
      <c r="O258">
        <v>28.96</v>
      </c>
      <c r="P258">
        <v>2</v>
      </c>
    </row>
    <row r="259" spans="1:16" x14ac:dyDescent="0.25">
      <c r="A259" s="1">
        <v>45216</v>
      </c>
      <c r="B259" s="2">
        <v>0.18333333333333332</v>
      </c>
      <c r="C259" t="s">
        <v>1143</v>
      </c>
      <c r="D259">
        <v>67</v>
      </c>
      <c r="E259" t="s">
        <v>808</v>
      </c>
      <c r="F259" t="s">
        <v>137</v>
      </c>
      <c r="G259">
        <v>-10.967288</v>
      </c>
      <c r="H259">
        <v>17.617781000000001</v>
      </c>
      <c r="I259" t="s">
        <v>1480</v>
      </c>
      <c r="J259" t="s">
        <v>1478</v>
      </c>
      <c r="K259" t="s">
        <v>136</v>
      </c>
      <c r="L259">
        <v>80</v>
      </c>
      <c r="M259" t="s">
        <v>22</v>
      </c>
      <c r="N259">
        <v>155</v>
      </c>
      <c r="O259">
        <v>28.96</v>
      </c>
      <c r="P259">
        <v>2</v>
      </c>
    </row>
    <row r="260" spans="1:16" x14ac:dyDescent="0.25">
      <c r="A260" s="1">
        <v>45217</v>
      </c>
      <c r="B260" s="2">
        <v>0.99930555555555556</v>
      </c>
      <c r="C260" t="s">
        <v>1143</v>
      </c>
      <c r="D260">
        <v>38</v>
      </c>
      <c r="E260" t="s">
        <v>808</v>
      </c>
      <c r="F260" t="s">
        <v>137</v>
      </c>
      <c r="G260">
        <v>-10.967288</v>
      </c>
      <c r="H260">
        <v>17.617781000000001</v>
      </c>
      <c r="I260" t="s">
        <v>1480</v>
      </c>
      <c r="J260" t="s">
        <v>1478</v>
      </c>
      <c r="K260" t="s">
        <v>136</v>
      </c>
      <c r="L260">
        <v>80</v>
      </c>
      <c r="M260" t="s">
        <v>22</v>
      </c>
      <c r="N260">
        <v>155</v>
      </c>
      <c r="O260">
        <v>28.96</v>
      </c>
      <c r="P260">
        <v>2</v>
      </c>
    </row>
    <row r="261" spans="1:16" x14ac:dyDescent="0.25">
      <c r="A261" s="1">
        <v>45223</v>
      </c>
      <c r="B261" s="2">
        <v>0.99097222222222225</v>
      </c>
      <c r="C261" t="s">
        <v>1144</v>
      </c>
      <c r="D261">
        <v>23</v>
      </c>
      <c r="E261" t="s">
        <v>807</v>
      </c>
      <c r="F261" t="s">
        <v>35</v>
      </c>
      <c r="G261">
        <v>-8.0922239999999999</v>
      </c>
      <c r="H261">
        <v>15.483708</v>
      </c>
      <c r="I261" t="s">
        <v>1477</v>
      </c>
      <c r="J261" t="s">
        <v>1490</v>
      </c>
      <c r="K261" t="s">
        <v>34</v>
      </c>
      <c r="L261">
        <v>35</v>
      </c>
      <c r="M261" t="s">
        <v>14</v>
      </c>
      <c r="N261">
        <v>465</v>
      </c>
      <c r="O261">
        <v>58.59</v>
      </c>
      <c r="P261">
        <v>5</v>
      </c>
    </row>
    <row r="262" spans="1:16" x14ac:dyDescent="0.25">
      <c r="A262" s="1">
        <v>45218</v>
      </c>
      <c r="B262" s="2">
        <v>0.36875000000000002</v>
      </c>
      <c r="C262" t="s">
        <v>1146</v>
      </c>
      <c r="D262">
        <v>70</v>
      </c>
      <c r="E262" t="s">
        <v>807</v>
      </c>
      <c r="F262" t="s">
        <v>67</v>
      </c>
      <c r="G262">
        <v>-8.4227860000000003</v>
      </c>
      <c r="H262">
        <v>16.781293000000002</v>
      </c>
      <c r="I262" t="s">
        <v>1480</v>
      </c>
      <c r="J262" t="s">
        <v>1481</v>
      </c>
      <c r="K262" t="s">
        <v>66</v>
      </c>
      <c r="L262">
        <v>101</v>
      </c>
      <c r="M262" t="s">
        <v>14</v>
      </c>
      <c r="N262">
        <v>176</v>
      </c>
      <c r="O262">
        <v>86</v>
      </c>
      <c r="P262">
        <v>3</v>
      </c>
    </row>
    <row r="263" spans="1:16" x14ac:dyDescent="0.25">
      <c r="A263" s="1">
        <v>45208</v>
      </c>
      <c r="B263" s="2">
        <v>7.3611111111111113E-2</v>
      </c>
      <c r="C263" t="s">
        <v>1146</v>
      </c>
      <c r="D263">
        <v>85</v>
      </c>
      <c r="E263" t="s">
        <v>808</v>
      </c>
      <c r="F263" t="s">
        <v>67</v>
      </c>
      <c r="G263">
        <v>-8.4227860000000003</v>
      </c>
      <c r="H263">
        <v>16.781293000000002</v>
      </c>
      <c r="I263" t="s">
        <v>1480</v>
      </c>
      <c r="J263" t="s">
        <v>1481</v>
      </c>
      <c r="K263" t="s">
        <v>66</v>
      </c>
      <c r="L263">
        <v>101</v>
      </c>
      <c r="M263" t="s">
        <v>14</v>
      </c>
      <c r="N263">
        <v>176</v>
      </c>
      <c r="O263">
        <v>86</v>
      </c>
      <c r="P263">
        <v>3</v>
      </c>
    </row>
    <row r="264" spans="1:16" x14ac:dyDescent="0.25">
      <c r="A264" s="1">
        <v>45214</v>
      </c>
      <c r="B264" s="2">
        <v>0.23541666666666666</v>
      </c>
      <c r="C264" t="s">
        <v>1147</v>
      </c>
      <c r="D264">
        <v>33</v>
      </c>
      <c r="E264" t="s">
        <v>807</v>
      </c>
      <c r="F264" t="s">
        <v>78</v>
      </c>
      <c r="G264">
        <v>-10.318835</v>
      </c>
      <c r="H264">
        <v>21.252382000000001</v>
      </c>
      <c r="I264" t="s">
        <v>1480</v>
      </c>
      <c r="J264" t="s">
        <v>1478</v>
      </c>
      <c r="K264" t="s">
        <v>77</v>
      </c>
      <c r="L264">
        <v>81</v>
      </c>
      <c r="M264" t="s">
        <v>14</v>
      </c>
      <c r="N264">
        <v>154</v>
      </c>
      <c r="O264">
        <v>19.47</v>
      </c>
      <c r="P264">
        <v>3</v>
      </c>
    </row>
    <row r="265" spans="1:16" x14ac:dyDescent="0.25">
      <c r="A265" s="1">
        <v>45207</v>
      </c>
      <c r="B265" s="2">
        <v>0.52638888888888891</v>
      </c>
      <c r="C265" t="s">
        <v>1149</v>
      </c>
      <c r="D265">
        <v>78</v>
      </c>
      <c r="E265" t="s">
        <v>812</v>
      </c>
      <c r="F265" t="s">
        <v>24</v>
      </c>
      <c r="G265">
        <v>-9.4229749999999992</v>
      </c>
      <c r="H265">
        <v>29.375005999999999</v>
      </c>
      <c r="I265" t="s">
        <v>1482</v>
      </c>
      <c r="J265" t="s">
        <v>1478</v>
      </c>
      <c r="K265" t="s">
        <v>23</v>
      </c>
      <c r="L265">
        <v>46</v>
      </c>
      <c r="M265" t="s">
        <v>11</v>
      </c>
      <c r="N265">
        <v>283</v>
      </c>
      <c r="O265">
        <v>56.05</v>
      </c>
      <c r="P265">
        <v>1</v>
      </c>
    </row>
    <row r="266" spans="1:16" x14ac:dyDescent="0.25">
      <c r="A266" s="1">
        <v>45202</v>
      </c>
      <c r="B266" s="2">
        <v>0.37638888888888888</v>
      </c>
      <c r="C266" t="s">
        <v>1150</v>
      </c>
      <c r="D266">
        <v>28</v>
      </c>
      <c r="E266" t="s">
        <v>807</v>
      </c>
      <c r="F266" t="s">
        <v>51</v>
      </c>
      <c r="G266">
        <v>-7.402336</v>
      </c>
      <c r="H266">
        <v>27.376697</v>
      </c>
      <c r="I266" t="s">
        <v>1480</v>
      </c>
      <c r="J266" t="s">
        <v>1481</v>
      </c>
      <c r="K266" t="s">
        <v>50</v>
      </c>
      <c r="L266">
        <v>119</v>
      </c>
      <c r="M266" t="s">
        <v>22</v>
      </c>
      <c r="N266">
        <v>228</v>
      </c>
      <c r="O266">
        <v>94.72</v>
      </c>
      <c r="P266">
        <v>3</v>
      </c>
    </row>
    <row r="267" spans="1:16" x14ac:dyDescent="0.25">
      <c r="A267" s="1">
        <v>45212</v>
      </c>
      <c r="B267" s="2">
        <v>0.44722222222222224</v>
      </c>
      <c r="C267" t="s">
        <v>1150</v>
      </c>
      <c r="D267">
        <v>88</v>
      </c>
      <c r="E267" t="s">
        <v>808</v>
      </c>
      <c r="F267" t="s">
        <v>51</v>
      </c>
      <c r="G267">
        <v>-7.402336</v>
      </c>
      <c r="H267">
        <v>27.376697</v>
      </c>
      <c r="I267" t="s">
        <v>1480</v>
      </c>
      <c r="J267" t="s">
        <v>1481</v>
      </c>
      <c r="K267" t="s">
        <v>50</v>
      </c>
      <c r="L267">
        <v>119</v>
      </c>
      <c r="M267" t="s">
        <v>22</v>
      </c>
      <c r="N267">
        <v>228</v>
      </c>
      <c r="O267">
        <v>94.72</v>
      </c>
      <c r="P267">
        <v>3</v>
      </c>
    </row>
    <row r="268" spans="1:16" x14ac:dyDescent="0.25">
      <c r="A268" s="1">
        <v>45203</v>
      </c>
      <c r="B268" s="2">
        <v>0.52222222222222225</v>
      </c>
      <c r="C268" t="s">
        <v>1150</v>
      </c>
      <c r="D268">
        <v>11</v>
      </c>
      <c r="E268" t="s">
        <v>808</v>
      </c>
      <c r="F268" t="s">
        <v>51</v>
      </c>
      <c r="G268">
        <v>-7.402336</v>
      </c>
      <c r="H268">
        <v>27.376697</v>
      </c>
      <c r="I268" t="s">
        <v>1480</v>
      </c>
      <c r="J268" t="s">
        <v>1481</v>
      </c>
      <c r="K268" t="s">
        <v>50</v>
      </c>
      <c r="L268">
        <v>119</v>
      </c>
      <c r="M268" t="s">
        <v>22</v>
      </c>
      <c r="N268">
        <v>228</v>
      </c>
      <c r="O268">
        <v>94.72</v>
      </c>
      <c r="P268">
        <v>3</v>
      </c>
    </row>
    <row r="269" spans="1:16" x14ac:dyDescent="0.25">
      <c r="A269" s="1">
        <v>45220</v>
      </c>
      <c r="B269" s="2">
        <v>0.15902777777777777</v>
      </c>
      <c r="C269" t="s">
        <v>1151</v>
      </c>
      <c r="D269">
        <v>60</v>
      </c>
      <c r="E269" t="s">
        <v>812</v>
      </c>
      <c r="F269" t="s">
        <v>73</v>
      </c>
      <c r="G269">
        <v>-9.4133639999999996</v>
      </c>
      <c r="H269">
        <v>15.682482</v>
      </c>
      <c r="I269" t="s">
        <v>1480</v>
      </c>
      <c r="J269" t="s">
        <v>1481</v>
      </c>
      <c r="K269" t="s">
        <v>72</v>
      </c>
      <c r="L269">
        <v>6</v>
      </c>
      <c r="M269" t="s">
        <v>11</v>
      </c>
      <c r="N269">
        <v>207</v>
      </c>
      <c r="O269">
        <v>61.55</v>
      </c>
      <c r="P269">
        <v>0</v>
      </c>
    </row>
    <row r="270" spans="1:16" x14ac:dyDescent="0.25">
      <c r="A270" s="1">
        <v>45218</v>
      </c>
      <c r="B270" s="2">
        <v>0.37847222222222221</v>
      </c>
      <c r="C270" t="s">
        <v>1152</v>
      </c>
      <c r="D270">
        <v>102</v>
      </c>
      <c r="E270" t="s">
        <v>807</v>
      </c>
      <c r="F270" t="s">
        <v>33</v>
      </c>
      <c r="G270">
        <v>-4.4451280000000004</v>
      </c>
      <c r="H270">
        <v>16.536944999999999</v>
      </c>
      <c r="I270" t="s">
        <v>1480</v>
      </c>
      <c r="J270" t="s">
        <v>1478</v>
      </c>
      <c r="K270" t="s">
        <v>32</v>
      </c>
      <c r="L270">
        <v>72</v>
      </c>
      <c r="M270" t="s">
        <v>14</v>
      </c>
      <c r="N270">
        <v>160</v>
      </c>
      <c r="O270">
        <v>90.13</v>
      </c>
      <c r="P270">
        <v>2</v>
      </c>
    </row>
    <row r="271" spans="1:16" x14ac:dyDescent="0.25">
      <c r="A271" s="1">
        <v>45221</v>
      </c>
      <c r="B271" s="2">
        <v>0.77222222222222225</v>
      </c>
      <c r="C271" t="s">
        <v>1152</v>
      </c>
      <c r="D271">
        <v>107</v>
      </c>
      <c r="E271" t="s">
        <v>807</v>
      </c>
      <c r="F271" t="s">
        <v>33</v>
      </c>
      <c r="G271">
        <v>-4.4451280000000004</v>
      </c>
      <c r="H271">
        <v>16.536944999999999</v>
      </c>
      <c r="I271" t="s">
        <v>1480</v>
      </c>
      <c r="J271" t="s">
        <v>1478</v>
      </c>
      <c r="K271" t="s">
        <v>32</v>
      </c>
      <c r="L271">
        <v>72</v>
      </c>
      <c r="M271" t="s">
        <v>14</v>
      </c>
      <c r="N271">
        <v>160</v>
      </c>
      <c r="O271">
        <v>90.13</v>
      </c>
      <c r="P271">
        <v>2</v>
      </c>
    </row>
    <row r="272" spans="1:16" x14ac:dyDescent="0.25">
      <c r="A272" s="1">
        <v>45230</v>
      </c>
      <c r="B272" s="2">
        <v>0.26458333333333334</v>
      </c>
      <c r="C272" t="s">
        <v>1154</v>
      </c>
      <c r="D272">
        <v>62</v>
      </c>
      <c r="E272" t="s">
        <v>807</v>
      </c>
      <c r="F272" t="s">
        <v>16</v>
      </c>
      <c r="G272">
        <v>3.6344850000000002</v>
      </c>
      <c r="H272">
        <v>12.158348999999999</v>
      </c>
      <c r="I272" t="s">
        <v>1477</v>
      </c>
      <c r="J272" t="s">
        <v>1478</v>
      </c>
      <c r="K272" t="s">
        <v>15</v>
      </c>
      <c r="L272">
        <v>34</v>
      </c>
      <c r="M272" t="s">
        <v>14</v>
      </c>
      <c r="N272">
        <v>453</v>
      </c>
      <c r="O272">
        <v>56.84</v>
      </c>
      <c r="P272">
        <v>0</v>
      </c>
    </row>
    <row r="273" spans="1:16" x14ac:dyDescent="0.25">
      <c r="A273" s="1">
        <v>45204</v>
      </c>
      <c r="B273" s="2">
        <v>0.59097222222222223</v>
      </c>
      <c r="C273" t="s">
        <v>1155</v>
      </c>
      <c r="D273">
        <v>108</v>
      </c>
      <c r="E273" t="s">
        <v>808</v>
      </c>
      <c r="F273" t="s">
        <v>51</v>
      </c>
      <c r="G273">
        <v>-8.5675749999999997</v>
      </c>
      <c r="H273">
        <v>26.994581</v>
      </c>
      <c r="I273" t="s">
        <v>1482</v>
      </c>
      <c r="J273" t="s">
        <v>1490</v>
      </c>
      <c r="K273" t="s">
        <v>50</v>
      </c>
      <c r="L273">
        <v>119</v>
      </c>
      <c r="M273" t="s">
        <v>22</v>
      </c>
      <c r="N273">
        <v>228</v>
      </c>
      <c r="O273">
        <v>94.72</v>
      </c>
      <c r="P273">
        <v>3</v>
      </c>
    </row>
    <row r="274" spans="1:16" x14ac:dyDescent="0.25">
      <c r="A274" s="1">
        <v>45217</v>
      </c>
      <c r="B274" s="2">
        <v>0.47361111111111109</v>
      </c>
      <c r="C274" t="s">
        <v>1155</v>
      </c>
      <c r="D274">
        <v>37</v>
      </c>
      <c r="E274" t="s">
        <v>812</v>
      </c>
      <c r="F274" t="s">
        <v>51</v>
      </c>
      <c r="G274">
        <v>-8.5675749999999997</v>
      </c>
      <c r="H274">
        <v>26.994581</v>
      </c>
      <c r="I274" t="s">
        <v>1482</v>
      </c>
      <c r="J274" t="s">
        <v>1490</v>
      </c>
      <c r="K274" t="s">
        <v>50</v>
      </c>
      <c r="L274">
        <v>119</v>
      </c>
      <c r="M274" t="s">
        <v>22</v>
      </c>
      <c r="N274">
        <v>228</v>
      </c>
      <c r="O274">
        <v>94.72</v>
      </c>
      <c r="P274">
        <v>3</v>
      </c>
    </row>
    <row r="275" spans="1:16" x14ac:dyDescent="0.25">
      <c r="A275" s="1">
        <v>45207</v>
      </c>
      <c r="B275" s="2">
        <v>0.12708333333333333</v>
      </c>
      <c r="C275" t="s">
        <v>1155</v>
      </c>
      <c r="D275">
        <v>38</v>
      </c>
      <c r="E275" t="s">
        <v>807</v>
      </c>
      <c r="F275" t="s">
        <v>51</v>
      </c>
      <c r="G275">
        <v>-8.5675749999999997</v>
      </c>
      <c r="H275">
        <v>26.994581</v>
      </c>
      <c r="I275" t="s">
        <v>1482</v>
      </c>
      <c r="J275" t="s">
        <v>1490</v>
      </c>
      <c r="K275" t="s">
        <v>50</v>
      </c>
      <c r="L275">
        <v>119</v>
      </c>
      <c r="M275" t="s">
        <v>22</v>
      </c>
      <c r="N275">
        <v>228</v>
      </c>
      <c r="O275">
        <v>94.72</v>
      </c>
      <c r="P275">
        <v>3</v>
      </c>
    </row>
    <row r="276" spans="1:16" x14ac:dyDescent="0.25">
      <c r="A276" s="1">
        <v>45206</v>
      </c>
      <c r="B276" s="2">
        <v>0.36249999999999999</v>
      </c>
      <c r="C276" t="s">
        <v>1156</v>
      </c>
      <c r="D276">
        <v>60</v>
      </c>
      <c r="E276" t="s">
        <v>812</v>
      </c>
      <c r="F276" t="s">
        <v>78</v>
      </c>
      <c r="G276">
        <v>-4.2645619999999997</v>
      </c>
      <c r="H276">
        <v>18.960726000000001</v>
      </c>
      <c r="I276" t="s">
        <v>1480</v>
      </c>
      <c r="J276" t="s">
        <v>1481</v>
      </c>
      <c r="K276" t="s">
        <v>77</v>
      </c>
      <c r="L276">
        <v>81</v>
      </c>
      <c r="M276" t="s">
        <v>14</v>
      </c>
      <c r="N276">
        <v>154</v>
      </c>
      <c r="O276">
        <v>19.47</v>
      </c>
      <c r="P276">
        <v>3</v>
      </c>
    </row>
    <row r="277" spans="1:16" x14ac:dyDescent="0.25">
      <c r="A277" s="1">
        <v>45210</v>
      </c>
      <c r="B277" s="2">
        <v>0.38958333333333334</v>
      </c>
      <c r="C277" t="s">
        <v>1156</v>
      </c>
      <c r="D277">
        <v>85</v>
      </c>
      <c r="E277" t="s">
        <v>807</v>
      </c>
      <c r="F277" t="s">
        <v>78</v>
      </c>
      <c r="G277">
        <v>-4.2645619999999997</v>
      </c>
      <c r="H277">
        <v>18.960726000000001</v>
      </c>
      <c r="I277" t="s">
        <v>1480</v>
      </c>
      <c r="J277" t="s">
        <v>1481</v>
      </c>
      <c r="K277" t="s">
        <v>77</v>
      </c>
      <c r="L277">
        <v>81</v>
      </c>
      <c r="M277" t="s">
        <v>14</v>
      </c>
      <c r="N277">
        <v>154</v>
      </c>
      <c r="O277">
        <v>19.47</v>
      </c>
      <c r="P277">
        <v>3</v>
      </c>
    </row>
    <row r="278" spans="1:16" x14ac:dyDescent="0.25">
      <c r="A278" s="1">
        <v>45213</v>
      </c>
      <c r="B278" s="2">
        <v>0.51875000000000004</v>
      </c>
      <c r="C278" t="s">
        <v>1157</v>
      </c>
      <c r="D278">
        <v>88</v>
      </c>
      <c r="E278" t="s">
        <v>808</v>
      </c>
      <c r="F278" t="s">
        <v>67</v>
      </c>
      <c r="G278">
        <v>4.8265669999999998</v>
      </c>
      <c r="H278">
        <v>28.535277000000001</v>
      </c>
      <c r="I278" t="s">
        <v>1482</v>
      </c>
      <c r="J278" t="s">
        <v>1481</v>
      </c>
      <c r="K278" t="s">
        <v>66</v>
      </c>
      <c r="L278">
        <v>101</v>
      </c>
      <c r="M278" t="s">
        <v>14</v>
      </c>
      <c r="N278">
        <v>176</v>
      </c>
      <c r="O278">
        <v>86</v>
      </c>
      <c r="P278">
        <v>3</v>
      </c>
    </row>
    <row r="279" spans="1:16" x14ac:dyDescent="0.25">
      <c r="A279" s="1">
        <v>45216</v>
      </c>
      <c r="B279" s="2">
        <v>9.4444444444444442E-2</v>
      </c>
      <c r="C279" t="s">
        <v>1157</v>
      </c>
      <c r="D279">
        <v>74</v>
      </c>
      <c r="E279" t="s">
        <v>807</v>
      </c>
      <c r="F279" t="s">
        <v>67</v>
      </c>
      <c r="G279">
        <v>4.8265669999999998</v>
      </c>
      <c r="H279">
        <v>28.535277000000001</v>
      </c>
      <c r="I279" t="s">
        <v>1482</v>
      </c>
      <c r="J279" t="s">
        <v>1481</v>
      </c>
      <c r="K279" t="s">
        <v>66</v>
      </c>
      <c r="L279">
        <v>101</v>
      </c>
      <c r="M279" t="s">
        <v>14</v>
      </c>
      <c r="N279">
        <v>176</v>
      </c>
      <c r="O279">
        <v>86</v>
      </c>
      <c r="P279">
        <v>3</v>
      </c>
    </row>
    <row r="280" spans="1:16" x14ac:dyDescent="0.25">
      <c r="A280" s="1">
        <v>45225</v>
      </c>
      <c r="B280" s="2">
        <v>0.96527777777777779</v>
      </c>
      <c r="C280" t="s">
        <v>1158</v>
      </c>
      <c r="D280">
        <v>36</v>
      </c>
      <c r="E280" t="s">
        <v>807</v>
      </c>
      <c r="F280" t="s">
        <v>37</v>
      </c>
      <c r="G280">
        <v>-9.002459</v>
      </c>
      <c r="H280">
        <v>25.182109000000001</v>
      </c>
      <c r="I280" t="s">
        <v>1477</v>
      </c>
      <c r="J280" t="s">
        <v>1481</v>
      </c>
      <c r="K280" t="s">
        <v>36</v>
      </c>
      <c r="L280">
        <v>115</v>
      </c>
      <c r="M280" t="s">
        <v>19</v>
      </c>
      <c r="N280">
        <v>176</v>
      </c>
      <c r="O280">
        <v>33.28</v>
      </c>
      <c r="P280">
        <v>4</v>
      </c>
    </row>
    <row r="281" spans="1:16" x14ac:dyDescent="0.25">
      <c r="A281" s="1">
        <v>45220</v>
      </c>
      <c r="B281" s="2">
        <v>0.72499999999999998</v>
      </c>
      <c r="C281" t="s">
        <v>1158</v>
      </c>
      <c r="D281">
        <v>28</v>
      </c>
      <c r="E281" t="s">
        <v>812</v>
      </c>
      <c r="F281" t="s">
        <v>37</v>
      </c>
      <c r="G281">
        <v>-9.002459</v>
      </c>
      <c r="H281">
        <v>25.182109000000001</v>
      </c>
      <c r="I281" t="s">
        <v>1477</v>
      </c>
      <c r="J281" t="s">
        <v>1481</v>
      </c>
      <c r="K281" t="s">
        <v>36</v>
      </c>
      <c r="L281">
        <v>115</v>
      </c>
      <c r="M281" t="s">
        <v>19</v>
      </c>
      <c r="N281">
        <v>176</v>
      </c>
      <c r="O281">
        <v>33.28</v>
      </c>
      <c r="P281">
        <v>4</v>
      </c>
    </row>
    <row r="282" spans="1:16" x14ac:dyDescent="0.25">
      <c r="A282" s="1">
        <v>45228</v>
      </c>
      <c r="B282" s="2">
        <v>0.51527777777777772</v>
      </c>
      <c r="C282" t="s">
        <v>1159</v>
      </c>
      <c r="D282">
        <v>105</v>
      </c>
      <c r="E282" t="s">
        <v>807</v>
      </c>
      <c r="F282" t="s">
        <v>73</v>
      </c>
      <c r="G282">
        <v>-0.919767</v>
      </c>
      <c r="H282">
        <v>18.905538</v>
      </c>
      <c r="I282" t="s">
        <v>1477</v>
      </c>
      <c r="J282" t="s">
        <v>1478</v>
      </c>
      <c r="K282" t="s">
        <v>72</v>
      </c>
      <c r="L282">
        <v>6</v>
      </c>
      <c r="M282" t="s">
        <v>11</v>
      </c>
      <c r="N282">
        <v>207</v>
      </c>
      <c r="O282">
        <v>61.55</v>
      </c>
      <c r="P282">
        <v>0</v>
      </c>
    </row>
    <row r="283" spans="1:16" x14ac:dyDescent="0.25">
      <c r="A283" s="1">
        <v>45223</v>
      </c>
      <c r="B283" s="2">
        <v>0.29375000000000001</v>
      </c>
      <c r="C283" t="s">
        <v>1165</v>
      </c>
      <c r="D283">
        <v>42</v>
      </c>
      <c r="E283" t="s">
        <v>812</v>
      </c>
      <c r="F283" t="s">
        <v>24</v>
      </c>
      <c r="G283">
        <v>-4.4958720000000003</v>
      </c>
      <c r="H283">
        <v>18.514112000000001</v>
      </c>
      <c r="I283" t="s">
        <v>1480</v>
      </c>
      <c r="J283" t="s">
        <v>1490</v>
      </c>
      <c r="K283" t="s">
        <v>23</v>
      </c>
      <c r="L283">
        <v>46</v>
      </c>
      <c r="M283" t="s">
        <v>11</v>
      </c>
      <c r="N283">
        <v>283</v>
      </c>
      <c r="O283">
        <v>56.05</v>
      </c>
      <c r="P283">
        <v>1</v>
      </c>
    </row>
    <row r="284" spans="1:16" x14ac:dyDescent="0.25">
      <c r="A284" s="1">
        <v>45205</v>
      </c>
      <c r="B284" s="2">
        <v>0.72916666666666663</v>
      </c>
      <c r="C284" t="s">
        <v>1165</v>
      </c>
      <c r="D284">
        <v>106</v>
      </c>
      <c r="E284" t="s">
        <v>812</v>
      </c>
      <c r="F284" t="s">
        <v>24</v>
      </c>
      <c r="G284">
        <v>-4.4958720000000003</v>
      </c>
      <c r="H284">
        <v>18.514112000000001</v>
      </c>
      <c r="I284" t="s">
        <v>1480</v>
      </c>
      <c r="J284" t="s">
        <v>1490</v>
      </c>
      <c r="K284" t="s">
        <v>23</v>
      </c>
      <c r="L284">
        <v>46</v>
      </c>
      <c r="M284" t="s">
        <v>11</v>
      </c>
      <c r="N284">
        <v>283</v>
      </c>
      <c r="O284">
        <v>56.05</v>
      </c>
      <c r="P284">
        <v>1</v>
      </c>
    </row>
    <row r="285" spans="1:16" x14ac:dyDescent="0.25">
      <c r="A285" s="1">
        <v>45221</v>
      </c>
      <c r="B285" s="2">
        <v>0.28333333333333333</v>
      </c>
      <c r="C285" t="s">
        <v>1167</v>
      </c>
      <c r="D285">
        <v>22</v>
      </c>
      <c r="E285" t="s">
        <v>807</v>
      </c>
      <c r="F285" t="s">
        <v>64</v>
      </c>
      <c r="G285">
        <v>-2.6665070000000002</v>
      </c>
      <c r="H285">
        <v>18.623692999999999</v>
      </c>
      <c r="I285" t="s">
        <v>1482</v>
      </c>
      <c r="J285" t="s">
        <v>1483</v>
      </c>
      <c r="K285" t="s">
        <v>63</v>
      </c>
      <c r="L285">
        <v>79</v>
      </c>
      <c r="M285" t="s">
        <v>11</v>
      </c>
      <c r="N285">
        <v>226</v>
      </c>
      <c r="O285">
        <v>94.38</v>
      </c>
      <c r="P285">
        <v>3</v>
      </c>
    </row>
    <row r="286" spans="1:16" x14ac:dyDescent="0.25">
      <c r="A286" s="1">
        <v>45215</v>
      </c>
      <c r="B286" s="2">
        <v>5.6944444444444443E-2</v>
      </c>
      <c r="C286" t="s">
        <v>1167</v>
      </c>
      <c r="D286">
        <v>99</v>
      </c>
      <c r="E286" t="s">
        <v>808</v>
      </c>
      <c r="F286" t="s">
        <v>64</v>
      </c>
      <c r="G286">
        <v>-2.6665070000000002</v>
      </c>
      <c r="H286">
        <v>18.623692999999999</v>
      </c>
      <c r="I286" t="s">
        <v>1482</v>
      </c>
      <c r="J286" t="s">
        <v>1483</v>
      </c>
      <c r="K286" t="s">
        <v>63</v>
      </c>
      <c r="L286">
        <v>79</v>
      </c>
      <c r="M286" t="s">
        <v>11</v>
      </c>
      <c r="N286">
        <v>226</v>
      </c>
      <c r="O286">
        <v>94.38</v>
      </c>
      <c r="P286">
        <v>3</v>
      </c>
    </row>
    <row r="287" spans="1:16" x14ac:dyDescent="0.25">
      <c r="A287" s="1">
        <v>45225</v>
      </c>
      <c r="B287" s="2">
        <v>0.62361111111111112</v>
      </c>
      <c r="C287" t="s">
        <v>1169</v>
      </c>
      <c r="D287">
        <v>22</v>
      </c>
      <c r="E287" t="s">
        <v>807</v>
      </c>
      <c r="F287" t="s">
        <v>44</v>
      </c>
      <c r="G287">
        <v>-0.47411900000000001</v>
      </c>
      <c r="H287">
        <v>27.184329000000002</v>
      </c>
      <c r="I287" t="s">
        <v>1477</v>
      </c>
      <c r="J287" t="s">
        <v>1483</v>
      </c>
      <c r="K287" t="s">
        <v>43</v>
      </c>
      <c r="L287">
        <v>66</v>
      </c>
      <c r="M287" t="s">
        <v>22</v>
      </c>
      <c r="N287">
        <v>270</v>
      </c>
      <c r="O287">
        <v>75.88</v>
      </c>
      <c r="P287">
        <v>3</v>
      </c>
    </row>
    <row r="288" spans="1:16" x14ac:dyDescent="0.25">
      <c r="A288" s="1">
        <v>45227</v>
      </c>
      <c r="B288" s="2">
        <v>0.77847222222222223</v>
      </c>
      <c r="C288" t="s">
        <v>1169</v>
      </c>
      <c r="D288">
        <v>67</v>
      </c>
      <c r="E288" t="s">
        <v>812</v>
      </c>
      <c r="F288" t="s">
        <v>44</v>
      </c>
      <c r="G288">
        <v>-0.47411900000000001</v>
      </c>
      <c r="H288">
        <v>27.184329000000002</v>
      </c>
      <c r="I288" t="s">
        <v>1477</v>
      </c>
      <c r="J288" t="s">
        <v>1483</v>
      </c>
      <c r="K288" t="s">
        <v>43</v>
      </c>
      <c r="L288">
        <v>66</v>
      </c>
      <c r="M288" t="s">
        <v>22</v>
      </c>
      <c r="N288">
        <v>270</v>
      </c>
      <c r="O288">
        <v>75.88</v>
      </c>
      <c r="P288">
        <v>3</v>
      </c>
    </row>
    <row r="289" spans="1:16" x14ac:dyDescent="0.25">
      <c r="A289" s="1">
        <v>45221</v>
      </c>
      <c r="B289" s="2">
        <v>0.78055555555555556</v>
      </c>
      <c r="C289" t="s">
        <v>1170</v>
      </c>
      <c r="D289">
        <v>67</v>
      </c>
      <c r="E289" t="s">
        <v>807</v>
      </c>
      <c r="F289" t="s">
        <v>13</v>
      </c>
      <c r="G289">
        <v>-7.789663</v>
      </c>
      <c r="H289">
        <v>26.529098000000001</v>
      </c>
      <c r="I289" t="s">
        <v>1477</v>
      </c>
      <c r="J289" t="s">
        <v>1490</v>
      </c>
      <c r="K289" t="s">
        <v>12</v>
      </c>
      <c r="L289">
        <v>63</v>
      </c>
      <c r="M289" t="s">
        <v>14</v>
      </c>
      <c r="N289">
        <v>205</v>
      </c>
      <c r="O289">
        <v>89.19</v>
      </c>
      <c r="P289">
        <v>0</v>
      </c>
    </row>
    <row r="290" spans="1:16" x14ac:dyDescent="0.25">
      <c r="A290" s="1">
        <v>45224</v>
      </c>
      <c r="B290" s="2">
        <v>0.34791666666666665</v>
      </c>
      <c r="C290" t="s">
        <v>1170</v>
      </c>
      <c r="D290">
        <v>14</v>
      </c>
      <c r="E290" t="s">
        <v>807</v>
      </c>
      <c r="F290" t="s">
        <v>13</v>
      </c>
      <c r="G290">
        <v>-7.789663</v>
      </c>
      <c r="H290">
        <v>26.529098000000001</v>
      </c>
      <c r="I290" t="s">
        <v>1477</v>
      </c>
      <c r="J290" t="s">
        <v>1490</v>
      </c>
      <c r="K290" t="s">
        <v>12</v>
      </c>
      <c r="L290">
        <v>63</v>
      </c>
      <c r="M290" t="s">
        <v>14</v>
      </c>
      <c r="N290">
        <v>205</v>
      </c>
      <c r="O290">
        <v>89.19</v>
      </c>
      <c r="P290">
        <v>0</v>
      </c>
    </row>
    <row r="291" spans="1:16" x14ac:dyDescent="0.25">
      <c r="A291" s="1">
        <v>45201</v>
      </c>
      <c r="B291" s="2">
        <v>0.88472222222222219</v>
      </c>
      <c r="C291" t="s">
        <v>1171</v>
      </c>
      <c r="D291">
        <v>54</v>
      </c>
      <c r="E291" t="s">
        <v>812</v>
      </c>
      <c r="F291" t="s">
        <v>131</v>
      </c>
      <c r="G291">
        <v>4.6287159999999998</v>
      </c>
      <c r="H291">
        <v>19.407077999999998</v>
      </c>
      <c r="I291" t="s">
        <v>1480</v>
      </c>
      <c r="J291" t="s">
        <v>1478</v>
      </c>
      <c r="K291" t="s">
        <v>130</v>
      </c>
      <c r="L291">
        <v>16</v>
      </c>
      <c r="M291" t="s">
        <v>19</v>
      </c>
      <c r="N291">
        <v>390</v>
      </c>
      <c r="O291">
        <v>98.17</v>
      </c>
      <c r="P291">
        <v>5</v>
      </c>
    </row>
    <row r="292" spans="1:16" x14ac:dyDescent="0.25">
      <c r="A292" s="1">
        <v>45211</v>
      </c>
      <c r="B292" s="2">
        <v>0.47708333333333336</v>
      </c>
      <c r="C292" t="s">
        <v>1171</v>
      </c>
      <c r="D292">
        <v>111</v>
      </c>
      <c r="E292" t="s">
        <v>807</v>
      </c>
      <c r="F292" t="s">
        <v>131</v>
      </c>
      <c r="G292">
        <v>4.6287159999999998</v>
      </c>
      <c r="H292">
        <v>19.407077999999998</v>
      </c>
      <c r="I292" t="s">
        <v>1480</v>
      </c>
      <c r="J292" t="s">
        <v>1478</v>
      </c>
      <c r="K292" t="s">
        <v>130</v>
      </c>
      <c r="L292">
        <v>16</v>
      </c>
      <c r="M292" t="s">
        <v>19</v>
      </c>
      <c r="N292">
        <v>390</v>
      </c>
      <c r="O292">
        <v>98.17</v>
      </c>
      <c r="P292">
        <v>5</v>
      </c>
    </row>
    <row r="293" spans="1:16" x14ac:dyDescent="0.25">
      <c r="A293" s="1">
        <v>45205</v>
      </c>
      <c r="B293" s="2">
        <v>0.44097222222222221</v>
      </c>
      <c r="C293" t="s">
        <v>1174</v>
      </c>
      <c r="D293">
        <v>115</v>
      </c>
      <c r="E293" t="s">
        <v>808</v>
      </c>
      <c r="F293" t="s">
        <v>21</v>
      </c>
      <c r="G293">
        <v>-1.3024210000000001</v>
      </c>
      <c r="H293">
        <v>13.601914000000001</v>
      </c>
      <c r="I293" t="s">
        <v>1482</v>
      </c>
      <c r="J293" t="s">
        <v>1481</v>
      </c>
      <c r="K293" t="s">
        <v>20</v>
      </c>
      <c r="L293">
        <v>101</v>
      </c>
      <c r="M293" t="s">
        <v>22</v>
      </c>
      <c r="N293">
        <v>358</v>
      </c>
      <c r="O293">
        <v>29.24</v>
      </c>
      <c r="P293">
        <v>3</v>
      </c>
    </row>
    <row r="294" spans="1:16" x14ac:dyDescent="0.25">
      <c r="A294" s="1">
        <v>45222</v>
      </c>
      <c r="B294" s="2">
        <v>0.74861111111111112</v>
      </c>
      <c r="C294" t="s">
        <v>1175</v>
      </c>
      <c r="D294">
        <v>28</v>
      </c>
      <c r="E294" t="s">
        <v>808</v>
      </c>
      <c r="F294" t="s">
        <v>24</v>
      </c>
      <c r="G294">
        <v>-11.468578000000001</v>
      </c>
      <c r="H294">
        <v>16.914501999999999</v>
      </c>
      <c r="I294" t="s">
        <v>1480</v>
      </c>
      <c r="J294" t="s">
        <v>1478</v>
      </c>
      <c r="K294" t="s">
        <v>23</v>
      </c>
      <c r="L294">
        <v>46</v>
      </c>
      <c r="M294" t="s">
        <v>11</v>
      </c>
      <c r="N294">
        <v>283</v>
      </c>
      <c r="O294">
        <v>56.05</v>
      </c>
      <c r="P294">
        <v>1</v>
      </c>
    </row>
    <row r="295" spans="1:16" x14ac:dyDescent="0.25">
      <c r="A295" s="1">
        <v>45218</v>
      </c>
      <c r="B295" s="2">
        <v>0.33194444444444443</v>
      </c>
      <c r="C295" t="s">
        <v>1180</v>
      </c>
      <c r="D295">
        <v>15</v>
      </c>
      <c r="E295" t="s">
        <v>812</v>
      </c>
      <c r="F295" t="s">
        <v>131</v>
      </c>
      <c r="G295">
        <v>-1.8555980000000001</v>
      </c>
      <c r="H295">
        <v>30.421918000000002</v>
      </c>
      <c r="I295" t="s">
        <v>1482</v>
      </c>
      <c r="J295" t="s">
        <v>1483</v>
      </c>
      <c r="K295" t="s">
        <v>130</v>
      </c>
      <c r="L295">
        <v>16</v>
      </c>
      <c r="M295" t="s">
        <v>19</v>
      </c>
      <c r="N295">
        <v>390</v>
      </c>
      <c r="O295">
        <v>98.17</v>
      </c>
      <c r="P295">
        <v>5</v>
      </c>
    </row>
    <row r="296" spans="1:16" x14ac:dyDescent="0.25">
      <c r="A296" s="1">
        <v>45222</v>
      </c>
      <c r="B296" s="2">
        <v>0.59722222222222221</v>
      </c>
      <c r="C296" t="s">
        <v>1180</v>
      </c>
      <c r="D296">
        <v>22</v>
      </c>
      <c r="E296" t="s">
        <v>808</v>
      </c>
      <c r="F296" t="s">
        <v>131</v>
      </c>
      <c r="G296">
        <v>-1.8555980000000001</v>
      </c>
      <c r="H296">
        <v>30.421918000000002</v>
      </c>
      <c r="I296" t="s">
        <v>1482</v>
      </c>
      <c r="J296" t="s">
        <v>1483</v>
      </c>
      <c r="K296" t="s">
        <v>130</v>
      </c>
      <c r="L296">
        <v>16</v>
      </c>
      <c r="M296" t="s">
        <v>19</v>
      </c>
      <c r="N296">
        <v>390</v>
      </c>
      <c r="O296">
        <v>98.17</v>
      </c>
      <c r="P296">
        <v>5</v>
      </c>
    </row>
    <row r="297" spans="1:16" x14ac:dyDescent="0.25">
      <c r="A297" s="1">
        <v>45201</v>
      </c>
      <c r="B297" s="2">
        <v>8.611111111111111E-2</v>
      </c>
      <c r="C297" t="s">
        <v>1180</v>
      </c>
      <c r="D297">
        <v>55</v>
      </c>
      <c r="E297" t="s">
        <v>807</v>
      </c>
      <c r="F297" t="s">
        <v>131</v>
      </c>
      <c r="G297">
        <v>-1.8555980000000001</v>
      </c>
      <c r="H297">
        <v>30.421918000000002</v>
      </c>
      <c r="I297" t="s">
        <v>1482</v>
      </c>
      <c r="J297" t="s">
        <v>1483</v>
      </c>
      <c r="K297" t="s">
        <v>130</v>
      </c>
      <c r="L297">
        <v>16</v>
      </c>
      <c r="M297" t="s">
        <v>19</v>
      </c>
      <c r="N297">
        <v>390</v>
      </c>
      <c r="O297">
        <v>98.17</v>
      </c>
      <c r="P297">
        <v>5</v>
      </c>
    </row>
    <row r="298" spans="1:16" x14ac:dyDescent="0.25">
      <c r="A298" s="1">
        <v>45221</v>
      </c>
      <c r="B298" s="2">
        <v>0.26874999999999999</v>
      </c>
      <c r="C298" t="s">
        <v>1180</v>
      </c>
      <c r="D298">
        <v>18</v>
      </c>
      <c r="E298" t="s">
        <v>808</v>
      </c>
      <c r="F298" t="s">
        <v>131</v>
      </c>
      <c r="G298">
        <v>-1.8555980000000001</v>
      </c>
      <c r="H298">
        <v>30.421918000000002</v>
      </c>
      <c r="I298" t="s">
        <v>1482</v>
      </c>
      <c r="J298" t="s">
        <v>1483</v>
      </c>
      <c r="K298" t="s">
        <v>130</v>
      </c>
      <c r="L298">
        <v>16</v>
      </c>
      <c r="M298" t="s">
        <v>19</v>
      </c>
      <c r="N298">
        <v>390</v>
      </c>
      <c r="O298">
        <v>98.17</v>
      </c>
      <c r="P298">
        <v>5</v>
      </c>
    </row>
    <row r="299" spans="1:16" x14ac:dyDescent="0.25">
      <c r="A299" s="1">
        <v>45211</v>
      </c>
      <c r="B299" s="2">
        <v>0.42430555555555555</v>
      </c>
      <c r="C299" t="s">
        <v>1180</v>
      </c>
      <c r="D299">
        <v>116</v>
      </c>
      <c r="E299" t="s">
        <v>808</v>
      </c>
      <c r="F299" t="s">
        <v>131</v>
      </c>
      <c r="G299">
        <v>-1.8555980000000001</v>
      </c>
      <c r="H299">
        <v>30.421918000000002</v>
      </c>
      <c r="I299" t="s">
        <v>1482</v>
      </c>
      <c r="J299" t="s">
        <v>1483</v>
      </c>
      <c r="K299" t="s">
        <v>130</v>
      </c>
      <c r="L299">
        <v>16</v>
      </c>
      <c r="M299" t="s">
        <v>19</v>
      </c>
      <c r="N299">
        <v>390</v>
      </c>
      <c r="O299">
        <v>98.17</v>
      </c>
      <c r="P299">
        <v>5</v>
      </c>
    </row>
    <row r="300" spans="1:16" x14ac:dyDescent="0.25">
      <c r="A300" s="1">
        <v>45230</v>
      </c>
      <c r="B300" s="2">
        <v>0.4861111111111111</v>
      </c>
      <c r="C300" t="s">
        <v>1181</v>
      </c>
      <c r="D300">
        <v>38</v>
      </c>
      <c r="E300" t="s">
        <v>807</v>
      </c>
      <c r="F300" t="s">
        <v>131</v>
      </c>
      <c r="G300">
        <v>-12.336202</v>
      </c>
      <c r="H300">
        <v>13.693683999999999</v>
      </c>
      <c r="I300" t="s">
        <v>1477</v>
      </c>
      <c r="J300" t="s">
        <v>1481</v>
      </c>
      <c r="K300" t="s">
        <v>130</v>
      </c>
      <c r="L300">
        <v>16</v>
      </c>
      <c r="M300" t="s">
        <v>19</v>
      </c>
      <c r="N300">
        <v>390</v>
      </c>
      <c r="O300">
        <v>98.17</v>
      </c>
      <c r="P300">
        <v>5</v>
      </c>
    </row>
    <row r="301" spans="1:16" x14ac:dyDescent="0.25">
      <c r="A301" s="1">
        <v>45207</v>
      </c>
      <c r="B301" s="2">
        <v>0.9604166666666667</v>
      </c>
      <c r="C301" t="s">
        <v>1181</v>
      </c>
      <c r="D301">
        <v>23</v>
      </c>
      <c r="E301" t="s">
        <v>812</v>
      </c>
      <c r="F301" t="s">
        <v>131</v>
      </c>
      <c r="G301">
        <v>-12.336202</v>
      </c>
      <c r="H301">
        <v>13.693683999999999</v>
      </c>
      <c r="I301" t="s">
        <v>1477</v>
      </c>
      <c r="J301" t="s">
        <v>1481</v>
      </c>
      <c r="K301" t="s">
        <v>130</v>
      </c>
      <c r="L301">
        <v>16</v>
      </c>
      <c r="M301" t="s">
        <v>19</v>
      </c>
      <c r="N301">
        <v>390</v>
      </c>
      <c r="O301">
        <v>98.17</v>
      </c>
      <c r="P301">
        <v>5</v>
      </c>
    </row>
    <row r="302" spans="1:16" x14ac:dyDescent="0.25">
      <c r="A302" s="1">
        <v>45204</v>
      </c>
      <c r="B302" s="2">
        <v>0.53125</v>
      </c>
      <c r="C302" t="s">
        <v>1181</v>
      </c>
      <c r="D302">
        <v>47</v>
      </c>
      <c r="E302" t="s">
        <v>807</v>
      </c>
      <c r="F302" t="s">
        <v>131</v>
      </c>
      <c r="G302">
        <v>-12.336202</v>
      </c>
      <c r="H302">
        <v>13.693683999999999</v>
      </c>
      <c r="I302" t="s">
        <v>1477</v>
      </c>
      <c r="J302" t="s">
        <v>1481</v>
      </c>
      <c r="K302" t="s">
        <v>130</v>
      </c>
      <c r="L302">
        <v>16</v>
      </c>
      <c r="M302" t="s">
        <v>19</v>
      </c>
      <c r="N302">
        <v>390</v>
      </c>
      <c r="O302">
        <v>98.17</v>
      </c>
      <c r="P302">
        <v>5</v>
      </c>
    </row>
    <row r="303" spans="1:16" x14ac:dyDescent="0.25">
      <c r="A303" s="1">
        <v>45201</v>
      </c>
      <c r="B303" s="2">
        <v>0.87708333333333333</v>
      </c>
      <c r="C303" t="s">
        <v>1181</v>
      </c>
      <c r="D303">
        <v>82</v>
      </c>
      <c r="E303" t="s">
        <v>812</v>
      </c>
      <c r="F303" t="s">
        <v>131</v>
      </c>
      <c r="G303">
        <v>-12.336202</v>
      </c>
      <c r="H303">
        <v>13.693683999999999</v>
      </c>
      <c r="I303" t="s">
        <v>1477</v>
      </c>
      <c r="J303" t="s">
        <v>1481</v>
      </c>
      <c r="K303" t="s">
        <v>130</v>
      </c>
      <c r="L303">
        <v>16</v>
      </c>
      <c r="M303" t="s">
        <v>19</v>
      </c>
      <c r="N303">
        <v>390</v>
      </c>
      <c r="O303">
        <v>98.17</v>
      </c>
      <c r="P303">
        <v>5</v>
      </c>
    </row>
    <row r="304" spans="1:16" x14ac:dyDescent="0.25">
      <c r="A304" s="1">
        <v>45230</v>
      </c>
      <c r="B304" s="2">
        <v>0.86250000000000004</v>
      </c>
      <c r="C304" t="s">
        <v>1182</v>
      </c>
      <c r="D304">
        <v>67</v>
      </c>
      <c r="E304" t="s">
        <v>807</v>
      </c>
      <c r="F304" t="s">
        <v>37</v>
      </c>
      <c r="G304">
        <v>-2.099631</v>
      </c>
      <c r="H304">
        <v>13.974640000000001</v>
      </c>
      <c r="I304" t="s">
        <v>1482</v>
      </c>
      <c r="J304" t="s">
        <v>1490</v>
      </c>
      <c r="K304" t="s">
        <v>36</v>
      </c>
      <c r="L304">
        <v>115</v>
      </c>
      <c r="M304" t="s">
        <v>19</v>
      </c>
      <c r="N304">
        <v>176</v>
      </c>
      <c r="O304">
        <v>33.28</v>
      </c>
      <c r="P304">
        <v>4</v>
      </c>
    </row>
    <row r="305" spans="1:16" x14ac:dyDescent="0.25">
      <c r="A305" s="1">
        <v>45222</v>
      </c>
      <c r="B305" s="2">
        <v>0.63124999999999998</v>
      </c>
      <c r="C305" t="s">
        <v>1182</v>
      </c>
      <c r="D305">
        <v>90</v>
      </c>
      <c r="E305" t="s">
        <v>807</v>
      </c>
      <c r="F305" t="s">
        <v>37</v>
      </c>
      <c r="G305">
        <v>-2.099631</v>
      </c>
      <c r="H305">
        <v>13.974640000000001</v>
      </c>
      <c r="I305" t="s">
        <v>1482</v>
      </c>
      <c r="J305" t="s">
        <v>1490</v>
      </c>
      <c r="K305" t="s">
        <v>36</v>
      </c>
      <c r="L305">
        <v>115</v>
      </c>
      <c r="M305" t="s">
        <v>19</v>
      </c>
      <c r="N305">
        <v>176</v>
      </c>
      <c r="O305">
        <v>33.28</v>
      </c>
      <c r="P305">
        <v>4</v>
      </c>
    </row>
    <row r="306" spans="1:16" x14ac:dyDescent="0.25">
      <c r="A306" s="1">
        <v>45222</v>
      </c>
      <c r="B306" s="2">
        <v>0.42708333333333331</v>
      </c>
      <c r="C306" t="s">
        <v>1183</v>
      </c>
      <c r="D306">
        <v>82</v>
      </c>
      <c r="E306" t="s">
        <v>807</v>
      </c>
      <c r="F306" t="s">
        <v>26</v>
      </c>
      <c r="G306">
        <v>-4.4697000000000001E-2</v>
      </c>
      <c r="H306">
        <v>22.943373000000001</v>
      </c>
      <c r="I306" t="s">
        <v>1482</v>
      </c>
      <c r="J306" t="s">
        <v>1481</v>
      </c>
      <c r="K306" t="s">
        <v>25</v>
      </c>
      <c r="L306">
        <v>99</v>
      </c>
      <c r="M306" t="s">
        <v>11</v>
      </c>
      <c r="N306">
        <v>447</v>
      </c>
      <c r="O306">
        <v>38.1</v>
      </c>
      <c r="P306">
        <v>3</v>
      </c>
    </row>
    <row r="307" spans="1:16" x14ac:dyDescent="0.25">
      <c r="A307" s="1">
        <v>45201</v>
      </c>
      <c r="B307" s="2">
        <v>0.46805555555555556</v>
      </c>
      <c r="C307" t="s">
        <v>1186</v>
      </c>
      <c r="D307">
        <v>80</v>
      </c>
      <c r="E307" t="s">
        <v>807</v>
      </c>
      <c r="F307" t="s">
        <v>24</v>
      </c>
      <c r="G307">
        <v>-3.3890790000000002</v>
      </c>
      <c r="H307">
        <v>18.374571</v>
      </c>
      <c r="I307" t="s">
        <v>1477</v>
      </c>
      <c r="J307" t="s">
        <v>1483</v>
      </c>
      <c r="K307" t="s">
        <v>23</v>
      </c>
      <c r="L307">
        <v>46</v>
      </c>
      <c r="M307" t="s">
        <v>11</v>
      </c>
      <c r="N307">
        <v>283</v>
      </c>
      <c r="O307">
        <v>56.05</v>
      </c>
      <c r="P307">
        <v>1</v>
      </c>
    </row>
    <row r="308" spans="1:16" x14ac:dyDescent="0.25">
      <c r="A308" s="1">
        <v>45208</v>
      </c>
      <c r="B308" s="2">
        <v>0.96180555555555558</v>
      </c>
      <c r="C308" t="s">
        <v>1188</v>
      </c>
      <c r="D308">
        <v>68</v>
      </c>
      <c r="E308" t="s">
        <v>807</v>
      </c>
      <c r="F308" t="s">
        <v>26</v>
      </c>
      <c r="G308">
        <v>-2.3269820000000001</v>
      </c>
      <c r="H308">
        <v>14.609259</v>
      </c>
      <c r="I308" t="s">
        <v>1482</v>
      </c>
      <c r="J308" t="s">
        <v>1490</v>
      </c>
      <c r="K308" t="s">
        <v>25</v>
      </c>
      <c r="L308">
        <v>99</v>
      </c>
      <c r="M308" t="s">
        <v>11</v>
      </c>
      <c r="N308">
        <v>447</v>
      </c>
      <c r="O308">
        <v>38.1</v>
      </c>
      <c r="P308">
        <v>3</v>
      </c>
    </row>
    <row r="309" spans="1:16" x14ac:dyDescent="0.25">
      <c r="A309" s="1">
        <v>45230</v>
      </c>
      <c r="B309" s="2">
        <v>4.8611111111111112E-3</v>
      </c>
      <c r="C309" t="s">
        <v>1189</v>
      </c>
      <c r="D309">
        <v>58</v>
      </c>
      <c r="E309" t="s">
        <v>807</v>
      </c>
      <c r="F309" t="s">
        <v>137</v>
      </c>
      <c r="G309">
        <v>-7.4608439999999998</v>
      </c>
      <c r="H309">
        <v>23.268619999999999</v>
      </c>
      <c r="I309" t="s">
        <v>1480</v>
      </c>
      <c r="J309" t="s">
        <v>1481</v>
      </c>
      <c r="K309" t="s">
        <v>136</v>
      </c>
      <c r="L309">
        <v>80</v>
      </c>
      <c r="M309" t="s">
        <v>22</v>
      </c>
      <c r="N309">
        <v>155</v>
      </c>
      <c r="O309">
        <v>28.96</v>
      </c>
      <c r="P309">
        <v>2</v>
      </c>
    </row>
    <row r="310" spans="1:16" x14ac:dyDescent="0.25">
      <c r="A310" s="1">
        <v>45204</v>
      </c>
      <c r="B310" s="2">
        <v>0.12291666666666666</v>
      </c>
      <c r="C310" t="s">
        <v>1194</v>
      </c>
      <c r="D310">
        <v>34</v>
      </c>
      <c r="E310" t="s">
        <v>807</v>
      </c>
      <c r="F310" t="s">
        <v>60</v>
      </c>
      <c r="G310">
        <v>-6.1490739999999997</v>
      </c>
      <c r="H310">
        <v>23.304411000000002</v>
      </c>
      <c r="I310" t="s">
        <v>1477</v>
      </c>
      <c r="J310" t="s">
        <v>1483</v>
      </c>
      <c r="K310" t="s">
        <v>59</v>
      </c>
      <c r="L310">
        <v>14</v>
      </c>
      <c r="M310" t="s">
        <v>14</v>
      </c>
      <c r="N310">
        <v>316</v>
      </c>
      <c r="O310">
        <v>62.34</v>
      </c>
      <c r="P310">
        <v>4</v>
      </c>
    </row>
    <row r="311" spans="1:16" x14ac:dyDescent="0.25">
      <c r="A311" s="1">
        <v>45209</v>
      </c>
      <c r="B311" s="2">
        <v>0.98888888888888893</v>
      </c>
      <c r="C311" t="s">
        <v>1194</v>
      </c>
      <c r="D311">
        <v>51</v>
      </c>
      <c r="E311" t="s">
        <v>808</v>
      </c>
      <c r="F311" t="s">
        <v>60</v>
      </c>
      <c r="G311">
        <v>-6.1490739999999997</v>
      </c>
      <c r="H311">
        <v>23.304411000000002</v>
      </c>
      <c r="I311" t="s">
        <v>1477</v>
      </c>
      <c r="J311" t="s">
        <v>1483</v>
      </c>
      <c r="K311" t="s">
        <v>59</v>
      </c>
      <c r="L311">
        <v>14</v>
      </c>
      <c r="M311" t="s">
        <v>14</v>
      </c>
      <c r="N311">
        <v>316</v>
      </c>
      <c r="O311">
        <v>62.34</v>
      </c>
      <c r="P311">
        <v>4</v>
      </c>
    </row>
    <row r="312" spans="1:16" x14ac:dyDescent="0.25">
      <c r="A312" s="1">
        <v>45214</v>
      </c>
      <c r="B312" s="2">
        <v>0.63472222222222219</v>
      </c>
      <c r="C312" t="s">
        <v>1194</v>
      </c>
      <c r="D312">
        <v>112</v>
      </c>
      <c r="E312" t="s">
        <v>808</v>
      </c>
      <c r="F312" t="s">
        <v>60</v>
      </c>
      <c r="G312">
        <v>-6.1490739999999997</v>
      </c>
      <c r="H312">
        <v>23.304411000000002</v>
      </c>
      <c r="I312" t="s">
        <v>1477</v>
      </c>
      <c r="J312" t="s">
        <v>1483</v>
      </c>
      <c r="K312" t="s">
        <v>59</v>
      </c>
      <c r="L312">
        <v>14</v>
      </c>
      <c r="M312" t="s">
        <v>14</v>
      </c>
      <c r="N312">
        <v>316</v>
      </c>
      <c r="O312">
        <v>62.34</v>
      </c>
      <c r="P312">
        <v>4</v>
      </c>
    </row>
    <row r="313" spans="1:16" x14ac:dyDescent="0.25">
      <c r="A313" s="1">
        <v>45204</v>
      </c>
      <c r="B313" s="2">
        <v>1.1111111111111112E-2</v>
      </c>
      <c r="C313" t="s">
        <v>1195</v>
      </c>
      <c r="D313">
        <v>12</v>
      </c>
      <c r="E313" t="s">
        <v>808</v>
      </c>
      <c r="F313" t="s">
        <v>78</v>
      </c>
      <c r="G313">
        <v>-1.6488929999999999</v>
      </c>
      <c r="H313">
        <v>27.284617000000001</v>
      </c>
      <c r="I313" t="s">
        <v>1477</v>
      </c>
      <c r="J313" t="s">
        <v>1490</v>
      </c>
      <c r="K313" t="s">
        <v>77</v>
      </c>
      <c r="L313">
        <v>81</v>
      </c>
      <c r="M313" t="s">
        <v>14</v>
      </c>
      <c r="N313">
        <v>154</v>
      </c>
      <c r="O313">
        <v>19.47</v>
      </c>
      <c r="P313">
        <v>3</v>
      </c>
    </row>
    <row r="314" spans="1:16" x14ac:dyDescent="0.25">
      <c r="A314" s="1">
        <v>45226</v>
      </c>
      <c r="B314" s="2">
        <v>0.96458333333333335</v>
      </c>
      <c r="C314" t="s">
        <v>1196</v>
      </c>
      <c r="D314">
        <v>27</v>
      </c>
      <c r="E314" t="s">
        <v>808</v>
      </c>
      <c r="F314" t="s">
        <v>137</v>
      </c>
      <c r="G314">
        <v>-11.354772000000001</v>
      </c>
      <c r="H314">
        <v>21.957325999999998</v>
      </c>
      <c r="I314" t="s">
        <v>1482</v>
      </c>
      <c r="J314" t="s">
        <v>1490</v>
      </c>
      <c r="K314" t="s">
        <v>136</v>
      </c>
      <c r="L314">
        <v>80</v>
      </c>
      <c r="M314" t="s">
        <v>22</v>
      </c>
      <c r="N314">
        <v>155</v>
      </c>
      <c r="O314">
        <v>28.96</v>
      </c>
      <c r="P314">
        <v>2</v>
      </c>
    </row>
    <row r="315" spans="1:16" x14ac:dyDescent="0.25">
      <c r="A315" s="1">
        <v>45220</v>
      </c>
      <c r="B315" s="2">
        <v>0.61875000000000002</v>
      </c>
      <c r="C315" t="s">
        <v>1198</v>
      </c>
      <c r="D315">
        <v>79</v>
      </c>
      <c r="E315" t="s">
        <v>807</v>
      </c>
      <c r="F315" t="s">
        <v>21</v>
      </c>
      <c r="G315">
        <v>-1.4700059999999999</v>
      </c>
      <c r="H315">
        <v>18.680958</v>
      </c>
      <c r="I315" t="s">
        <v>1482</v>
      </c>
      <c r="J315" t="s">
        <v>1481</v>
      </c>
      <c r="K315" t="s">
        <v>20</v>
      </c>
      <c r="L315">
        <v>101</v>
      </c>
      <c r="M315" t="s">
        <v>22</v>
      </c>
      <c r="N315">
        <v>358</v>
      </c>
      <c r="O315">
        <v>29.24</v>
      </c>
      <c r="P315">
        <v>3</v>
      </c>
    </row>
    <row r="316" spans="1:16" x14ac:dyDescent="0.25">
      <c r="A316" s="1">
        <v>45208</v>
      </c>
      <c r="B316" s="2">
        <v>0.10833333333333334</v>
      </c>
      <c r="C316" t="s">
        <v>1198</v>
      </c>
      <c r="D316">
        <v>102</v>
      </c>
      <c r="E316" t="s">
        <v>808</v>
      </c>
      <c r="F316" t="s">
        <v>21</v>
      </c>
      <c r="G316">
        <v>-1.4700059999999999</v>
      </c>
      <c r="H316">
        <v>18.680958</v>
      </c>
      <c r="I316" t="s">
        <v>1482</v>
      </c>
      <c r="J316" t="s">
        <v>1481</v>
      </c>
      <c r="K316" t="s">
        <v>20</v>
      </c>
      <c r="L316">
        <v>101</v>
      </c>
      <c r="M316" t="s">
        <v>22</v>
      </c>
      <c r="N316">
        <v>358</v>
      </c>
      <c r="O316">
        <v>29.24</v>
      </c>
      <c r="P316">
        <v>3</v>
      </c>
    </row>
    <row r="317" spans="1:16" x14ac:dyDescent="0.25">
      <c r="A317" s="1">
        <v>45230</v>
      </c>
      <c r="B317" s="2">
        <v>0.12777777777777777</v>
      </c>
      <c r="C317" t="s">
        <v>1201</v>
      </c>
      <c r="D317">
        <v>87</v>
      </c>
      <c r="E317" t="s">
        <v>812</v>
      </c>
      <c r="F317" t="s">
        <v>24</v>
      </c>
      <c r="G317">
        <v>-10.945031</v>
      </c>
      <c r="H317">
        <v>27.922274000000002</v>
      </c>
      <c r="I317" t="s">
        <v>1480</v>
      </c>
      <c r="J317" t="s">
        <v>1478</v>
      </c>
      <c r="K317" t="s">
        <v>23</v>
      </c>
      <c r="L317">
        <v>46</v>
      </c>
      <c r="M317" t="s">
        <v>11</v>
      </c>
      <c r="N317">
        <v>283</v>
      </c>
      <c r="O317">
        <v>56.05</v>
      </c>
      <c r="P317">
        <v>1</v>
      </c>
    </row>
    <row r="318" spans="1:16" x14ac:dyDescent="0.25">
      <c r="A318" s="1">
        <v>45200</v>
      </c>
      <c r="B318" s="2">
        <v>0.50624999999999998</v>
      </c>
      <c r="C318" t="s">
        <v>1201</v>
      </c>
      <c r="D318">
        <v>99</v>
      </c>
      <c r="E318" t="s">
        <v>807</v>
      </c>
      <c r="F318" t="s">
        <v>24</v>
      </c>
      <c r="G318">
        <v>-10.945031</v>
      </c>
      <c r="H318">
        <v>27.922274000000002</v>
      </c>
      <c r="I318" t="s">
        <v>1480</v>
      </c>
      <c r="J318" t="s">
        <v>1478</v>
      </c>
      <c r="K318" t="s">
        <v>23</v>
      </c>
      <c r="L318">
        <v>46</v>
      </c>
      <c r="M318" t="s">
        <v>11</v>
      </c>
      <c r="N318">
        <v>283</v>
      </c>
      <c r="O318">
        <v>56.05</v>
      </c>
      <c r="P318">
        <v>1</v>
      </c>
    </row>
    <row r="319" spans="1:16" x14ac:dyDescent="0.25">
      <c r="A319" s="1">
        <v>45200</v>
      </c>
      <c r="B319" s="2">
        <v>0.44513888888888886</v>
      </c>
      <c r="C319" t="s">
        <v>1201</v>
      </c>
      <c r="D319">
        <v>112</v>
      </c>
      <c r="E319" t="s">
        <v>807</v>
      </c>
      <c r="F319" t="s">
        <v>24</v>
      </c>
      <c r="G319">
        <v>-10.945031</v>
      </c>
      <c r="H319">
        <v>27.922274000000002</v>
      </c>
      <c r="I319" t="s">
        <v>1480</v>
      </c>
      <c r="J319" t="s">
        <v>1478</v>
      </c>
      <c r="K319" t="s">
        <v>23</v>
      </c>
      <c r="L319">
        <v>46</v>
      </c>
      <c r="M319" t="s">
        <v>11</v>
      </c>
      <c r="N319">
        <v>283</v>
      </c>
      <c r="O319">
        <v>56.05</v>
      </c>
      <c r="P319">
        <v>1</v>
      </c>
    </row>
    <row r="320" spans="1:16" x14ac:dyDescent="0.25">
      <c r="A320" s="1">
        <v>45217</v>
      </c>
      <c r="B320" s="2">
        <v>0.38472222222222224</v>
      </c>
      <c r="C320" t="s">
        <v>1202</v>
      </c>
      <c r="D320">
        <v>99</v>
      </c>
      <c r="E320" t="s">
        <v>808</v>
      </c>
      <c r="F320" t="s">
        <v>18</v>
      </c>
      <c r="G320">
        <v>-4.8157019999999999</v>
      </c>
      <c r="H320">
        <v>27.679798000000002</v>
      </c>
      <c r="I320" t="s">
        <v>1482</v>
      </c>
      <c r="J320" t="s">
        <v>1478</v>
      </c>
      <c r="K320" t="s">
        <v>17</v>
      </c>
      <c r="L320">
        <v>44</v>
      </c>
      <c r="M320" t="s">
        <v>19</v>
      </c>
      <c r="N320">
        <v>348</v>
      </c>
      <c r="O320">
        <v>58.67</v>
      </c>
      <c r="P320">
        <v>0</v>
      </c>
    </row>
    <row r="321" spans="1:16" x14ac:dyDescent="0.25">
      <c r="A321" s="1">
        <v>45228</v>
      </c>
      <c r="B321" s="2">
        <v>0.73611111111111116</v>
      </c>
      <c r="C321" t="s">
        <v>1203</v>
      </c>
      <c r="D321">
        <v>66</v>
      </c>
      <c r="E321" t="s">
        <v>812</v>
      </c>
      <c r="F321" t="s">
        <v>57</v>
      </c>
      <c r="G321">
        <v>-4.4831099999999999</v>
      </c>
      <c r="H321">
        <v>25.406548000000001</v>
      </c>
      <c r="I321" t="s">
        <v>1477</v>
      </c>
      <c r="J321" t="s">
        <v>1490</v>
      </c>
      <c r="K321" t="s">
        <v>56</v>
      </c>
      <c r="L321">
        <v>97</v>
      </c>
      <c r="M321" t="s">
        <v>14</v>
      </c>
      <c r="N321">
        <v>319</v>
      </c>
      <c r="O321">
        <v>31.25</v>
      </c>
      <c r="P321">
        <v>1</v>
      </c>
    </row>
    <row r="322" spans="1:16" x14ac:dyDescent="0.25">
      <c r="A322" s="1">
        <v>45209</v>
      </c>
      <c r="B322" s="2">
        <v>0.90138888888888891</v>
      </c>
      <c r="C322" t="s">
        <v>1206</v>
      </c>
      <c r="D322">
        <v>68</v>
      </c>
      <c r="E322" t="s">
        <v>808</v>
      </c>
      <c r="F322" t="s">
        <v>31</v>
      </c>
      <c r="G322">
        <v>-8.3241560000000003</v>
      </c>
      <c r="H322">
        <v>19.543866000000001</v>
      </c>
      <c r="I322" t="s">
        <v>1480</v>
      </c>
      <c r="J322" t="s">
        <v>1483</v>
      </c>
      <c r="K322" t="s">
        <v>30</v>
      </c>
      <c r="L322">
        <v>113</v>
      </c>
      <c r="M322" t="s">
        <v>22</v>
      </c>
      <c r="N322">
        <v>380</v>
      </c>
      <c r="O322">
        <v>12.11</v>
      </c>
      <c r="P322">
        <v>0</v>
      </c>
    </row>
    <row r="323" spans="1:16" x14ac:dyDescent="0.25">
      <c r="A323" s="1">
        <v>45208</v>
      </c>
      <c r="B323" s="2">
        <v>0.27916666666666667</v>
      </c>
      <c r="C323" t="s">
        <v>1207</v>
      </c>
      <c r="D323">
        <v>41</v>
      </c>
      <c r="E323" t="s">
        <v>808</v>
      </c>
      <c r="F323" t="s">
        <v>89</v>
      </c>
      <c r="G323">
        <v>-9.3066320000000005</v>
      </c>
      <c r="H323">
        <v>20.470889</v>
      </c>
      <c r="I323" t="s">
        <v>1477</v>
      </c>
      <c r="J323" t="s">
        <v>1483</v>
      </c>
      <c r="K323" t="s">
        <v>88</v>
      </c>
      <c r="L323">
        <v>98</v>
      </c>
      <c r="M323" t="s">
        <v>14</v>
      </c>
      <c r="N323">
        <v>482</v>
      </c>
      <c r="O323">
        <v>55.04</v>
      </c>
      <c r="P323">
        <v>5</v>
      </c>
    </row>
    <row r="324" spans="1:16" x14ac:dyDescent="0.25">
      <c r="A324" s="1">
        <v>45221</v>
      </c>
      <c r="B324" s="2">
        <v>0.27847222222222223</v>
      </c>
      <c r="C324" t="s">
        <v>1210</v>
      </c>
      <c r="D324">
        <v>83</v>
      </c>
      <c r="E324" t="s">
        <v>812</v>
      </c>
      <c r="F324" t="s">
        <v>13</v>
      </c>
      <c r="G324">
        <v>-12.292039000000001</v>
      </c>
      <c r="H324">
        <v>27.538202999999999</v>
      </c>
      <c r="I324" t="s">
        <v>1482</v>
      </c>
      <c r="J324" t="s">
        <v>1481</v>
      </c>
      <c r="K324" t="s">
        <v>12</v>
      </c>
      <c r="L324">
        <v>63</v>
      </c>
      <c r="M324" t="s">
        <v>14</v>
      </c>
      <c r="N324">
        <v>205</v>
      </c>
      <c r="O324">
        <v>89.19</v>
      </c>
      <c r="P324">
        <v>0</v>
      </c>
    </row>
    <row r="325" spans="1:16" x14ac:dyDescent="0.25">
      <c r="A325" s="1">
        <v>45205</v>
      </c>
      <c r="B325" s="2">
        <v>0.47152777777777777</v>
      </c>
      <c r="C325" t="s">
        <v>1211</v>
      </c>
      <c r="D325">
        <v>50</v>
      </c>
      <c r="E325" t="s">
        <v>808</v>
      </c>
      <c r="F325" t="s">
        <v>18</v>
      </c>
      <c r="G325">
        <v>2.628638</v>
      </c>
      <c r="H325">
        <v>28.420582</v>
      </c>
      <c r="I325" t="s">
        <v>1480</v>
      </c>
      <c r="J325" t="s">
        <v>1481</v>
      </c>
      <c r="K325" t="s">
        <v>17</v>
      </c>
      <c r="L325">
        <v>44</v>
      </c>
      <c r="M325" t="s">
        <v>19</v>
      </c>
      <c r="N325">
        <v>348</v>
      </c>
      <c r="O325">
        <v>58.67</v>
      </c>
      <c r="P325">
        <v>0</v>
      </c>
    </row>
    <row r="326" spans="1:16" x14ac:dyDescent="0.25">
      <c r="A326" s="1">
        <v>45200</v>
      </c>
      <c r="B326" s="2">
        <v>0.34236111111111112</v>
      </c>
      <c r="C326" t="s">
        <v>1211</v>
      </c>
      <c r="D326">
        <v>86</v>
      </c>
      <c r="E326" t="s">
        <v>808</v>
      </c>
      <c r="F326" t="s">
        <v>18</v>
      </c>
      <c r="G326">
        <v>2.628638</v>
      </c>
      <c r="H326">
        <v>28.420582</v>
      </c>
      <c r="I326" t="s">
        <v>1480</v>
      </c>
      <c r="J326" t="s">
        <v>1481</v>
      </c>
      <c r="K326" t="s">
        <v>17</v>
      </c>
      <c r="L326">
        <v>44</v>
      </c>
      <c r="M326" t="s">
        <v>19</v>
      </c>
      <c r="N326">
        <v>348</v>
      </c>
      <c r="O326">
        <v>58.67</v>
      </c>
      <c r="P326">
        <v>0</v>
      </c>
    </row>
    <row r="327" spans="1:16" x14ac:dyDescent="0.25">
      <c r="A327" s="1">
        <v>45229</v>
      </c>
      <c r="B327" s="2">
        <v>0.97222222222222221</v>
      </c>
      <c r="C327" t="s">
        <v>1213</v>
      </c>
      <c r="D327">
        <v>5</v>
      </c>
      <c r="E327" t="s">
        <v>812</v>
      </c>
      <c r="F327" t="s">
        <v>89</v>
      </c>
      <c r="G327">
        <v>-8.4985189999999999</v>
      </c>
      <c r="H327">
        <v>12.929456999999999</v>
      </c>
      <c r="I327" t="s">
        <v>1480</v>
      </c>
      <c r="J327" t="s">
        <v>1478</v>
      </c>
      <c r="K327" t="s">
        <v>88</v>
      </c>
      <c r="L327">
        <v>98</v>
      </c>
      <c r="M327" t="s">
        <v>14</v>
      </c>
      <c r="N327">
        <v>482</v>
      </c>
      <c r="O327">
        <v>55.04</v>
      </c>
      <c r="P327">
        <v>5</v>
      </c>
    </row>
    <row r="328" spans="1:16" x14ac:dyDescent="0.25">
      <c r="A328" s="1">
        <v>45226</v>
      </c>
      <c r="B328" s="2">
        <v>0.20902777777777778</v>
      </c>
      <c r="C328" t="s">
        <v>1213</v>
      </c>
      <c r="D328">
        <v>81</v>
      </c>
      <c r="E328" t="s">
        <v>812</v>
      </c>
      <c r="F328" t="s">
        <v>89</v>
      </c>
      <c r="G328">
        <v>-8.4985189999999999</v>
      </c>
      <c r="H328">
        <v>12.929456999999999</v>
      </c>
      <c r="I328" t="s">
        <v>1480</v>
      </c>
      <c r="J328" t="s">
        <v>1478</v>
      </c>
      <c r="K328" t="s">
        <v>88</v>
      </c>
      <c r="L328">
        <v>98</v>
      </c>
      <c r="M328" t="s">
        <v>14</v>
      </c>
      <c r="N328">
        <v>482</v>
      </c>
      <c r="O328">
        <v>55.04</v>
      </c>
      <c r="P328">
        <v>5</v>
      </c>
    </row>
    <row r="329" spans="1:16" x14ac:dyDescent="0.25">
      <c r="A329" s="1">
        <v>45213</v>
      </c>
      <c r="B329" s="2">
        <v>0.23819444444444443</v>
      </c>
      <c r="C329" t="s">
        <v>1213</v>
      </c>
      <c r="D329">
        <v>53</v>
      </c>
      <c r="E329" t="s">
        <v>808</v>
      </c>
      <c r="F329" t="s">
        <v>89</v>
      </c>
      <c r="G329">
        <v>-8.4985189999999999</v>
      </c>
      <c r="H329">
        <v>12.929456999999999</v>
      </c>
      <c r="I329" t="s">
        <v>1480</v>
      </c>
      <c r="J329" t="s">
        <v>1478</v>
      </c>
      <c r="K329" t="s">
        <v>88</v>
      </c>
      <c r="L329">
        <v>98</v>
      </c>
      <c r="M329" t="s">
        <v>14</v>
      </c>
      <c r="N329">
        <v>482</v>
      </c>
      <c r="O329">
        <v>55.04</v>
      </c>
      <c r="P329">
        <v>5</v>
      </c>
    </row>
    <row r="330" spans="1:16" x14ac:dyDescent="0.25">
      <c r="A330" s="1">
        <v>45212</v>
      </c>
      <c r="B330" s="2">
        <v>0.96527777777777779</v>
      </c>
      <c r="C330" t="s">
        <v>1216</v>
      </c>
      <c r="D330">
        <v>27</v>
      </c>
      <c r="E330" t="s">
        <v>812</v>
      </c>
      <c r="F330" t="s">
        <v>62</v>
      </c>
      <c r="G330">
        <v>0.79124300000000003</v>
      </c>
      <c r="H330">
        <v>25.273389000000002</v>
      </c>
      <c r="I330" t="s">
        <v>1480</v>
      </c>
      <c r="J330" t="s">
        <v>1490</v>
      </c>
      <c r="K330" t="s">
        <v>61</v>
      </c>
      <c r="L330">
        <v>101</v>
      </c>
      <c r="M330" t="s">
        <v>14</v>
      </c>
      <c r="N330">
        <v>333</v>
      </c>
      <c r="O330">
        <v>74.319999999999993</v>
      </c>
      <c r="P330">
        <v>1</v>
      </c>
    </row>
    <row r="331" spans="1:16" x14ac:dyDescent="0.25">
      <c r="A331" s="1">
        <v>45221</v>
      </c>
      <c r="B331" s="2">
        <v>0.19791666666666666</v>
      </c>
      <c r="C331" t="s">
        <v>1217</v>
      </c>
      <c r="D331">
        <v>61</v>
      </c>
      <c r="E331" t="s">
        <v>812</v>
      </c>
      <c r="F331" t="s">
        <v>40</v>
      </c>
      <c r="G331">
        <v>-7.5129409999999996</v>
      </c>
      <c r="H331">
        <v>18.701522000000001</v>
      </c>
      <c r="I331" t="s">
        <v>1480</v>
      </c>
      <c r="J331" t="s">
        <v>1490</v>
      </c>
      <c r="K331" t="s">
        <v>39</v>
      </c>
      <c r="L331">
        <v>110</v>
      </c>
      <c r="M331" t="s">
        <v>14</v>
      </c>
      <c r="N331">
        <v>423</v>
      </c>
      <c r="O331">
        <v>37.35</v>
      </c>
      <c r="P331">
        <v>4</v>
      </c>
    </row>
    <row r="332" spans="1:16" x14ac:dyDescent="0.25">
      <c r="A332" s="1">
        <v>45218</v>
      </c>
      <c r="B332" s="2">
        <v>0.28611111111111109</v>
      </c>
      <c r="C332" t="s">
        <v>1217</v>
      </c>
      <c r="D332">
        <v>89</v>
      </c>
      <c r="E332" t="s">
        <v>807</v>
      </c>
      <c r="F332" t="s">
        <v>40</v>
      </c>
      <c r="G332">
        <v>-7.5129409999999996</v>
      </c>
      <c r="H332">
        <v>18.701522000000001</v>
      </c>
      <c r="I332" t="s">
        <v>1480</v>
      </c>
      <c r="J332" t="s">
        <v>1490</v>
      </c>
      <c r="K332" t="s">
        <v>39</v>
      </c>
      <c r="L332">
        <v>110</v>
      </c>
      <c r="M332" t="s">
        <v>14</v>
      </c>
      <c r="N332">
        <v>423</v>
      </c>
      <c r="O332">
        <v>37.35</v>
      </c>
      <c r="P332">
        <v>4</v>
      </c>
    </row>
    <row r="333" spans="1:16" x14ac:dyDescent="0.25">
      <c r="A333" s="1">
        <v>45208</v>
      </c>
      <c r="B333" s="2">
        <v>0.95763888888888893</v>
      </c>
      <c r="C333" t="s">
        <v>1218</v>
      </c>
      <c r="D333">
        <v>115</v>
      </c>
      <c r="E333" t="s">
        <v>807</v>
      </c>
      <c r="F333" t="s">
        <v>73</v>
      </c>
      <c r="G333">
        <v>-6.1837850000000003</v>
      </c>
      <c r="H333">
        <v>25.138759</v>
      </c>
      <c r="I333" t="s">
        <v>1482</v>
      </c>
      <c r="J333" t="s">
        <v>1478</v>
      </c>
      <c r="K333" t="s">
        <v>72</v>
      </c>
      <c r="L333">
        <v>6</v>
      </c>
      <c r="M333" t="s">
        <v>11</v>
      </c>
      <c r="N333">
        <v>207</v>
      </c>
      <c r="O333">
        <v>61.55</v>
      </c>
      <c r="P333">
        <v>0</v>
      </c>
    </row>
    <row r="334" spans="1:16" x14ac:dyDescent="0.25">
      <c r="A334" s="1">
        <v>45200</v>
      </c>
      <c r="B334" s="2">
        <v>0.53472222222222221</v>
      </c>
      <c r="C334" t="s">
        <v>1220</v>
      </c>
      <c r="D334">
        <v>50</v>
      </c>
      <c r="E334" t="s">
        <v>812</v>
      </c>
      <c r="F334" t="s">
        <v>13</v>
      </c>
      <c r="G334">
        <v>-7.7587710000000003</v>
      </c>
      <c r="H334">
        <v>17.880848</v>
      </c>
      <c r="I334" t="s">
        <v>1482</v>
      </c>
      <c r="J334" t="s">
        <v>1478</v>
      </c>
      <c r="K334" t="s">
        <v>12</v>
      </c>
      <c r="L334">
        <v>63</v>
      </c>
      <c r="M334" t="s">
        <v>14</v>
      </c>
      <c r="N334">
        <v>205</v>
      </c>
      <c r="O334">
        <v>89.19</v>
      </c>
      <c r="P334">
        <v>0</v>
      </c>
    </row>
    <row r="335" spans="1:16" x14ac:dyDescent="0.25">
      <c r="A335" s="1">
        <v>45213</v>
      </c>
      <c r="B335" s="2">
        <v>0.87222222222222223</v>
      </c>
      <c r="C335" t="s">
        <v>1221</v>
      </c>
      <c r="D335">
        <v>46</v>
      </c>
      <c r="E335" t="s">
        <v>808</v>
      </c>
      <c r="F335" t="s">
        <v>35</v>
      </c>
      <c r="G335">
        <v>-7.513261</v>
      </c>
      <c r="H335">
        <v>24.338812000000001</v>
      </c>
      <c r="I335" t="s">
        <v>1477</v>
      </c>
      <c r="J335" t="s">
        <v>1481</v>
      </c>
      <c r="K335" t="s">
        <v>34</v>
      </c>
      <c r="L335">
        <v>35</v>
      </c>
      <c r="M335" t="s">
        <v>14</v>
      </c>
      <c r="N335">
        <v>465</v>
      </c>
      <c r="O335">
        <v>58.59</v>
      </c>
      <c r="P335">
        <v>5</v>
      </c>
    </row>
    <row r="336" spans="1:16" x14ac:dyDescent="0.25">
      <c r="A336" s="1">
        <v>45219</v>
      </c>
      <c r="B336" s="2">
        <v>0.18124999999999999</v>
      </c>
      <c r="C336" t="s">
        <v>1222</v>
      </c>
      <c r="D336">
        <v>97</v>
      </c>
      <c r="E336" t="s">
        <v>808</v>
      </c>
      <c r="F336" t="s">
        <v>131</v>
      </c>
      <c r="G336">
        <v>-4.1754939999999996</v>
      </c>
      <c r="H336">
        <v>16.704664999999999</v>
      </c>
      <c r="I336" t="s">
        <v>1482</v>
      </c>
      <c r="J336" t="s">
        <v>1478</v>
      </c>
      <c r="K336" t="s">
        <v>130</v>
      </c>
      <c r="L336">
        <v>16</v>
      </c>
      <c r="M336" t="s">
        <v>19</v>
      </c>
      <c r="N336">
        <v>390</v>
      </c>
      <c r="O336">
        <v>98.17</v>
      </c>
      <c r="P336">
        <v>5</v>
      </c>
    </row>
    <row r="337" spans="1:16" x14ac:dyDescent="0.25">
      <c r="A337" s="1">
        <v>45217</v>
      </c>
      <c r="B337" s="2">
        <v>0.36875000000000002</v>
      </c>
      <c r="C337" t="s">
        <v>1222</v>
      </c>
      <c r="D337">
        <v>8</v>
      </c>
      <c r="E337" t="s">
        <v>807</v>
      </c>
      <c r="F337" t="s">
        <v>131</v>
      </c>
      <c r="G337">
        <v>-4.1754939999999996</v>
      </c>
      <c r="H337">
        <v>16.704664999999999</v>
      </c>
      <c r="I337" t="s">
        <v>1482</v>
      </c>
      <c r="J337" t="s">
        <v>1478</v>
      </c>
      <c r="K337" t="s">
        <v>130</v>
      </c>
      <c r="L337">
        <v>16</v>
      </c>
      <c r="M337" t="s">
        <v>19</v>
      </c>
      <c r="N337">
        <v>390</v>
      </c>
      <c r="O337">
        <v>98.17</v>
      </c>
      <c r="P337">
        <v>5</v>
      </c>
    </row>
    <row r="338" spans="1:16" x14ac:dyDescent="0.25">
      <c r="A338" s="1">
        <v>45206</v>
      </c>
      <c r="B338" s="2">
        <v>0.97430555555555554</v>
      </c>
      <c r="C338" t="s">
        <v>1223</v>
      </c>
      <c r="D338">
        <v>53</v>
      </c>
      <c r="E338" t="s">
        <v>808</v>
      </c>
      <c r="F338" t="s">
        <v>24</v>
      </c>
      <c r="G338">
        <v>-2.926736</v>
      </c>
      <c r="H338">
        <v>18.170461</v>
      </c>
      <c r="I338" t="s">
        <v>1477</v>
      </c>
      <c r="J338" t="s">
        <v>1478</v>
      </c>
      <c r="K338" t="s">
        <v>23</v>
      </c>
      <c r="L338">
        <v>46</v>
      </c>
      <c r="M338" t="s">
        <v>11</v>
      </c>
      <c r="N338">
        <v>283</v>
      </c>
      <c r="O338">
        <v>56.05</v>
      </c>
      <c r="P338">
        <v>1</v>
      </c>
    </row>
    <row r="339" spans="1:16" x14ac:dyDescent="0.25">
      <c r="A339" s="1">
        <v>45217</v>
      </c>
      <c r="B339" s="2">
        <v>0.75555555555555554</v>
      </c>
      <c r="C339" t="s">
        <v>1224</v>
      </c>
      <c r="D339">
        <v>100</v>
      </c>
      <c r="E339" t="s">
        <v>807</v>
      </c>
      <c r="F339" t="s">
        <v>127</v>
      </c>
      <c r="G339">
        <v>-3.003879</v>
      </c>
      <c r="H339">
        <v>23.633893</v>
      </c>
      <c r="I339" t="s">
        <v>1477</v>
      </c>
      <c r="J339" t="s">
        <v>1478</v>
      </c>
      <c r="K339" t="s">
        <v>126</v>
      </c>
      <c r="L339">
        <v>40</v>
      </c>
      <c r="M339" t="s">
        <v>11</v>
      </c>
      <c r="N339">
        <v>345</v>
      </c>
      <c r="O339">
        <v>89.55</v>
      </c>
      <c r="P339">
        <v>3</v>
      </c>
    </row>
    <row r="340" spans="1:16" x14ac:dyDescent="0.25">
      <c r="A340" s="1">
        <v>45224</v>
      </c>
      <c r="B340" s="2">
        <v>0.4284722222222222</v>
      </c>
      <c r="C340" t="s">
        <v>1226</v>
      </c>
      <c r="D340">
        <v>65</v>
      </c>
      <c r="E340" t="s">
        <v>808</v>
      </c>
      <c r="F340" t="s">
        <v>24</v>
      </c>
      <c r="G340">
        <v>0.172153</v>
      </c>
      <c r="H340">
        <v>21.091376</v>
      </c>
      <c r="I340" t="s">
        <v>1482</v>
      </c>
      <c r="J340" t="s">
        <v>1478</v>
      </c>
      <c r="K340" t="s">
        <v>23</v>
      </c>
      <c r="L340">
        <v>46</v>
      </c>
      <c r="M340" t="s">
        <v>11</v>
      </c>
      <c r="N340">
        <v>283</v>
      </c>
      <c r="O340">
        <v>56.05</v>
      </c>
      <c r="P340">
        <v>1</v>
      </c>
    </row>
    <row r="341" spans="1:16" x14ac:dyDescent="0.25">
      <c r="A341" s="1">
        <v>45214</v>
      </c>
      <c r="B341" s="2">
        <v>0.71319444444444446</v>
      </c>
      <c r="C341" t="s">
        <v>1226</v>
      </c>
      <c r="D341">
        <v>25</v>
      </c>
      <c r="E341" t="s">
        <v>807</v>
      </c>
      <c r="F341" t="s">
        <v>24</v>
      </c>
      <c r="G341">
        <v>0.172153</v>
      </c>
      <c r="H341">
        <v>21.091376</v>
      </c>
      <c r="I341" t="s">
        <v>1482</v>
      </c>
      <c r="J341" t="s">
        <v>1478</v>
      </c>
      <c r="K341" t="s">
        <v>23</v>
      </c>
      <c r="L341">
        <v>46</v>
      </c>
      <c r="M341" t="s">
        <v>11</v>
      </c>
      <c r="N341">
        <v>283</v>
      </c>
      <c r="O341">
        <v>56.05</v>
      </c>
      <c r="P341">
        <v>1</v>
      </c>
    </row>
    <row r="342" spans="1:16" x14ac:dyDescent="0.25">
      <c r="A342" s="1">
        <v>45201</v>
      </c>
      <c r="B342" s="2">
        <v>0.57430555555555551</v>
      </c>
      <c r="C342" t="s">
        <v>1226</v>
      </c>
      <c r="D342">
        <v>75</v>
      </c>
      <c r="E342" t="s">
        <v>812</v>
      </c>
      <c r="F342" t="s">
        <v>24</v>
      </c>
      <c r="G342">
        <v>0.172153</v>
      </c>
      <c r="H342">
        <v>21.091376</v>
      </c>
      <c r="I342" t="s">
        <v>1482</v>
      </c>
      <c r="J342" t="s">
        <v>1478</v>
      </c>
      <c r="K342" t="s">
        <v>23</v>
      </c>
      <c r="L342">
        <v>46</v>
      </c>
      <c r="M342" t="s">
        <v>11</v>
      </c>
      <c r="N342">
        <v>283</v>
      </c>
      <c r="O342">
        <v>56.05</v>
      </c>
      <c r="P342">
        <v>1</v>
      </c>
    </row>
    <row r="343" spans="1:16" x14ac:dyDescent="0.25">
      <c r="A343" s="1">
        <v>45213</v>
      </c>
      <c r="B343" s="2">
        <v>2.7083333333333334E-2</v>
      </c>
      <c r="C343" t="s">
        <v>1228</v>
      </c>
      <c r="D343">
        <v>68</v>
      </c>
      <c r="E343" t="s">
        <v>812</v>
      </c>
      <c r="F343" t="s">
        <v>40</v>
      </c>
      <c r="G343">
        <v>-8.1210620000000002</v>
      </c>
      <c r="H343">
        <v>21.094390000000001</v>
      </c>
      <c r="I343" t="s">
        <v>1477</v>
      </c>
      <c r="J343" t="s">
        <v>1483</v>
      </c>
      <c r="K343" t="s">
        <v>39</v>
      </c>
      <c r="L343">
        <v>110</v>
      </c>
      <c r="M343" t="s">
        <v>14</v>
      </c>
      <c r="N343">
        <v>423</v>
      </c>
      <c r="O343">
        <v>37.35</v>
      </c>
      <c r="P343">
        <v>4</v>
      </c>
    </row>
    <row r="344" spans="1:16" x14ac:dyDescent="0.25">
      <c r="A344" s="1">
        <v>45211</v>
      </c>
      <c r="B344" s="2">
        <v>0.61875000000000002</v>
      </c>
      <c r="C344" t="s">
        <v>1229</v>
      </c>
      <c r="D344">
        <v>92</v>
      </c>
      <c r="E344" t="s">
        <v>807</v>
      </c>
      <c r="F344" t="s">
        <v>73</v>
      </c>
      <c r="G344">
        <v>-0.85624699999999998</v>
      </c>
      <c r="H344">
        <v>28.624870000000001</v>
      </c>
      <c r="I344" t="s">
        <v>1482</v>
      </c>
      <c r="J344" t="s">
        <v>1478</v>
      </c>
      <c r="K344" t="s">
        <v>72</v>
      </c>
      <c r="L344">
        <v>6</v>
      </c>
      <c r="M344" t="s">
        <v>11</v>
      </c>
      <c r="N344">
        <v>207</v>
      </c>
      <c r="O344">
        <v>61.55</v>
      </c>
      <c r="P344">
        <v>0</v>
      </c>
    </row>
    <row r="345" spans="1:16" x14ac:dyDescent="0.25">
      <c r="A345" s="1">
        <v>45215</v>
      </c>
      <c r="B345" s="2">
        <v>0.77500000000000002</v>
      </c>
      <c r="C345" t="s">
        <v>1229</v>
      </c>
      <c r="D345">
        <v>95</v>
      </c>
      <c r="E345" t="s">
        <v>808</v>
      </c>
      <c r="F345" t="s">
        <v>73</v>
      </c>
      <c r="G345">
        <v>-0.85624699999999998</v>
      </c>
      <c r="H345">
        <v>28.624870000000001</v>
      </c>
      <c r="I345" t="s">
        <v>1482</v>
      </c>
      <c r="J345" t="s">
        <v>1478</v>
      </c>
      <c r="K345" t="s">
        <v>72</v>
      </c>
      <c r="L345">
        <v>6</v>
      </c>
      <c r="M345" t="s">
        <v>11</v>
      </c>
      <c r="N345">
        <v>207</v>
      </c>
      <c r="O345">
        <v>61.55</v>
      </c>
      <c r="P345">
        <v>0</v>
      </c>
    </row>
    <row r="346" spans="1:16" x14ac:dyDescent="0.25">
      <c r="A346" s="1">
        <v>45215</v>
      </c>
      <c r="B346" s="2">
        <v>0.77638888888888891</v>
      </c>
      <c r="C346" t="s">
        <v>1234</v>
      </c>
      <c r="D346">
        <v>87</v>
      </c>
      <c r="E346" t="s">
        <v>812</v>
      </c>
      <c r="F346" t="s">
        <v>29</v>
      </c>
      <c r="G346">
        <v>2.5665840000000002</v>
      </c>
      <c r="H346">
        <v>15.764796</v>
      </c>
      <c r="I346" t="s">
        <v>1482</v>
      </c>
      <c r="J346" t="s">
        <v>1483</v>
      </c>
      <c r="K346" t="s">
        <v>28</v>
      </c>
      <c r="L346">
        <v>99</v>
      </c>
      <c r="M346" t="s">
        <v>19</v>
      </c>
      <c r="N346">
        <v>369</v>
      </c>
      <c r="O346">
        <v>67.209999999999994</v>
      </c>
      <c r="P346">
        <v>3</v>
      </c>
    </row>
    <row r="347" spans="1:16" x14ac:dyDescent="0.25">
      <c r="A347" s="1">
        <v>45204</v>
      </c>
      <c r="B347" s="2">
        <v>0.28333333333333333</v>
      </c>
      <c r="C347" t="s">
        <v>1236</v>
      </c>
      <c r="D347">
        <v>11</v>
      </c>
      <c r="E347" t="s">
        <v>812</v>
      </c>
      <c r="F347" t="s">
        <v>67</v>
      </c>
      <c r="G347">
        <v>-2.2371569999999998</v>
      </c>
      <c r="H347">
        <v>25.926188</v>
      </c>
      <c r="I347" t="s">
        <v>1482</v>
      </c>
      <c r="J347" t="s">
        <v>1490</v>
      </c>
      <c r="K347" t="s">
        <v>66</v>
      </c>
      <c r="L347">
        <v>101</v>
      </c>
      <c r="M347" t="s">
        <v>14</v>
      </c>
      <c r="N347">
        <v>176</v>
      </c>
      <c r="O347">
        <v>86</v>
      </c>
      <c r="P347">
        <v>3</v>
      </c>
    </row>
    <row r="348" spans="1:16" x14ac:dyDescent="0.25">
      <c r="A348" s="1">
        <v>45224</v>
      </c>
      <c r="B348" s="2">
        <v>0.4826388888888889</v>
      </c>
      <c r="C348" t="s">
        <v>1236</v>
      </c>
      <c r="D348">
        <v>95</v>
      </c>
      <c r="E348" t="s">
        <v>808</v>
      </c>
      <c r="F348" t="s">
        <v>67</v>
      </c>
      <c r="G348">
        <v>-2.2371569999999998</v>
      </c>
      <c r="H348">
        <v>25.926188</v>
      </c>
      <c r="I348" t="s">
        <v>1482</v>
      </c>
      <c r="J348" t="s">
        <v>1490</v>
      </c>
      <c r="K348" t="s">
        <v>66</v>
      </c>
      <c r="L348">
        <v>101</v>
      </c>
      <c r="M348" t="s">
        <v>14</v>
      </c>
      <c r="N348">
        <v>176</v>
      </c>
      <c r="O348">
        <v>86</v>
      </c>
      <c r="P348">
        <v>3</v>
      </c>
    </row>
    <row r="349" spans="1:16" x14ac:dyDescent="0.25">
      <c r="A349" s="1">
        <v>45215</v>
      </c>
      <c r="B349" s="2">
        <v>0.37638888888888888</v>
      </c>
      <c r="C349" t="s">
        <v>1236</v>
      </c>
      <c r="D349">
        <v>65</v>
      </c>
      <c r="E349" t="s">
        <v>812</v>
      </c>
      <c r="F349" t="s">
        <v>67</v>
      </c>
      <c r="G349">
        <v>-2.2371569999999998</v>
      </c>
      <c r="H349">
        <v>25.926188</v>
      </c>
      <c r="I349" t="s">
        <v>1482</v>
      </c>
      <c r="J349" t="s">
        <v>1490</v>
      </c>
      <c r="K349" t="s">
        <v>66</v>
      </c>
      <c r="L349">
        <v>101</v>
      </c>
      <c r="M349" t="s">
        <v>14</v>
      </c>
      <c r="N349">
        <v>176</v>
      </c>
      <c r="O349">
        <v>86</v>
      </c>
      <c r="P349">
        <v>3</v>
      </c>
    </row>
    <row r="350" spans="1:16" x14ac:dyDescent="0.25">
      <c r="A350" s="1">
        <v>45216</v>
      </c>
      <c r="B350" s="2">
        <v>0.90277777777777779</v>
      </c>
      <c r="C350" t="s">
        <v>1237</v>
      </c>
      <c r="D350">
        <v>20</v>
      </c>
      <c r="E350" t="s">
        <v>812</v>
      </c>
      <c r="F350" t="s">
        <v>51</v>
      </c>
      <c r="G350">
        <v>-4.2408359999999998</v>
      </c>
      <c r="H350">
        <v>26.210014000000001</v>
      </c>
      <c r="I350" t="s">
        <v>1480</v>
      </c>
      <c r="J350" t="s">
        <v>1481</v>
      </c>
      <c r="K350" t="s">
        <v>50</v>
      </c>
      <c r="L350">
        <v>119</v>
      </c>
      <c r="M350" t="s">
        <v>22</v>
      </c>
      <c r="N350">
        <v>228</v>
      </c>
      <c r="O350">
        <v>94.72</v>
      </c>
      <c r="P350">
        <v>3</v>
      </c>
    </row>
    <row r="351" spans="1:16" x14ac:dyDescent="0.25">
      <c r="A351" s="1">
        <v>45209</v>
      </c>
      <c r="B351" s="2">
        <v>0.65972222222222221</v>
      </c>
      <c r="C351" t="s">
        <v>1241</v>
      </c>
      <c r="D351">
        <v>67</v>
      </c>
      <c r="E351" t="s">
        <v>812</v>
      </c>
      <c r="F351" t="s">
        <v>89</v>
      </c>
      <c r="G351">
        <v>-7.7839049999999999</v>
      </c>
      <c r="H351">
        <v>14.114281999999999</v>
      </c>
      <c r="I351" t="s">
        <v>1482</v>
      </c>
      <c r="J351" t="s">
        <v>1483</v>
      </c>
      <c r="K351" t="s">
        <v>88</v>
      </c>
      <c r="L351">
        <v>98</v>
      </c>
      <c r="M351" t="s">
        <v>14</v>
      </c>
      <c r="N351">
        <v>482</v>
      </c>
      <c r="O351">
        <v>55.04</v>
      </c>
      <c r="P351">
        <v>5</v>
      </c>
    </row>
    <row r="352" spans="1:16" x14ac:dyDescent="0.25">
      <c r="A352" s="1">
        <v>45226</v>
      </c>
      <c r="B352" s="2">
        <v>0.58680555555555558</v>
      </c>
      <c r="C352" t="s">
        <v>1241</v>
      </c>
      <c r="D352">
        <v>33</v>
      </c>
      <c r="E352" t="s">
        <v>812</v>
      </c>
      <c r="F352" t="s">
        <v>89</v>
      </c>
      <c r="G352">
        <v>-7.7839049999999999</v>
      </c>
      <c r="H352">
        <v>14.114281999999999</v>
      </c>
      <c r="I352" t="s">
        <v>1482</v>
      </c>
      <c r="J352" t="s">
        <v>1483</v>
      </c>
      <c r="K352" t="s">
        <v>88</v>
      </c>
      <c r="L352">
        <v>98</v>
      </c>
      <c r="M352" t="s">
        <v>14</v>
      </c>
      <c r="N352">
        <v>482</v>
      </c>
      <c r="O352">
        <v>55.04</v>
      </c>
      <c r="P352">
        <v>5</v>
      </c>
    </row>
    <row r="353" spans="1:16" x14ac:dyDescent="0.25">
      <c r="A353" s="1">
        <v>45201</v>
      </c>
      <c r="B353" s="2">
        <v>9.0277777777777769E-3</v>
      </c>
      <c r="C353" t="s">
        <v>1241</v>
      </c>
      <c r="D353">
        <v>56</v>
      </c>
      <c r="E353" t="s">
        <v>808</v>
      </c>
      <c r="F353" t="s">
        <v>89</v>
      </c>
      <c r="G353">
        <v>-7.7839049999999999</v>
      </c>
      <c r="H353">
        <v>14.114281999999999</v>
      </c>
      <c r="I353" t="s">
        <v>1482</v>
      </c>
      <c r="J353" t="s">
        <v>1483</v>
      </c>
      <c r="K353" t="s">
        <v>88</v>
      </c>
      <c r="L353">
        <v>98</v>
      </c>
      <c r="M353" t="s">
        <v>14</v>
      </c>
      <c r="N353">
        <v>482</v>
      </c>
      <c r="O353">
        <v>55.04</v>
      </c>
      <c r="P353">
        <v>5</v>
      </c>
    </row>
    <row r="354" spans="1:16" x14ac:dyDescent="0.25">
      <c r="A354" s="1">
        <v>45229</v>
      </c>
      <c r="B354" s="2">
        <v>6.5972222222222224E-2</v>
      </c>
      <c r="C354" t="s">
        <v>1243</v>
      </c>
      <c r="D354">
        <v>93</v>
      </c>
      <c r="E354" t="s">
        <v>807</v>
      </c>
      <c r="F354" t="s">
        <v>131</v>
      </c>
      <c r="G354">
        <v>0.82868600000000003</v>
      </c>
      <c r="H354">
        <v>26.958843999999999</v>
      </c>
      <c r="I354" t="s">
        <v>1477</v>
      </c>
      <c r="J354" t="s">
        <v>1483</v>
      </c>
      <c r="K354" t="s">
        <v>130</v>
      </c>
      <c r="L354">
        <v>16</v>
      </c>
      <c r="M354" t="s">
        <v>19</v>
      </c>
      <c r="N354">
        <v>390</v>
      </c>
      <c r="O354">
        <v>98.17</v>
      </c>
      <c r="P354">
        <v>5</v>
      </c>
    </row>
    <row r="355" spans="1:16" x14ac:dyDescent="0.25">
      <c r="A355" s="1">
        <v>45201</v>
      </c>
      <c r="B355" s="2">
        <v>0.21249999999999999</v>
      </c>
      <c r="C355" t="s">
        <v>1243</v>
      </c>
      <c r="D355">
        <v>40</v>
      </c>
      <c r="E355" t="s">
        <v>808</v>
      </c>
      <c r="F355" t="s">
        <v>131</v>
      </c>
      <c r="G355">
        <v>0.82868600000000003</v>
      </c>
      <c r="H355">
        <v>26.958843999999999</v>
      </c>
      <c r="I355" t="s">
        <v>1477</v>
      </c>
      <c r="J355" t="s">
        <v>1483</v>
      </c>
      <c r="K355" t="s">
        <v>130</v>
      </c>
      <c r="L355">
        <v>16</v>
      </c>
      <c r="M355" t="s">
        <v>19</v>
      </c>
      <c r="N355">
        <v>390</v>
      </c>
      <c r="O355">
        <v>98.17</v>
      </c>
      <c r="P355">
        <v>5</v>
      </c>
    </row>
    <row r="356" spans="1:16" x14ac:dyDescent="0.25">
      <c r="A356" s="1">
        <v>45225</v>
      </c>
      <c r="B356" s="2">
        <v>0.77638888888888891</v>
      </c>
      <c r="C356" t="s">
        <v>1243</v>
      </c>
      <c r="D356">
        <v>71</v>
      </c>
      <c r="E356" t="s">
        <v>807</v>
      </c>
      <c r="F356" t="s">
        <v>131</v>
      </c>
      <c r="G356">
        <v>0.82868600000000003</v>
      </c>
      <c r="H356">
        <v>26.958843999999999</v>
      </c>
      <c r="I356" t="s">
        <v>1477</v>
      </c>
      <c r="J356" t="s">
        <v>1483</v>
      </c>
      <c r="K356" t="s">
        <v>130</v>
      </c>
      <c r="L356">
        <v>16</v>
      </c>
      <c r="M356" t="s">
        <v>19</v>
      </c>
      <c r="N356">
        <v>390</v>
      </c>
      <c r="O356">
        <v>98.17</v>
      </c>
      <c r="P356">
        <v>5</v>
      </c>
    </row>
    <row r="357" spans="1:16" x14ac:dyDescent="0.25">
      <c r="A357" s="1">
        <v>45201</v>
      </c>
      <c r="B357" s="2">
        <v>0.22500000000000001</v>
      </c>
      <c r="C357" t="s">
        <v>1243</v>
      </c>
      <c r="D357">
        <v>83</v>
      </c>
      <c r="E357" t="s">
        <v>808</v>
      </c>
      <c r="F357" t="s">
        <v>131</v>
      </c>
      <c r="G357">
        <v>0.82868600000000003</v>
      </c>
      <c r="H357">
        <v>26.958843999999999</v>
      </c>
      <c r="I357" t="s">
        <v>1477</v>
      </c>
      <c r="J357" t="s">
        <v>1483</v>
      </c>
      <c r="K357" t="s">
        <v>130</v>
      </c>
      <c r="L357">
        <v>16</v>
      </c>
      <c r="M357" t="s">
        <v>19</v>
      </c>
      <c r="N357">
        <v>390</v>
      </c>
      <c r="O357">
        <v>98.17</v>
      </c>
      <c r="P357">
        <v>5</v>
      </c>
    </row>
    <row r="358" spans="1:16" x14ac:dyDescent="0.25">
      <c r="A358" s="1">
        <v>45208</v>
      </c>
      <c r="B358" s="2">
        <v>0.95902777777777781</v>
      </c>
      <c r="C358" t="s">
        <v>1243</v>
      </c>
      <c r="D358">
        <v>98</v>
      </c>
      <c r="E358" t="s">
        <v>812</v>
      </c>
      <c r="F358" t="s">
        <v>131</v>
      </c>
      <c r="G358">
        <v>0.82868600000000003</v>
      </c>
      <c r="H358">
        <v>26.958843999999999</v>
      </c>
      <c r="I358" t="s">
        <v>1477</v>
      </c>
      <c r="J358" t="s">
        <v>1483</v>
      </c>
      <c r="K358" t="s">
        <v>130</v>
      </c>
      <c r="L358">
        <v>16</v>
      </c>
      <c r="M358" t="s">
        <v>19</v>
      </c>
      <c r="N358">
        <v>390</v>
      </c>
      <c r="O358">
        <v>98.17</v>
      </c>
      <c r="P358">
        <v>5</v>
      </c>
    </row>
    <row r="359" spans="1:16" x14ac:dyDescent="0.25">
      <c r="A359" s="1">
        <v>45229</v>
      </c>
      <c r="B359" s="2">
        <v>0.72291666666666665</v>
      </c>
      <c r="C359" t="s">
        <v>1249</v>
      </c>
      <c r="D359">
        <v>76</v>
      </c>
      <c r="E359" t="s">
        <v>808</v>
      </c>
      <c r="F359" t="s">
        <v>89</v>
      </c>
      <c r="G359">
        <v>-1.342476</v>
      </c>
      <c r="H359">
        <v>15.986086</v>
      </c>
      <c r="I359" t="s">
        <v>1480</v>
      </c>
      <c r="J359" t="s">
        <v>1478</v>
      </c>
      <c r="K359" t="s">
        <v>88</v>
      </c>
      <c r="L359">
        <v>98</v>
      </c>
      <c r="M359" t="s">
        <v>14</v>
      </c>
      <c r="N359">
        <v>482</v>
      </c>
      <c r="O359">
        <v>55.04</v>
      </c>
      <c r="P359">
        <v>5</v>
      </c>
    </row>
    <row r="360" spans="1:16" x14ac:dyDescent="0.25">
      <c r="A360" s="1">
        <v>45227</v>
      </c>
      <c r="B360" s="2">
        <v>0.58750000000000002</v>
      </c>
      <c r="C360" t="s">
        <v>1249</v>
      </c>
      <c r="D360">
        <v>50</v>
      </c>
      <c r="E360" t="s">
        <v>808</v>
      </c>
      <c r="F360" t="s">
        <v>89</v>
      </c>
      <c r="G360">
        <v>-1.342476</v>
      </c>
      <c r="H360">
        <v>15.986086</v>
      </c>
      <c r="I360" t="s">
        <v>1480</v>
      </c>
      <c r="J360" t="s">
        <v>1478</v>
      </c>
      <c r="K360" t="s">
        <v>88</v>
      </c>
      <c r="L360">
        <v>98</v>
      </c>
      <c r="M360" t="s">
        <v>14</v>
      </c>
      <c r="N360">
        <v>482</v>
      </c>
      <c r="O360">
        <v>55.04</v>
      </c>
      <c r="P360">
        <v>5</v>
      </c>
    </row>
    <row r="361" spans="1:16" x14ac:dyDescent="0.25">
      <c r="A361" s="1">
        <v>45204</v>
      </c>
      <c r="B361" s="2">
        <v>0.29722222222222222</v>
      </c>
      <c r="C361" t="s">
        <v>1249</v>
      </c>
      <c r="D361">
        <v>111</v>
      </c>
      <c r="E361" t="s">
        <v>808</v>
      </c>
      <c r="F361" t="s">
        <v>89</v>
      </c>
      <c r="G361">
        <v>-1.342476</v>
      </c>
      <c r="H361">
        <v>15.986086</v>
      </c>
      <c r="I361" t="s">
        <v>1480</v>
      </c>
      <c r="J361" t="s">
        <v>1478</v>
      </c>
      <c r="K361" t="s">
        <v>88</v>
      </c>
      <c r="L361">
        <v>98</v>
      </c>
      <c r="M361" t="s">
        <v>14</v>
      </c>
      <c r="N361">
        <v>482</v>
      </c>
      <c r="O361">
        <v>55.04</v>
      </c>
      <c r="P361">
        <v>5</v>
      </c>
    </row>
    <row r="362" spans="1:16" x14ac:dyDescent="0.25">
      <c r="A362" s="1">
        <v>45214</v>
      </c>
      <c r="B362" s="2">
        <v>1.8749999999999999E-2</v>
      </c>
      <c r="C362" t="s">
        <v>1249</v>
      </c>
      <c r="D362">
        <v>115</v>
      </c>
      <c r="E362" t="s">
        <v>808</v>
      </c>
      <c r="F362" t="s">
        <v>89</v>
      </c>
      <c r="G362">
        <v>-1.342476</v>
      </c>
      <c r="H362">
        <v>15.986086</v>
      </c>
      <c r="I362" t="s">
        <v>1480</v>
      </c>
      <c r="J362" t="s">
        <v>1478</v>
      </c>
      <c r="K362" t="s">
        <v>88</v>
      </c>
      <c r="L362">
        <v>98</v>
      </c>
      <c r="M362" t="s">
        <v>14</v>
      </c>
      <c r="N362">
        <v>482</v>
      </c>
      <c r="O362">
        <v>55.04</v>
      </c>
      <c r="P362">
        <v>5</v>
      </c>
    </row>
    <row r="363" spans="1:16" x14ac:dyDescent="0.25">
      <c r="A363" s="1">
        <v>45227</v>
      </c>
      <c r="B363" s="2">
        <v>0.29722222222222222</v>
      </c>
      <c r="C363" t="s">
        <v>1250</v>
      </c>
      <c r="D363">
        <v>92</v>
      </c>
      <c r="E363" t="s">
        <v>812</v>
      </c>
      <c r="F363" t="s">
        <v>18</v>
      </c>
      <c r="G363">
        <v>-5.5559329999999996</v>
      </c>
      <c r="H363">
        <v>13.508692999999999</v>
      </c>
      <c r="I363" t="s">
        <v>1482</v>
      </c>
      <c r="J363" t="s">
        <v>1490</v>
      </c>
      <c r="K363" t="s">
        <v>17</v>
      </c>
      <c r="L363">
        <v>44</v>
      </c>
      <c r="M363" t="s">
        <v>19</v>
      </c>
      <c r="N363">
        <v>348</v>
      </c>
      <c r="O363">
        <v>58.67</v>
      </c>
      <c r="P363">
        <v>0</v>
      </c>
    </row>
    <row r="364" spans="1:16" x14ac:dyDescent="0.25">
      <c r="A364" s="1">
        <v>45230</v>
      </c>
      <c r="B364" s="2">
        <v>0.3034722222222222</v>
      </c>
      <c r="C364" t="s">
        <v>1252</v>
      </c>
      <c r="D364">
        <v>83</v>
      </c>
      <c r="E364" t="s">
        <v>812</v>
      </c>
      <c r="F364" t="s">
        <v>62</v>
      </c>
      <c r="G364">
        <v>-9.8208710000000004</v>
      </c>
      <c r="H364">
        <v>23.229807000000001</v>
      </c>
      <c r="I364" t="s">
        <v>1477</v>
      </c>
      <c r="J364" t="s">
        <v>1490</v>
      </c>
      <c r="K364" t="s">
        <v>61</v>
      </c>
      <c r="L364">
        <v>101</v>
      </c>
      <c r="M364" t="s">
        <v>14</v>
      </c>
      <c r="N364">
        <v>333</v>
      </c>
      <c r="O364">
        <v>74.319999999999993</v>
      </c>
      <c r="P364">
        <v>1</v>
      </c>
    </row>
    <row r="365" spans="1:16" x14ac:dyDescent="0.25">
      <c r="A365" s="1">
        <v>45220</v>
      </c>
      <c r="B365" s="2">
        <v>0.15486111111111112</v>
      </c>
      <c r="C365" t="s">
        <v>1252</v>
      </c>
      <c r="D365">
        <v>53</v>
      </c>
      <c r="E365" t="s">
        <v>807</v>
      </c>
      <c r="F365" t="s">
        <v>62</v>
      </c>
      <c r="G365">
        <v>-9.8208710000000004</v>
      </c>
      <c r="H365">
        <v>23.229807000000001</v>
      </c>
      <c r="I365" t="s">
        <v>1477</v>
      </c>
      <c r="J365" t="s">
        <v>1490</v>
      </c>
      <c r="K365" t="s">
        <v>61</v>
      </c>
      <c r="L365">
        <v>101</v>
      </c>
      <c r="M365" t="s">
        <v>14</v>
      </c>
      <c r="N365">
        <v>333</v>
      </c>
      <c r="O365">
        <v>74.319999999999993</v>
      </c>
      <c r="P365">
        <v>1</v>
      </c>
    </row>
    <row r="366" spans="1:16" x14ac:dyDescent="0.25">
      <c r="A366" s="1">
        <v>45202</v>
      </c>
      <c r="B366" s="2">
        <v>0.52916666666666667</v>
      </c>
      <c r="C366" t="s">
        <v>1254</v>
      </c>
      <c r="D366">
        <v>109</v>
      </c>
      <c r="E366" t="s">
        <v>808</v>
      </c>
      <c r="F366" t="s">
        <v>127</v>
      </c>
      <c r="G366">
        <v>-7.1483749999999997</v>
      </c>
      <c r="H366">
        <v>26.014271000000001</v>
      </c>
      <c r="I366" t="s">
        <v>1477</v>
      </c>
      <c r="J366" t="s">
        <v>1481</v>
      </c>
      <c r="K366" t="s">
        <v>126</v>
      </c>
      <c r="L366">
        <v>40</v>
      </c>
      <c r="M366" t="s">
        <v>11</v>
      </c>
      <c r="N366">
        <v>345</v>
      </c>
      <c r="O366">
        <v>89.55</v>
      </c>
      <c r="P366">
        <v>3</v>
      </c>
    </row>
    <row r="367" spans="1:16" x14ac:dyDescent="0.25">
      <c r="A367" s="1">
        <v>45219</v>
      </c>
      <c r="B367" s="2">
        <v>0.52708333333333335</v>
      </c>
      <c r="C367" t="s">
        <v>1254</v>
      </c>
      <c r="D367">
        <v>95</v>
      </c>
      <c r="E367" t="s">
        <v>807</v>
      </c>
      <c r="F367" t="s">
        <v>127</v>
      </c>
      <c r="G367">
        <v>-7.1483749999999997</v>
      </c>
      <c r="H367">
        <v>26.014271000000001</v>
      </c>
      <c r="I367" t="s">
        <v>1477</v>
      </c>
      <c r="J367" t="s">
        <v>1481</v>
      </c>
      <c r="K367" t="s">
        <v>126</v>
      </c>
      <c r="L367">
        <v>40</v>
      </c>
      <c r="M367" t="s">
        <v>11</v>
      </c>
      <c r="N367">
        <v>345</v>
      </c>
      <c r="O367">
        <v>89.55</v>
      </c>
      <c r="P367">
        <v>3</v>
      </c>
    </row>
    <row r="368" spans="1:16" x14ac:dyDescent="0.25">
      <c r="A368" s="1">
        <v>45211</v>
      </c>
      <c r="B368" s="2">
        <v>0.88888888888888884</v>
      </c>
      <c r="C368" t="s">
        <v>1254</v>
      </c>
      <c r="D368">
        <v>87</v>
      </c>
      <c r="E368" t="s">
        <v>808</v>
      </c>
      <c r="F368" t="s">
        <v>127</v>
      </c>
      <c r="G368">
        <v>-7.1483749999999997</v>
      </c>
      <c r="H368">
        <v>26.014271000000001</v>
      </c>
      <c r="I368" t="s">
        <v>1477</v>
      </c>
      <c r="J368" t="s">
        <v>1481</v>
      </c>
      <c r="K368" t="s">
        <v>126</v>
      </c>
      <c r="L368">
        <v>40</v>
      </c>
      <c r="M368" t="s">
        <v>11</v>
      </c>
      <c r="N368">
        <v>345</v>
      </c>
      <c r="O368">
        <v>89.55</v>
      </c>
      <c r="P368">
        <v>3</v>
      </c>
    </row>
    <row r="369" spans="1:16" x14ac:dyDescent="0.25">
      <c r="A369" s="1">
        <v>45226</v>
      </c>
      <c r="B369" s="2">
        <v>0.99791666666666667</v>
      </c>
      <c r="C369" t="s">
        <v>1255</v>
      </c>
      <c r="D369">
        <v>53</v>
      </c>
      <c r="E369" t="s">
        <v>812</v>
      </c>
      <c r="F369" t="s">
        <v>89</v>
      </c>
      <c r="G369">
        <v>-7.8373179999999998</v>
      </c>
      <c r="H369">
        <v>20.527591999999999</v>
      </c>
      <c r="I369" t="s">
        <v>1480</v>
      </c>
      <c r="J369" t="s">
        <v>1478</v>
      </c>
      <c r="K369" t="s">
        <v>88</v>
      </c>
      <c r="L369">
        <v>98</v>
      </c>
      <c r="M369" t="s">
        <v>14</v>
      </c>
      <c r="N369">
        <v>482</v>
      </c>
      <c r="O369">
        <v>55.04</v>
      </c>
      <c r="P369">
        <v>5</v>
      </c>
    </row>
    <row r="370" spans="1:16" x14ac:dyDescent="0.25">
      <c r="A370" s="1">
        <v>45219</v>
      </c>
      <c r="B370" s="2">
        <v>0.80138888888888893</v>
      </c>
      <c r="C370" t="s">
        <v>1257</v>
      </c>
      <c r="D370">
        <v>65</v>
      </c>
      <c r="E370" t="s">
        <v>808</v>
      </c>
      <c r="F370" t="s">
        <v>13</v>
      </c>
      <c r="G370">
        <v>0.52897499999999997</v>
      </c>
      <c r="H370">
        <v>13.849651</v>
      </c>
      <c r="I370" t="s">
        <v>1482</v>
      </c>
      <c r="J370" t="s">
        <v>1483</v>
      </c>
      <c r="K370" t="s">
        <v>12</v>
      </c>
      <c r="L370">
        <v>63</v>
      </c>
      <c r="M370" t="s">
        <v>14</v>
      </c>
      <c r="N370">
        <v>205</v>
      </c>
      <c r="O370">
        <v>89.19</v>
      </c>
      <c r="P370">
        <v>0</v>
      </c>
    </row>
    <row r="371" spans="1:16" x14ac:dyDescent="0.25">
      <c r="A371" s="1">
        <v>45225</v>
      </c>
      <c r="B371" s="2">
        <v>0.40694444444444444</v>
      </c>
      <c r="C371" t="s">
        <v>1259</v>
      </c>
      <c r="D371">
        <v>74</v>
      </c>
      <c r="E371" t="s">
        <v>807</v>
      </c>
      <c r="F371" t="s">
        <v>40</v>
      </c>
      <c r="G371">
        <v>-4.6957509999999996</v>
      </c>
      <c r="H371">
        <v>14.233525999999999</v>
      </c>
      <c r="I371" t="s">
        <v>1480</v>
      </c>
      <c r="J371" t="s">
        <v>1490</v>
      </c>
      <c r="K371" t="s">
        <v>39</v>
      </c>
      <c r="L371">
        <v>110</v>
      </c>
      <c r="M371" t="s">
        <v>14</v>
      </c>
      <c r="N371">
        <v>423</v>
      </c>
      <c r="O371">
        <v>37.35</v>
      </c>
      <c r="P371">
        <v>4</v>
      </c>
    </row>
    <row r="372" spans="1:16" x14ac:dyDescent="0.25">
      <c r="A372" s="1">
        <v>45213</v>
      </c>
      <c r="B372" s="2">
        <v>0.90763888888888888</v>
      </c>
      <c r="C372" t="s">
        <v>1260</v>
      </c>
      <c r="D372">
        <v>52</v>
      </c>
      <c r="E372" t="s">
        <v>807</v>
      </c>
      <c r="F372" t="s">
        <v>131</v>
      </c>
      <c r="G372">
        <v>-10.298385</v>
      </c>
      <c r="H372">
        <v>29.698117</v>
      </c>
      <c r="I372" t="s">
        <v>1477</v>
      </c>
      <c r="J372" t="s">
        <v>1490</v>
      </c>
      <c r="K372" t="s">
        <v>130</v>
      </c>
      <c r="L372">
        <v>16</v>
      </c>
      <c r="M372" t="s">
        <v>19</v>
      </c>
      <c r="N372">
        <v>390</v>
      </c>
      <c r="O372">
        <v>98.17</v>
      </c>
      <c r="P372">
        <v>5</v>
      </c>
    </row>
    <row r="373" spans="1:16" x14ac:dyDescent="0.25">
      <c r="A373" s="1">
        <v>45224</v>
      </c>
      <c r="B373" s="2">
        <v>0.2298611111111111</v>
      </c>
      <c r="C373" t="s">
        <v>1260</v>
      </c>
      <c r="D373">
        <v>20</v>
      </c>
      <c r="E373" t="s">
        <v>807</v>
      </c>
      <c r="F373" t="s">
        <v>131</v>
      </c>
      <c r="G373">
        <v>-10.298385</v>
      </c>
      <c r="H373">
        <v>29.698117</v>
      </c>
      <c r="I373" t="s">
        <v>1477</v>
      </c>
      <c r="J373" t="s">
        <v>1490</v>
      </c>
      <c r="K373" t="s">
        <v>130</v>
      </c>
      <c r="L373">
        <v>16</v>
      </c>
      <c r="M373" t="s">
        <v>19</v>
      </c>
      <c r="N373">
        <v>390</v>
      </c>
      <c r="O373">
        <v>98.17</v>
      </c>
      <c r="P373">
        <v>5</v>
      </c>
    </row>
    <row r="374" spans="1:16" x14ac:dyDescent="0.25">
      <c r="A374" s="1">
        <v>45207</v>
      </c>
      <c r="B374" s="2">
        <v>7.4305555555555555E-2</v>
      </c>
      <c r="C374" t="s">
        <v>1261</v>
      </c>
      <c r="D374">
        <v>57</v>
      </c>
      <c r="E374" t="s">
        <v>807</v>
      </c>
      <c r="F374" t="s">
        <v>62</v>
      </c>
      <c r="G374">
        <v>-7.1587569999999996</v>
      </c>
      <c r="H374">
        <v>18.975141000000001</v>
      </c>
      <c r="I374" t="s">
        <v>1477</v>
      </c>
      <c r="J374" t="s">
        <v>1478</v>
      </c>
      <c r="K374" t="s">
        <v>61</v>
      </c>
      <c r="L374">
        <v>101</v>
      </c>
      <c r="M374" t="s">
        <v>14</v>
      </c>
      <c r="N374">
        <v>333</v>
      </c>
      <c r="O374">
        <v>74.319999999999993</v>
      </c>
      <c r="P374">
        <v>1</v>
      </c>
    </row>
    <row r="375" spans="1:16" x14ac:dyDescent="0.25">
      <c r="A375" s="1">
        <v>45219</v>
      </c>
      <c r="B375" s="2">
        <v>0.56944444444444442</v>
      </c>
      <c r="C375" t="s">
        <v>1261</v>
      </c>
      <c r="D375">
        <v>96</v>
      </c>
      <c r="E375" t="s">
        <v>807</v>
      </c>
      <c r="F375" t="s">
        <v>62</v>
      </c>
      <c r="G375">
        <v>-7.1587569999999996</v>
      </c>
      <c r="H375">
        <v>18.975141000000001</v>
      </c>
      <c r="I375" t="s">
        <v>1477</v>
      </c>
      <c r="J375" t="s">
        <v>1478</v>
      </c>
      <c r="K375" t="s">
        <v>61</v>
      </c>
      <c r="L375">
        <v>101</v>
      </c>
      <c r="M375" t="s">
        <v>14</v>
      </c>
      <c r="N375">
        <v>333</v>
      </c>
      <c r="O375">
        <v>74.319999999999993</v>
      </c>
      <c r="P375">
        <v>1</v>
      </c>
    </row>
    <row r="376" spans="1:16" x14ac:dyDescent="0.25">
      <c r="A376" s="1">
        <v>45207</v>
      </c>
      <c r="B376" s="2">
        <v>0.66805555555555551</v>
      </c>
      <c r="C376" t="s">
        <v>1261</v>
      </c>
      <c r="D376">
        <v>113</v>
      </c>
      <c r="E376" t="s">
        <v>807</v>
      </c>
      <c r="F376" t="s">
        <v>62</v>
      </c>
      <c r="G376">
        <v>-7.1587569999999996</v>
      </c>
      <c r="H376">
        <v>18.975141000000001</v>
      </c>
      <c r="I376" t="s">
        <v>1477</v>
      </c>
      <c r="J376" t="s">
        <v>1478</v>
      </c>
      <c r="K376" t="s">
        <v>61</v>
      </c>
      <c r="L376">
        <v>101</v>
      </c>
      <c r="M376" t="s">
        <v>14</v>
      </c>
      <c r="N376">
        <v>333</v>
      </c>
      <c r="O376">
        <v>74.319999999999993</v>
      </c>
      <c r="P376">
        <v>1</v>
      </c>
    </row>
    <row r="377" spans="1:16" x14ac:dyDescent="0.25">
      <c r="A377" s="1">
        <v>45203</v>
      </c>
      <c r="B377" s="2">
        <v>0.9506944444444444</v>
      </c>
      <c r="C377" t="s">
        <v>1262</v>
      </c>
      <c r="D377">
        <v>8</v>
      </c>
      <c r="E377" t="s">
        <v>808</v>
      </c>
      <c r="F377" t="s">
        <v>13</v>
      </c>
      <c r="G377">
        <v>-0.79406600000000005</v>
      </c>
      <c r="H377">
        <v>12.534793000000001</v>
      </c>
      <c r="I377" t="s">
        <v>1482</v>
      </c>
      <c r="J377" t="s">
        <v>1481</v>
      </c>
      <c r="K377" t="s">
        <v>12</v>
      </c>
      <c r="L377">
        <v>63</v>
      </c>
      <c r="M377" t="s">
        <v>14</v>
      </c>
      <c r="N377">
        <v>205</v>
      </c>
      <c r="O377">
        <v>89.19</v>
      </c>
      <c r="P377">
        <v>0</v>
      </c>
    </row>
    <row r="378" spans="1:16" x14ac:dyDescent="0.25">
      <c r="A378" s="1">
        <v>45229</v>
      </c>
      <c r="B378" s="2">
        <v>0.63124999999999998</v>
      </c>
      <c r="C378" t="s">
        <v>1264</v>
      </c>
      <c r="D378">
        <v>81</v>
      </c>
      <c r="E378" t="s">
        <v>807</v>
      </c>
      <c r="F378" t="s">
        <v>13</v>
      </c>
      <c r="G378">
        <v>-10.574821</v>
      </c>
      <c r="H378">
        <v>25.324966</v>
      </c>
      <c r="I378" t="s">
        <v>1477</v>
      </c>
      <c r="J378" t="s">
        <v>1478</v>
      </c>
      <c r="K378" t="s">
        <v>12</v>
      </c>
      <c r="L378">
        <v>63</v>
      </c>
      <c r="M378" t="s">
        <v>14</v>
      </c>
      <c r="N378">
        <v>205</v>
      </c>
      <c r="O378">
        <v>89.19</v>
      </c>
      <c r="P378">
        <v>0</v>
      </c>
    </row>
    <row r="379" spans="1:16" x14ac:dyDescent="0.25">
      <c r="A379" s="1">
        <v>45204</v>
      </c>
      <c r="B379" s="2">
        <v>0.61597222222222225</v>
      </c>
      <c r="C379" t="s">
        <v>1267</v>
      </c>
      <c r="D379">
        <v>41</v>
      </c>
      <c r="E379" t="s">
        <v>812</v>
      </c>
      <c r="F379" t="s">
        <v>64</v>
      </c>
      <c r="G379">
        <v>1.3006180000000001</v>
      </c>
      <c r="H379">
        <v>29.060970999999999</v>
      </c>
      <c r="I379" t="s">
        <v>1482</v>
      </c>
      <c r="J379" t="s">
        <v>1483</v>
      </c>
      <c r="K379" t="s">
        <v>63</v>
      </c>
      <c r="L379">
        <v>79</v>
      </c>
      <c r="M379" t="s">
        <v>11</v>
      </c>
      <c r="N379">
        <v>226</v>
      </c>
      <c r="O379">
        <v>94.38</v>
      </c>
      <c r="P379">
        <v>3</v>
      </c>
    </row>
    <row r="380" spans="1:16" x14ac:dyDescent="0.25">
      <c r="A380" s="1">
        <v>45209</v>
      </c>
      <c r="B380" s="2">
        <v>0.35486111111111113</v>
      </c>
      <c r="C380" t="s">
        <v>1267</v>
      </c>
      <c r="D380">
        <v>99</v>
      </c>
      <c r="E380" t="s">
        <v>808</v>
      </c>
      <c r="F380" t="s">
        <v>64</v>
      </c>
      <c r="G380">
        <v>1.3006180000000001</v>
      </c>
      <c r="H380">
        <v>29.060970999999999</v>
      </c>
      <c r="I380" t="s">
        <v>1482</v>
      </c>
      <c r="J380" t="s">
        <v>1483</v>
      </c>
      <c r="K380" t="s">
        <v>63</v>
      </c>
      <c r="L380">
        <v>79</v>
      </c>
      <c r="M380" t="s">
        <v>11</v>
      </c>
      <c r="N380">
        <v>226</v>
      </c>
      <c r="O380">
        <v>94.38</v>
      </c>
      <c r="P380">
        <v>3</v>
      </c>
    </row>
    <row r="381" spans="1:16" x14ac:dyDescent="0.25">
      <c r="A381" s="1">
        <v>45229</v>
      </c>
      <c r="B381" s="2">
        <v>0.62083333333333335</v>
      </c>
      <c r="C381" t="s">
        <v>1268</v>
      </c>
      <c r="D381">
        <v>74</v>
      </c>
      <c r="E381" t="s">
        <v>812</v>
      </c>
      <c r="F381" t="s">
        <v>127</v>
      </c>
      <c r="G381">
        <v>-12.488033</v>
      </c>
      <c r="H381">
        <v>16.139648000000001</v>
      </c>
      <c r="I381" t="s">
        <v>1480</v>
      </c>
      <c r="J381" t="s">
        <v>1481</v>
      </c>
      <c r="K381" t="s">
        <v>126</v>
      </c>
      <c r="L381">
        <v>40</v>
      </c>
      <c r="M381" t="s">
        <v>11</v>
      </c>
      <c r="N381">
        <v>345</v>
      </c>
      <c r="O381">
        <v>89.55</v>
      </c>
      <c r="P381">
        <v>3</v>
      </c>
    </row>
    <row r="382" spans="1:16" x14ac:dyDescent="0.25">
      <c r="A382" s="1">
        <v>45206</v>
      </c>
      <c r="B382" s="2">
        <v>0.44305555555555554</v>
      </c>
      <c r="C382" t="s">
        <v>1269</v>
      </c>
      <c r="D382">
        <v>48</v>
      </c>
      <c r="E382" t="s">
        <v>812</v>
      </c>
      <c r="F382" t="s">
        <v>18</v>
      </c>
      <c r="G382">
        <v>0.16327700000000001</v>
      </c>
      <c r="H382">
        <v>14.871577</v>
      </c>
      <c r="I382" t="s">
        <v>1480</v>
      </c>
      <c r="J382" t="s">
        <v>1481</v>
      </c>
      <c r="K382" t="s">
        <v>17</v>
      </c>
      <c r="L382">
        <v>44</v>
      </c>
      <c r="M382" t="s">
        <v>19</v>
      </c>
      <c r="N382">
        <v>348</v>
      </c>
      <c r="O382">
        <v>58.67</v>
      </c>
      <c r="P382">
        <v>0</v>
      </c>
    </row>
    <row r="383" spans="1:16" x14ac:dyDescent="0.25">
      <c r="A383" s="1">
        <v>45225</v>
      </c>
      <c r="B383" s="2">
        <v>0.28888888888888886</v>
      </c>
      <c r="C383" t="s">
        <v>1269</v>
      </c>
      <c r="D383">
        <v>89</v>
      </c>
      <c r="E383" t="s">
        <v>807</v>
      </c>
      <c r="F383" t="s">
        <v>18</v>
      </c>
      <c r="G383">
        <v>0.16327700000000001</v>
      </c>
      <c r="H383">
        <v>14.871577</v>
      </c>
      <c r="I383" t="s">
        <v>1480</v>
      </c>
      <c r="J383" t="s">
        <v>1481</v>
      </c>
      <c r="K383" t="s">
        <v>17</v>
      </c>
      <c r="L383">
        <v>44</v>
      </c>
      <c r="M383" t="s">
        <v>19</v>
      </c>
      <c r="N383">
        <v>348</v>
      </c>
      <c r="O383">
        <v>58.67</v>
      </c>
      <c r="P383">
        <v>0</v>
      </c>
    </row>
    <row r="384" spans="1:16" x14ac:dyDescent="0.25">
      <c r="A384" s="1">
        <v>45211</v>
      </c>
      <c r="B384" s="2">
        <v>0.72291666666666665</v>
      </c>
      <c r="C384" t="s">
        <v>1270</v>
      </c>
      <c r="D384">
        <v>28</v>
      </c>
      <c r="E384" t="s">
        <v>807</v>
      </c>
      <c r="F384" t="s">
        <v>127</v>
      </c>
      <c r="G384">
        <v>-6.9624990000000002</v>
      </c>
      <c r="H384">
        <v>20.759834999999999</v>
      </c>
      <c r="I384" t="s">
        <v>1480</v>
      </c>
      <c r="J384" t="s">
        <v>1481</v>
      </c>
      <c r="K384" t="s">
        <v>126</v>
      </c>
      <c r="L384">
        <v>40</v>
      </c>
      <c r="M384" t="s">
        <v>11</v>
      </c>
      <c r="N384">
        <v>345</v>
      </c>
      <c r="O384">
        <v>89.55</v>
      </c>
      <c r="P384">
        <v>3</v>
      </c>
    </row>
    <row r="385" spans="1:16" x14ac:dyDescent="0.25">
      <c r="A385" s="1">
        <v>45214</v>
      </c>
      <c r="B385" s="2">
        <v>0.2902777777777778</v>
      </c>
      <c r="C385" t="s">
        <v>1273</v>
      </c>
      <c r="D385">
        <v>27</v>
      </c>
      <c r="E385" t="s">
        <v>808</v>
      </c>
      <c r="F385" t="s">
        <v>60</v>
      </c>
      <c r="G385">
        <v>-12.839263000000001</v>
      </c>
      <c r="H385">
        <v>12.355677</v>
      </c>
      <c r="I385" t="s">
        <v>1482</v>
      </c>
      <c r="J385" t="s">
        <v>1481</v>
      </c>
      <c r="K385" t="s">
        <v>59</v>
      </c>
      <c r="L385">
        <v>14</v>
      </c>
      <c r="M385" t="s">
        <v>14</v>
      </c>
      <c r="N385">
        <v>316</v>
      </c>
      <c r="O385">
        <v>62.34</v>
      </c>
      <c r="P385">
        <v>4</v>
      </c>
    </row>
    <row r="386" spans="1:16" x14ac:dyDescent="0.25">
      <c r="A386" s="1">
        <v>45226</v>
      </c>
      <c r="B386" s="2">
        <v>0.31319444444444444</v>
      </c>
      <c r="C386" t="s">
        <v>1273</v>
      </c>
      <c r="D386">
        <v>66</v>
      </c>
      <c r="E386" t="s">
        <v>812</v>
      </c>
      <c r="F386" t="s">
        <v>60</v>
      </c>
      <c r="G386">
        <v>-12.839263000000001</v>
      </c>
      <c r="H386">
        <v>12.355677</v>
      </c>
      <c r="I386" t="s">
        <v>1482</v>
      </c>
      <c r="J386" t="s">
        <v>1481</v>
      </c>
      <c r="K386" t="s">
        <v>59</v>
      </c>
      <c r="L386">
        <v>14</v>
      </c>
      <c r="M386" t="s">
        <v>14</v>
      </c>
      <c r="N386">
        <v>316</v>
      </c>
      <c r="O386">
        <v>62.34</v>
      </c>
      <c r="P386">
        <v>4</v>
      </c>
    </row>
    <row r="387" spans="1:16" x14ac:dyDescent="0.25">
      <c r="A387" s="1">
        <v>45224</v>
      </c>
      <c r="B387" s="2">
        <v>0.10486111111111111</v>
      </c>
      <c r="C387" t="s">
        <v>1274</v>
      </c>
      <c r="D387">
        <v>98</v>
      </c>
      <c r="E387" t="s">
        <v>812</v>
      </c>
      <c r="F387" t="s">
        <v>37</v>
      </c>
      <c r="G387">
        <v>-7.0007840000000003</v>
      </c>
      <c r="H387">
        <v>22.787997000000001</v>
      </c>
      <c r="I387" t="s">
        <v>1477</v>
      </c>
      <c r="J387" t="s">
        <v>1483</v>
      </c>
      <c r="K387" t="s">
        <v>36</v>
      </c>
      <c r="L387">
        <v>115</v>
      </c>
      <c r="M387" t="s">
        <v>19</v>
      </c>
      <c r="N387">
        <v>176</v>
      </c>
      <c r="O387">
        <v>33.28</v>
      </c>
      <c r="P387">
        <v>4</v>
      </c>
    </row>
    <row r="388" spans="1:16" x14ac:dyDescent="0.25">
      <c r="A388" s="1">
        <v>45218</v>
      </c>
      <c r="B388" s="2">
        <v>3.8194444444444448E-2</v>
      </c>
      <c r="C388" t="s">
        <v>1277</v>
      </c>
      <c r="D388">
        <v>6</v>
      </c>
      <c r="E388" t="s">
        <v>807</v>
      </c>
      <c r="F388" t="s">
        <v>40</v>
      </c>
      <c r="G388">
        <v>-9.7712979999999998</v>
      </c>
      <c r="H388">
        <v>19.827895999999999</v>
      </c>
      <c r="I388" t="s">
        <v>1482</v>
      </c>
      <c r="J388" t="s">
        <v>1483</v>
      </c>
      <c r="K388" t="s">
        <v>39</v>
      </c>
      <c r="L388">
        <v>110</v>
      </c>
      <c r="M388" t="s">
        <v>14</v>
      </c>
      <c r="N388">
        <v>423</v>
      </c>
      <c r="O388">
        <v>37.35</v>
      </c>
      <c r="P388">
        <v>4</v>
      </c>
    </row>
    <row r="389" spans="1:16" x14ac:dyDescent="0.25">
      <c r="A389" s="1">
        <v>45224</v>
      </c>
      <c r="B389" s="2">
        <v>1.0416666666666666E-2</v>
      </c>
      <c r="C389" t="s">
        <v>1277</v>
      </c>
      <c r="D389">
        <v>114</v>
      </c>
      <c r="E389" t="s">
        <v>812</v>
      </c>
      <c r="F389" t="s">
        <v>40</v>
      </c>
      <c r="G389">
        <v>-9.7712979999999998</v>
      </c>
      <c r="H389">
        <v>19.827895999999999</v>
      </c>
      <c r="I389" t="s">
        <v>1482</v>
      </c>
      <c r="J389" t="s">
        <v>1483</v>
      </c>
      <c r="K389" t="s">
        <v>39</v>
      </c>
      <c r="L389">
        <v>110</v>
      </c>
      <c r="M389" t="s">
        <v>14</v>
      </c>
      <c r="N389">
        <v>423</v>
      </c>
      <c r="O389">
        <v>37.35</v>
      </c>
      <c r="P389">
        <v>4</v>
      </c>
    </row>
    <row r="390" spans="1:16" x14ac:dyDescent="0.25">
      <c r="A390" s="1">
        <v>45219</v>
      </c>
      <c r="B390" s="2">
        <v>0.11319444444444444</v>
      </c>
      <c r="C390" t="s">
        <v>1277</v>
      </c>
      <c r="D390">
        <v>19</v>
      </c>
      <c r="E390" t="s">
        <v>807</v>
      </c>
      <c r="F390" t="s">
        <v>40</v>
      </c>
      <c r="G390">
        <v>-9.7712979999999998</v>
      </c>
      <c r="H390">
        <v>19.827895999999999</v>
      </c>
      <c r="I390" t="s">
        <v>1482</v>
      </c>
      <c r="J390" t="s">
        <v>1483</v>
      </c>
      <c r="K390" t="s">
        <v>39</v>
      </c>
      <c r="L390">
        <v>110</v>
      </c>
      <c r="M390" t="s">
        <v>14</v>
      </c>
      <c r="N390">
        <v>423</v>
      </c>
      <c r="O390">
        <v>37.35</v>
      </c>
      <c r="P390">
        <v>4</v>
      </c>
    </row>
    <row r="391" spans="1:16" x14ac:dyDescent="0.25">
      <c r="A391" s="1">
        <v>45223</v>
      </c>
      <c r="B391" s="2">
        <v>0.5541666666666667</v>
      </c>
      <c r="C391" t="s">
        <v>1281</v>
      </c>
      <c r="D391">
        <v>86</v>
      </c>
      <c r="E391" t="s">
        <v>808</v>
      </c>
      <c r="F391" t="s">
        <v>31</v>
      </c>
      <c r="G391">
        <v>-12.050063</v>
      </c>
      <c r="H391">
        <v>26.636987999999999</v>
      </c>
      <c r="I391" t="s">
        <v>1482</v>
      </c>
      <c r="J391" t="s">
        <v>1490</v>
      </c>
      <c r="K391" t="s">
        <v>30</v>
      </c>
      <c r="L391">
        <v>113</v>
      </c>
      <c r="M391" t="s">
        <v>22</v>
      </c>
      <c r="N391">
        <v>380</v>
      </c>
      <c r="O391">
        <v>12.11</v>
      </c>
      <c r="P391">
        <v>0</v>
      </c>
    </row>
    <row r="392" spans="1:16" x14ac:dyDescent="0.25">
      <c r="A392" s="1">
        <v>45227</v>
      </c>
      <c r="B392" s="2">
        <v>0.75138888888888888</v>
      </c>
      <c r="C392" t="s">
        <v>1281</v>
      </c>
      <c r="D392">
        <v>42</v>
      </c>
      <c r="E392" t="s">
        <v>807</v>
      </c>
      <c r="F392" t="s">
        <v>31</v>
      </c>
      <c r="G392">
        <v>-12.050063</v>
      </c>
      <c r="H392">
        <v>26.636987999999999</v>
      </c>
      <c r="I392" t="s">
        <v>1482</v>
      </c>
      <c r="J392" t="s">
        <v>1490</v>
      </c>
      <c r="K392" t="s">
        <v>30</v>
      </c>
      <c r="L392">
        <v>113</v>
      </c>
      <c r="M392" t="s">
        <v>22</v>
      </c>
      <c r="N392">
        <v>380</v>
      </c>
      <c r="O392">
        <v>12.11</v>
      </c>
      <c r="P392">
        <v>0</v>
      </c>
    </row>
    <row r="393" spans="1:16" x14ac:dyDescent="0.25">
      <c r="A393" s="1">
        <v>45214</v>
      </c>
      <c r="B393" s="2">
        <v>0.16041666666666668</v>
      </c>
      <c r="C393" t="s">
        <v>1282</v>
      </c>
      <c r="D393">
        <v>108</v>
      </c>
      <c r="E393" t="s">
        <v>812</v>
      </c>
      <c r="F393" t="s">
        <v>16</v>
      </c>
      <c r="G393">
        <v>-11.407966</v>
      </c>
      <c r="H393">
        <v>28.378274000000001</v>
      </c>
      <c r="I393" t="s">
        <v>1480</v>
      </c>
      <c r="J393" t="s">
        <v>1483</v>
      </c>
      <c r="K393" t="s">
        <v>15</v>
      </c>
      <c r="L393">
        <v>34</v>
      </c>
      <c r="M393" t="s">
        <v>14</v>
      </c>
      <c r="N393">
        <v>453</v>
      </c>
      <c r="O393">
        <v>56.84</v>
      </c>
      <c r="P393">
        <v>0</v>
      </c>
    </row>
    <row r="394" spans="1:16" x14ac:dyDescent="0.25">
      <c r="A394" s="1">
        <v>45210</v>
      </c>
      <c r="B394" s="2">
        <v>0.83680555555555558</v>
      </c>
      <c r="C394" t="s">
        <v>1282</v>
      </c>
      <c r="D394">
        <v>118</v>
      </c>
      <c r="E394" t="s">
        <v>807</v>
      </c>
      <c r="F394" t="s">
        <v>16</v>
      </c>
      <c r="G394">
        <v>-11.407966</v>
      </c>
      <c r="H394">
        <v>28.378274000000001</v>
      </c>
      <c r="I394" t="s">
        <v>1480</v>
      </c>
      <c r="J394" t="s">
        <v>1483</v>
      </c>
      <c r="K394" t="s">
        <v>15</v>
      </c>
      <c r="L394">
        <v>34</v>
      </c>
      <c r="M394" t="s">
        <v>14</v>
      </c>
      <c r="N394">
        <v>453</v>
      </c>
      <c r="O394">
        <v>56.84</v>
      </c>
      <c r="P394">
        <v>0</v>
      </c>
    </row>
    <row r="395" spans="1:16" x14ac:dyDescent="0.25">
      <c r="A395" s="1">
        <v>45226</v>
      </c>
      <c r="B395" s="2">
        <v>0.79027777777777775</v>
      </c>
      <c r="C395" t="s">
        <v>1283</v>
      </c>
      <c r="D395">
        <v>68</v>
      </c>
      <c r="E395" t="s">
        <v>812</v>
      </c>
      <c r="F395" t="s">
        <v>60</v>
      </c>
      <c r="G395">
        <v>-0.37665700000000002</v>
      </c>
      <c r="H395">
        <v>25.154807999999999</v>
      </c>
      <c r="I395" t="s">
        <v>1482</v>
      </c>
      <c r="J395" t="s">
        <v>1490</v>
      </c>
      <c r="K395" t="s">
        <v>59</v>
      </c>
      <c r="L395">
        <v>14</v>
      </c>
      <c r="M395" t="s">
        <v>14</v>
      </c>
      <c r="N395">
        <v>316</v>
      </c>
      <c r="O395">
        <v>62.34</v>
      </c>
      <c r="P395">
        <v>4</v>
      </c>
    </row>
    <row r="396" spans="1:16" x14ac:dyDescent="0.25">
      <c r="A396" s="1">
        <v>45230</v>
      </c>
      <c r="B396" s="2">
        <v>3.9583333333333331E-2</v>
      </c>
      <c r="C396" t="s">
        <v>1284</v>
      </c>
      <c r="D396">
        <v>117</v>
      </c>
      <c r="E396" t="s">
        <v>808</v>
      </c>
      <c r="F396" t="s">
        <v>62</v>
      </c>
      <c r="G396">
        <v>1.981107</v>
      </c>
      <c r="H396">
        <v>23.932569000000001</v>
      </c>
      <c r="I396" t="s">
        <v>1482</v>
      </c>
      <c r="J396" t="s">
        <v>1490</v>
      </c>
      <c r="K396" t="s">
        <v>61</v>
      </c>
      <c r="L396">
        <v>101</v>
      </c>
      <c r="M396" t="s">
        <v>14</v>
      </c>
      <c r="N396">
        <v>333</v>
      </c>
      <c r="O396">
        <v>74.319999999999993</v>
      </c>
      <c r="P396">
        <v>1</v>
      </c>
    </row>
    <row r="397" spans="1:16" x14ac:dyDescent="0.25">
      <c r="A397" s="1">
        <v>45202</v>
      </c>
      <c r="B397" s="2">
        <v>0.64513888888888893</v>
      </c>
      <c r="C397" t="s">
        <v>1284</v>
      </c>
      <c r="D397">
        <v>106</v>
      </c>
      <c r="E397" t="s">
        <v>812</v>
      </c>
      <c r="F397" t="s">
        <v>62</v>
      </c>
      <c r="G397">
        <v>1.981107</v>
      </c>
      <c r="H397">
        <v>23.932569000000001</v>
      </c>
      <c r="I397" t="s">
        <v>1482</v>
      </c>
      <c r="J397" t="s">
        <v>1490</v>
      </c>
      <c r="K397" t="s">
        <v>61</v>
      </c>
      <c r="L397">
        <v>101</v>
      </c>
      <c r="M397" t="s">
        <v>14</v>
      </c>
      <c r="N397">
        <v>333</v>
      </c>
      <c r="O397">
        <v>74.319999999999993</v>
      </c>
      <c r="P397">
        <v>1</v>
      </c>
    </row>
    <row r="398" spans="1:16" x14ac:dyDescent="0.25">
      <c r="A398" s="1">
        <v>45202</v>
      </c>
      <c r="B398" s="2">
        <v>0.77569444444444446</v>
      </c>
      <c r="C398" t="s">
        <v>1284</v>
      </c>
      <c r="D398">
        <v>72</v>
      </c>
      <c r="E398" t="s">
        <v>807</v>
      </c>
      <c r="F398" t="s">
        <v>62</v>
      </c>
      <c r="G398">
        <v>1.981107</v>
      </c>
      <c r="H398">
        <v>23.932569000000001</v>
      </c>
      <c r="I398" t="s">
        <v>1482</v>
      </c>
      <c r="J398" t="s">
        <v>1490</v>
      </c>
      <c r="K398" t="s">
        <v>61</v>
      </c>
      <c r="L398">
        <v>101</v>
      </c>
      <c r="M398" t="s">
        <v>14</v>
      </c>
      <c r="N398">
        <v>333</v>
      </c>
      <c r="O398">
        <v>74.319999999999993</v>
      </c>
      <c r="P398">
        <v>1</v>
      </c>
    </row>
    <row r="399" spans="1:16" x14ac:dyDescent="0.25">
      <c r="A399" s="1">
        <v>45226</v>
      </c>
      <c r="B399" s="2">
        <v>0.62361111111111112</v>
      </c>
      <c r="C399" t="s">
        <v>1285</v>
      </c>
      <c r="D399">
        <v>98</v>
      </c>
      <c r="E399" t="s">
        <v>812</v>
      </c>
      <c r="F399" t="s">
        <v>89</v>
      </c>
      <c r="G399">
        <v>-7.9987219999999999</v>
      </c>
      <c r="H399">
        <v>12.779335</v>
      </c>
      <c r="I399" t="s">
        <v>1477</v>
      </c>
      <c r="J399" t="s">
        <v>1490</v>
      </c>
      <c r="K399" t="s">
        <v>88</v>
      </c>
      <c r="L399">
        <v>98</v>
      </c>
      <c r="M399" t="s">
        <v>14</v>
      </c>
      <c r="N399">
        <v>482</v>
      </c>
      <c r="O399">
        <v>55.04</v>
      </c>
      <c r="P399">
        <v>5</v>
      </c>
    </row>
    <row r="400" spans="1:16" x14ac:dyDescent="0.25">
      <c r="A400" s="1">
        <v>45225</v>
      </c>
      <c r="B400" s="2">
        <v>0.31736111111111109</v>
      </c>
      <c r="C400" t="s">
        <v>1285</v>
      </c>
      <c r="D400">
        <v>56</v>
      </c>
      <c r="E400" t="s">
        <v>808</v>
      </c>
      <c r="F400" t="s">
        <v>89</v>
      </c>
      <c r="G400">
        <v>-7.9987219999999999</v>
      </c>
      <c r="H400">
        <v>12.779335</v>
      </c>
      <c r="I400" t="s">
        <v>1477</v>
      </c>
      <c r="J400" t="s">
        <v>1490</v>
      </c>
      <c r="K400" t="s">
        <v>88</v>
      </c>
      <c r="L400">
        <v>98</v>
      </c>
      <c r="M400" t="s">
        <v>14</v>
      </c>
      <c r="N400">
        <v>482</v>
      </c>
      <c r="O400">
        <v>55.04</v>
      </c>
      <c r="P400">
        <v>5</v>
      </c>
    </row>
    <row r="401" spans="1:16" x14ac:dyDescent="0.25">
      <c r="A401" s="1">
        <v>45221</v>
      </c>
      <c r="B401" s="2">
        <v>0.8618055555555556</v>
      </c>
      <c r="C401" t="s">
        <v>1286</v>
      </c>
      <c r="D401">
        <v>65</v>
      </c>
      <c r="E401" t="s">
        <v>807</v>
      </c>
      <c r="F401" t="s">
        <v>37</v>
      </c>
      <c r="G401">
        <v>-3.9148719999999999</v>
      </c>
      <c r="H401">
        <v>12.260933</v>
      </c>
      <c r="I401" t="s">
        <v>1480</v>
      </c>
      <c r="J401" t="s">
        <v>1478</v>
      </c>
      <c r="K401" t="s">
        <v>36</v>
      </c>
      <c r="L401">
        <v>115</v>
      </c>
      <c r="M401" t="s">
        <v>19</v>
      </c>
      <c r="N401">
        <v>176</v>
      </c>
      <c r="O401">
        <v>33.28</v>
      </c>
      <c r="P401">
        <v>4</v>
      </c>
    </row>
    <row r="402" spans="1:16" x14ac:dyDescent="0.25">
      <c r="A402" s="1">
        <v>45201</v>
      </c>
      <c r="B402" s="2">
        <v>0.3125</v>
      </c>
      <c r="C402" t="s">
        <v>1293</v>
      </c>
      <c r="D402">
        <v>90</v>
      </c>
      <c r="E402" t="s">
        <v>808</v>
      </c>
      <c r="F402" t="s">
        <v>57</v>
      </c>
      <c r="G402">
        <v>-12.333232000000001</v>
      </c>
      <c r="H402">
        <v>25.229620000000001</v>
      </c>
      <c r="I402" t="s">
        <v>1477</v>
      </c>
      <c r="J402" t="s">
        <v>1490</v>
      </c>
      <c r="K402" t="s">
        <v>56</v>
      </c>
      <c r="L402">
        <v>97</v>
      </c>
      <c r="M402" t="s">
        <v>14</v>
      </c>
      <c r="N402">
        <v>319</v>
      </c>
      <c r="O402">
        <v>31.25</v>
      </c>
      <c r="P402">
        <v>1</v>
      </c>
    </row>
    <row r="403" spans="1:16" x14ac:dyDescent="0.25">
      <c r="A403" s="1">
        <v>45215</v>
      </c>
      <c r="B403" s="2">
        <v>1.5972222222222221E-2</v>
      </c>
      <c r="C403" t="s">
        <v>1295</v>
      </c>
      <c r="D403">
        <v>74</v>
      </c>
      <c r="E403" t="s">
        <v>807</v>
      </c>
      <c r="F403" t="s">
        <v>33</v>
      </c>
      <c r="G403">
        <v>-5.8352820000000003</v>
      </c>
      <c r="H403">
        <v>26.603978000000001</v>
      </c>
      <c r="I403" t="s">
        <v>1480</v>
      </c>
      <c r="J403" t="s">
        <v>1481</v>
      </c>
      <c r="K403" t="s">
        <v>32</v>
      </c>
      <c r="L403">
        <v>72</v>
      </c>
      <c r="M403" t="s">
        <v>14</v>
      </c>
      <c r="N403">
        <v>160</v>
      </c>
      <c r="O403">
        <v>90.13</v>
      </c>
      <c r="P403">
        <v>2</v>
      </c>
    </row>
    <row r="404" spans="1:16" x14ac:dyDescent="0.25">
      <c r="A404" s="1">
        <v>45218</v>
      </c>
      <c r="B404" s="2">
        <v>0.38194444444444442</v>
      </c>
      <c r="C404" t="s">
        <v>1296</v>
      </c>
      <c r="D404">
        <v>81</v>
      </c>
      <c r="E404" t="s">
        <v>808</v>
      </c>
      <c r="F404" t="s">
        <v>62</v>
      </c>
      <c r="G404">
        <v>-2.8211520000000001</v>
      </c>
      <c r="H404">
        <v>20.651419000000001</v>
      </c>
      <c r="I404" t="s">
        <v>1477</v>
      </c>
      <c r="J404" t="s">
        <v>1478</v>
      </c>
      <c r="K404" t="s">
        <v>61</v>
      </c>
      <c r="L404">
        <v>101</v>
      </c>
      <c r="M404" t="s">
        <v>14</v>
      </c>
      <c r="N404">
        <v>333</v>
      </c>
      <c r="O404">
        <v>74.319999999999993</v>
      </c>
      <c r="P404">
        <v>1</v>
      </c>
    </row>
    <row r="405" spans="1:16" x14ac:dyDescent="0.25">
      <c r="A405" s="1">
        <v>45219</v>
      </c>
      <c r="B405" s="2">
        <v>0.47638888888888886</v>
      </c>
      <c r="C405" t="s">
        <v>1296</v>
      </c>
      <c r="D405">
        <v>57</v>
      </c>
      <c r="E405" t="s">
        <v>807</v>
      </c>
      <c r="F405" t="s">
        <v>62</v>
      </c>
      <c r="G405">
        <v>-2.8211520000000001</v>
      </c>
      <c r="H405">
        <v>20.651419000000001</v>
      </c>
      <c r="I405" t="s">
        <v>1477</v>
      </c>
      <c r="J405" t="s">
        <v>1478</v>
      </c>
      <c r="K405" t="s">
        <v>61</v>
      </c>
      <c r="L405">
        <v>101</v>
      </c>
      <c r="M405" t="s">
        <v>14</v>
      </c>
      <c r="N405">
        <v>333</v>
      </c>
      <c r="O405">
        <v>74.319999999999993</v>
      </c>
      <c r="P405">
        <v>1</v>
      </c>
    </row>
    <row r="406" spans="1:16" x14ac:dyDescent="0.25">
      <c r="A406" s="1">
        <v>45200</v>
      </c>
      <c r="B406" s="2">
        <v>0.92569444444444449</v>
      </c>
      <c r="C406" t="s">
        <v>1296</v>
      </c>
      <c r="D406">
        <v>76</v>
      </c>
      <c r="E406" t="s">
        <v>812</v>
      </c>
      <c r="F406" t="s">
        <v>62</v>
      </c>
      <c r="G406">
        <v>-2.8211520000000001</v>
      </c>
      <c r="H406">
        <v>20.651419000000001</v>
      </c>
      <c r="I406" t="s">
        <v>1477</v>
      </c>
      <c r="J406" t="s">
        <v>1478</v>
      </c>
      <c r="K406" t="s">
        <v>61</v>
      </c>
      <c r="L406">
        <v>101</v>
      </c>
      <c r="M406" t="s">
        <v>14</v>
      </c>
      <c r="N406">
        <v>333</v>
      </c>
      <c r="O406">
        <v>74.319999999999993</v>
      </c>
      <c r="P406">
        <v>1</v>
      </c>
    </row>
    <row r="407" spans="1:16" x14ac:dyDescent="0.25">
      <c r="A407" s="1">
        <v>45213</v>
      </c>
      <c r="B407" s="2">
        <v>2.2916666666666665E-2</v>
      </c>
      <c r="C407" t="s">
        <v>1296</v>
      </c>
      <c r="D407">
        <v>56</v>
      </c>
      <c r="E407" t="s">
        <v>812</v>
      </c>
      <c r="F407" t="s">
        <v>62</v>
      </c>
      <c r="G407">
        <v>-2.8211520000000001</v>
      </c>
      <c r="H407">
        <v>20.651419000000001</v>
      </c>
      <c r="I407" t="s">
        <v>1477</v>
      </c>
      <c r="J407" t="s">
        <v>1478</v>
      </c>
      <c r="K407" t="s">
        <v>61</v>
      </c>
      <c r="L407">
        <v>101</v>
      </c>
      <c r="M407" t="s">
        <v>14</v>
      </c>
      <c r="N407">
        <v>333</v>
      </c>
      <c r="O407">
        <v>74.319999999999993</v>
      </c>
      <c r="P407">
        <v>1</v>
      </c>
    </row>
    <row r="408" spans="1:16" x14ac:dyDescent="0.25">
      <c r="A408" s="1">
        <v>45213</v>
      </c>
      <c r="B408" s="2">
        <v>4.2361111111111113E-2</v>
      </c>
      <c r="C408" t="s">
        <v>1296</v>
      </c>
      <c r="D408">
        <v>119</v>
      </c>
      <c r="E408" t="s">
        <v>808</v>
      </c>
      <c r="F408" t="s">
        <v>62</v>
      </c>
      <c r="G408">
        <v>-2.8211520000000001</v>
      </c>
      <c r="H408">
        <v>20.651419000000001</v>
      </c>
      <c r="I408" t="s">
        <v>1477</v>
      </c>
      <c r="J408" t="s">
        <v>1478</v>
      </c>
      <c r="K408" t="s">
        <v>61</v>
      </c>
      <c r="L408">
        <v>101</v>
      </c>
      <c r="M408" t="s">
        <v>14</v>
      </c>
      <c r="N408">
        <v>333</v>
      </c>
      <c r="O408">
        <v>74.319999999999993</v>
      </c>
      <c r="P408">
        <v>1</v>
      </c>
    </row>
    <row r="409" spans="1:16" x14ac:dyDescent="0.25">
      <c r="A409" s="1">
        <v>45224</v>
      </c>
      <c r="B409" s="2">
        <v>0.55277777777777781</v>
      </c>
      <c r="C409" t="s">
        <v>1297</v>
      </c>
      <c r="D409">
        <v>60</v>
      </c>
      <c r="E409" t="s">
        <v>808</v>
      </c>
      <c r="F409" t="s">
        <v>37</v>
      </c>
      <c r="G409">
        <v>-10.439686999999999</v>
      </c>
      <c r="H409">
        <v>20.714210000000001</v>
      </c>
      <c r="I409" t="s">
        <v>1480</v>
      </c>
      <c r="J409" t="s">
        <v>1483</v>
      </c>
      <c r="K409" t="s">
        <v>36</v>
      </c>
      <c r="L409">
        <v>115</v>
      </c>
      <c r="M409" t="s">
        <v>19</v>
      </c>
      <c r="N409">
        <v>176</v>
      </c>
      <c r="O409">
        <v>33.28</v>
      </c>
      <c r="P409">
        <v>4</v>
      </c>
    </row>
    <row r="410" spans="1:16" x14ac:dyDescent="0.25">
      <c r="A410" s="1">
        <v>45211</v>
      </c>
      <c r="B410" s="2">
        <v>0.12847222222222221</v>
      </c>
      <c r="C410" t="s">
        <v>1302</v>
      </c>
      <c r="D410">
        <v>110</v>
      </c>
      <c r="E410" t="s">
        <v>808</v>
      </c>
      <c r="F410" t="s">
        <v>21</v>
      </c>
      <c r="G410">
        <v>2.453036</v>
      </c>
      <c r="H410">
        <v>20.555484</v>
      </c>
      <c r="I410" t="s">
        <v>1477</v>
      </c>
      <c r="J410" t="s">
        <v>1478</v>
      </c>
      <c r="K410" t="s">
        <v>20</v>
      </c>
      <c r="L410">
        <v>101</v>
      </c>
      <c r="M410" t="s">
        <v>22</v>
      </c>
      <c r="N410">
        <v>358</v>
      </c>
      <c r="O410">
        <v>29.24</v>
      </c>
      <c r="P410">
        <v>3</v>
      </c>
    </row>
    <row r="411" spans="1:16" x14ac:dyDescent="0.25">
      <c r="A411" s="1">
        <v>45207</v>
      </c>
      <c r="B411" s="2">
        <v>7.0833333333333331E-2</v>
      </c>
      <c r="C411" t="s">
        <v>1303</v>
      </c>
      <c r="D411">
        <v>94</v>
      </c>
      <c r="E411" t="s">
        <v>808</v>
      </c>
      <c r="F411" t="s">
        <v>60</v>
      </c>
      <c r="G411">
        <v>-1.1284540000000001</v>
      </c>
      <c r="H411">
        <v>23.000360000000001</v>
      </c>
      <c r="I411" t="s">
        <v>1477</v>
      </c>
      <c r="J411" t="s">
        <v>1478</v>
      </c>
      <c r="K411" t="s">
        <v>59</v>
      </c>
      <c r="L411">
        <v>14</v>
      </c>
      <c r="M411" t="s">
        <v>14</v>
      </c>
      <c r="N411">
        <v>316</v>
      </c>
      <c r="O411">
        <v>62.34</v>
      </c>
      <c r="P411">
        <v>4</v>
      </c>
    </row>
    <row r="412" spans="1:16" x14ac:dyDescent="0.25">
      <c r="A412" s="1">
        <v>45221</v>
      </c>
      <c r="B412" s="2">
        <v>0.72499999999999998</v>
      </c>
      <c r="C412" t="s">
        <v>1304</v>
      </c>
      <c r="D412">
        <v>55</v>
      </c>
      <c r="E412" t="s">
        <v>808</v>
      </c>
      <c r="F412" t="s">
        <v>57</v>
      </c>
      <c r="G412">
        <v>-1.3976519999999999</v>
      </c>
      <c r="H412">
        <v>14.098819000000001</v>
      </c>
      <c r="I412" t="s">
        <v>1482</v>
      </c>
      <c r="J412" t="s">
        <v>1478</v>
      </c>
      <c r="K412" t="s">
        <v>56</v>
      </c>
      <c r="L412">
        <v>97</v>
      </c>
      <c r="M412" t="s">
        <v>14</v>
      </c>
      <c r="N412">
        <v>319</v>
      </c>
      <c r="O412">
        <v>31.25</v>
      </c>
      <c r="P412">
        <v>1</v>
      </c>
    </row>
    <row r="413" spans="1:16" x14ac:dyDescent="0.25">
      <c r="A413" s="1">
        <v>45203</v>
      </c>
      <c r="B413" s="2">
        <v>0.60347222222222219</v>
      </c>
      <c r="C413" t="s">
        <v>1305</v>
      </c>
      <c r="D413">
        <v>106</v>
      </c>
      <c r="E413" t="s">
        <v>808</v>
      </c>
      <c r="F413" t="s">
        <v>24</v>
      </c>
      <c r="G413">
        <v>-5.1507670000000001</v>
      </c>
      <c r="H413">
        <v>28.075324999999999</v>
      </c>
      <c r="I413" t="s">
        <v>1477</v>
      </c>
      <c r="J413" t="s">
        <v>1481</v>
      </c>
      <c r="K413" t="s">
        <v>23</v>
      </c>
      <c r="L413">
        <v>46</v>
      </c>
      <c r="M413" t="s">
        <v>11</v>
      </c>
      <c r="N413">
        <v>283</v>
      </c>
      <c r="O413">
        <v>56.05</v>
      </c>
      <c r="P413">
        <v>1</v>
      </c>
    </row>
    <row r="414" spans="1:16" x14ac:dyDescent="0.25">
      <c r="A414" s="1">
        <v>45221</v>
      </c>
      <c r="B414" s="2">
        <v>0.6479166666666667</v>
      </c>
      <c r="C414" t="s">
        <v>1306</v>
      </c>
      <c r="D414">
        <v>67</v>
      </c>
      <c r="E414" t="s">
        <v>807</v>
      </c>
      <c r="F414" t="s">
        <v>127</v>
      </c>
      <c r="G414">
        <v>-11.924048000000001</v>
      </c>
      <c r="H414">
        <v>24.177174999999998</v>
      </c>
      <c r="I414" t="s">
        <v>1482</v>
      </c>
      <c r="J414" t="s">
        <v>1490</v>
      </c>
      <c r="K414" t="s">
        <v>126</v>
      </c>
      <c r="L414">
        <v>40</v>
      </c>
      <c r="M414" t="s">
        <v>11</v>
      </c>
      <c r="N414">
        <v>345</v>
      </c>
      <c r="O414">
        <v>89.55</v>
      </c>
      <c r="P414">
        <v>3</v>
      </c>
    </row>
    <row r="415" spans="1:16" x14ac:dyDescent="0.25">
      <c r="A415" s="1">
        <v>45213</v>
      </c>
      <c r="B415" s="2">
        <v>0.94861111111111107</v>
      </c>
      <c r="C415" t="s">
        <v>1309</v>
      </c>
      <c r="D415">
        <v>72</v>
      </c>
      <c r="E415" t="s">
        <v>808</v>
      </c>
      <c r="F415" t="s">
        <v>35</v>
      </c>
      <c r="G415">
        <v>-2.7140689999999998</v>
      </c>
      <c r="H415">
        <v>22.222104000000002</v>
      </c>
      <c r="I415" t="s">
        <v>1480</v>
      </c>
      <c r="J415" t="s">
        <v>1490</v>
      </c>
      <c r="K415" t="s">
        <v>34</v>
      </c>
      <c r="L415">
        <v>35</v>
      </c>
      <c r="M415" t="s">
        <v>14</v>
      </c>
      <c r="N415">
        <v>465</v>
      </c>
      <c r="O415">
        <v>58.59</v>
      </c>
      <c r="P415">
        <v>5</v>
      </c>
    </row>
    <row r="416" spans="1:16" x14ac:dyDescent="0.25">
      <c r="A416" s="1">
        <v>45210</v>
      </c>
      <c r="B416" s="2">
        <v>0.16805555555555557</v>
      </c>
      <c r="C416" t="s">
        <v>1314</v>
      </c>
      <c r="D416">
        <v>110</v>
      </c>
      <c r="E416" t="s">
        <v>807</v>
      </c>
      <c r="F416" t="s">
        <v>37</v>
      </c>
      <c r="G416">
        <v>-9.9565739999999998</v>
      </c>
      <c r="H416">
        <v>21.017202000000001</v>
      </c>
      <c r="I416" t="s">
        <v>1480</v>
      </c>
      <c r="J416" t="s">
        <v>1481</v>
      </c>
      <c r="K416" t="s">
        <v>36</v>
      </c>
      <c r="L416">
        <v>115</v>
      </c>
      <c r="M416" t="s">
        <v>19</v>
      </c>
      <c r="N416">
        <v>176</v>
      </c>
      <c r="O416">
        <v>33.28</v>
      </c>
      <c r="P416">
        <v>4</v>
      </c>
    </row>
    <row r="417" spans="1:16" x14ac:dyDescent="0.25">
      <c r="A417" s="1">
        <v>45209</v>
      </c>
      <c r="B417" s="2">
        <v>0.52430555555555558</v>
      </c>
      <c r="C417" t="s">
        <v>1315</v>
      </c>
      <c r="D417">
        <v>27</v>
      </c>
      <c r="E417" t="s">
        <v>812</v>
      </c>
      <c r="F417" t="s">
        <v>51</v>
      </c>
      <c r="G417">
        <v>2.4741019999999998</v>
      </c>
      <c r="H417">
        <v>29.297391000000001</v>
      </c>
      <c r="I417" t="s">
        <v>1480</v>
      </c>
      <c r="J417" t="s">
        <v>1478</v>
      </c>
      <c r="K417" t="s">
        <v>50</v>
      </c>
      <c r="L417">
        <v>119</v>
      </c>
      <c r="M417" t="s">
        <v>22</v>
      </c>
      <c r="N417">
        <v>228</v>
      </c>
      <c r="O417">
        <v>94.72</v>
      </c>
      <c r="P417">
        <v>3</v>
      </c>
    </row>
    <row r="418" spans="1:16" x14ac:dyDescent="0.25">
      <c r="A418" s="1">
        <v>45221</v>
      </c>
      <c r="B418" s="2">
        <v>0.1673611111111111</v>
      </c>
      <c r="C418" t="s">
        <v>1315</v>
      </c>
      <c r="D418">
        <v>78</v>
      </c>
      <c r="E418" t="s">
        <v>808</v>
      </c>
      <c r="F418" t="s">
        <v>51</v>
      </c>
      <c r="G418">
        <v>2.4741019999999998</v>
      </c>
      <c r="H418">
        <v>29.297391000000001</v>
      </c>
      <c r="I418" t="s">
        <v>1480</v>
      </c>
      <c r="J418" t="s">
        <v>1478</v>
      </c>
      <c r="K418" t="s">
        <v>50</v>
      </c>
      <c r="L418">
        <v>119</v>
      </c>
      <c r="M418" t="s">
        <v>22</v>
      </c>
      <c r="N418">
        <v>228</v>
      </c>
      <c r="O418">
        <v>94.72</v>
      </c>
      <c r="P418">
        <v>3</v>
      </c>
    </row>
    <row r="419" spans="1:16" x14ac:dyDescent="0.25">
      <c r="A419" s="1">
        <v>45212</v>
      </c>
      <c r="B419" s="2">
        <v>0.75486111111111109</v>
      </c>
      <c r="C419" t="s">
        <v>1315</v>
      </c>
      <c r="D419">
        <v>112</v>
      </c>
      <c r="E419" t="s">
        <v>812</v>
      </c>
      <c r="F419" t="s">
        <v>51</v>
      </c>
      <c r="G419">
        <v>2.4741019999999998</v>
      </c>
      <c r="H419">
        <v>29.297391000000001</v>
      </c>
      <c r="I419" t="s">
        <v>1480</v>
      </c>
      <c r="J419" t="s">
        <v>1478</v>
      </c>
      <c r="K419" t="s">
        <v>50</v>
      </c>
      <c r="L419">
        <v>119</v>
      </c>
      <c r="M419" t="s">
        <v>22</v>
      </c>
      <c r="N419">
        <v>228</v>
      </c>
      <c r="O419">
        <v>94.72</v>
      </c>
      <c r="P419">
        <v>3</v>
      </c>
    </row>
    <row r="420" spans="1:16" x14ac:dyDescent="0.25">
      <c r="A420" s="1">
        <v>45209</v>
      </c>
      <c r="B420" s="2">
        <v>0.92152777777777772</v>
      </c>
      <c r="C420" t="s">
        <v>1318</v>
      </c>
      <c r="D420">
        <v>119</v>
      </c>
      <c r="E420" t="s">
        <v>807</v>
      </c>
      <c r="F420" t="s">
        <v>26</v>
      </c>
      <c r="G420">
        <v>1.5278670000000001</v>
      </c>
      <c r="H420">
        <v>13.899388999999999</v>
      </c>
      <c r="I420" t="s">
        <v>1482</v>
      </c>
      <c r="J420" t="s">
        <v>1481</v>
      </c>
      <c r="K420" t="s">
        <v>25</v>
      </c>
      <c r="L420">
        <v>99</v>
      </c>
      <c r="M420" t="s">
        <v>11</v>
      </c>
      <c r="N420">
        <v>447</v>
      </c>
      <c r="O420">
        <v>38.1</v>
      </c>
      <c r="P420">
        <v>3</v>
      </c>
    </row>
    <row r="421" spans="1:16" x14ac:dyDescent="0.25">
      <c r="A421" s="1">
        <v>45201</v>
      </c>
      <c r="B421" s="2">
        <v>0.92222222222222228</v>
      </c>
      <c r="C421" t="s">
        <v>1318</v>
      </c>
      <c r="D421">
        <v>32</v>
      </c>
      <c r="E421" t="s">
        <v>807</v>
      </c>
      <c r="F421" t="s">
        <v>26</v>
      </c>
      <c r="G421">
        <v>1.5278670000000001</v>
      </c>
      <c r="H421">
        <v>13.899388999999999</v>
      </c>
      <c r="I421" t="s">
        <v>1482</v>
      </c>
      <c r="J421" t="s">
        <v>1481</v>
      </c>
      <c r="K421" t="s">
        <v>25</v>
      </c>
      <c r="L421">
        <v>99</v>
      </c>
      <c r="M421" t="s">
        <v>11</v>
      </c>
      <c r="N421">
        <v>447</v>
      </c>
      <c r="O421">
        <v>38.1</v>
      </c>
      <c r="P421">
        <v>3</v>
      </c>
    </row>
    <row r="422" spans="1:16" x14ac:dyDescent="0.25">
      <c r="A422" s="1">
        <v>45200</v>
      </c>
      <c r="B422" s="2">
        <v>0.98541666666666672</v>
      </c>
      <c r="C422" t="s">
        <v>1318</v>
      </c>
      <c r="D422">
        <v>29</v>
      </c>
      <c r="E422" t="s">
        <v>812</v>
      </c>
      <c r="F422" t="s">
        <v>26</v>
      </c>
      <c r="G422">
        <v>1.5278670000000001</v>
      </c>
      <c r="H422">
        <v>13.899388999999999</v>
      </c>
      <c r="I422" t="s">
        <v>1482</v>
      </c>
      <c r="J422" t="s">
        <v>1481</v>
      </c>
      <c r="K422" t="s">
        <v>25</v>
      </c>
      <c r="L422">
        <v>99</v>
      </c>
      <c r="M422" t="s">
        <v>11</v>
      </c>
      <c r="N422">
        <v>447</v>
      </c>
      <c r="O422">
        <v>38.1</v>
      </c>
      <c r="P422">
        <v>3</v>
      </c>
    </row>
    <row r="423" spans="1:16" x14ac:dyDescent="0.25">
      <c r="A423" s="1">
        <v>45223</v>
      </c>
      <c r="B423" s="2">
        <v>0.43611111111111112</v>
      </c>
      <c r="C423" t="s">
        <v>1318</v>
      </c>
      <c r="D423">
        <v>26</v>
      </c>
      <c r="E423" t="s">
        <v>807</v>
      </c>
      <c r="F423" t="s">
        <v>26</v>
      </c>
      <c r="G423">
        <v>1.5278670000000001</v>
      </c>
      <c r="H423">
        <v>13.899388999999999</v>
      </c>
      <c r="I423" t="s">
        <v>1482</v>
      </c>
      <c r="J423" t="s">
        <v>1481</v>
      </c>
      <c r="K423" t="s">
        <v>25</v>
      </c>
      <c r="L423">
        <v>99</v>
      </c>
      <c r="M423" t="s">
        <v>11</v>
      </c>
      <c r="N423">
        <v>447</v>
      </c>
      <c r="O423">
        <v>38.1</v>
      </c>
      <c r="P423">
        <v>3</v>
      </c>
    </row>
    <row r="424" spans="1:16" x14ac:dyDescent="0.25">
      <c r="A424" s="1">
        <v>45205</v>
      </c>
      <c r="B424" s="2">
        <v>1.8055555555555554E-2</v>
      </c>
      <c r="C424" t="s">
        <v>1318</v>
      </c>
      <c r="D424">
        <v>67</v>
      </c>
      <c r="E424" t="s">
        <v>812</v>
      </c>
      <c r="F424" t="s">
        <v>26</v>
      </c>
      <c r="G424">
        <v>1.5278670000000001</v>
      </c>
      <c r="H424">
        <v>13.899388999999999</v>
      </c>
      <c r="I424" t="s">
        <v>1482</v>
      </c>
      <c r="J424" t="s">
        <v>1481</v>
      </c>
      <c r="K424" t="s">
        <v>25</v>
      </c>
      <c r="L424">
        <v>99</v>
      </c>
      <c r="M424" t="s">
        <v>11</v>
      </c>
      <c r="N424">
        <v>447</v>
      </c>
      <c r="O424">
        <v>38.1</v>
      </c>
      <c r="P424">
        <v>3</v>
      </c>
    </row>
    <row r="425" spans="1:16" x14ac:dyDescent="0.25">
      <c r="A425" s="1">
        <v>45210</v>
      </c>
      <c r="B425" s="2">
        <v>0.28055555555555556</v>
      </c>
      <c r="C425" t="s">
        <v>1325</v>
      </c>
      <c r="D425">
        <v>43</v>
      </c>
      <c r="E425" t="s">
        <v>808</v>
      </c>
      <c r="F425" t="s">
        <v>31</v>
      </c>
      <c r="G425">
        <v>-12.342053999999999</v>
      </c>
      <c r="H425">
        <v>18.756862000000002</v>
      </c>
      <c r="I425" t="s">
        <v>1482</v>
      </c>
      <c r="J425" t="s">
        <v>1478</v>
      </c>
      <c r="K425" t="s">
        <v>30</v>
      </c>
      <c r="L425">
        <v>113</v>
      </c>
      <c r="M425" t="s">
        <v>22</v>
      </c>
      <c r="N425">
        <v>380</v>
      </c>
      <c r="O425">
        <v>12.11</v>
      </c>
      <c r="P425">
        <v>0</v>
      </c>
    </row>
    <row r="426" spans="1:16" x14ac:dyDescent="0.25">
      <c r="A426" s="1">
        <v>45211</v>
      </c>
      <c r="B426" s="2">
        <v>0.90486111111111112</v>
      </c>
      <c r="C426" t="s">
        <v>1325</v>
      </c>
      <c r="D426">
        <v>45</v>
      </c>
      <c r="E426" t="s">
        <v>812</v>
      </c>
      <c r="F426" t="s">
        <v>31</v>
      </c>
      <c r="G426">
        <v>-12.342053999999999</v>
      </c>
      <c r="H426">
        <v>18.756862000000002</v>
      </c>
      <c r="I426" t="s">
        <v>1482</v>
      </c>
      <c r="J426" t="s">
        <v>1478</v>
      </c>
      <c r="K426" t="s">
        <v>30</v>
      </c>
      <c r="L426">
        <v>113</v>
      </c>
      <c r="M426" t="s">
        <v>22</v>
      </c>
      <c r="N426">
        <v>380</v>
      </c>
      <c r="O426">
        <v>12.11</v>
      </c>
      <c r="P426">
        <v>0</v>
      </c>
    </row>
    <row r="427" spans="1:16" x14ac:dyDescent="0.25">
      <c r="A427" s="1">
        <v>45205</v>
      </c>
      <c r="B427" s="2">
        <v>5.2083333333333336E-2</v>
      </c>
      <c r="C427" t="s">
        <v>1327</v>
      </c>
      <c r="D427">
        <v>81</v>
      </c>
      <c r="E427" t="s">
        <v>812</v>
      </c>
      <c r="F427" t="s">
        <v>29</v>
      </c>
      <c r="G427">
        <v>1.5802860000000001</v>
      </c>
      <c r="H427">
        <v>20.99053</v>
      </c>
      <c r="I427" t="s">
        <v>1480</v>
      </c>
      <c r="J427" t="s">
        <v>1483</v>
      </c>
      <c r="K427" t="s">
        <v>28</v>
      </c>
      <c r="L427">
        <v>99</v>
      </c>
      <c r="M427" t="s">
        <v>19</v>
      </c>
      <c r="N427">
        <v>369</v>
      </c>
      <c r="O427">
        <v>67.209999999999994</v>
      </c>
      <c r="P427">
        <v>3</v>
      </c>
    </row>
    <row r="428" spans="1:16" x14ac:dyDescent="0.25">
      <c r="A428" s="1">
        <v>45220</v>
      </c>
      <c r="B428" s="2">
        <v>0.92777777777777781</v>
      </c>
      <c r="C428" t="s">
        <v>1327</v>
      </c>
      <c r="D428">
        <v>22</v>
      </c>
      <c r="E428" t="s">
        <v>808</v>
      </c>
      <c r="F428" t="s">
        <v>29</v>
      </c>
      <c r="G428">
        <v>1.5802860000000001</v>
      </c>
      <c r="H428">
        <v>20.99053</v>
      </c>
      <c r="I428" t="s">
        <v>1480</v>
      </c>
      <c r="J428" t="s">
        <v>1483</v>
      </c>
      <c r="K428" t="s">
        <v>28</v>
      </c>
      <c r="L428">
        <v>99</v>
      </c>
      <c r="M428" t="s">
        <v>19</v>
      </c>
      <c r="N428">
        <v>369</v>
      </c>
      <c r="O428">
        <v>67.209999999999994</v>
      </c>
      <c r="P428">
        <v>3</v>
      </c>
    </row>
    <row r="429" spans="1:16" x14ac:dyDescent="0.25">
      <c r="A429" s="1">
        <v>45213</v>
      </c>
      <c r="B429" s="2">
        <v>0.64583333333333337</v>
      </c>
      <c r="C429" t="s">
        <v>1328</v>
      </c>
      <c r="D429">
        <v>95</v>
      </c>
      <c r="E429" t="s">
        <v>807</v>
      </c>
      <c r="F429" t="s">
        <v>24</v>
      </c>
      <c r="G429">
        <v>-2.9417719999999998</v>
      </c>
      <c r="H429">
        <v>18.587305000000001</v>
      </c>
      <c r="I429" t="s">
        <v>1477</v>
      </c>
      <c r="J429" t="s">
        <v>1478</v>
      </c>
      <c r="K429" t="s">
        <v>23</v>
      </c>
      <c r="L429">
        <v>46</v>
      </c>
      <c r="M429" t="s">
        <v>11</v>
      </c>
      <c r="N429">
        <v>283</v>
      </c>
      <c r="O429">
        <v>56.05</v>
      </c>
      <c r="P429">
        <v>1</v>
      </c>
    </row>
    <row r="430" spans="1:16" x14ac:dyDescent="0.25">
      <c r="A430" s="1">
        <v>45222</v>
      </c>
      <c r="B430" s="2">
        <v>0.83402777777777781</v>
      </c>
      <c r="C430" t="s">
        <v>1328</v>
      </c>
      <c r="D430">
        <v>109</v>
      </c>
      <c r="E430" t="s">
        <v>808</v>
      </c>
      <c r="F430" t="s">
        <v>24</v>
      </c>
      <c r="G430">
        <v>-2.9417719999999998</v>
      </c>
      <c r="H430">
        <v>18.587305000000001</v>
      </c>
      <c r="I430" t="s">
        <v>1477</v>
      </c>
      <c r="J430" t="s">
        <v>1478</v>
      </c>
      <c r="K430" t="s">
        <v>23</v>
      </c>
      <c r="L430">
        <v>46</v>
      </c>
      <c r="M430" t="s">
        <v>11</v>
      </c>
      <c r="N430">
        <v>283</v>
      </c>
      <c r="O430">
        <v>56.05</v>
      </c>
      <c r="P430">
        <v>1</v>
      </c>
    </row>
    <row r="431" spans="1:16" x14ac:dyDescent="0.25">
      <c r="A431" s="1">
        <v>45216</v>
      </c>
      <c r="B431" s="2">
        <v>0.2326388888888889</v>
      </c>
      <c r="C431" t="s">
        <v>1331</v>
      </c>
      <c r="D431">
        <v>11</v>
      </c>
      <c r="E431" t="s">
        <v>812</v>
      </c>
      <c r="F431" t="s">
        <v>29</v>
      </c>
      <c r="G431">
        <v>-3.8119990000000001</v>
      </c>
      <c r="H431">
        <v>20.420048000000001</v>
      </c>
      <c r="I431" t="s">
        <v>1482</v>
      </c>
      <c r="J431" t="s">
        <v>1483</v>
      </c>
      <c r="K431" t="s">
        <v>28</v>
      </c>
      <c r="L431">
        <v>99</v>
      </c>
      <c r="M431" t="s">
        <v>19</v>
      </c>
      <c r="N431">
        <v>369</v>
      </c>
      <c r="O431">
        <v>67.209999999999994</v>
      </c>
      <c r="P431">
        <v>3</v>
      </c>
    </row>
    <row r="432" spans="1:16" x14ac:dyDescent="0.25">
      <c r="A432" s="1">
        <v>45206</v>
      </c>
      <c r="B432" s="2">
        <v>0.6875</v>
      </c>
      <c r="C432" t="s">
        <v>1332</v>
      </c>
      <c r="D432">
        <v>76</v>
      </c>
      <c r="E432" t="s">
        <v>812</v>
      </c>
      <c r="F432" t="s">
        <v>127</v>
      </c>
      <c r="G432">
        <v>-12.100756000000001</v>
      </c>
      <c r="H432">
        <v>21.938649999999999</v>
      </c>
      <c r="I432" t="s">
        <v>1480</v>
      </c>
      <c r="J432" t="s">
        <v>1481</v>
      </c>
      <c r="K432" t="s">
        <v>126</v>
      </c>
      <c r="L432">
        <v>40</v>
      </c>
      <c r="M432" t="s">
        <v>11</v>
      </c>
      <c r="N432">
        <v>345</v>
      </c>
      <c r="O432">
        <v>89.55</v>
      </c>
      <c r="P432">
        <v>3</v>
      </c>
    </row>
    <row r="433" spans="1:16" x14ac:dyDescent="0.25">
      <c r="A433" s="1">
        <v>45216</v>
      </c>
      <c r="B433" s="2">
        <v>0.69374999999999998</v>
      </c>
      <c r="C433" t="s">
        <v>1332</v>
      </c>
      <c r="D433">
        <v>24</v>
      </c>
      <c r="E433" t="s">
        <v>812</v>
      </c>
      <c r="F433" t="s">
        <v>127</v>
      </c>
      <c r="G433">
        <v>-12.100756000000001</v>
      </c>
      <c r="H433">
        <v>21.938649999999999</v>
      </c>
      <c r="I433" t="s">
        <v>1480</v>
      </c>
      <c r="J433" t="s">
        <v>1481</v>
      </c>
      <c r="K433" t="s">
        <v>126</v>
      </c>
      <c r="L433">
        <v>40</v>
      </c>
      <c r="M433" t="s">
        <v>11</v>
      </c>
      <c r="N433">
        <v>345</v>
      </c>
      <c r="O433">
        <v>89.55</v>
      </c>
      <c r="P433">
        <v>3</v>
      </c>
    </row>
    <row r="434" spans="1:16" x14ac:dyDescent="0.25">
      <c r="A434" s="1">
        <v>45220</v>
      </c>
      <c r="B434" s="2">
        <v>0.11041666666666666</v>
      </c>
      <c r="C434" t="s">
        <v>1337</v>
      </c>
      <c r="D434">
        <v>111</v>
      </c>
      <c r="E434" t="s">
        <v>812</v>
      </c>
      <c r="F434" t="s">
        <v>10</v>
      </c>
      <c r="G434">
        <v>-4.1250960000000001</v>
      </c>
      <c r="H434">
        <v>27.799897999999999</v>
      </c>
      <c r="I434" t="s">
        <v>1482</v>
      </c>
      <c r="J434" t="s">
        <v>1490</v>
      </c>
      <c r="K434" t="s">
        <v>9</v>
      </c>
      <c r="L434">
        <v>29</v>
      </c>
      <c r="M434" t="s">
        <v>11</v>
      </c>
      <c r="N434">
        <v>214</v>
      </c>
      <c r="O434">
        <v>74.7</v>
      </c>
      <c r="P434">
        <v>3</v>
      </c>
    </row>
    <row r="435" spans="1:16" x14ac:dyDescent="0.25">
      <c r="A435" s="1">
        <v>45228</v>
      </c>
      <c r="B435" s="2">
        <v>0.88055555555555554</v>
      </c>
      <c r="C435" t="s">
        <v>1337</v>
      </c>
      <c r="D435">
        <v>112</v>
      </c>
      <c r="E435" t="s">
        <v>812</v>
      </c>
      <c r="F435" t="s">
        <v>10</v>
      </c>
      <c r="G435">
        <v>-4.1250960000000001</v>
      </c>
      <c r="H435">
        <v>27.799897999999999</v>
      </c>
      <c r="I435" t="s">
        <v>1482</v>
      </c>
      <c r="J435" t="s">
        <v>1490</v>
      </c>
      <c r="K435" t="s">
        <v>9</v>
      </c>
      <c r="L435">
        <v>29</v>
      </c>
      <c r="M435" t="s">
        <v>11</v>
      </c>
      <c r="N435">
        <v>214</v>
      </c>
      <c r="O435">
        <v>74.7</v>
      </c>
      <c r="P435">
        <v>3</v>
      </c>
    </row>
    <row r="436" spans="1:16" x14ac:dyDescent="0.25">
      <c r="A436" s="1">
        <v>45200</v>
      </c>
      <c r="B436" s="2">
        <v>0.67083333333333328</v>
      </c>
      <c r="C436" t="s">
        <v>1341</v>
      </c>
      <c r="D436">
        <v>74</v>
      </c>
      <c r="E436" t="s">
        <v>812</v>
      </c>
      <c r="F436" t="s">
        <v>10</v>
      </c>
      <c r="G436">
        <v>-4.6426759999999998</v>
      </c>
      <c r="H436">
        <v>22.124254000000001</v>
      </c>
      <c r="I436" t="s">
        <v>1480</v>
      </c>
      <c r="J436" t="s">
        <v>1483</v>
      </c>
      <c r="K436" t="s">
        <v>9</v>
      </c>
      <c r="L436">
        <v>29</v>
      </c>
      <c r="M436" t="s">
        <v>11</v>
      </c>
      <c r="N436">
        <v>214</v>
      </c>
      <c r="O436">
        <v>74.7</v>
      </c>
      <c r="P436">
        <v>3</v>
      </c>
    </row>
    <row r="437" spans="1:16" x14ac:dyDescent="0.25">
      <c r="A437" s="1">
        <v>45211</v>
      </c>
      <c r="B437" s="2">
        <v>0.10625</v>
      </c>
      <c r="C437" t="s">
        <v>1342</v>
      </c>
      <c r="D437">
        <v>107</v>
      </c>
      <c r="E437" t="s">
        <v>807</v>
      </c>
      <c r="F437" t="s">
        <v>29</v>
      </c>
      <c r="G437">
        <v>-5.125</v>
      </c>
      <c r="H437">
        <v>23.513119</v>
      </c>
      <c r="I437" t="s">
        <v>1477</v>
      </c>
      <c r="J437" t="s">
        <v>1481</v>
      </c>
      <c r="K437" t="s">
        <v>28</v>
      </c>
      <c r="L437">
        <v>99</v>
      </c>
      <c r="M437" t="s">
        <v>19</v>
      </c>
      <c r="N437">
        <v>369</v>
      </c>
      <c r="O437">
        <v>67.209999999999994</v>
      </c>
      <c r="P437">
        <v>3</v>
      </c>
    </row>
    <row r="438" spans="1:16" x14ac:dyDescent="0.25">
      <c r="A438" s="1">
        <v>45227</v>
      </c>
      <c r="B438" s="2">
        <v>0.66041666666666665</v>
      </c>
      <c r="C438" t="s">
        <v>1342</v>
      </c>
      <c r="D438">
        <v>67</v>
      </c>
      <c r="E438" t="s">
        <v>812</v>
      </c>
      <c r="F438" t="s">
        <v>29</v>
      </c>
      <c r="G438">
        <v>-5.125</v>
      </c>
      <c r="H438">
        <v>23.513119</v>
      </c>
      <c r="I438" t="s">
        <v>1477</v>
      </c>
      <c r="J438" t="s">
        <v>1481</v>
      </c>
      <c r="K438" t="s">
        <v>28</v>
      </c>
      <c r="L438">
        <v>99</v>
      </c>
      <c r="M438" t="s">
        <v>19</v>
      </c>
      <c r="N438">
        <v>369</v>
      </c>
      <c r="O438">
        <v>67.209999999999994</v>
      </c>
      <c r="P438">
        <v>3</v>
      </c>
    </row>
    <row r="439" spans="1:16" x14ac:dyDescent="0.25">
      <c r="A439" s="1">
        <v>45211</v>
      </c>
      <c r="B439" s="2">
        <v>0.23472222222222222</v>
      </c>
      <c r="C439" t="s">
        <v>1343</v>
      </c>
      <c r="D439">
        <v>62</v>
      </c>
      <c r="E439" t="s">
        <v>812</v>
      </c>
      <c r="F439" t="s">
        <v>131</v>
      </c>
      <c r="G439">
        <v>-2.3102109999999998</v>
      </c>
      <c r="H439">
        <v>12.362488000000001</v>
      </c>
      <c r="I439" t="s">
        <v>1477</v>
      </c>
      <c r="J439" t="s">
        <v>1490</v>
      </c>
      <c r="K439" t="s">
        <v>130</v>
      </c>
      <c r="L439">
        <v>16</v>
      </c>
      <c r="M439" t="s">
        <v>19</v>
      </c>
      <c r="N439">
        <v>390</v>
      </c>
      <c r="O439">
        <v>98.17</v>
      </c>
      <c r="P439">
        <v>5</v>
      </c>
    </row>
    <row r="440" spans="1:16" x14ac:dyDescent="0.25">
      <c r="A440" s="1">
        <v>45220</v>
      </c>
      <c r="B440" s="2">
        <v>0.46944444444444444</v>
      </c>
      <c r="C440" t="s">
        <v>1344</v>
      </c>
      <c r="D440">
        <v>17</v>
      </c>
      <c r="E440" t="s">
        <v>808</v>
      </c>
      <c r="F440" t="s">
        <v>21</v>
      </c>
      <c r="G440">
        <v>-1.5419050000000001</v>
      </c>
      <c r="H440">
        <v>14.730632999999999</v>
      </c>
      <c r="I440" t="s">
        <v>1482</v>
      </c>
      <c r="J440" t="s">
        <v>1483</v>
      </c>
      <c r="K440" t="s">
        <v>20</v>
      </c>
      <c r="L440">
        <v>101</v>
      </c>
      <c r="M440" t="s">
        <v>22</v>
      </c>
      <c r="N440">
        <v>358</v>
      </c>
      <c r="O440">
        <v>29.24</v>
      </c>
      <c r="P440">
        <v>3</v>
      </c>
    </row>
    <row r="441" spans="1:16" x14ac:dyDescent="0.25">
      <c r="A441" s="1">
        <v>45200</v>
      </c>
      <c r="B441" s="2">
        <v>0.49305555555555558</v>
      </c>
      <c r="C441" t="s">
        <v>1344</v>
      </c>
      <c r="D441">
        <v>113</v>
      </c>
      <c r="E441" t="s">
        <v>807</v>
      </c>
      <c r="F441" t="s">
        <v>21</v>
      </c>
      <c r="G441">
        <v>-1.5419050000000001</v>
      </c>
      <c r="H441">
        <v>14.730632999999999</v>
      </c>
      <c r="I441" t="s">
        <v>1482</v>
      </c>
      <c r="J441" t="s">
        <v>1483</v>
      </c>
      <c r="K441" t="s">
        <v>20</v>
      </c>
      <c r="L441">
        <v>101</v>
      </c>
      <c r="M441" t="s">
        <v>22</v>
      </c>
      <c r="N441">
        <v>358</v>
      </c>
      <c r="O441">
        <v>29.24</v>
      </c>
      <c r="P441">
        <v>3</v>
      </c>
    </row>
    <row r="442" spans="1:16" x14ac:dyDescent="0.25">
      <c r="A442" s="1">
        <v>45218</v>
      </c>
      <c r="B442" s="2">
        <v>0.9916666666666667</v>
      </c>
      <c r="C442" t="s">
        <v>1349</v>
      </c>
      <c r="D442">
        <v>82</v>
      </c>
      <c r="E442" t="s">
        <v>807</v>
      </c>
      <c r="F442" t="s">
        <v>10</v>
      </c>
      <c r="G442">
        <v>-3.7720639999999999</v>
      </c>
      <c r="H442">
        <v>16.006277999999998</v>
      </c>
      <c r="I442" t="s">
        <v>1477</v>
      </c>
      <c r="J442" t="s">
        <v>1483</v>
      </c>
      <c r="K442" t="s">
        <v>9</v>
      </c>
      <c r="L442">
        <v>29</v>
      </c>
      <c r="M442" t="s">
        <v>11</v>
      </c>
      <c r="N442">
        <v>214</v>
      </c>
      <c r="O442">
        <v>74.7</v>
      </c>
      <c r="P442">
        <v>3</v>
      </c>
    </row>
    <row r="443" spans="1:16" x14ac:dyDescent="0.25">
      <c r="A443" s="1">
        <v>45227</v>
      </c>
      <c r="B443" s="2">
        <v>0.91527777777777775</v>
      </c>
      <c r="C443" t="s">
        <v>1349</v>
      </c>
      <c r="D443">
        <v>26</v>
      </c>
      <c r="E443" t="s">
        <v>808</v>
      </c>
      <c r="F443" t="s">
        <v>10</v>
      </c>
      <c r="G443">
        <v>-3.7720639999999999</v>
      </c>
      <c r="H443">
        <v>16.006277999999998</v>
      </c>
      <c r="I443" t="s">
        <v>1477</v>
      </c>
      <c r="J443" t="s">
        <v>1483</v>
      </c>
      <c r="K443" t="s">
        <v>9</v>
      </c>
      <c r="L443">
        <v>29</v>
      </c>
      <c r="M443" t="s">
        <v>11</v>
      </c>
      <c r="N443">
        <v>214</v>
      </c>
      <c r="O443">
        <v>74.7</v>
      </c>
      <c r="P443">
        <v>3</v>
      </c>
    </row>
    <row r="444" spans="1:16" x14ac:dyDescent="0.25">
      <c r="A444" s="1">
        <v>45207</v>
      </c>
      <c r="B444" s="2">
        <v>0.57916666666666672</v>
      </c>
      <c r="C444" t="s">
        <v>1349</v>
      </c>
      <c r="D444">
        <v>68</v>
      </c>
      <c r="E444" t="s">
        <v>807</v>
      </c>
      <c r="F444" t="s">
        <v>10</v>
      </c>
      <c r="G444">
        <v>-3.7720639999999999</v>
      </c>
      <c r="H444">
        <v>16.006277999999998</v>
      </c>
      <c r="I444" t="s">
        <v>1477</v>
      </c>
      <c r="J444" t="s">
        <v>1483</v>
      </c>
      <c r="K444" t="s">
        <v>9</v>
      </c>
      <c r="L444">
        <v>29</v>
      </c>
      <c r="M444" t="s">
        <v>11</v>
      </c>
      <c r="N444">
        <v>214</v>
      </c>
      <c r="O444">
        <v>74.7</v>
      </c>
      <c r="P444">
        <v>3</v>
      </c>
    </row>
    <row r="445" spans="1:16" x14ac:dyDescent="0.25">
      <c r="A445" s="1">
        <v>45214</v>
      </c>
      <c r="B445" s="2">
        <v>0.74097222222222225</v>
      </c>
      <c r="C445" t="s">
        <v>1351</v>
      </c>
      <c r="D445">
        <v>8</v>
      </c>
      <c r="E445" t="s">
        <v>807</v>
      </c>
      <c r="F445" t="s">
        <v>131</v>
      </c>
      <c r="G445">
        <v>-10.846306999999999</v>
      </c>
      <c r="H445">
        <v>19.201827999999999</v>
      </c>
      <c r="I445" t="s">
        <v>1480</v>
      </c>
      <c r="J445" t="s">
        <v>1478</v>
      </c>
      <c r="K445" t="s">
        <v>130</v>
      </c>
      <c r="L445">
        <v>16</v>
      </c>
      <c r="M445" t="s">
        <v>19</v>
      </c>
      <c r="N445">
        <v>390</v>
      </c>
      <c r="O445">
        <v>98.17</v>
      </c>
      <c r="P445">
        <v>5</v>
      </c>
    </row>
    <row r="446" spans="1:16" x14ac:dyDescent="0.25">
      <c r="A446" s="1">
        <v>45222</v>
      </c>
      <c r="B446" s="2">
        <v>0.35347222222222224</v>
      </c>
      <c r="C446" t="s">
        <v>1351</v>
      </c>
      <c r="D446">
        <v>101</v>
      </c>
      <c r="E446" t="s">
        <v>808</v>
      </c>
      <c r="F446" t="s">
        <v>131</v>
      </c>
      <c r="G446">
        <v>-10.846306999999999</v>
      </c>
      <c r="H446">
        <v>19.201827999999999</v>
      </c>
      <c r="I446" t="s">
        <v>1480</v>
      </c>
      <c r="J446" t="s">
        <v>1478</v>
      </c>
      <c r="K446" t="s">
        <v>130</v>
      </c>
      <c r="L446">
        <v>16</v>
      </c>
      <c r="M446" t="s">
        <v>19</v>
      </c>
      <c r="N446">
        <v>390</v>
      </c>
      <c r="O446">
        <v>98.17</v>
      </c>
      <c r="P446">
        <v>5</v>
      </c>
    </row>
    <row r="447" spans="1:16" x14ac:dyDescent="0.25">
      <c r="A447" s="1">
        <v>45223</v>
      </c>
      <c r="B447" s="2">
        <v>0.25208333333333333</v>
      </c>
      <c r="C447" t="s">
        <v>1351</v>
      </c>
      <c r="D447">
        <v>12</v>
      </c>
      <c r="E447" t="s">
        <v>808</v>
      </c>
      <c r="F447" t="s">
        <v>131</v>
      </c>
      <c r="G447">
        <v>-10.846306999999999</v>
      </c>
      <c r="H447">
        <v>19.201827999999999</v>
      </c>
      <c r="I447" t="s">
        <v>1480</v>
      </c>
      <c r="J447" t="s">
        <v>1478</v>
      </c>
      <c r="K447" t="s">
        <v>130</v>
      </c>
      <c r="L447">
        <v>16</v>
      </c>
      <c r="M447" t="s">
        <v>19</v>
      </c>
      <c r="N447">
        <v>390</v>
      </c>
      <c r="O447">
        <v>98.17</v>
      </c>
      <c r="P447">
        <v>5</v>
      </c>
    </row>
    <row r="448" spans="1:16" x14ac:dyDescent="0.25">
      <c r="A448" s="1">
        <v>45226</v>
      </c>
      <c r="B448" s="2">
        <v>0.37777777777777777</v>
      </c>
      <c r="C448" t="s">
        <v>1353</v>
      </c>
      <c r="D448">
        <v>74</v>
      </c>
      <c r="E448" t="s">
        <v>812</v>
      </c>
      <c r="F448" t="s">
        <v>16</v>
      </c>
      <c r="G448">
        <v>4.6809229999999999</v>
      </c>
      <c r="H448">
        <v>28.934242000000001</v>
      </c>
      <c r="I448" t="s">
        <v>1477</v>
      </c>
      <c r="J448" t="s">
        <v>1490</v>
      </c>
      <c r="K448" t="s">
        <v>15</v>
      </c>
      <c r="L448">
        <v>34</v>
      </c>
      <c r="M448" t="s">
        <v>14</v>
      </c>
      <c r="N448">
        <v>453</v>
      </c>
      <c r="O448">
        <v>56.84</v>
      </c>
      <c r="P448">
        <v>0</v>
      </c>
    </row>
    <row r="449" spans="1:16" x14ac:dyDescent="0.25">
      <c r="A449" s="1">
        <v>45207</v>
      </c>
      <c r="B449" s="2">
        <v>0.34236111111111112</v>
      </c>
      <c r="C449" t="s">
        <v>1355</v>
      </c>
      <c r="D449">
        <v>28</v>
      </c>
      <c r="E449" t="s">
        <v>807</v>
      </c>
      <c r="F449" t="s">
        <v>26</v>
      </c>
      <c r="G449">
        <v>0.40267799999999998</v>
      </c>
      <c r="H449">
        <v>16.000858000000001</v>
      </c>
      <c r="I449" t="s">
        <v>1482</v>
      </c>
      <c r="J449" t="s">
        <v>1490</v>
      </c>
      <c r="K449" t="s">
        <v>25</v>
      </c>
      <c r="L449">
        <v>99</v>
      </c>
      <c r="M449" t="s">
        <v>11</v>
      </c>
      <c r="N449">
        <v>447</v>
      </c>
      <c r="O449">
        <v>38.1</v>
      </c>
      <c r="P449">
        <v>3</v>
      </c>
    </row>
    <row r="450" spans="1:16" x14ac:dyDescent="0.25">
      <c r="A450" s="1">
        <v>45210</v>
      </c>
      <c r="B450" s="2">
        <v>0.39166666666666666</v>
      </c>
      <c r="C450" t="s">
        <v>1357</v>
      </c>
      <c r="D450">
        <v>85</v>
      </c>
      <c r="E450" t="s">
        <v>808</v>
      </c>
      <c r="F450" t="s">
        <v>131</v>
      </c>
      <c r="G450">
        <v>1.017161</v>
      </c>
      <c r="H450">
        <v>16.519689</v>
      </c>
      <c r="I450" t="s">
        <v>1482</v>
      </c>
      <c r="J450" t="s">
        <v>1490</v>
      </c>
      <c r="K450" t="s">
        <v>130</v>
      </c>
      <c r="L450">
        <v>16</v>
      </c>
      <c r="M450" t="s">
        <v>19</v>
      </c>
      <c r="N450">
        <v>390</v>
      </c>
      <c r="O450">
        <v>98.17</v>
      </c>
      <c r="P450">
        <v>5</v>
      </c>
    </row>
    <row r="451" spans="1:16" x14ac:dyDescent="0.25">
      <c r="A451" s="1">
        <v>45208</v>
      </c>
      <c r="B451" s="2">
        <v>7.2916666666666671E-2</v>
      </c>
      <c r="C451" t="s">
        <v>1357</v>
      </c>
      <c r="D451">
        <v>68</v>
      </c>
      <c r="E451" t="s">
        <v>807</v>
      </c>
      <c r="F451" t="s">
        <v>131</v>
      </c>
      <c r="G451">
        <v>1.017161</v>
      </c>
      <c r="H451">
        <v>16.519689</v>
      </c>
      <c r="I451" t="s">
        <v>1482</v>
      </c>
      <c r="J451" t="s">
        <v>1490</v>
      </c>
      <c r="K451" t="s">
        <v>130</v>
      </c>
      <c r="L451">
        <v>16</v>
      </c>
      <c r="M451" t="s">
        <v>19</v>
      </c>
      <c r="N451">
        <v>390</v>
      </c>
      <c r="O451">
        <v>98.17</v>
      </c>
      <c r="P451">
        <v>5</v>
      </c>
    </row>
    <row r="452" spans="1:16" x14ac:dyDescent="0.25">
      <c r="A452" s="1">
        <v>45217</v>
      </c>
      <c r="B452" s="2">
        <v>0.89166666666666672</v>
      </c>
      <c r="C452" t="s">
        <v>1358</v>
      </c>
      <c r="D452">
        <v>108</v>
      </c>
      <c r="E452" t="s">
        <v>812</v>
      </c>
      <c r="F452" t="s">
        <v>16</v>
      </c>
      <c r="G452">
        <v>-5.3762689999999997</v>
      </c>
      <c r="H452">
        <v>28.189575999999999</v>
      </c>
      <c r="I452" t="s">
        <v>1477</v>
      </c>
      <c r="J452" t="s">
        <v>1481</v>
      </c>
      <c r="K452" t="s">
        <v>15</v>
      </c>
      <c r="L452">
        <v>34</v>
      </c>
      <c r="M452" t="s">
        <v>14</v>
      </c>
      <c r="N452">
        <v>453</v>
      </c>
      <c r="O452">
        <v>56.84</v>
      </c>
      <c r="P452">
        <v>0</v>
      </c>
    </row>
    <row r="453" spans="1:16" x14ac:dyDescent="0.25">
      <c r="A453" s="1">
        <v>45211</v>
      </c>
      <c r="B453" s="2">
        <v>4.583333333333333E-2</v>
      </c>
      <c r="C453" t="s">
        <v>1358</v>
      </c>
      <c r="D453">
        <v>18</v>
      </c>
      <c r="E453" t="s">
        <v>812</v>
      </c>
      <c r="F453" t="s">
        <v>16</v>
      </c>
      <c r="G453">
        <v>-5.3762689999999997</v>
      </c>
      <c r="H453">
        <v>28.189575999999999</v>
      </c>
      <c r="I453" t="s">
        <v>1477</v>
      </c>
      <c r="J453" t="s">
        <v>1481</v>
      </c>
      <c r="K453" t="s">
        <v>15</v>
      </c>
      <c r="L453">
        <v>34</v>
      </c>
      <c r="M453" t="s">
        <v>14</v>
      </c>
      <c r="N453">
        <v>453</v>
      </c>
      <c r="O453">
        <v>56.84</v>
      </c>
      <c r="P453">
        <v>0</v>
      </c>
    </row>
    <row r="454" spans="1:16" x14ac:dyDescent="0.25">
      <c r="A454" s="1">
        <v>45223</v>
      </c>
      <c r="B454" s="2">
        <v>0.75972222222222219</v>
      </c>
      <c r="C454" t="s">
        <v>1358</v>
      </c>
      <c r="D454">
        <v>78</v>
      </c>
      <c r="E454" t="s">
        <v>808</v>
      </c>
      <c r="F454" t="s">
        <v>16</v>
      </c>
      <c r="G454">
        <v>-5.3762689999999997</v>
      </c>
      <c r="H454">
        <v>28.189575999999999</v>
      </c>
      <c r="I454" t="s">
        <v>1477</v>
      </c>
      <c r="J454" t="s">
        <v>1481</v>
      </c>
      <c r="K454" t="s">
        <v>15</v>
      </c>
      <c r="L454">
        <v>34</v>
      </c>
      <c r="M454" t="s">
        <v>14</v>
      </c>
      <c r="N454">
        <v>453</v>
      </c>
      <c r="O454">
        <v>56.84</v>
      </c>
      <c r="P454">
        <v>0</v>
      </c>
    </row>
    <row r="455" spans="1:16" x14ac:dyDescent="0.25">
      <c r="A455" s="1">
        <v>45222</v>
      </c>
      <c r="B455" s="2">
        <v>0.18888888888888888</v>
      </c>
      <c r="C455" t="s">
        <v>1358</v>
      </c>
      <c r="D455">
        <v>33</v>
      </c>
      <c r="E455" t="s">
        <v>807</v>
      </c>
      <c r="F455" t="s">
        <v>16</v>
      </c>
      <c r="G455">
        <v>-5.3762689999999997</v>
      </c>
      <c r="H455">
        <v>28.189575999999999</v>
      </c>
      <c r="I455" t="s">
        <v>1477</v>
      </c>
      <c r="J455" t="s">
        <v>1481</v>
      </c>
      <c r="K455" t="s">
        <v>15</v>
      </c>
      <c r="L455">
        <v>34</v>
      </c>
      <c r="M455" t="s">
        <v>14</v>
      </c>
      <c r="N455">
        <v>453</v>
      </c>
      <c r="O455">
        <v>56.84</v>
      </c>
      <c r="P455">
        <v>0</v>
      </c>
    </row>
    <row r="456" spans="1:16" x14ac:dyDescent="0.25">
      <c r="A456" s="1">
        <v>45228</v>
      </c>
      <c r="B456" s="2">
        <v>0.56319444444444444</v>
      </c>
      <c r="C456" t="s">
        <v>1359</v>
      </c>
      <c r="D456">
        <v>44</v>
      </c>
      <c r="E456" t="s">
        <v>807</v>
      </c>
      <c r="F456" t="s">
        <v>73</v>
      </c>
      <c r="G456">
        <v>-11.265995</v>
      </c>
      <c r="H456">
        <v>28.935514999999999</v>
      </c>
      <c r="I456" t="s">
        <v>1480</v>
      </c>
      <c r="J456" t="s">
        <v>1478</v>
      </c>
      <c r="K456" t="s">
        <v>72</v>
      </c>
      <c r="L456">
        <v>6</v>
      </c>
      <c r="M456" t="s">
        <v>11</v>
      </c>
      <c r="N456">
        <v>207</v>
      </c>
      <c r="O456">
        <v>61.55</v>
      </c>
      <c r="P456">
        <v>0</v>
      </c>
    </row>
    <row r="457" spans="1:16" x14ac:dyDescent="0.25">
      <c r="A457" s="1">
        <v>45224</v>
      </c>
      <c r="B457" s="2">
        <v>0.11527777777777778</v>
      </c>
      <c r="C457" t="s">
        <v>1359</v>
      </c>
      <c r="D457">
        <v>45</v>
      </c>
      <c r="E457" t="s">
        <v>808</v>
      </c>
      <c r="F457" t="s">
        <v>73</v>
      </c>
      <c r="G457">
        <v>-11.265995</v>
      </c>
      <c r="H457">
        <v>28.935514999999999</v>
      </c>
      <c r="I457" t="s">
        <v>1480</v>
      </c>
      <c r="J457" t="s">
        <v>1478</v>
      </c>
      <c r="K457" t="s">
        <v>72</v>
      </c>
      <c r="L457">
        <v>6</v>
      </c>
      <c r="M457" t="s">
        <v>11</v>
      </c>
      <c r="N457">
        <v>207</v>
      </c>
      <c r="O457">
        <v>61.55</v>
      </c>
      <c r="P457">
        <v>0</v>
      </c>
    </row>
    <row r="458" spans="1:16" x14ac:dyDescent="0.25">
      <c r="A458" s="1">
        <v>45221</v>
      </c>
      <c r="B458" s="2">
        <v>0.55902777777777779</v>
      </c>
      <c r="C458" t="s">
        <v>1361</v>
      </c>
      <c r="D458">
        <v>22</v>
      </c>
      <c r="E458" t="s">
        <v>807</v>
      </c>
      <c r="F458" t="s">
        <v>40</v>
      </c>
      <c r="G458">
        <v>0.65288900000000005</v>
      </c>
      <c r="H458">
        <v>24.243953999999999</v>
      </c>
      <c r="I458" t="s">
        <v>1477</v>
      </c>
      <c r="J458" t="s">
        <v>1478</v>
      </c>
      <c r="K458" t="s">
        <v>39</v>
      </c>
      <c r="L458">
        <v>110</v>
      </c>
      <c r="M458" t="s">
        <v>14</v>
      </c>
      <c r="N458">
        <v>423</v>
      </c>
      <c r="O458">
        <v>37.35</v>
      </c>
      <c r="P458">
        <v>4</v>
      </c>
    </row>
    <row r="459" spans="1:16" x14ac:dyDescent="0.25">
      <c r="A459" s="1">
        <v>45209</v>
      </c>
      <c r="B459" s="2">
        <v>0.89861111111111114</v>
      </c>
      <c r="C459" t="s">
        <v>1363</v>
      </c>
      <c r="D459">
        <v>29</v>
      </c>
      <c r="E459" t="s">
        <v>808</v>
      </c>
      <c r="F459" t="s">
        <v>137</v>
      </c>
      <c r="G459">
        <v>-10.872631999999999</v>
      </c>
      <c r="H459">
        <v>12.773279</v>
      </c>
      <c r="I459" t="s">
        <v>1482</v>
      </c>
      <c r="J459" t="s">
        <v>1483</v>
      </c>
      <c r="K459" t="s">
        <v>136</v>
      </c>
      <c r="L459">
        <v>80</v>
      </c>
      <c r="M459" t="s">
        <v>22</v>
      </c>
      <c r="N459">
        <v>155</v>
      </c>
      <c r="O459">
        <v>28.96</v>
      </c>
      <c r="P459">
        <v>2</v>
      </c>
    </row>
    <row r="460" spans="1:16" x14ac:dyDescent="0.25">
      <c r="A460" s="1">
        <v>45208</v>
      </c>
      <c r="B460" s="2">
        <v>0.52847222222222223</v>
      </c>
      <c r="C460" t="s">
        <v>1363</v>
      </c>
      <c r="D460">
        <v>33</v>
      </c>
      <c r="E460" t="s">
        <v>808</v>
      </c>
      <c r="F460" t="s">
        <v>137</v>
      </c>
      <c r="G460">
        <v>-10.872631999999999</v>
      </c>
      <c r="H460">
        <v>12.773279</v>
      </c>
      <c r="I460" t="s">
        <v>1482</v>
      </c>
      <c r="J460" t="s">
        <v>1483</v>
      </c>
      <c r="K460" t="s">
        <v>136</v>
      </c>
      <c r="L460">
        <v>80</v>
      </c>
      <c r="M460" t="s">
        <v>22</v>
      </c>
      <c r="N460">
        <v>155</v>
      </c>
      <c r="O460">
        <v>28.96</v>
      </c>
      <c r="P460">
        <v>2</v>
      </c>
    </row>
    <row r="461" spans="1:16" x14ac:dyDescent="0.25">
      <c r="A461" s="1">
        <v>45207</v>
      </c>
      <c r="B461" s="2">
        <v>0.14930555555555555</v>
      </c>
      <c r="C461" t="s">
        <v>1363</v>
      </c>
      <c r="D461">
        <v>101</v>
      </c>
      <c r="E461" t="s">
        <v>812</v>
      </c>
      <c r="F461" t="s">
        <v>137</v>
      </c>
      <c r="G461">
        <v>-10.872631999999999</v>
      </c>
      <c r="H461">
        <v>12.773279</v>
      </c>
      <c r="I461" t="s">
        <v>1482</v>
      </c>
      <c r="J461" t="s">
        <v>1483</v>
      </c>
      <c r="K461" t="s">
        <v>136</v>
      </c>
      <c r="L461">
        <v>80</v>
      </c>
      <c r="M461" t="s">
        <v>22</v>
      </c>
      <c r="N461">
        <v>155</v>
      </c>
      <c r="O461">
        <v>28.96</v>
      </c>
      <c r="P461">
        <v>2</v>
      </c>
    </row>
    <row r="462" spans="1:16" x14ac:dyDescent="0.25">
      <c r="A462" s="1">
        <v>45230</v>
      </c>
      <c r="B462" s="2">
        <v>0.59513888888888888</v>
      </c>
      <c r="C462" t="s">
        <v>1364</v>
      </c>
      <c r="D462">
        <v>14</v>
      </c>
      <c r="E462" t="s">
        <v>807</v>
      </c>
      <c r="F462" t="s">
        <v>64</v>
      </c>
      <c r="G462">
        <v>-7.1079169999999996</v>
      </c>
      <c r="H462">
        <v>13.636272</v>
      </c>
      <c r="I462" t="s">
        <v>1477</v>
      </c>
      <c r="J462" t="s">
        <v>1490</v>
      </c>
      <c r="K462" t="s">
        <v>63</v>
      </c>
      <c r="L462">
        <v>79</v>
      </c>
      <c r="M462" t="s">
        <v>11</v>
      </c>
      <c r="N462">
        <v>226</v>
      </c>
      <c r="O462">
        <v>94.38</v>
      </c>
      <c r="P462">
        <v>3</v>
      </c>
    </row>
    <row r="463" spans="1:16" x14ac:dyDescent="0.25">
      <c r="A463" s="1">
        <v>45227</v>
      </c>
      <c r="B463" s="2">
        <v>0.8979166666666667</v>
      </c>
      <c r="C463" t="s">
        <v>1364</v>
      </c>
      <c r="D463">
        <v>61</v>
      </c>
      <c r="E463" t="s">
        <v>807</v>
      </c>
      <c r="F463" t="s">
        <v>64</v>
      </c>
      <c r="G463">
        <v>-7.1079169999999996</v>
      </c>
      <c r="H463">
        <v>13.636272</v>
      </c>
      <c r="I463" t="s">
        <v>1477</v>
      </c>
      <c r="J463" t="s">
        <v>1490</v>
      </c>
      <c r="K463" t="s">
        <v>63</v>
      </c>
      <c r="L463">
        <v>79</v>
      </c>
      <c r="M463" t="s">
        <v>11</v>
      </c>
      <c r="N463">
        <v>226</v>
      </c>
      <c r="O463">
        <v>94.38</v>
      </c>
      <c r="P463">
        <v>3</v>
      </c>
    </row>
    <row r="464" spans="1:16" x14ac:dyDescent="0.25">
      <c r="A464" s="1">
        <v>45230</v>
      </c>
      <c r="B464" s="2">
        <v>0.84722222222222221</v>
      </c>
      <c r="C464" t="s">
        <v>1366</v>
      </c>
      <c r="D464">
        <v>58</v>
      </c>
      <c r="E464" t="s">
        <v>812</v>
      </c>
      <c r="F464" t="s">
        <v>51</v>
      </c>
      <c r="G464">
        <v>-5.9021970000000001</v>
      </c>
      <c r="H464">
        <v>20.551169999999999</v>
      </c>
      <c r="I464" t="s">
        <v>1482</v>
      </c>
      <c r="J464" t="s">
        <v>1481</v>
      </c>
      <c r="K464" t="s">
        <v>50</v>
      </c>
      <c r="L464">
        <v>119</v>
      </c>
      <c r="M464" t="s">
        <v>22</v>
      </c>
      <c r="N464">
        <v>228</v>
      </c>
      <c r="O464">
        <v>94.72</v>
      </c>
      <c r="P464">
        <v>3</v>
      </c>
    </row>
    <row r="465" spans="1:16" x14ac:dyDescent="0.25">
      <c r="A465" s="1">
        <v>45207</v>
      </c>
      <c r="B465" s="2">
        <v>0.10277777777777777</v>
      </c>
      <c r="C465" t="s">
        <v>1366</v>
      </c>
      <c r="D465">
        <v>41</v>
      </c>
      <c r="E465" t="s">
        <v>807</v>
      </c>
      <c r="F465" t="s">
        <v>51</v>
      </c>
      <c r="G465">
        <v>-5.9021970000000001</v>
      </c>
      <c r="H465">
        <v>20.551169999999999</v>
      </c>
      <c r="I465" t="s">
        <v>1482</v>
      </c>
      <c r="J465" t="s">
        <v>1481</v>
      </c>
      <c r="K465" t="s">
        <v>50</v>
      </c>
      <c r="L465">
        <v>119</v>
      </c>
      <c r="M465" t="s">
        <v>22</v>
      </c>
      <c r="N465">
        <v>228</v>
      </c>
      <c r="O465">
        <v>94.72</v>
      </c>
      <c r="P465">
        <v>3</v>
      </c>
    </row>
    <row r="466" spans="1:16" x14ac:dyDescent="0.25">
      <c r="A466" s="1">
        <v>45221</v>
      </c>
      <c r="B466" s="2">
        <v>0.92847222222222225</v>
      </c>
      <c r="C466" t="s">
        <v>1368</v>
      </c>
      <c r="D466">
        <v>21</v>
      </c>
      <c r="E466" t="s">
        <v>807</v>
      </c>
      <c r="F466" t="s">
        <v>21</v>
      </c>
      <c r="G466">
        <v>4.2493650000000001</v>
      </c>
      <c r="H466">
        <v>28.355039999999999</v>
      </c>
      <c r="I466" t="s">
        <v>1482</v>
      </c>
      <c r="J466" t="s">
        <v>1483</v>
      </c>
      <c r="K466" t="s">
        <v>20</v>
      </c>
      <c r="L466">
        <v>101</v>
      </c>
      <c r="M466" t="s">
        <v>22</v>
      </c>
      <c r="N466">
        <v>358</v>
      </c>
      <c r="O466">
        <v>29.24</v>
      </c>
      <c r="P466">
        <v>3</v>
      </c>
    </row>
    <row r="467" spans="1:16" x14ac:dyDescent="0.25">
      <c r="A467" s="1">
        <v>45226</v>
      </c>
      <c r="B467" s="2">
        <v>7.7083333333333337E-2</v>
      </c>
      <c r="C467" t="s">
        <v>1368</v>
      </c>
      <c r="D467">
        <v>101</v>
      </c>
      <c r="E467" t="s">
        <v>807</v>
      </c>
      <c r="F467" t="s">
        <v>21</v>
      </c>
      <c r="G467">
        <v>4.2493650000000001</v>
      </c>
      <c r="H467">
        <v>28.355039999999999</v>
      </c>
      <c r="I467" t="s">
        <v>1482</v>
      </c>
      <c r="J467" t="s">
        <v>1483</v>
      </c>
      <c r="K467" t="s">
        <v>20</v>
      </c>
      <c r="L467">
        <v>101</v>
      </c>
      <c r="M467" t="s">
        <v>22</v>
      </c>
      <c r="N467">
        <v>358</v>
      </c>
      <c r="O467">
        <v>29.24</v>
      </c>
      <c r="P467">
        <v>3</v>
      </c>
    </row>
    <row r="468" spans="1:16" x14ac:dyDescent="0.25">
      <c r="A468" s="1">
        <v>45219</v>
      </c>
      <c r="B468" s="2">
        <v>0.82638888888888884</v>
      </c>
      <c r="C468" t="s">
        <v>1368</v>
      </c>
      <c r="D468">
        <v>93</v>
      </c>
      <c r="E468" t="s">
        <v>812</v>
      </c>
      <c r="F468" t="s">
        <v>21</v>
      </c>
      <c r="G468">
        <v>4.2493650000000001</v>
      </c>
      <c r="H468">
        <v>28.355039999999999</v>
      </c>
      <c r="I468" t="s">
        <v>1482</v>
      </c>
      <c r="J468" t="s">
        <v>1483</v>
      </c>
      <c r="K468" t="s">
        <v>20</v>
      </c>
      <c r="L468">
        <v>101</v>
      </c>
      <c r="M468" t="s">
        <v>22</v>
      </c>
      <c r="N468">
        <v>358</v>
      </c>
      <c r="O468">
        <v>29.24</v>
      </c>
      <c r="P468">
        <v>3</v>
      </c>
    </row>
    <row r="469" spans="1:16" x14ac:dyDescent="0.25">
      <c r="A469" s="1">
        <v>45221</v>
      </c>
      <c r="B469" s="2">
        <v>0.77500000000000002</v>
      </c>
      <c r="C469" t="s">
        <v>1369</v>
      </c>
      <c r="D469">
        <v>24</v>
      </c>
      <c r="E469" t="s">
        <v>807</v>
      </c>
      <c r="F469" t="s">
        <v>16</v>
      </c>
      <c r="G469">
        <v>-11.514188000000001</v>
      </c>
      <c r="H469">
        <v>15.971181</v>
      </c>
      <c r="I469" t="s">
        <v>1477</v>
      </c>
      <c r="J469" t="s">
        <v>1478</v>
      </c>
      <c r="K469" t="s">
        <v>15</v>
      </c>
      <c r="L469">
        <v>34</v>
      </c>
      <c r="M469" t="s">
        <v>14</v>
      </c>
      <c r="N469">
        <v>453</v>
      </c>
      <c r="O469">
        <v>56.84</v>
      </c>
      <c r="P469">
        <v>0</v>
      </c>
    </row>
    <row r="470" spans="1:16" x14ac:dyDescent="0.25">
      <c r="A470" s="1">
        <v>45205</v>
      </c>
      <c r="B470" s="2">
        <v>0.52986111111111112</v>
      </c>
      <c r="C470" t="s">
        <v>1369</v>
      </c>
      <c r="D470">
        <v>74</v>
      </c>
      <c r="E470" t="s">
        <v>808</v>
      </c>
      <c r="F470" t="s">
        <v>16</v>
      </c>
      <c r="G470">
        <v>-11.514188000000001</v>
      </c>
      <c r="H470">
        <v>15.971181</v>
      </c>
      <c r="I470" t="s">
        <v>1477</v>
      </c>
      <c r="J470" t="s">
        <v>1478</v>
      </c>
      <c r="K470" t="s">
        <v>15</v>
      </c>
      <c r="L470">
        <v>34</v>
      </c>
      <c r="M470" t="s">
        <v>14</v>
      </c>
      <c r="N470">
        <v>453</v>
      </c>
      <c r="O470">
        <v>56.84</v>
      </c>
      <c r="P470">
        <v>0</v>
      </c>
    </row>
    <row r="471" spans="1:16" x14ac:dyDescent="0.25">
      <c r="A471" s="1">
        <v>45230</v>
      </c>
      <c r="B471" s="2">
        <v>0.99791666666666667</v>
      </c>
      <c r="C471" t="s">
        <v>1370</v>
      </c>
      <c r="D471">
        <v>72</v>
      </c>
      <c r="E471" t="s">
        <v>812</v>
      </c>
      <c r="F471" t="s">
        <v>10</v>
      </c>
      <c r="G471">
        <v>-1.9120569999999999</v>
      </c>
      <c r="H471">
        <v>15.236072999999999</v>
      </c>
      <c r="I471" t="s">
        <v>1477</v>
      </c>
      <c r="J471" t="s">
        <v>1481</v>
      </c>
      <c r="K471" t="s">
        <v>9</v>
      </c>
      <c r="L471">
        <v>29</v>
      </c>
      <c r="M471" t="s">
        <v>11</v>
      </c>
      <c r="N471">
        <v>214</v>
      </c>
      <c r="O471">
        <v>74.7</v>
      </c>
      <c r="P471">
        <v>3</v>
      </c>
    </row>
    <row r="472" spans="1:16" x14ac:dyDescent="0.25">
      <c r="A472" s="1">
        <v>45212</v>
      </c>
      <c r="B472" s="2">
        <v>0.14027777777777778</v>
      </c>
      <c r="C472" t="s">
        <v>1375</v>
      </c>
      <c r="D472">
        <v>19</v>
      </c>
      <c r="E472" t="s">
        <v>808</v>
      </c>
      <c r="F472" t="s">
        <v>37</v>
      </c>
      <c r="G472">
        <v>-9.4708620000000003</v>
      </c>
      <c r="H472">
        <v>29.234387999999999</v>
      </c>
      <c r="I472" t="s">
        <v>1482</v>
      </c>
      <c r="J472" t="s">
        <v>1483</v>
      </c>
      <c r="K472" t="s">
        <v>36</v>
      </c>
      <c r="L472">
        <v>115</v>
      </c>
      <c r="M472" t="s">
        <v>19</v>
      </c>
      <c r="N472">
        <v>176</v>
      </c>
      <c r="O472">
        <v>33.28</v>
      </c>
      <c r="P472">
        <v>4</v>
      </c>
    </row>
    <row r="473" spans="1:16" x14ac:dyDescent="0.25">
      <c r="A473" s="1">
        <v>45204</v>
      </c>
      <c r="B473" s="2">
        <v>0.98611111111111116</v>
      </c>
      <c r="C473" t="s">
        <v>1377</v>
      </c>
      <c r="D473">
        <v>76</v>
      </c>
      <c r="E473" t="s">
        <v>808</v>
      </c>
      <c r="F473" t="s">
        <v>127</v>
      </c>
      <c r="G473">
        <v>-4.869434</v>
      </c>
      <c r="H473">
        <v>22.326522000000001</v>
      </c>
      <c r="I473" t="s">
        <v>1477</v>
      </c>
      <c r="J473" t="s">
        <v>1478</v>
      </c>
      <c r="K473" t="s">
        <v>126</v>
      </c>
      <c r="L473">
        <v>40</v>
      </c>
      <c r="M473" t="s">
        <v>11</v>
      </c>
      <c r="N473">
        <v>345</v>
      </c>
      <c r="O473">
        <v>89.55</v>
      </c>
      <c r="P473">
        <v>3</v>
      </c>
    </row>
    <row r="474" spans="1:16" x14ac:dyDescent="0.25">
      <c r="A474" s="1">
        <v>45210</v>
      </c>
      <c r="B474" s="2">
        <v>0.68958333333333333</v>
      </c>
      <c r="C474" t="s">
        <v>1377</v>
      </c>
      <c r="D474">
        <v>16</v>
      </c>
      <c r="E474" t="s">
        <v>807</v>
      </c>
      <c r="F474" t="s">
        <v>127</v>
      </c>
      <c r="G474">
        <v>-4.869434</v>
      </c>
      <c r="H474">
        <v>22.326522000000001</v>
      </c>
      <c r="I474" t="s">
        <v>1477</v>
      </c>
      <c r="J474" t="s">
        <v>1478</v>
      </c>
      <c r="K474" t="s">
        <v>126</v>
      </c>
      <c r="L474">
        <v>40</v>
      </c>
      <c r="M474" t="s">
        <v>11</v>
      </c>
      <c r="N474">
        <v>345</v>
      </c>
      <c r="O474">
        <v>89.55</v>
      </c>
      <c r="P474">
        <v>3</v>
      </c>
    </row>
    <row r="475" spans="1:16" x14ac:dyDescent="0.25">
      <c r="A475" s="1">
        <v>45210</v>
      </c>
      <c r="B475" s="2">
        <v>0.36666666666666664</v>
      </c>
      <c r="C475" t="s">
        <v>1381</v>
      </c>
      <c r="D475">
        <v>67</v>
      </c>
      <c r="E475" t="s">
        <v>808</v>
      </c>
      <c r="F475" t="s">
        <v>137</v>
      </c>
      <c r="G475">
        <v>-8.0301989999999996</v>
      </c>
      <c r="H475">
        <v>24.122495000000001</v>
      </c>
      <c r="I475" t="s">
        <v>1477</v>
      </c>
      <c r="J475" t="s">
        <v>1483</v>
      </c>
      <c r="K475" t="s">
        <v>136</v>
      </c>
      <c r="L475">
        <v>80</v>
      </c>
      <c r="M475" t="s">
        <v>22</v>
      </c>
      <c r="N475">
        <v>155</v>
      </c>
      <c r="O475">
        <v>28.96</v>
      </c>
      <c r="P475">
        <v>2</v>
      </c>
    </row>
    <row r="476" spans="1:16" x14ac:dyDescent="0.25">
      <c r="A476" s="1">
        <v>45223</v>
      </c>
      <c r="B476" s="2">
        <v>0.61111111111111116</v>
      </c>
      <c r="C476" t="s">
        <v>1381</v>
      </c>
      <c r="D476">
        <v>88</v>
      </c>
      <c r="E476" t="s">
        <v>807</v>
      </c>
      <c r="F476" t="s">
        <v>137</v>
      </c>
      <c r="G476">
        <v>-8.0301989999999996</v>
      </c>
      <c r="H476">
        <v>24.122495000000001</v>
      </c>
      <c r="I476" t="s">
        <v>1477</v>
      </c>
      <c r="J476" t="s">
        <v>1483</v>
      </c>
      <c r="K476" t="s">
        <v>136</v>
      </c>
      <c r="L476">
        <v>80</v>
      </c>
      <c r="M476" t="s">
        <v>22</v>
      </c>
      <c r="N476">
        <v>155</v>
      </c>
      <c r="O476">
        <v>28.96</v>
      </c>
      <c r="P476">
        <v>2</v>
      </c>
    </row>
    <row r="477" spans="1:16" x14ac:dyDescent="0.25">
      <c r="A477" s="1">
        <v>45228</v>
      </c>
      <c r="B477" s="2">
        <v>0.74791666666666667</v>
      </c>
      <c r="C477" t="s">
        <v>1381</v>
      </c>
      <c r="D477">
        <v>27</v>
      </c>
      <c r="E477" t="s">
        <v>807</v>
      </c>
      <c r="F477" t="s">
        <v>137</v>
      </c>
      <c r="G477">
        <v>-8.0301989999999996</v>
      </c>
      <c r="H477">
        <v>24.122495000000001</v>
      </c>
      <c r="I477" t="s">
        <v>1477</v>
      </c>
      <c r="J477" t="s">
        <v>1483</v>
      </c>
      <c r="K477" t="s">
        <v>136</v>
      </c>
      <c r="L477">
        <v>80</v>
      </c>
      <c r="M477" t="s">
        <v>22</v>
      </c>
      <c r="N477">
        <v>155</v>
      </c>
      <c r="O477">
        <v>28.96</v>
      </c>
      <c r="P477">
        <v>2</v>
      </c>
    </row>
    <row r="478" spans="1:16" x14ac:dyDescent="0.25">
      <c r="A478" s="1">
        <v>45222</v>
      </c>
      <c r="B478" s="2">
        <v>0.58472222222222225</v>
      </c>
      <c r="C478" t="s">
        <v>1382</v>
      </c>
      <c r="D478">
        <v>15</v>
      </c>
      <c r="E478" t="s">
        <v>812</v>
      </c>
      <c r="F478" t="s">
        <v>60</v>
      </c>
      <c r="G478">
        <v>-9.1215879999999991</v>
      </c>
      <c r="H478">
        <v>16.457916999999998</v>
      </c>
      <c r="I478" t="s">
        <v>1480</v>
      </c>
      <c r="J478" t="s">
        <v>1490</v>
      </c>
      <c r="K478" t="s">
        <v>59</v>
      </c>
      <c r="L478">
        <v>14</v>
      </c>
      <c r="M478" t="s">
        <v>14</v>
      </c>
      <c r="N478">
        <v>316</v>
      </c>
      <c r="O478">
        <v>62.34</v>
      </c>
      <c r="P478">
        <v>4</v>
      </c>
    </row>
    <row r="479" spans="1:16" x14ac:dyDescent="0.25">
      <c r="A479" s="1">
        <v>45230</v>
      </c>
      <c r="B479" s="2">
        <v>0.6333333333333333</v>
      </c>
      <c r="C479" t="s">
        <v>1383</v>
      </c>
      <c r="D479">
        <v>34</v>
      </c>
      <c r="E479" t="s">
        <v>807</v>
      </c>
      <c r="F479" t="s">
        <v>57</v>
      </c>
      <c r="G479">
        <v>2.486888</v>
      </c>
      <c r="H479">
        <v>23.798074</v>
      </c>
      <c r="I479" t="s">
        <v>1477</v>
      </c>
      <c r="J479" t="s">
        <v>1483</v>
      </c>
      <c r="K479" t="s">
        <v>56</v>
      </c>
      <c r="L479">
        <v>97</v>
      </c>
      <c r="M479" t="s">
        <v>14</v>
      </c>
      <c r="N479">
        <v>319</v>
      </c>
      <c r="O479">
        <v>31.25</v>
      </c>
      <c r="P479">
        <v>1</v>
      </c>
    </row>
    <row r="480" spans="1:16" x14ac:dyDescent="0.25">
      <c r="A480" s="1">
        <v>45226</v>
      </c>
      <c r="B480" s="2">
        <v>0.11597222222222223</v>
      </c>
      <c r="C480" t="s">
        <v>1383</v>
      </c>
      <c r="D480">
        <v>5</v>
      </c>
      <c r="E480" t="s">
        <v>812</v>
      </c>
      <c r="F480" t="s">
        <v>57</v>
      </c>
      <c r="G480">
        <v>2.486888</v>
      </c>
      <c r="H480">
        <v>23.798074</v>
      </c>
      <c r="I480" t="s">
        <v>1477</v>
      </c>
      <c r="J480" t="s">
        <v>1483</v>
      </c>
      <c r="K480" t="s">
        <v>56</v>
      </c>
      <c r="L480">
        <v>97</v>
      </c>
      <c r="M480" t="s">
        <v>14</v>
      </c>
      <c r="N480">
        <v>319</v>
      </c>
      <c r="O480">
        <v>31.25</v>
      </c>
      <c r="P480">
        <v>1</v>
      </c>
    </row>
    <row r="481" spans="1:16" x14ac:dyDescent="0.25">
      <c r="A481" s="1">
        <v>45213</v>
      </c>
      <c r="B481" s="2">
        <v>0.21041666666666667</v>
      </c>
      <c r="C481" t="s">
        <v>1386</v>
      </c>
      <c r="D481">
        <v>28</v>
      </c>
      <c r="E481" t="s">
        <v>812</v>
      </c>
      <c r="F481" t="s">
        <v>18</v>
      </c>
      <c r="G481">
        <v>-3.1608390000000002</v>
      </c>
      <c r="H481">
        <v>13.244503999999999</v>
      </c>
      <c r="I481" t="s">
        <v>1482</v>
      </c>
      <c r="J481" t="s">
        <v>1481</v>
      </c>
      <c r="K481" t="s">
        <v>17</v>
      </c>
      <c r="L481">
        <v>44</v>
      </c>
      <c r="M481" t="s">
        <v>19</v>
      </c>
      <c r="N481">
        <v>348</v>
      </c>
      <c r="O481">
        <v>58.67</v>
      </c>
      <c r="P481">
        <v>0</v>
      </c>
    </row>
    <row r="482" spans="1:16" x14ac:dyDescent="0.25">
      <c r="A482" s="1">
        <v>45203</v>
      </c>
      <c r="B482" s="2">
        <v>0.21388888888888888</v>
      </c>
      <c r="C482" t="s">
        <v>1387</v>
      </c>
      <c r="D482">
        <v>5</v>
      </c>
      <c r="E482" t="s">
        <v>807</v>
      </c>
      <c r="F482" t="s">
        <v>131</v>
      </c>
      <c r="G482">
        <v>-6.5332999999999997</v>
      </c>
      <c r="H482">
        <v>20.098018</v>
      </c>
      <c r="I482" t="s">
        <v>1480</v>
      </c>
      <c r="J482" t="s">
        <v>1481</v>
      </c>
      <c r="K482" t="s">
        <v>130</v>
      </c>
      <c r="L482">
        <v>16</v>
      </c>
      <c r="M482" t="s">
        <v>19</v>
      </c>
      <c r="N482">
        <v>390</v>
      </c>
      <c r="O482">
        <v>98.17</v>
      </c>
      <c r="P482">
        <v>5</v>
      </c>
    </row>
    <row r="483" spans="1:16" x14ac:dyDescent="0.25">
      <c r="A483" s="1">
        <v>45224</v>
      </c>
      <c r="B483" s="2">
        <v>0.19513888888888889</v>
      </c>
      <c r="C483" t="s">
        <v>1388</v>
      </c>
      <c r="D483">
        <v>81</v>
      </c>
      <c r="E483" t="s">
        <v>808</v>
      </c>
      <c r="F483" t="s">
        <v>26</v>
      </c>
      <c r="G483">
        <v>-1.500685</v>
      </c>
      <c r="H483">
        <v>26.563376000000002</v>
      </c>
      <c r="I483" t="s">
        <v>1477</v>
      </c>
      <c r="J483" t="s">
        <v>1490</v>
      </c>
      <c r="K483" t="s">
        <v>25</v>
      </c>
      <c r="L483">
        <v>99</v>
      </c>
      <c r="M483" t="s">
        <v>11</v>
      </c>
      <c r="N483">
        <v>447</v>
      </c>
      <c r="O483">
        <v>38.1</v>
      </c>
      <c r="P483">
        <v>3</v>
      </c>
    </row>
    <row r="484" spans="1:16" x14ac:dyDescent="0.25">
      <c r="A484" s="1">
        <v>45218</v>
      </c>
      <c r="B484" s="2">
        <v>7.6388888888888886E-3</v>
      </c>
      <c r="C484" t="s">
        <v>1389</v>
      </c>
      <c r="D484">
        <v>44</v>
      </c>
      <c r="E484" t="s">
        <v>808</v>
      </c>
      <c r="F484" t="s">
        <v>21</v>
      </c>
      <c r="G484">
        <v>-9.4702129999999993</v>
      </c>
      <c r="H484">
        <v>12.826158</v>
      </c>
      <c r="I484" t="s">
        <v>1482</v>
      </c>
      <c r="J484" t="s">
        <v>1478</v>
      </c>
      <c r="K484" t="s">
        <v>20</v>
      </c>
      <c r="L484">
        <v>101</v>
      </c>
      <c r="M484" t="s">
        <v>22</v>
      </c>
      <c r="N484">
        <v>358</v>
      </c>
      <c r="O484">
        <v>29.24</v>
      </c>
      <c r="P484">
        <v>3</v>
      </c>
    </row>
    <row r="485" spans="1:16" x14ac:dyDescent="0.25">
      <c r="A485" s="1">
        <v>45217</v>
      </c>
      <c r="B485" s="2">
        <v>0.17499999999999999</v>
      </c>
      <c r="C485" t="s">
        <v>1389</v>
      </c>
      <c r="D485">
        <v>18</v>
      </c>
      <c r="E485" t="s">
        <v>812</v>
      </c>
      <c r="F485" t="s">
        <v>21</v>
      </c>
      <c r="G485">
        <v>-9.4702129999999993</v>
      </c>
      <c r="H485">
        <v>12.826158</v>
      </c>
      <c r="I485" t="s">
        <v>1482</v>
      </c>
      <c r="J485" t="s">
        <v>1478</v>
      </c>
      <c r="K485" t="s">
        <v>20</v>
      </c>
      <c r="L485">
        <v>101</v>
      </c>
      <c r="M485" t="s">
        <v>22</v>
      </c>
      <c r="N485">
        <v>358</v>
      </c>
      <c r="O485">
        <v>29.24</v>
      </c>
      <c r="P485">
        <v>3</v>
      </c>
    </row>
    <row r="486" spans="1:16" x14ac:dyDescent="0.25">
      <c r="A486" s="1">
        <v>45203</v>
      </c>
      <c r="B486" s="2">
        <v>0.22430555555555556</v>
      </c>
      <c r="C486" t="s">
        <v>1389</v>
      </c>
      <c r="D486">
        <v>102</v>
      </c>
      <c r="E486" t="s">
        <v>812</v>
      </c>
      <c r="F486" t="s">
        <v>21</v>
      </c>
      <c r="G486">
        <v>-9.4702129999999993</v>
      </c>
      <c r="H486">
        <v>12.826158</v>
      </c>
      <c r="I486" t="s">
        <v>1482</v>
      </c>
      <c r="J486" t="s">
        <v>1478</v>
      </c>
      <c r="K486" t="s">
        <v>20</v>
      </c>
      <c r="L486">
        <v>101</v>
      </c>
      <c r="M486" t="s">
        <v>22</v>
      </c>
      <c r="N486">
        <v>358</v>
      </c>
      <c r="O486">
        <v>29.24</v>
      </c>
      <c r="P486">
        <v>3</v>
      </c>
    </row>
    <row r="487" spans="1:16" x14ac:dyDescent="0.25">
      <c r="A487" s="1">
        <v>45204</v>
      </c>
      <c r="B487" s="2">
        <v>0.47152777777777777</v>
      </c>
      <c r="C487" t="s">
        <v>1396</v>
      </c>
      <c r="D487">
        <v>10</v>
      </c>
      <c r="E487" t="s">
        <v>807</v>
      </c>
      <c r="F487" t="s">
        <v>131</v>
      </c>
      <c r="G487">
        <v>4.9455159999999996</v>
      </c>
      <c r="H487">
        <v>23.647746000000001</v>
      </c>
      <c r="I487" t="s">
        <v>1477</v>
      </c>
      <c r="J487" t="s">
        <v>1481</v>
      </c>
      <c r="K487" t="s">
        <v>130</v>
      </c>
      <c r="L487">
        <v>16</v>
      </c>
      <c r="M487" t="s">
        <v>19</v>
      </c>
      <c r="N487">
        <v>390</v>
      </c>
      <c r="O487">
        <v>98.17</v>
      </c>
      <c r="P487">
        <v>5</v>
      </c>
    </row>
    <row r="488" spans="1:16" x14ac:dyDescent="0.25">
      <c r="A488" s="1">
        <v>45210</v>
      </c>
      <c r="B488" s="2">
        <v>5.1388888888888887E-2</v>
      </c>
      <c r="C488" t="s">
        <v>1400</v>
      </c>
      <c r="D488">
        <v>73</v>
      </c>
      <c r="E488" t="s">
        <v>807</v>
      </c>
      <c r="F488" t="s">
        <v>37</v>
      </c>
      <c r="G488">
        <v>-10.776204</v>
      </c>
      <c r="H488">
        <v>24.672934000000001</v>
      </c>
      <c r="I488" t="s">
        <v>1480</v>
      </c>
      <c r="J488" t="s">
        <v>1478</v>
      </c>
      <c r="K488" t="s">
        <v>36</v>
      </c>
      <c r="L488">
        <v>115</v>
      </c>
      <c r="M488" t="s">
        <v>19</v>
      </c>
      <c r="N488">
        <v>176</v>
      </c>
      <c r="O488">
        <v>33.28</v>
      </c>
      <c r="P488">
        <v>4</v>
      </c>
    </row>
    <row r="489" spans="1:16" x14ac:dyDescent="0.25">
      <c r="A489" s="1">
        <v>45214</v>
      </c>
      <c r="B489" s="2">
        <v>0.43472222222222223</v>
      </c>
      <c r="C489" t="s">
        <v>1400</v>
      </c>
      <c r="D489">
        <v>61</v>
      </c>
      <c r="E489" t="s">
        <v>812</v>
      </c>
      <c r="F489" t="s">
        <v>37</v>
      </c>
      <c r="G489">
        <v>-10.776204</v>
      </c>
      <c r="H489">
        <v>24.672934000000001</v>
      </c>
      <c r="I489" t="s">
        <v>1480</v>
      </c>
      <c r="J489" t="s">
        <v>1478</v>
      </c>
      <c r="K489" t="s">
        <v>36</v>
      </c>
      <c r="L489">
        <v>115</v>
      </c>
      <c r="M489" t="s">
        <v>19</v>
      </c>
      <c r="N489">
        <v>176</v>
      </c>
      <c r="O489">
        <v>33.28</v>
      </c>
      <c r="P489">
        <v>4</v>
      </c>
    </row>
    <row r="490" spans="1:16" x14ac:dyDescent="0.25">
      <c r="A490" s="1">
        <v>45228</v>
      </c>
      <c r="B490" s="2">
        <v>0.85347222222222219</v>
      </c>
      <c r="C490" t="s">
        <v>1400</v>
      </c>
      <c r="D490">
        <v>42</v>
      </c>
      <c r="E490" t="s">
        <v>807</v>
      </c>
      <c r="F490" t="s">
        <v>37</v>
      </c>
      <c r="G490">
        <v>-10.776204</v>
      </c>
      <c r="H490">
        <v>24.672934000000001</v>
      </c>
      <c r="I490" t="s">
        <v>1480</v>
      </c>
      <c r="J490" t="s">
        <v>1478</v>
      </c>
      <c r="K490" t="s">
        <v>36</v>
      </c>
      <c r="L490">
        <v>115</v>
      </c>
      <c r="M490" t="s">
        <v>19</v>
      </c>
      <c r="N490">
        <v>176</v>
      </c>
      <c r="O490">
        <v>33.28</v>
      </c>
      <c r="P490">
        <v>4</v>
      </c>
    </row>
    <row r="491" spans="1:16" x14ac:dyDescent="0.25">
      <c r="A491" s="1">
        <v>45209</v>
      </c>
      <c r="B491" s="2">
        <v>0.82430555555555551</v>
      </c>
      <c r="C491" t="s">
        <v>1402</v>
      </c>
      <c r="D491">
        <v>93</v>
      </c>
      <c r="E491" t="s">
        <v>812</v>
      </c>
      <c r="F491" t="s">
        <v>33</v>
      </c>
      <c r="G491">
        <v>-10.414493</v>
      </c>
      <c r="H491">
        <v>12.333356999999999</v>
      </c>
      <c r="I491" t="s">
        <v>1482</v>
      </c>
      <c r="J491" t="s">
        <v>1478</v>
      </c>
      <c r="K491" t="s">
        <v>32</v>
      </c>
      <c r="L491">
        <v>72</v>
      </c>
      <c r="M491" t="s">
        <v>14</v>
      </c>
      <c r="N491">
        <v>160</v>
      </c>
      <c r="O491">
        <v>90.13</v>
      </c>
      <c r="P491">
        <v>2</v>
      </c>
    </row>
    <row r="492" spans="1:16" x14ac:dyDescent="0.25">
      <c r="A492" s="1">
        <v>45204</v>
      </c>
      <c r="B492" s="2">
        <v>0.81527777777777777</v>
      </c>
      <c r="C492" t="s">
        <v>1402</v>
      </c>
      <c r="D492">
        <v>71</v>
      </c>
      <c r="E492" t="s">
        <v>812</v>
      </c>
      <c r="F492" t="s">
        <v>33</v>
      </c>
      <c r="G492">
        <v>-10.414493</v>
      </c>
      <c r="H492">
        <v>12.333356999999999</v>
      </c>
      <c r="I492" t="s">
        <v>1482</v>
      </c>
      <c r="J492" t="s">
        <v>1478</v>
      </c>
      <c r="K492" t="s">
        <v>32</v>
      </c>
      <c r="L492">
        <v>72</v>
      </c>
      <c r="M492" t="s">
        <v>14</v>
      </c>
      <c r="N492">
        <v>160</v>
      </c>
      <c r="O492">
        <v>90.13</v>
      </c>
      <c r="P492">
        <v>2</v>
      </c>
    </row>
    <row r="493" spans="1:16" x14ac:dyDescent="0.25">
      <c r="A493" s="1">
        <v>45221</v>
      </c>
      <c r="B493" s="2">
        <v>0.91041666666666665</v>
      </c>
      <c r="C493" t="s">
        <v>1402</v>
      </c>
      <c r="D493">
        <v>60</v>
      </c>
      <c r="E493" t="s">
        <v>808</v>
      </c>
      <c r="F493" t="s">
        <v>33</v>
      </c>
      <c r="G493">
        <v>-10.414493</v>
      </c>
      <c r="H493">
        <v>12.333356999999999</v>
      </c>
      <c r="I493" t="s">
        <v>1482</v>
      </c>
      <c r="J493" t="s">
        <v>1478</v>
      </c>
      <c r="K493" t="s">
        <v>32</v>
      </c>
      <c r="L493">
        <v>72</v>
      </c>
      <c r="M493" t="s">
        <v>14</v>
      </c>
      <c r="N493">
        <v>160</v>
      </c>
      <c r="O493">
        <v>90.13</v>
      </c>
      <c r="P493">
        <v>2</v>
      </c>
    </row>
    <row r="494" spans="1:16" x14ac:dyDescent="0.25">
      <c r="A494" s="1">
        <v>45203</v>
      </c>
      <c r="B494" s="2">
        <v>0.25069444444444444</v>
      </c>
      <c r="C494" t="s">
        <v>1402</v>
      </c>
      <c r="D494">
        <v>49</v>
      </c>
      <c r="E494" t="s">
        <v>808</v>
      </c>
      <c r="F494" t="s">
        <v>33</v>
      </c>
      <c r="G494">
        <v>-10.414493</v>
      </c>
      <c r="H494">
        <v>12.333356999999999</v>
      </c>
      <c r="I494" t="s">
        <v>1482</v>
      </c>
      <c r="J494" t="s">
        <v>1478</v>
      </c>
      <c r="K494" t="s">
        <v>32</v>
      </c>
      <c r="L494">
        <v>72</v>
      </c>
      <c r="M494" t="s">
        <v>14</v>
      </c>
      <c r="N494">
        <v>160</v>
      </c>
      <c r="O494">
        <v>90.13</v>
      </c>
      <c r="P494">
        <v>2</v>
      </c>
    </row>
    <row r="495" spans="1:16" x14ac:dyDescent="0.25">
      <c r="A495" s="1">
        <v>45210</v>
      </c>
      <c r="B495" s="2">
        <v>0.56805555555555554</v>
      </c>
      <c r="C495" t="s">
        <v>1407</v>
      </c>
      <c r="D495">
        <v>96</v>
      </c>
      <c r="E495" t="s">
        <v>807</v>
      </c>
      <c r="F495" t="s">
        <v>64</v>
      </c>
      <c r="G495">
        <v>-5.4126279999999998</v>
      </c>
      <c r="H495">
        <v>25.498235999999999</v>
      </c>
      <c r="I495" t="s">
        <v>1477</v>
      </c>
      <c r="J495" t="s">
        <v>1483</v>
      </c>
      <c r="K495" t="s">
        <v>63</v>
      </c>
      <c r="L495">
        <v>79</v>
      </c>
      <c r="M495" t="s">
        <v>11</v>
      </c>
      <c r="N495">
        <v>226</v>
      </c>
      <c r="O495">
        <v>94.38</v>
      </c>
      <c r="P495">
        <v>3</v>
      </c>
    </row>
    <row r="496" spans="1:16" x14ac:dyDescent="0.25">
      <c r="A496" s="1">
        <v>45214</v>
      </c>
      <c r="B496" s="2">
        <v>0.68402777777777779</v>
      </c>
      <c r="C496" t="s">
        <v>1408</v>
      </c>
      <c r="D496">
        <v>119</v>
      </c>
      <c r="E496" t="s">
        <v>812</v>
      </c>
      <c r="F496" t="s">
        <v>67</v>
      </c>
      <c r="G496">
        <v>-11.218453999999999</v>
      </c>
      <c r="H496">
        <v>28.230025000000001</v>
      </c>
      <c r="I496" t="s">
        <v>1477</v>
      </c>
      <c r="J496" t="s">
        <v>1483</v>
      </c>
      <c r="K496" t="s">
        <v>66</v>
      </c>
      <c r="L496">
        <v>101</v>
      </c>
      <c r="M496" t="s">
        <v>14</v>
      </c>
      <c r="N496">
        <v>176</v>
      </c>
      <c r="O496">
        <v>86</v>
      </c>
      <c r="P496">
        <v>3</v>
      </c>
    </row>
    <row r="497" spans="1:16" x14ac:dyDescent="0.25">
      <c r="A497" s="1">
        <v>45229</v>
      </c>
      <c r="B497" s="2">
        <v>0.73819444444444449</v>
      </c>
      <c r="C497" t="s">
        <v>1408</v>
      </c>
      <c r="D497">
        <v>36</v>
      </c>
      <c r="E497" t="s">
        <v>808</v>
      </c>
      <c r="F497" t="s">
        <v>67</v>
      </c>
      <c r="G497">
        <v>-11.218453999999999</v>
      </c>
      <c r="H497">
        <v>28.230025000000001</v>
      </c>
      <c r="I497" t="s">
        <v>1477</v>
      </c>
      <c r="J497" t="s">
        <v>1483</v>
      </c>
      <c r="K497" t="s">
        <v>66</v>
      </c>
      <c r="L497">
        <v>101</v>
      </c>
      <c r="M497" t="s">
        <v>14</v>
      </c>
      <c r="N497">
        <v>176</v>
      </c>
      <c r="O497">
        <v>86</v>
      </c>
      <c r="P497">
        <v>3</v>
      </c>
    </row>
    <row r="498" spans="1:16" x14ac:dyDescent="0.25">
      <c r="A498" s="1">
        <v>45216</v>
      </c>
      <c r="B498" s="2">
        <v>0.46041666666666664</v>
      </c>
      <c r="C498" t="s">
        <v>1409</v>
      </c>
      <c r="D498">
        <v>36</v>
      </c>
      <c r="E498" t="s">
        <v>812</v>
      </c>
      <c r="F498" t="s">
        <v>131</v>
      </c>
      <c r="G498">
        <v>-11.231472</v>
      </c>
      <c r="H498">
        <v>25.388874000000001</v>
      </c>
      <c r="I498" t="s">
        <v>1480</v>
      </c>
      <c r="J498" t="s">
        <v>1481</v>
      </c>
      <c r="K498" t="s">
        <v>130</v>
      </c>
      <c r="L498">
        <v>16</v>
      </c>
      <c r="M498" t="s">
        <v>19</v>
      </c>
      <c r="N498">
        <v>390</v>
      </c>
      <c r="O498">
        <v>98.17</v>
      </c>
      <c r="P498">
        <v>5</v>
      </c>
    </row>
    <row r="499" spans="1:16" x14ac:dyDescent="0.25">
      <c r="A499" s="1">
        <v>45203</v>
      </c>
      <c r="B499" s="2">
        <v>0.65208333333333335</v>
      </c>
      <c r="C499" t="s">
        <v>1412</v>
      </c>
      <c r="D499">
        <v>65</v>
      </c>
      <c r="E499" t="s">
        <v>812</v>
      </c>
      <c r="F499" t="s">
        <v>24</v>
      </c>
      <c r="G499">
        <v>2.016505</v>
      </c>
      <c r="H499">
        <v>14.294164</v>
      </c>
      <c r="I499" t="s">
        <v>1477</v>
      </c>
      <c r="J499" t="s">
        <v>1481</v>
      </c>
      <c r="K499" t="s">
        <v>23</v>
      </c>
      <c r="L499">
        <v>46</v>
      </c>
      <c r="M499" t="s">
        <v>11</v>
      </c>
      <c r="N499">
        <v>283</v>
      </c>
      <c r="O499">
        <v>56.05</v>
      </c>
      <c r="P499">
        <v>1</v>
      </c>
    </row>
    <row r="500" spans="1:16" x14ac:dyDescent="0.25">
      <c r="A500" s="1">
        <v>45207</v>
      </c>
      <c r="B500" s="2">
        <v>0.9555555555555556</v>
      </c>
      <c r="C500" t="s">
        <v>1412</v>
      </c>
      <c r="D500">
        <v>73</v>
      </c>
      <c r="E500" t="s">
        <v>808</v>
      </c>
      <c r="F500" t="s">
        <v>24</v>
      </c>
      <c r="G500">
        <v>2.016505</v>
      </c>
      <c r="H500">
        <v>14.294164</v>
      </c>
      <c r="I500" t="s">
        <v>1477</v>
      </c>
      <c r="J500" t="s">
        <v>1481</v>
      </c>
      <c r="K500" t="s">
        <v>23</v>
      </c>
      <c r="L500">
        <v>46</v>
      </c>
      <c r="M500" t="s">
        <v>11</v>
      </c>
      <c r="N500">
        <v>283</v>
      </c>
      <c r="O500">
        <v>56.05</v>
      </c>
      <c r="P500">
        <v>1</v>
      </c>
    </row>
    <row r="501" spans="1:16" x14ac:dyDescent="0.25">
      <c r="A501" s="1">
        <v>45221</v>
      </c>
      <c r="B501" s="2">
        <v>0.38819444444444445</v>
      </c>
      <c r="C501" t="s">
        <v>1414</v>
      </c>
      <c r="D501">
        <v>64</v>
      </c>
      <c r="E501" t="s">
        <v>808</v>
      </c>
      <c r="F501" t="s">
        <v>73</v>
      </c>
      <c r="G501">
        <v>-12.070842000000001</v>
      </c>
      <c r="H501">
        <v>14.757847</v>
      </c>
      <c r="I501" t="s">
        <v>1480</v>
      </c>
      <c r="J501" t="s">
        <v>1483</v>
      </c>
      <c r="K501" t="s">
        <v>72</v>
      </c>
      <c r="L501">
        <v>6</v>
      </c>
      <c r="M501" t="s">
        <v>11</v>
      </c>
      <c r="N501">
        <v>207</v>
      </c>
      <c r="O501">
        <v>61.55</v>
      </c>
      <c r="P501">
        <v>0</v>
      </c>
    </row>
    <row r="502" spans="1:16" x14ac:dyDescent="0.25">
      <c r="A502" s="1">
        <v>45205</v>
      </c>
      <c r="B502" s="2">
        <v>0.8305555555555556</v>
      </c>
      <c r="C502" t="s">
        <v>1416</v>
      </c>
      <c r="D502">
        <v>52</v>
      </c>
      <c r="E502" t="s">
        <v>807</v>
      </c>
      <c r="F502" t="s">
        <v>127</v>
      </c>
      <c r="G502">
        <v>-2.2199559999999998</v>
      </c>
      <c r="H502">
        <v>22.614449</v>
      </c>
      <c r="I502" t="s">
        <v>1482</v>
      </c>
      <c r="J502" t="s">
        <v>1490</v>
      </c>
      <c r="K502" t="s">
        <v>126</v>
      </c>
      <c r="L502">
        <v>40</v>
      </c>
      <c r="M502" t="s">
        <v>11</v>
      </c>
      <c r="N502">
        <v>345</v>
      </c>
      <c r="O502">
        <v>89.55</v>
      </c>
      <c r="P502">
        <v>3</v>
      </c>
    </row>
    <row r="503" spans="1:16" x14ac:dyDescent="0.25">
      <c r="A503" s="1">
        <v>45214</v>
      </c>
      <c r="B503" s="2">
        <v>0.77430555555555558</v>
      </c>
      <c r="C503" t="s">
        <v>1417</v>
      </c>
      <c r="D503">
        <v>118</v>
      </c>
      <c r="E503" t="s">
        <v>807</v>
      </c>
      <c r="F503" t="s">
        <v>31</v>
      </c>
      <c r="G503">
        <v>-10.914952</v>
      </c>
      <c r="H503">
        <v>26.409648000000001</v>
      </c>
      <c r="I503" t="s">
        <v>1480</v>
      </c>
      <c r="J503" t="s">
        <v>1481</v>
      </c>
      <c r="K503" t="s">
        <v>30</v>
      </c>
      <c r="L503">
        <v>113</v>
      </c>
      <c r="M503" t="s">
        <v>22</v>
      </c>
      <c r="N503">
        <v>380</v>
      </c>
      <c r="O503">
        <v>12.11</v>
      </c>
      <c r="P503">
        <v>0</v>
      </c>
    </row>
    <row r="504" spans="1:16" x14ac:dyDescent="0.25">
      <c r="A504" s="1">
        <v>45216</v>
      </c>
      <c r="B504" s="2">
        <v>0.76458333333333328</v>
      </c>
      <c r="C504" t="s">
        <v>1417</v>
      </c>
      <c r="D504">
        <v>53</v>
      </c>
      <c r="E504" t="s">
        <v>808</v>
      </c>
      <c r="F504" t="s">
        <v>31</v>
      </c>
      <c r="G504">
        <v>-10.914952</v>
      </c>
      <c r="H504">
        <v>26.409648000000001</v>
      </c>
      <c r="I504" t="s">
        <v>1480</v>
      </c>
      <c r="J504" t="s">
        <v>1481</v>
      </c>
      <c r="K504" t="s">
        <v>30</v>
      </c>
      <c r="L504">
        <v>113</v>
      </c>
      <c r="M504" t="s">
        <v>22</v>
      </c>
      <c r="N504">
        <v>380</v>
      </c>
      <c r="O504">
        <v>12.11</v>
      </c>
      <c r="P504">
        <v>0</v>
      </c>
    </row>
    <row r="505" spans="1:16" x14ac:dyDescent="0.25">
      <c r="A505" s="1">
        <v>45227</v>
      </c>
      <c r="B505" s="2">
        <v>0.30902777777777779</v>
      </c>
      <c r="C505" t="s">
        <v>1417</v>
      </c>
      <c r="D505">
        <v>118</v>
      </c>
      <c r="E505" t="s">
        <v>812</v>
      </c>
      <c r="F505" t="s">
        <v>31</v>
      </c>
      <c r="G505">
        <v>-10.914952</v>
      </c>
      <c r="H505">
        <v>26.409648000000001</v>
      </c>
      <c r="I505" t="s">
        <v>1480</v>
      </c>
      <c r="J505" t="s">
        <v>1481</v>
      </c>
      <c r="K505" t="s">
        <v>30</v>
      </c>
      <c r="L505">
        <v>113</v>
      </c>
      <c r="M505" t="s">
        <v>22</v>
      </c>
      <c r="N505">
        <v>380</v>
      </c>
      <c r="O505">
        <v>12.11</v>
      </c>
      <c r="P505">
        <v>0</v>
      </c>
    </row>
    <row r="506" spans="1:16" x14ac:dyDescent="0.25">
      <c r="A506" s="1">
        <v>45221</v>
      </c>
      <c r="B506" s="2">
        <v>0.8618055555555556</v>
      </c>
      <c r="C506" t="s">
        <v>1419</v>
      </c>
      <c r="D506">
        <v>21</v>
      </c>
      <c r="E506" t="s">
        <v>808</v>
      </c>
      <c r="F506" t="s">
        <v>37</v>
      </c>
      <c r="G506">
        <v>-1.864393</v>
      </c>
      <c r="H506">
        <v>21.453434000000001</v>
      </c>
      <c r="I506" t="s">
        <v>1477</v>
      </c>
      <c r="J506" t="s">
        <v>1478</v>
      </c>
      <c r="K506" t="s">
        <v>36</v>
      </c>
      <c r="L506">
        <v>115</v>
      </c>
      <c r="M506" t="s">
        <v>19</v>
      </c>
      <c r="N506">
        <v>176</v>
      </c>
      <c r="O506">
        <v>33.28</v>
      </c>
      <c r="P506">
        <v>4</v>
      </c>
    </row>
    <row r="507" spans="1:16" x14ac:dyDescent="0.25">
      <c r="A507" s="1">
        <v>45229</v>
      </c>
      <c r="B507" s="2">
        <v>0.44374999999999998</v>
      </c>
      <c r="C507" t="s">
        <v>1420</v>
      </c>
      <c r="D507">
        <v>5</v>
      </c>
      <c r="E507" t="s">
        <v>807</v>
      </c>
      <c r="F507" t="s">
        <v>33</v>
      </c>
      <c r="G507">
        <v>-6.6803710000000001</v>
      </c>
      <c r="H507">
        <v>21.955673000000001</v>
      </c>
      <c r="I507" t="s">
        <v>1480</v>
      </c>
      <c r="J507" t="s">
        <v>1490</v>
      </c>
      <c r="K507" t="s">
        <v>32</v>
      </c>
      <c r="L507">
        <v>72</v>
      </c>
      <c r="M507" t="s">
        <v>14</v>
      </c>
      <c r="N507">
        <v>160</v>
      </c>
      <c r="O507">
        <v>90.13</v>
      </c>
      <c r="P507">
        <v>2</v>
      </c>
    </row>
    <row r="508" spans="1:16" x14ac:dyDescent="0.25">
      <c r="A508" s="1">
        <v>45216</v>
      </c>
      <c r="B508" s="2">
        <v>0.76041666666666663</v>
      </c>
      <c r="C508" t="s">
        <v>1423</v>
      </c>
      <c r="D508">
        <v>48</v>
      </c>
      <c r="E508" t="s">
        <v>807</v>
      </c>
      <c r="F508" t="s">
        <v>10</v>
      </c>
      <c r="G508">
        <v>-11.002602</v>
      </c>
      <c r="H508">
        <v>23.918247999999998</v>
      </c>
      <c r="I508" t="s">
        <v>1477</v>
      </c>
      <c r="J508" t="s">
        <v>1483</v>
      </c>
      <c r="K508" t="s">
        <v>9</v>
      </c>
      <c r="L508">
        <v>29</v>
      </c>
      <c r="M508" t="s">
        <v>11</v>
      </c>
      <c r="N508">
        <v>214</v>
      </c>
      <c r="O508">
        <v>74.7</v>
      </c>
      <c r="P508">
        <v>3</v>
      </c>
    </row>
    <row r="509" spans="1:16" x14ac:dyDescent="0.25">
      <c r="A509" s="1">
        <v>45227</v>
      </c>
      <c r="B509" s="2">
        <v>3.3333333333333333E-2</v>
      </c>
      <c r="C509" t="s">
        <v>1424</v>
      </c>
      <c r="D509">
        <v>68</v>
      </c>
      <c r="E509" t="s">
        <v>812</v>
      </c>
      <c r="F509" t="s">
        <v>89</v>
      </c>
      <c r="G509">
        <v>-10.375266999999999</v>
      </c>
      <c r="H509">
        <v>17.993663000000002</v>
      </c>
      <c r="I509" t="s">
        <v>1477</v>
      </c>
      <c r="J509" t="s">
        <v>1483</v>
      </c>
      <c r="K509" t="s">
        <v>88</v>
      </c>
      <c r="L509">
        <v>98</v>
      </c>
      <c r="M509" t="s">
        <v>14</v>
      </c>
      <c r="N509">
        <v>482</v>
      </c>
      <c r="O509">
        <v>55.04</v>
      </c>
      <c r="P509">
        <v>5</v>
      </c>
    </row>
    <row r="510" spans="1:16" x14ac:dyDescent="0.25">
      <c r="A510" s="1">
        <v>45225</v>
      </c>
      <c r="B510" s="2">
        <v>0.62291666666666667</v>
      </c>
      <c r="C510" t="s">
        <v>1425</v>
      </c>
      <c r="D510">
        <v>86</v>
      </c>
      <c r="E510" t="s">
        <v>807</v>
      </c>
      <c r="F510" t="s">
        <v>29</v>
      </c>
      <c r="G510">
        <v>-10.165072</v>
      </c>
      <c r="H510">
        <v>29.428024000000001</v>
      </c>
      <c r="I510" t="s">
        <v>1477</v>
      </c>
      <c r="J510" t="s">
        <v>1481</v>
      </c>
      <c r="K510" t="s">
        <v>28</v>
      </c>
      <c r="L510">
        <v>99</v>
      </c>
      <c r="M510" t="s">
        <v>19</v>
      </c>
      <c r="N510">
        <v>369</v>
      </c>
      <c r="O510">
        <v>67.209999999999994</v>
      </c>
      <c r="P510">
        <v>3</v>
      </c>
    </row>
    <row r="511" spans="1:16" x14ac:dyDescent="0.25">
      <c r="A511" s="1">
        <v>45221</v>
      </c>
      <c r="B511" s="2">
        <v>0.31319444444444444</v>
      </c>
      <c r="C511" t="s">
        <v>1425</v>
      </c>
      <c r="D511">
        <v>34</v>
      </c>
      <c r="E511" t="s">
        <v>808</v>
      </c>
      <c r="F511" t="s">
        <v>29</v>
      </c>
      <c r="G511">
        <v>-10.165072</v>
      </c>
      <c r="H511">
        <v>29.428024000000001</v>
      </c>
      <c r="I511" t="s">
        <v>1477</v>
      </c>
      <c r="J511" t="s">
        <v>1481</v>
      </c>
      <c r="K511" t="s">
        <v>28</v>
      </c>
      <c r="L511">
        <v>99</v>
      </c>
      <c r="M511" t="s">
        <v>19</v>
      </c>
      <c r="N511">
        <v>369</v>
      </c>
      <c r="O511">
        <v>67.209999999999994</v>
      </c>
      <c r="P511">
        <v>3</v>
      </c>
    </row>
    <row r="512" spans="1:16" x14ac:dyDescent="0.25">
      <c r="A512" s="1">
        <v>45200</v>
      </c>
      <c r="B512" s="2">
        <v>7.8472222222222221E-2</v>
      </c>
      <c r="C512" t="s">
        <v>1425</v>
      </c>
      <c r="D512">
        <v>40</v>
      </c>
      <c r="E512" t="s">
        <v>807</v>
      </c>
      <c r="F512" t="s">
        <v>29</v>
      </c>
      <c r="G512">
        <v>-10.165072</v>
      </c>
      <c r="H512">
        <v>29.428024000000001</v>
      </c>
      <c r="I512" t="s">
        <v>1477</v>
      </c>
      <c r="J512" t="s">
        <v>1481</v>
      </c>
      <c r="K512" t="s">
        <v>28</v>
      </c>
      <c r="L512">
        <v>99</v>
      </c>
      <c r="M512" t="s">
        <v>19</v>
      </c>
      <c r="N512">
        <v>369</v>
      </c>
      <c r="O512">
        <v>67.209999999999994</v>
      </c>
      <c r="P512">
        <v>3</v>
      </c>
    </row>
    <row r="513" spans="1:16" x14ac:dyDescent="0.25">
      <c r="A513" s="1">
        <v>45211</v>
      </c>
      <c r="B513" s="2">
        <v>0.22430555555555556</v>
      </c>
      <c r="C513" t="s">
        <v>1426</v>
      </c>
      <c r="D513">
        <v>37</v>
      </c>
      <c r="E513" t="s">
        <v>807</v>
      </c>
      <c r="F513" t="s">
        <v>37</v>
      </c>
      <c r="G513">
        <v>-2.4662510000000002</v>
      </c>
      <c r="H513">
        <v>18.007998000000001</v>
      </c>
      <c r="I513" t="s">
        <v>1477</v>
      </c>
      <c r="J513" t="s">
        <v>1478</v>
      </c>
      <c r="K513" t="s">
        <v>36</v>
      </c>
      <c r="L513">
        <v>115</v>
      </c>
      <c r="M513" t="s">
        <v>19</v>
      </c>
      <c r="N513">
        <v>176</v>
      </c>
      <c r="O513">
        <v>33.28</v>
      </c>
      <c r="P513">
        <v>4</v>
      </c>
    </row>
    <row r="514" spans="1:16" x14ac:dyDescent="0.25">
      <c r="A514" s="1">
        <v>45221</v>
      </c>
      <c r="B514" s="2">
        <v>0.71736111111111112</v>
      </c>
      <c r="C514" t="s">
        <v>1426</v>
      </c>
      <c r="D514">
        <v>14</v>
      </c>
      <c r="E514" t="s">
        <v>807</v>
      </c>
      <c r="F514" t="s">
        <v>37</v>
      </c>
      <c r="G514">
        <v>-2.4662510000000002</v>
      </c>
      <c r="H514">
        <v>18.007998000000001</v>
      </c>
      <c r="I514" t="s">
        <v>1477</v>
      </c>
      <c r="J514" t="s">
        <v>1478</v>
      </c>
      <c r="K514" t="s">
        <v>36</v>
      </c>
      <c r="L514">
        <v>115</v>
      </c>
      <c r="M514" t="s">
        <v>19</v>
      </c>
      <c r="N514">
        <v>176</v>
      </c>
      <c r="O514">
        <v>33.28</v>
      </c>
      <c r="P514">
        <v>4</v>
      </c>
    </row>
    <row r="515" spans="1:16" x14ac:dyDescent="0.25">
      <c r="A515" s="1">
        <v>45222</v>
      </c>
      <c r="B515" s="2">
        <v>0.4152777777777778</v>
      </c>
      <c r="C515" t="s">
        <v>1427</v>
      </c>
      <c r="D515">
        <v>73</v>
      </c>
      <c r="E515" t="s">
        <v>807</v>
      </c>
      <c r="F515" t="s">
        <v>89</v>
      </c>
      <c r="G515">
        <v>-4.8128659999999996</v>
      </c>
      <c r="H515">
        <v>18.559304999999998</v>
      </c>
      <c r="I515" t="s">
        <v>1477</v>
      </c>
      <c r="J515" t="s">
        <v>1483</v>
      </c>
      <c r="K515" t="s">
        <v>88</v>
      </c>
      <c r="L515">
        <v>98</v>
      </c>
      <c r="M515" t="s">
        <v>14</v>
      </c>
      <c r="N515">
        <v>482</v>
      </c>
      <c r="O515">
        <v>55.04</v>
      </c>
      <c r="P515">
        <v>5</v>
      </c>
    </row>
    <row r="516" spans="1:16" x14ac:dyDescent="0.25">
      <c r="A516" s="1">
        <v>45203</v>
      </c>
      <c r="B516" s="2">
        <v>0.51180555555555551</v>
      </c>
      <c r="C516" t="s">
        <v>1429</v>
      </c>
      <c r="D516">
        <v>64</v>
      </c>
      <c r="E516" t="s">
        <v>812</v>
      </c>
      <c r="F516" t="s">
        <v>73</v>
      </c>
      <c r="G516">
        <v>0.23583499999999999</v>
      </c>
      <c r="H516">
        <v>24.889558999999998</v>
      </c>
      <c r="I516" t="s">
        <v>1482</v>
      </c>
      <c r="J516" t="s">
        <v>1483</v>
      </c>
      <c r="K516" t="s">
        <v>72</v>
      </c>
      <c r="L516">
        <v>6</v>
      </c>
      <c r="M516" t="s">
        <v>11</v>
      </c>
      <c r="N516">
        <v>207</v>
      </c>
      <c r="O516">
        <v>61.55</v>
      </c>
      <c r="P516">
        <v>0</v>
      </c>
    </row>
    <row r="517" spans="1:16" x14ac:dyDescent="0.25">
      <c r="A517" s="1">
        <v>45220</v>
      </c>
      <c r="B517" s="2">
        <v>0.20694444444444443</v>
      </c>
      <c r="C517" t="s">
        <v>1430</v>
      </c>
      <c r="D517">
        <v>25</v>
      </c>
      <c r="E517" t="s">
        <v>807</v>
      </c>
      <c r="F517" t="s">
        <v>60</v>
      </c>
      <c r="G517">
        <v>3.3289240000000002</v>
      </c>
      <c r="H517">
        <v>24.412261000000001</v>
      </c>
      <c r="I517" t="s">
        <v>1477</v>
      </c>
      <c r="J517" t="s">
        <v>1490</v>
      </c>
      <c r="K517" t="s">
        <v>59</v>
      </c>
      <c r="L517">
        <v>14</v>
      </c>
      <c r="M517" t="s">
        <v>14</v>
      </c>
      <c r="N517">
        <v>316</v>
      </c>
      <c r="O517">
        <v>62.34</v>
      </c>
      <c r="P517">
        <v>4</v>
      </c>
    </row>
    <row r="518" spans="1:16" x14ac:dyDescent="0.25">
      <c r="A518" s="1">
        <v>45218</v>
      </c>
      <c r="B518" s="2">
        <v>0.63194444444444442</v>
      </c>
      <c r="C518" t="s">
        <v>1432</v>
      </c>
      <c r="D518">
        <v>42</v>
      </c>
      <c r="E518" t="s">
        <v>808</v>
      </c>
      <c r="F518" t="s">
        <v>51</v>
      </c>
      <c r="G518">
        <v>-0.77432100000000004</v>
      </c>
      <c r="H518">
        <v>18.628658999999999</v>
      </c>
      <c r="I518" t="s">
        <v>1480</v>
      </c>
      <c r="J518" t="s">
        <v>1481</v>
      </c>
      <c r="K518" t="s">
        <v>50</v>
      </c>
      <c r="L518">
        <v>119</v>
      </c>
      <c r="M518" t="s">
        <v>22</v>
      </c>
      <c r="N518">
        <v>228</v>
      </c>
      <c r="O518">
        <v>94.72</v>
      </c>
      <c r="P518">
        <v>3</v>
      </c>
    </row>
    <row r="519" spans="1:16" x14ac:dyDescent="0.25">
      <c r="A519" s="1">
        <v>45208</v>
      </c>
      <c r="B519" s="2">
        <v>0.86388888888888893</v>
      </c>
      <c r="C519" t="s">
        <v>1432</v>
      </c>
      <c r="D519">
        <v>92</v>
      </c>
      <c r="E519" t="s">
        <v>807</v>
      </c>
      <c r="F519" t="s">
        <v>51</v>
      </c>
      <c r="G519">
        <v>-0.77432100000000004</v>
      </c>
      <c r="H519">
        <v>18.628658999999999</v>
      </c>
      <c r="I519" t="s">
        <v>1480</v>
      </c>
      <c r="J519" t="s">
        <v>1481</v>
      </c>
      <c r="K519" t="s">
        <v>50</v>
      </c>
      <c r="L519">
        <v>119</v>
      </c>
      <c r="M519" t="s">
        <v>22</v>
      </c>
      <c r="N519">
        <v>228</v>
      </c>
      <c r="O519">
        <v>94.72</v>
      </c>
      <c r="P519">
        <v>3</v>
      </c>
    </row>
    <row r="520" spans="1:16" x14ac:dyDescent="0.25">
      <c r="A520" s="1">
        <v>45212</v>
      </c>
      <c r="B520" s="2">
        <v>0.11527777777777778</v>
      </c>
      <c r="C520" t="s">
        <v>1434</v>
      </c>
      <c r="D520">
        <v>15</v>
      </c>
      <c r="E520" t="s">
        <v>808</v>
      </c>
      <c r="F520" t="s">
        <v>18</v>
      </c>
      <c r="G520">
        <v>-7.1785899999999998</v>
      </c>
      <c r="H520">
        <v>24.4404</v>
      </c>
      <c r="I520" t="s">
        <v>1480</v>
      </c>
      <c r="J520" t="s">
        <v>1490</v>
      </c>
      <c r="K520" t="s">
        <v>17</v>
      </c>
      <c r="L520">
        <v>44</v>
      </c>
      <c r="M520" t="s">
        <v>19</v>
      </c>
      <c r="N520">
        <v>348</v>
      </c>
      <c r="O520">
        <v>58.67</v>
      </c>
      <c r="P520">
        <v>0</v>
      </c>
    </row>
    <row r="521" spans="1:16" x14ac:dyDescent="0.25">
      <c r="A521" s="1">
        <v>45229</v>
      </c>
      <c r="B521" s="2">
        <v>0.67013888888888884</v>
      </c>
      <c r="C521" t="s">
        <v>1434</v>
      </c>
      <c r="D521">
        <v>41</v>
      </c>
      <c r="E521" t="s">
        <v>812</v>
      </c>
      <c r="F521" t="s">
        <v>18</v>
      </c>
      <c r="G521">
        <v>-7.1785899999999998</v>
      </c>
      <c r="H521">
        <v>24.4404</v>
      </c>
      <c r="I521" t="s">
        <v>1480</v>
      </c>
      <c r="J521" t="s">
        <v>1490</v>
      </c>
      <c r="K521" t="s">
        <v>17</v>
      </c>
      <c r="L521">
        <v>44</v>
      </c>
      <c r="M521" t="s">
        <v>19</v>
      </c>
      <c r="N521">
        <v>348</v>
      </c>
      <c r="O521">
        <v>58.67</v>
      </c>
      <c r="P521">
        <v>0</v>
      </c>
    </row>
    <row r="522" spans="1:16" x14ac:dyDescent="0.25">
      <c r="A522" s="1">
        <v>45216</v>
      </c>
      <c r="B522" s="2">
        <v>0.46388888888888891</v>
      </c>
      <c r="C522" t="s">
        <v>1434</v>
      </c>
      <c r="D522">
        <v>58</v>
      </c>
      <c r="E522" t="s">
        <v>807</v>
      </c>
      <c r="F522" t="s">
        <v>18</v>
      </c>
      <c r="G522">
        <v>-7.1785899999999998</v>
      </c>
      <c r="H522">
        <v>24.4404</v>
      </c>
      <c r="I522" t="s">
        <v>1480</v>
      </c>
      <c r="J522" t="s">
        <v>1490</v>
      </c>
      <c r="K522" t="s">
        <v>17</v>
      </c>
      <c r="L522">
        <v>44</v>
      </c>
      <c r="M522" t="s">
        <v>19</v>
      </c>
      <c r="N522">
        <v>348</v>
      </c>
      <c r="O522">
        <v>58.67</v>
      </c>
      <c r="P522">
        <v>0</v>
      </c>
    </row>
    <row r="523" spans="1:16" x14ac:dyDescent="0.25">
      <c r="A523" s="1">
        <v>45225</v>
      </c>
      <c r="B523" s="2">
        <v>5.4166666666666669E-2</v>
      </c>
      <c r="C523" t="s">
        <v>1436</v>
      </c>
      <c r="D523">
        <v>38</v>
      </c>
      <c r="E523" t="s">
        <v>812</v>
      </c>
      <c r="F523" t="s">
        <v>137</v>
      </c>
      <c r="G523">
        <v>-4.2184999999999997</v>
      </c>
      <c r="H523">
        <v>23.077093999999999</v>
      </c>
      <c r="I523" t="s">
        <v>1480</v>
      </c>
      <c r="J523" t="s">
        <v>1478</v>
      </c>
      <c r="K523" t="s">
        <v>136</v>
      </c>
      <c r="L523">
        <v>80</v>
      </c>
      <c r="M523" t="s">
        <v>22</v>
      </c>
      <c r="N523">
        <v>155</v>
      </c>
      <c r="O523">
        <v>28.96</v>
      </c>
      <c r="P523">
        <v>2</v>
      </c>
    </row>
    <row r="524" spans="1:16" x14ac:dyDescent="0.25">
      <c r="A524" s="1">
        <v>45230</v>
      </c>
      <c r="B524" s="2">
        <v>0.63888888888888884</v>
      </c>
      <c r="C524" t="s">
        <v>1439</v>
      </c>
      <c r="D524">
        <v>77</v>
      </c>
      <c r="E524" t="s">
        <v>808</v>
      </c>
      <c r="F524" t="s">
        <v>64</v>
      </c>
      <c r="G524">
        <v>-0.57104900000000003</v>
      </c>
      <c r="H524">
        <v>15.317663</v>
      </c>
      <c r="I524" t="s">
        <v>1477</v>
      </c>
      <c r="J524" t="s">
        <v>1490</v>
      </c>
      <c r="K524" t="s">
        <v>63</v>
      </c>
      <c r="L524">
        <v>79</v>
      </c>
      <c r="M524" t="s">
        <v>11</v>
      </c>
      <c r="N524">
        <v>226</v>
      </c>
      <c r="O524">
        <v>94.38</v>
      </c>
      <c r="P524">
        <v>3</v>
      </c>
    </row>
    <row r="525" spans="1:16" x14ac:dyDescent="0.25">
      <c r="A525" s="1">
        <v>45211</v>
      </c>
      <c r="B525" s="2">
        <v>0.33750000000000002</v>
      </c>
      <c r="C525" t="s">
        <v>1440</v>
      </c>
      <c r="D525">
        <v>88</v>
      </c>
      <c r="E525" t="s">
        <v>808</v>
      </c>
      <c r="F525" t="s">
        <v>10</v>
      </c>
      <c r="G525">
        <v>-12.364127999999999</v>
      </c>
      <c r="H525">
        <v>19.576150999999999</v>
      </c>
      <c r="I525" t="s">
        <v>1482</v>
      </c>
      <c r="J525" t="s">
        <v>1490</v>
      </c>
      <c r="K525" t="s">
        <v>9</v>
      </c>
      <c r="L525">
        <v>29</v>
      </c>
      <c r="M525" t="s">
        <v>11</v>
      </c>
      <c r="N525">
        <v>214</v>
      </c>
      <c r="O525">
        <v>74.7</v>
      </c>
      <c r="P525">
        <v>3</v>
      </c>
    </row>
    <row r="526" spans="1:16" x14ac:dyDescent="0.25">
      <c r="A526" s="1">
        <v>45215</v>
      </c>
      <c r="B526" s="2">
        <v>0.67291666666666672</v>
      </c>
      <c r="C526" t="s">
        <v>1444</v>
      </c>
      <c r="D526">
        <v>117</v>
      </c>
      <c r="E526" t="s">
        <v>812</v>
      </c>
      <c r="F526" t="s">
        <v>131</v>
      </c>
      <c r="G526">
        <v>-11.866133</v>
      </c>
      <c r="H526">
        <v>27.068932</v>
      </c>
      <c r="I526" t="s">
        <v>1482</v>
      </c>
      <c r="J526" t="s">
        <v>1481</v>
      </c>
      <c r="K526" t="s">
        <v>130</v>
      </c>
      <c r="L526">
        <v>16</v>
      </c>
      <c r="M526" t="s">
        <v>19</v>
      </c>
      <c r="N526">
        <v>390</v>
      </c>
      <c r="O526">
        <v>98.17</v>
      </c>
      <c r="P526">
        <v>5</v>
      </c>
    </row>
    <row r="527" spans="1:16" x14ac:dyDescent="0.25">
      <c r="A527" s="1">
        <v>45207</v>
      </c>
      <c r="B527" s="2">
        <v>0.98263888888888884</v>
      </c>
      <c r="C527" t="s">
        <v>1444</v>
      </c>
      <c r="D527">
        <v>25</v>
      </c>
      <c r="E527" t="s">
        <v>812</v>
      </c>
      <c r="F527" t="s">
        <v>131</v>
      </c>
      <c r="G527">
        <v>-11.866133</v>
      </c>
      <c r="H527">
        <v>27.068932</v>
      </c>
      <c r="I527" t="s">
        <v>1482</v>
      </c>
      <c r="J527" t="s">
        <v>1481</v>
      </c>
      <c r="K527" t="s">
        <v>130</v>
      </c>
      <c r="L527">
        <v>16</v>
      </c>
      <c r="M527" t="s">
        <v>19</v>
      </c>
      <c r="N527">
        <v>390</v>
      </c>
      <c r="O527">
        <v>98.17</v>
      </c>
      <c r="P527">
        <v>5</v>
      </c>
    </row>
    <row r="528" spans="1:16" x14ac:dyDescent="0.25">
      <c r="A528" s="1">
        <v>45205</v>
      </c>
      <c r="B528" s="2">
        <v>0.76875000000000004</v>
      </c>
      <c r="C528" t="s">
        <v>1446</v>
      </c>
      <c r="D528">
        <v>36</v>
      </c>
      <c r="E528" t="s">
        <v>807</v>
      </c>
      <c r="F528" t="s">
        <v>62</v>
      </c>
      <c r="G528">
        <v>-0.469945</v>
      </c>
      <c r="H528">
        <v>21.038527999999999</v>
      </c>
      <c r="I528" t="s">
        <v>1482</v>
      </c>
      <c r="J528" t="s">
        <v>1478</v>
      </c>
      <c r="K528" t="s">
        <v>61</v>
      </c>
      <c r="L528">
        <v>101</v>
      </c>
      <c r="M528" t="s">
        <v>14</v>
      </c>
      <c r="N528">
        <v>333</v>
      </c>
      <c r="O528">
        <v>74.319999999999993</v>
      </c>
      <c r="P528">
        <v>1</v>
      </c>
    </row>
    <row r="529" spans="1:16" x14ac:dyDescent="0.25">
      <c r="A529" s="1">
        <v>45225</v>
      </c>
      <c r="B529" s="2">
        <v>0.8881944444444444</v>
      </c>
      <c r="C529" t="s">
        <v>1449</v>
      </c>
      <c r="D529">
        <v>87</v>
      </c>
      <c r="E529" t="s">
        <v>812</v>
      </c>
      <c r="F529" t="s">
        <v>18</v>
      </c>
      <c r="G529">
        <v>-5.8145569999999998</v>
      </c>
      <c r="H529">
        <v>21.942052</v>
      </c>
      <c r="I529" t="s">
        <v>1477</v>
      </c>
      <c r="J529" t="s">
        <v>1481</v>
      </c>
      <c r="K529" t="s">
        <v>17</v>
      </c>
      <c r="L529">
        <v>44</v>
      </c>
      <c r="M529" t="s">
        <v>19</v>
      </c>
      <c r="N529">
        <v>348</v>
      </c>
      <c r="O529">
        <v>58.67</v>
      </c>
      <c r="P529">
        <v>0</v>
      </c>
    </row>
    <row r="530" spans="1:16" x14ac:dyDescent="0.25">
      <c r="A530" s="1">
        <v>45209</v>
      </c>
      <c r="B530" s="2">
        <v>0.90763888888888888</v>
      </c>
      <c r="C530" t="s">
        <v>1455</v>
      </c>
      <c r="D530">
        <v>99</v>
      </c>
      <c r="E530" t="s">
        <v>812</v>
      </c>
      <c r="F530" t="s">
        <v>29</v>
      </c>
      <c r="G530">
        <v>-7.6757720000000003</v>
      </c>
      <c r="H530">
        <v>30.222971000000001</v>
      </c>
      <c r="I530" t="s">
        <v>1477</v>
      </c>
      <c r="J530" t="s">
        <v>1478</v>
      </c>
      <c r="K530" t="s">
        <v>28</v>
      </c>
      <c r="L530">
        <v>99</v>
      </c>
      <c r="M530" t="s">
        <v>19</v>
      </c>
      <c r="N530">
        <v>369</v>
      </c>
      <c r="O530">
        <v>67.209999999999994</v>
      </c>
      <c r="P530">
        <v>3</v>
      </c>
    </row>
    <row r="531" spans="1:16" x14ac:dyDescent="0.25">
      <c r="A531" s="1">
        <v>45209</v>
      </c>
      <c r="B531" s="2">
        <v>0.53125</v>
      </c>
      <c r="C531" t="s">
        <v>1456</v>
      </c>
      <c r="D531">
        <v>63</v>
      </c>
      <c r="E531" t="s">
        <v>807</v>
      </c>
      <c r="F531" t="s">
        <v>78</v>
      </c>
      <c r="G531">
        <v>1.727095</v>
      </c>
      <c r="H531">
        <v>22.099651999999999</v>
      </c>
      <c r="I531" t="s">
        <v>1480</v>
      </c>
      <c r="J531" t="s">
        <v>1481</v>
      </c>
      <c r="K531" t="s">
        <v>77</v>
      </c>
      <c r="L531">
        <v>81</v>
      </c>
      <c r="M531" t="s">
        <v>14</v>
      </c>
      <c r="N531">
        <v>154</v>
      </c>
      <c r="O531">
        <v>19.47</v>
      </c>
      <c r="P531">
        <v>3</v>
      </c>
    </row>
    <row r="532" spans="1:16" x14ac:dyDescent="0.25">
      <c r="A532" s="1">
        <v>45216</v>
      </c>
      <c r="B532" s="2">
        <v>0.27430555555555558</v>
      </c>
      <c r="C532" t="s">
        <v>1458</v>
      </c>
      <c r="D532">
        <v>30</v>
      </c>
      <c r="E532" t="s">
        <v>808</v>
      </c>
      <c r="F532" t="s">
        <v>60</v>
      </c>
      <c r="G532">
        <v>-5.7200150000000001</v>
      </c>
      <c r="H532">
        <v>25.022109</v>
      </c>
      <c r="I532" t="s">
        <v>1477</v>
      </c>
      <c r="J532" t="s">
        <v>1483</v>
      </c>
      <c r="K532" t="s">
        <v>59</v>
      </c>
      <c r="L532">
        <v>14</v>
      </c>
      <c r="M532" t="s">
        <v>14</v>
      </c>
      <c r="N532">
        <v>316</v>
      </c>
      <c r="O532">
        <v>62.34</v>
      </c>
      <c r="P532">
        <v>4</v>
      </c>
    </row>
    <row r="533" spans="1:16" x14ac:dyDescent="0.25">
      <c r="A533" s="1">
        <v>45224</v>
      </c>
      <c r="B533" s="2">
        <v>0.77500000000000002</v>
      </c>
      <c r="C533" t="s">
        <v>1458</v>
      </c>
      <c r="D533">
        <v>107</v>
      </c>
      <c r="E533" t="s">
        <v>812</v>
      </c>
      <c r="F533" t="s">
        <v>60</v>
      </c>
      <c r="G533">
        <v>-5.7200150000000001</v>
      </c>
      <c r="H533">
        <v>25.022109</v>
      </c>
      <c r="I533" t="s">
        <v>1477</v>
      </c>
      <c r="J533" t="s">
        <v>1483</v>
      </c>
      <c r="K533" t="s">
        <v>59</v>
      </c>
      <c r="L533">
        <v>14</v>
      </c>
      <c r="M533" t="s">
        <v>14</v>
      </c>
      <c r="N533">
        <v>316</v>
      </c>
      <c r="O533">
        <v>62.34</v>
      </c>
      <c r="P533">
        <v>4</v>
      </c>
    </row>
    <row r="534" spans="1:16" x14ac:dyDescent="0.25">
      <c r="A534" s="1">
        <v>45230</v>
      </c>
      <c r="B534" s="2">
        <v>0.50277777777777777</v>
      </c>
      <c r="C534" t="s">
        <v>1458</v>
      </c>
      <c r="D534">
        <v>99</v>
      </c>
      <c r="E534" t="s">
        <v>807</v>
      </c>
      <c r="F534" t="s">
        <v>60</v>
      </c>
      <c r="G534">
        <v>-5.7200150000000001</v>
      </c>
      <c r="H534">
        <v>25.022109</v>
      </c>
      <c r="I534" t="s">
        <v>1477</v>
      </c>
      <c r="J534" t="s">
        <v>1483</v>
      </c>
      <c r="K534" t="s">
        <v>59</v>
      </c>
      <c r="L534">
        <v>14</v>
      </c>
      <c r="M534" t="s">
        <v>14</v>
      </c>
      <c r="N534">
        <v>316</v>
      </c>
      <c r="O534">
        <v>62.34</v>
      </c>
      <c r="P534">
        <v>4</v>
      </c>
    </row>
    <row r="535" spans="1:16" x14ac:dyDescent="0.25">
      <c r="A535" s="1">
        <v>45226</v>
      </c>
      <c r="B535" s="2">
        <v>0.65972222222222221</v>
      </c>
      <c r="C535" t="s">
        <v>1459</v>
      </c>
      <c r="D535">
        <v>65</v>
      </c>
      <c r="E535" t="s">
        <v>808</v>
      </c>
      <c r="F535" t="s">
        <v>24</v>
      </c>
      <c r="G535">
        <v>-11.594525000000001</v>
      </c>
      <c r="H535">
        <v>29.744895</v>
      </c>
      <c r="I535" t="s">
        <v>1482</v>
      </c>
      <c r="J535" t="s">
        <v>1483</v>
      </c>
      <c r="K535" t="s">
        <v>23</v>
      </c>
      <c r="L535">
        <v>46</v>
      </c>
      <c r="M535" t="s">
        <v>11</v>
      </c>
      <c r="N535">
        <v>283</v>
      </c>
      <c r="O535">
        <v>56.05</v>
      </c>
      <c r="P535">
        <v>1</v>
      </c>
    </row>
    <row r="536" spans="1:16" x14ac:dyDescent="0.25">
      <c r="A536" s="1">
        <v>45201</v>
      </c>
      <c r="B536" s="2">
        <v>5.7638888888888892E-2</v>
      </c>
      <c r="C536" t="s">
        <v>1459</v>
      </c>
      <c r="D536">
        <v>103</v>
      </c>
      <c r="E536" t="s">
        <v>807</v>
      </c>
      <c r="F536" t="s">
        <v>24</v>
      </c>
      <c r="G536">
        <v>-11.594525000000001</v>
      </c>
      <c r="H536">
        <v>29.744895</v>
      </c>
      <c r="I536" t="s">
        <v>1482</v>
      </c>
      <c r="J536" t="s">
        <v>1483</v>
      </c>
      <c r="K536" t="s">
        <v>23</v>
      </c>
      <c r="L536">
        <v>46</v>
      </c>
      <c r="M536" t="s">
        <v>11</v>
      </c>
      <c r="N536">
        <v>283</v>
      </c>
      <c r="O536">
        <v>56.05</v>
      </c>
      <c r="P536">
        <v>1</v>
      </c>
    </row>
    <row r="537" spans="1:16" x14ac:dyDescent="0.25">
      <c r="A537" s="1">
        <v>45201</v>
      </c>
      <c r="B537" s="2">
        <v>0.86736111111111114</v>
      </c>
      <c r="C537" t="s">
        <v>1460</v>
      </c>
      <c r="D537">
        <v>18</v>
      </c>
      <c r="E537" t="s">
        <v>807</v>
      </c>
      <c r="F537" t="s">
        <v>62</v>
      </c>
      <c r="G537">
        <v>-12.112399999999999</v>
      </c>
      <c r="H537">
        <v>15.872226</v>
      </c>
      <c r="I537" t="s">
        <v>1480</v>
      </c>
      <c r="J537" t="s">
        <v>1490</v>
      </c>
      <c r="K537" t="s">
        <v>61</v>
      </c>
      <c r="L537">
        <v>101</v>
      </c>
      <c r="M537" t="s">
        <v>14</v>
      </c>
      <c r="N537">
        <v>333</v>
      </c>
      <c r="O537">
        <v>74.319999999999993</v>
      </c>
      <c r="P537">
        <v>1</v>
      </c>
    </row>
    <row r="538" spans="1:16" x14ac:dyDescent="0.25">
      <c r="A538" s="1">
        <v>45220</v>
      </c>
      <c r="B538" s="2">
        <v>0.84791666666666665</v>
      </c>
      <c r="C538" t="s">
        <v>1460</v>
      </c>
      <c r="D538">
        <v>103</v>
      </c>
      <c r="E538" t="s">
        <v>807</v>
      </c>
      <c r="F538" t="s">
        <v>62</v>
      </c>
      <c r="G538">
        <v>-12.112399999999999</v>
      </c>
      <c r="H538">
        <v>15.872226</v>
      </c>
      <c r="I538" t="s">
        <v>1480</v>
      </c>
      <c r="J538" t="s">
        <v>1490</v>
      </c>
      <c r="K538" t="s">
        <v>61</v>
      </c>
      <c r="L538">
        <v>101</v>
      </c>
      <c r="M538" t="s">
        <v>14</v>
      </c>
      <c r="N538">
        <v>333</v>
      </c>
      <c r="O538">
        <v>74.319999999999993</v>
      </c>
      <c r="P538">
        <v>1</v>
      </c>
    </row>
    <row r="539" spans="1:16" x14ac:dyDescent="0.25">
      <c r="A539" s="1">
        <v>45207</v>
      </c>
      <c r="B539" s="2">
        <v>0.14027777777777778</v>
      </c>
      <c r="C539" t="s">
        <v>1460</v>
      </c>
      <c r="D539">
        <v>46</v>
      </c>
      <c r="E539" t="s">
        <v>808</v>
      </c>
      <c r="F539" t="s">
        <v>62</v>
      </c>
      <c r="G539">
        <v>-12.112399999999999</v>
      </c>
      <c r="H539">
        <v>15.872226</v>
      </c>
      <c r="I539" t="s">
        <v>1480</v>
      </c>
      <c r="J539" t="s">
        <v>1490</v>
      </c>
      <c r="K539" t="s">
        <v>61</v>
      </c>
      <c r="L539">
        <v>101</v>
      </c>
      <c r="M539" t="s">
        <v>14</v>
      </c>
      <c r="N539">
        <v>333</v>
      </c>
      <c r="O539">
        <v>74.319999999999993</v>
      </c>
      <c r="P539">
        <v>1</v>
      </c>
    </row>
    <row r="540" spans="1:16" x14ac:dyDescent="0.25">
      <c r="A540" s="1">
        <v>45215</v>
      </c>
      <c r="B540" s="2">
        <v>0.37291666666666667</v>
      </c>
      <c r="C540" t="s">
        <v>1460</v>
      </c>
      <c r="D540">
        <v>70</v>
      </c>
      <c r="E540" t="s">
        <v>808</v>
      </c>
      <c r="F540" t="s">
        <v>62</v>
      </c>
      <c r="G540">
        <v>-12.112399999999999</v>
      </c>
      <c r="H540">
        <v>15.872226</v>
      </c>
      <c r="I540" t="s">
        <v>1480</v>
      </c>
      <c r="J540" t="s">
        <v>1490</v>
      </c>
      <c r="K540" t="s">
        <v>61</v>
      </c>
      <c r="L540">
        <v>101</v>
      </c>
      <c r="M540" t="s">
        <v>14</v>
      </c>
      <c r="N540">
        <v>333</v>
      </c>
      <c r="O540">
        <v>74.319999999999993</v>
      </c>
      <c r="P540">
        <v>1</v>
      </c>
    </row>
    <row r="541" spans="1:16" x14ac:dyDescent="0.25">
      <c r="A541" s="1">
        <v>45209</v>
      </c>
      <c r="B541" s="2">
        <v>0.8520833333333333</v>
      </c>
      <c r="C541" t="s">
        <v>1461</v>
      </c>
      <c r="D541">
        <v>91</v>
      </c>
      <c r="E541" t="s">
        <v>812</v>
      </c>
      <c r="F541" t="s">
        <v>40</v>
      </c>
      <c r="G541">
        <v>-12.431227</v>
      </c>
      <c r="H541">
        <v>18.414290999999999</v>
      </c>
      <c r="I541" t="s">
        <v>1477</v>
      </c>
      <c r="J541" t="s">
        <v>1481</v>
      </c>
      <c r="K541" t="s">
        <v>39</v>
      </c>
      <c r="L541">
        <v>110</v>
      </c>
      <c r="M541" t="s">
        <v>14</v>
      </c>
      <c r="N541">
        <v>423</v>
      </c>
      <c r="O541">
        <v>37.35</v>
      </c>
      <c r="P541">
        <v>4</v>
      </c>
    </row>
    <row r="542" spans="1:16" x14ac:dyDescent="0.25">
      <c r="A542" s="1">
        <v>45205</v>
      </c>
      <c r="B542" s="2">
        <v>0.34513888888888888</v>
      </c>
      <c r="C542" t="s">
        <v>1462</v>
      </c>
      <c r="D542">
        <v>109</v>
      </c>
      <c r="E542" t="s">
        <v>808</v>
      </c>
      <c r="F542" t="s">
        <v>67</v>
      </c>
      <c r="G542">
        <v>-2.2681789999999999</v>
      </c>
      <c r="H542">
        <v>25.699068</v>
      </c>
      <c r="I542" t="s">
        <v>1482</v>
      </c>
      <c r="J542" t="s">
        <v>1483</v>
      </c>
      <c r="K542" t="s">
        <v>66</v>
      </c>
      <c r="L542">
        <v>101</v>
      </c>
      <c r="M542" t="s">
        <v>14</v>
      </c>
      <c r="N542">
        <v>176</v>
      </c>
      <c r="O542">
        <v>86</v>
      </c>
      <c r="P542">
        <v>3</v>
      </c>
    </row>
    <row r="543" spans="1:16" x14ac:dyDescent="0.25">
      <c r="A543" s="1">
        <v>45226</v>
      </c>
      <c r="B543" s="2">
        <v>0.10069444444444445</v>
      </c>
      <c r="C543" t="s">
        <v>1462</v>
      </c>
      <c r="D543">
        <v>110</v>
      </c>
      <c r="E543" t="s">
        <v>808</v>
      </c>
      <c r="F543" t="s">
        <v>67</v>
      </c>
      <c r="G543">
        <v>-2.2681789999999999</v>
      </c>
      <c r="H543">
        <v>25.699068</v>
      </c>
      <c r="I543" t="s">
        <v>1482</v>
      </c>
      <c r="J543" t="s">
        <v>1483</v>
      </c>
      <c r="K543" t="s">
        <v>66</v>
      </c>
      <c r="L543">
        <v>101</v>
      </c>
      <c r="M543" t="s">
        <v>14</v>
      </c>
      <c r="N543">
        <v>176</v>
      </c>
      <c r="O543">
        <v>86</v>
      </c>
      <c r="P543">
        <v>3</v>
      </c>
    </row>
    <row r="544" spans="1:16" x14ac:dyDescent="0.25">
      <c r="A544" s="1">
        <v>45222</v>
      </c>
      <c r="B544" s="2">
        <v>0.90277777777777779</v>
      </c>
      <c r="C544" t="s">
        <v>1463</v>
      </c>
      <c r="D544">
        <v>31</v>
      </c>
      <c r="E544" t="s">
        <v>812</v>
      </c>
      <c r="F544" t="s">
        <v>35</v>
      </c>
      <c r="G544">
        <v>-7.5969509999999998</v>
      </c>
      <c r="H544">
        <v>22.153986</v>
      </c>
      <c r="I544" t="s">
        <v>1482</v>
      </c>
      <c r="J544" t="s">
        <v>1478</v>
      </c>
      <c r="K544" t="s">
        <v>34</v>
      </c>
      <c r="L544">
        <v>35</v>
      </c>
      <c r="M544" t="s">
        <v>14</v>
      </c>
      <c r="N544">
        <v>465</v>
      </c>
      <c r="O544">
        <v>58.59</v>
      </c>
      <c r="P544">
        <v>5</v>
      </c>
    </row>
    <row r="545" spans="1:16" x14ac:dyDescent="0.25">
      <c r="A545" s="1">
        <v>45213</v>
      </c>
      <c r="B545" s="2">
        <v>0.77986111111111112</v>
      </c>
      <c r="C545" t="s">
        <v>1463</v>
      </c>
      <c r="D545">
        <v>120</v>
      </c>
      <c r="E545" t="s">
        <v>807</v>
      </c>
      <c r="F545" t="s">
        <v>35</v>
      </c>
      <c r="G545">
        <v>-7.5969509999999998</v>
      </c>
      <c r="H545">
        <v>22.153986</v>
      </c>
      <c r="I545" t="s">
        <v>1482</v>
      </c>
      <c r="J545" t="s">
        <v>1478</v>
      </c>
      <c r="K545" t="s">
        <v>34</v>
      </c>
      <c r="L545">
        <v>35</v>
      </c>
      <c r="M545" t="s">
        <v>14</v>
      </c>
      <c r="N545">
        <v>465</v>
      </c>
      <c r="O545">
        <v>58.59</v>
      </c>
      <c r="P545">
        <v>5</v>
      </c>
    </row>
    <row r="546" spans="1:16" x14ac:dyDescent="0.25">
      <c r="A546" s="1">
        <v>45216</v>
      </c>
      <c r="B546" s="2">
        <v>0.72986111111111107</v>
      </c>
      <c r="C546" t="s">
        <v>1465</v>
      </c>
      <c r="D546">
        <v>109</v>
      </c>
      <c r="E546" t="s">
        <v>812</v>
      </c>
      <c r="F546" t="s">
        <v>57</v>
      </c>
      <c r="G546">
        <v>0.639208</v>
      </c>
      <c r="H546">
        <v>20.701739</v>
      </c>
      <c r="I546" t="s">
        <v>1480</v>
      </c>
      <c r="J546" t="s">
        <v>1481</v>
      </c>
      <c r="K546" t="s">
        <v>56</v>
      </c>
      <c r="L546">
        <v>97</v>
      </c>
      <c r="M546" t="s">
        <v>14</v>
      </c>
      <c r="N546">
        <v>319</v>
      </c>
      <c r="O546">
        <v>31.25</v>
      </c>
      <c r="P546">
        <v>1</v>
      </c>
    </row>
    <row r="547" spans="1:16" x14ac:dyDescent="0.25">
      <c r="A547" s="1">
        <v>45201</v>
      </c>
      <c r="B547" s="2">
        <v>0.17222222222222222</v>
      </c>
      <c r="C547" t="s">
        <v>1469</v>
      </c>
      <c r="D547">
        <v>33</v>
      </c>
      <c r="E547" t="s">
        <v>812</v>
      </c>
      <c r="F547" t="s">
        <v>89</v>
      </c>
      <c r="G547">
        <v>-7.9987219999999999</v>
      </c>
      <c r="H547">
        <v>12.779335</v>
      </c>
      <c r="I547" t="s">
        <v>1477</v>
      </c>
      <c r="J547" t="s">
        <v>1490</v>
      </c>
      <c r="K547" t="s">
        <v>88</v>
      </c>
      <c r="L547">
        <v>98</v>
      </c>
      <c r="M547" t="s">
        <v>14</v>
      </c>
      <c r="N547">
        <v>482</v>
      </c>
      <c r="O547">
        <v>55.04</v>
      </c>
      <c r="P547">
        <v>5</v>
      </c>
    </row>
    <row r="548" spans="1:16" x14ac:dyDescent="0.25">
      <c r="A548" s="1">
        <v>45228</v>
      </c>
      <c r="B548" s="2">
        <v>0.65138888888888891</v>
      </c>
      <c r="C548" t="s">
        <v>1470</v>
      </c>
      <c r="D548">
        <v>119</v>
      </c>
      <c r="E548" t="s">
        <v>807</v>
      </c>
      <c r="F548" t="s">
        <v>21</v>
      </c>
      <c r="G548">
        <v>2.453036</v>
      </c>
      <c r="H548">
        <v>20.555484</v>
      </c>
      <c r="I548" t="s">
        <v>1477</v>
      </c>
      <c r="J548" t="s">
        <v>1478</v>
      </c>
      <c r="K548" t="s">
        <v>20</v>
      </c>
      <c r="L548">
        <v>101</v>
      </c>
      <c r="M548" t="s">
        <v>22</v>
      </c>
      <c r="N548">
        <v>358</v>
      </c>
      <c r="O548">
        <v>29.24</v>
      </c>
      <c r="P548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0E13-A737-4C30-8E0A-6C07F318B011}">
  <dimension ref="A3:E312"/>
  <sheetViews>
    <sheetView tabSelected="1" topLeftCell="A244" workbookViewId="0">
      <selection activeCell="K260" sqref="K260"/>
    </sheetView>
  </sheetViews>
  <sheetFormatPr defaultRowHeight="15" x14ac:dyDescent="0.25"/>
  <cols>
    <col min="1" max="1" width="16.85546875" bestFit="1" customWidth="1"/>
    <col min="2" max="2" width="40.140625" bestFit="1" customWidth="1"/>
    <col min="3" max="3" width="19" bestFit="1" customWidth="1"/>
    <col min="4" max="4" width="24.85546875" bestFit="1" customWidth="1"/>
    <col min="5" max="5" width="22.5703125" bestFit="1" customWidth="1"/>
  </cols>
  <sheetData>
    <row r="3" spans="1:5" x14ac:dyDescent="0.25">
      <c r="A3" s="4" t="s">
        <v>1675</v>
      </c>
      <c r="B3" t="s">
        <v>1677</v>
      </c>
      <c r="C3" t="s">
        <v>1678</v>
      </c>
      <c r="D3" t="s">
        <v>1679</v>
      </c>
      <c r="E3" t="s">
        <v>1680</v>
      </c>
    </row>
    <row r="4" spans="1:5" x14ac:dyDescent="0.25">
      <c r="A4" s="5" t="s">
        <v>26</v>
      </c>
      <c r="B4" s="3">
        <v>168</v>
      </c>
      <c r="C4" s="8">
        <v>4.3875685557586835E-2</v>
      </c>
      <c r="D4" s="3">
        <v>24</v>
      </c>
      <c r="E4" s="3">
        <v>0</v>
      </c>
    </row>
    <row r="5" spans="1:5" x14ac:dyDescent="0.25">
      <c r="A5" s="6" t="s">
        <v>1482</v>
      </c>
      <c r="B5" s="3">
        <v>77</v>
      </c>
      <c r="C5" s="8">
        <v>2.0109689213893969E-2</v>
      </c>
      <c r="D5" s="3">
        <v>11</v>
      </c>
      <c r="E5" s="3">
        <v>0</v>
      </c>
    </row>
    <row r="6" spans="1:5" x14ac:dyDescent="0.25">
      <c r="A6" s="7" t="s">
        <v>812</v>
      </c>
      <c r="B6" s="3">
        <v>28</v>
      </c>
      <c r="C6" s="8">
        <v>7.3126142595978062E-3</v>
      </c>
      <c r="D6" s="3">
        <v>4</v>
      </c>
      <c r="E6" s="3">
        <v>0</v>
      </c>
    </row>
    <row r="7" spans="1:5" x14ac:dyDescent="0.25">
      <c r="A7" s="7" t="s">
        <v>807</v>
      </c>
      <c r="B7" s="3">
        <v>49</v>
      </c>
      <c r="C7" s="8">
        <v>1.2797074954296161E-2</v>
      </c>
      <c r="D7" s="3">
        <v>7</v>
      </c>
      <c r="E7" s="3">
        <v>0</v>
      </c>
    </row>
    <row r="8" spans="1:5" x14ac:dyDescent="0.25">
      <c r="A8" s="6" t="s">
        <v>1480</v>
      </c>
      <c r="B8" s="3">
        <v>35</v>
      </c>
      <c r="C8" s="8">
        <v>9.140767824497258E-3</v>
      </c>
      <c r="D8" s="3">
        <v>5</v>
      </c>
      <c r="E8" s="3">
        <v>0</v>
      </c>
    </row>
    <row r="9" spans="1:5" x14ac:dyDescent="0.25">
      <c r="A9" s="7" t="s">
        <v>812</v>
      </c>
      <c r="B9" s="3">
        <v>28</v>
      </c>
      <c r="C9" s="8">
        <v>7.3126142595978062E-3</v>
      </c>
      <c r="D9" s="3">
        <v>4</v>
      </c>
      <c r="E9" s="3">
        <v>0</v>
      </c>
    </row>
    <row r="10" spans="1:5" x14ac:dyDescent="0.25">
      <c r="A10" s="7" t="s">
        <v>808</v>
      </c>
      <c r="B10" s="3">
        <v>7</v>
      </c>
      <c r="C10" s="8">
        <v>1.8281535648994515E-3</v>
      </c>
      <c r="D10" s="3">
        <v>1</v>
      </c>
      <c r="E10" s="3">
        <v>0</v>
      </c>
    </row>
    <row r="11" spans="1:5" x14ac:dyDescent="0.25">
      <c r="A11" s="6" t="s">
        <v>1477</v>
      </c>
      <c r="B11" s="3">
        <v>56</v>
      </c>
      <c r="C11" s="8">
        <v>1.4625228519195612E-2</v>
      </c>
      <c r="D11" s="3">
        <v>8</v>
      </c>
      <c r="E11" s="3">
        <v>0</v>
      </c>
    </row>
    <row r="12" spans="1:5" x14ac:dyDescent="0.25">
      <c r="A12" s="7" t="s">
        <v>812</v>
      </c>
      <c r="B12" s="3">
        <v>28</v>
      </c>
      <c r="C12" s="8">
        <v>7.3126142595978062E-3</v>
      </c>
      <c r="D12" s="3">
        <v>4</v>
      </c>
      <c r="E12" s="3">
        <v>0</v>
      </c>
    </row>
    <row r="13" spans="1:5" x14ac:dyDescent="0.25">
      <c r="A13" s="7" t="s">
        <v>808</v>
      </c>
      <c r="B13" s="3">
        <v>14</v>
      </c>
      <c r="C13" s="8">
        <v>3.6563071297989031E-3</v>
      </c>
      <c r="D13" s="3">
        <v>2</v>
      </c>
      <c r="E13" s="3">
        <v>0</v>
      </c>
    </row>
    <row r="14" spans="1:5" x14ac:dyDescent="0.25">
      <c r="A14" s="7" t="s">
        <v>807</v>
      </c>
      <c r="B14" s="3">
        <v>14</v>
      </c>
      <c r="C14" s="8">
        <v>3.6563071297989031E-3</v>
      </c>
      <c r="D14" s="3">
        <v>2</v>
      </c>
      <c r="E14" s="3">
        <v>0</v>
      </c>
    </row>
    <row r="15" spans="1:5" x14ac:dyDescent="0.25">
      <c r="A15" s="5" t="s">
        <v>60</v>
      </c>
      <c r="B15" s="3">
        <v>90</v>
      </c>
      <c r="C15" s="8">
        <v>3.2906764168190127E-2</v>
      </c>
      <c r="D15" s="3">
        <v>18</v>
      </c>
      <c r="E15" s="3">
        <v>6732.72</v>
      </c>
    </row>
    <row r="16" spans="1:5" x14ac:dyDescent="0.25">
      <c r="A16" s="6" t="s">
        <v>1482</v>
      </c>
      <c r="B16" s="3">
        <v>25</v>
      </c>
      <c r="C16" s="8">
        <v>9.140767824497258E-3</v>
      </c>
      <c r="D16" s="3">
        <v>5</v>
      </c>
      <c r="E16" s="3">
        <v>1870.2</v>
      </c>
    </row>
    <row r="17" spans="1:5" x14ac:dyDescent="0.25">
      <c r="A17" s="7" t="s">
        <v>812</v>
      </c>
      <c r="B17" s="3">
        <v>15</v>
      </c>
      <c r="C17" s="8">
        <v>5.4844606946983544E-3</v>
      </c>
      <c r="D17" s="3">
        <v>3</v>
      </c>
      <c r="E17" s="3">
        <v>1122.1200000000001</v>
      </c>
    </row>
    <row r="18" spans="1:5" x14ac:dyDescent="0.25">
      <c r="A18" s="7" t="s">
        <v>808</v>
      </c>
      <c r="B18" s="3">
        <v>10</v>
      </c>
      <c r="C18" s="8">
        <v>3.6563071297989031E-3</v>
      </c>
      <c r="D18" s="3">
        <v>2</v>
      </c>
      <c r="E18" s="3">
        <v>748.08</v>
      </c>
    </row>
    <row r="19" spans="1:5" x14ac:dyDescent="0.25">
      <c r="A19" s="6" t="s">
        <v>1480</v>
      </c>
      <c r="B19" s="3">
        <v>10</v>
      </c>
      <c r="C19" s="8">
        <v>3.6563071297989031E-3</v>
      </c>
      <c r="D19" s="3">
        <v>2</v>
      </c>
      <c r="E19" s="3">
        <v>748.08</v>
      </c>
    </row>
    <row r="20" spans="1:5" x14ac:dyDescent="0.25">
      <c r="A20" s="7" t="s">
        <v>812</v>
      </c>
      <c r="B20" s="3">
        <v>5</v>
      </c>
      <c r="C20" s="8">
        <v>1.8281535648994515E-3</v>
      </c>
      <c r="D20" s="3">
        <v>1</v>
      </c>
      <c r="E20" s="3">
        <v>374.04</v>
      </c>
    </row>
    <row r="21" spans="1:5" x14ac:dyDescent="0.25">
      <c r="A21" s="7" t="s">
        <v>808</v>
      </c>
      <c r="B21" s="3">
        <v>5</v>
      </c>
      <c r="C21" s="8">
        <v>1.8281535648994515E-3</v>
      </c>
      <c r="D21" s="3">
        <v>1</v>
      </c>
      <c r="E21" s="3">
        <v>374.04</v>
      </c>
    </row>
    <row r="22" spans="1:5" x14ac:dyDescent="0.25">
      <c r="A22" s="6" t="s">
        <v>1477</v>
      </c>
      <c r="B22" s="3">
        <v>55</v>
      </c>
      <c r="C22" s="8">
        <v>2.0109689213893969E-2</v>
      </c>
      <c r="D22" s="3">
        <v>11</v>
      </c>
      <c r="E22" s="3">
        <v>4114.4400000000005</v>
      </c>
    </row>
    <row r="23" spans="1:5" x14ac:dyDescent="0.25">
      <c r="A23" s="7" t="s">
        <v>812</v>
      </c>
      <c r="B23" s="3">
        <v>15</v>
      </c>
      <c r="C23" s="8">
        <v>5.4844606946983544E-3</v>
      </c>
      <c r="D23" s="3">
        <v>3</v>
      </c>
      <c r="E23" s="3">
        <v>1122.1200000000001</v>
      </c>
    </row>
    <row r="24" spans="1:5" x14ac:dyDescent="0.25">
      <c r="A24" s="7" t="s">
        <v>808</v>
      </c>
      <c r="B24" s="3">
        <v>20</v>
      </c>
      <c r="C24" s="8">
        <v>7.3126142595978062E-3</v>
      </c>
      <c r="D24" s="3">
        <v>4</v>
      </c>
      <c r="E24" s="3">
        <v>1496.16</v>
      </c>
    </row>
    <row r="25" spans="1:5" x14ac:dyDescent="0.25">
      <c r="A25" s="7" t="s">
        <v>807</v>
      </c>
      <c r="B25" s="3">
        <v>20</v>
      </c>
      <c r="C25" s="8">
        <v>7.3126142595978062E-3</v>
      </c>
      <c r="D25" s="3">
        <v>4</v>
      </c>
      <c r="E25" s="3">
        <v>1496.16</v>
      </c>
    </row>
    <row r="26" spans="1:5" x14ac:dyDescent="0.25">
      <c r="A26" s="5" t="s">
        <v>24</v>
      </c>
      <c r="B26" s="3">
        <v>135</v>
      </c>
      <c r="C26" s="8">
        <v>4.9360146252285193E-2</v>
      </c>
      <c r="D26" s="3">
        <v>27</v>
      </c>
      <c r="E26" s="3">
        <v>0</v>
      </c>
    </row>
    <row r="27" spans="1:5" x14ac:dyDescent="0.25">
      <c r="A27" s="6" t="s">
        <v>1482</v>
      </c>
      <c r="B27" s="3">
        <v>40</v>
      </c>
      <c r="C27" s="8">
        <v>1.4625228519195612E-2</v>
      </c>
      <c r="D27" s="3">
        <v>8</v>
      </c>
      <c r="E27" s="3">
        <v>0</v>
      </c>
    </row>
    <row r="28" spans="1:5" x14ac:dyDescent="0.25">
      <c r="A28" s="7" t="s">
        <v>812</v>
      </c>
      <c r="B28" s="3">
        <v>10</v>
      </c>
      <c r="C28" s="8">
        <v>3.6563071297989031E-3</v>
      </c>
      <c r="D28" s="3">
        <v>2</v>
      </c>
      <c r="E28" s="3">
        <v>0</v>
      </c>
    </row>
    <row r="29" spans="1:5" x14ac:dyDescent="0.25">
      <c r="A29" s="7" t="s">
        <v>808</v>
      </c>
      <c r="B29" s="3">
        <v>15</v>
      </c>
      <c r="C29" s="8">
        <v>5.4844606946983544E-3</v>
      </c>
      <c r="D29" s="3">
        <v>3</v>
      </c>
      <c r="E29" s="3">
        <v>0</v>
      </c>
    </row>
    <row r="30" spans="1:5" x14ac:dyDescent="0.25">
      <c r="A30" s="7" t="s">
        <v>807</v>
      </c>
      <c r="B30" s="3">
        <v>15</v>
      </c>
      <c r="C30" s="8">
        <v>5.4844606946983544E-3</v>
      </c>
      <c r="D30" s="3">
        <v>3</v>
      </c>
      <c r="E30" s="3">
        <v>0</v>
      </c>
    </row>
    <row r="31" spans="1:5" x14ac:dyDescent="0.25">
      <c r="A31" s="6" t="s">
        <v>1480</v>
      </c>
      <c r="B31" s="3">
        <v>50</v>
      </c>
      <c r="C31" s="8">
        <v>1.8281535648994516E-2</v>
      </c>
      <c r="D31" s="3">
        <v>10</v>
      </c>
      <c r="E31" s="3">
        <v>0</v>
      </c>
    </row>
    <row r="32" spans="1:5" x14ac:dyDescent="0.25">
      <c r="A32" s="7" t="s">
        <v>812</v>
      </c>
      <c r="B32" s="3">
        <v>15</v>
      </c>
      <c r="C32" s="8">
        <v>5.4844606946983544E-3</v>
      </c>
      <c r="D32" s="3">
        <v>3</v>
      </c>
      <c r="E32" s="3">
        <v>0</v>
      </c>
    </row>
    <row r="33" spans="1:5" x14ac:dyDescent="0.25">
      <c r="A33" s="7" t="s">
        <v>808</v>
      </c>
      <c r="B33" s="3">
        <v>20</v>
      </c>
      <c r="C33" s="8">
        <v>7.3126142595978062E-3</v>
      </c>
      <c r="D33" s="3">
        <v>4</v>
      </c>
      <c r="E33" s="3">
        <v>0</v>
      </c>
    </row>
    <row r="34" spans="1:5" x14ac:dyDescent="0.25">
      <c r="A34" s="7" t="s">
        <v>807</v>
      </c>
      <c r="B34" s="3">
        <v>15</v>
      </c>
      <c r="C34" s="8">
        <v>5.4844606946983544E-3</v>
      </c>
      <c r="D34" s="3">
        <v>3</v>
      </c>
      <c r="E34" s="3">
        <v>0</v>
      </c>
    </row>
    <row r="35" spans="1:5" x14ac:dyDescent="0.25">
      <c r="A35" s="6" t="s">
        <v>1477</v>
      </c>
      <c r="B35" s="3">
        <v>45</v>
      </c>
      <c r="C35" s="8">
        <v>1.6453382084095063E-2</v>
      </c>
      <c r="D35" s="3">
        <v>9</v>
      </c>
      <c r="E35" s="3">
        <v>0</v>
      </c>
    </row>
    <row r="36" spans="1:5" x14ac:dyDescent="0.25">
      <c r="A36" s="7" t="s">
        <v>812</v>
      </c>
      <c r="B36" s="3">
        <v>10</v>
      </c>
      <c r="C36" s="8">
        <v>3.6563071297989031E-3</v>
      </c>
      <c r="D36" s="3">
        <v>2</v>
      </c>
      <c r="E36" s="3">
        <v>0</v>
      </c>
    </row>
    <row r="37" spans="1:5" x14ac:dyDescent="0.25">
      <c r="A37" s="7" t="s">
        <v>808</v>
      </c>
      <c r="B37" s="3">
        <v>25</v>
      </c>
      <c r="C37" s="8">
        <v>9.140767824497258E-3</v>
      </c>
      <c r="D37" s="3">
        <v>5</v>
      </c>
      <c r="E37" s="3">
        <v>0</v>
      </c>
    </row>
    <row r="38" spans="1:5" x14ac:dyDescent="0.25">
      <c r="A38" s="7" t="s">
        <v>807</v>
      </c>
      <c r="B38" s="3">
        <v>10</v>
      </c>
      <c r="C38" s="8">
        <v>3.6563071297989031E-3</v>
      </c>
      <c r="D38" s="3">
        <v>2</v>
      </c>
      <c r="E38" s="3">
        <v>0</v>
      </c>
    </row>
    <row r="39" spans="1:5" x14ac:dyDescent="0.25">
      <c r="A39" s="5" t="s">
        <v>18</v>
      </c>
      <c r="B39" s="3">
        <v>126</v>
      </c>
      <c r="C39" s="8">
        <v>3.8391224862888484E-2</v>
      </c>
      <c r="D39" s="3">
        <v>21</v>
      </c>
      <c r="E39" s="3">
        <v>0</v>
      </c>
    </row>
    <row r="40" spans="1:5" x14ac:dyDescent="0.25">
      <c r="A40" s="6" t="s">
        <v>1482</v>
      </c>
      <c r="B40" s="3">
        <v>24</v>
      </c>
      <c r="C40" s="8">
        <v>7.3126142595978062E-3</v>
      </c>
      <c r="D40" s="3">
        <v>4</v>
      </c>
      <c r="E40" s="3">
        <v>0</v>
      </c>
    </row>
    <row r="41" spans="1:5" x14ac:dyDescent="0.25">
      <c r="A41" s="7" t="s">
        <v>812</v>
      </c>
      <c r="B41" s="3">
        <v>12</v>
      </c>
      <c r="C41" s="8">
        <v>3.6563071297989031E-3</v>
      </c>
      <c r="D41" s="3">
        <v>2</v>
      </c>
      <c r="E41" s="3">
        <v>0</v>
      </c>
    </row>
    <row r="42" spans="1:5" x14ac:dyDescent="0.25">
      <c r="A42" s="7" t="s">
        <v>808</v>
      </c>
      <c r="B42" s="3">
        <v>6</v>
      </c>
      <c r="C42" s="8">
        <v>1.8281535648994515E-3</v>
      </c>
      <c r="D42" s="3">
        <v>1</v>
      </c>
      <c r="E42" s="3">
        <v>0</v>
      </c>
    </row>
    <row r="43" spans="1:5" x14ac:dyDescent="0.25">
      <c r="A43" s="7" t="s">
        <v>807</v>
      </c>
      <c r="B43" s="3">
        <v>6</v>
      </c>
      <c r="C43" s="8">
        <v>1.8281535648994515E-3</v>
      </c>
      <c r="D43" s="3">
        <v>1</v>
      </c>
      <c r="E43" s="3">
        <v>0</v>
      </c>
    </row>
    <row r="44" spans="1:5" x14ac:dyDescent="0.25">
      <c r="A44" s="6" t="s">
        <v>1480</v>
      </c>
      <c r="B44" s="3">
        <v>96</v>
      </c>
      <c r="C44" s="8">
        <v>2.9250457038391225E-2</v>
      </c>
      <c r="D44" s="3">
        <v>16</v>
      </c>
      <c r="E44" s="3">
        <v>0</v>
      </c>
    </row>
    <row r="45" spans="1:5" x14ac:dyDescent="0.25">
      <c r="A45" s="7" t="s">
        <v>812</v>
      </c>
      <c r="B45" s="3">
        <v>42</v>
      </c>
      <c r="C45" s="8">
        <v>1.2797074954296161E-2</v>
      </c>
      <c r="D45" s="3">
        <v>7</v>
      </c>
      <c r="E45" s="3">
        <v>0</v>
      </c>
    </row>
    <row r="46" spans="1:5" x14ac:dyDescent="0.25">
      <c r="A46" s="7" t="s">
        <v>808</v>
      </c>
      <c r="B46" s="3">
        <v>30</v>
      </c>
      <c r="C46" s="8">
        <v>9.140767824497258E-3</v>
      </c>
      <c r="D46" s="3">
        <v>5</v>
      </c>
      <c r="E46" s="3">
        <v>0</v>
      </c>
    </row>
    <row r="47" spans="1:5" x14ac:dyDescent="0.25">
      <c r="A47" s="7" t="s">
        <v>807</v>
      </c>
      <c r="B47" s="3">
        <v>24</v>
      </c>
      <c r="C47" s="8">
        <v>7.3126142595978062E-3</v>
      </c>
      <c r="D47" s="3">
        <v>4</v>
      </c>
      <c r="E47" s="3">
        <v>0</v>
      </c>
    </row>
    <row r="48" spans="1:5" x14ac:dyDescent="0.25">
      <c r="A48" s="6" t="s">
        <v>1477</v>
      </c>
      <c r="B48" s="3">
        <v>6</v>
      </c>
      <c r="C48" s="8">
        <v>1.8281535648994515E-3</v>
      </c>
      <c r="D48" s="3">
        <v>1</v>
      </c>
      <c r="E48" s="3">
        <v>0</v>
      </c>
    </row>
    <row r="49" spans="1:5" x14ac:dyDescent="0.25">
      <c r="A49" s="7" t="s">
        <v>812</v>
      </c>
      <c r="B49" s="3">
        <v>6</v>
      </c>
      <c r="C49" s="8">
        <v>1.8281535648994515E-3</v>
      </c>
      <c r="D49" s="3">
        <v>1</v>
      </c>
      <c r="E49" s="3">
        <v>0</v>
      </c>
    </row>
    <row r="50" spans="1:5" x14ac:dyDescent="0.25">
      <c r="A50" s="5" t="s">
        <v>127</v>
      </c>
      <c r="B50" s="3">
        <v>138</v>
      </c>
      <c r="C50" s="8">
        <v>4.2047531992687383E-2</v>
      </c>
      <c r="D50" s="3">
        <v>23</v>
      </c>
      <c r="E50" s="3">
        <v>0</v>
      </c>
    </row>
    <row r="51" spans="1:5" x14ac:dyDescent="0.25">
      <c r="A51" s="6" t="s">
        <v>1482</v>
      </c>
      <c r="B51" s="3">
        <v>36</v>
      </c>
      <c r="C51" s="8">
        <v>1.0968921389396709E-2</v>
      </c>
      <c r="D51" s="3">
        <v>6</v>
      </c>
      <c r="E51" s="3">
        <v>0</v>
      </c>
    </row>
    <row r="52" spans="1:5" x14ac:dyDescent="0.25">
      <c r="A52" s="7" t="s">
        <v>812</v>
      </c>
      <c r="B52" s="3">
        <v>6</v>
      </c>
      <c r="C52" s="8">
        <v>1.8281535648994515E-3</v>
      </c>
      <c r="D52" s="3">
        <v>1</v>
      </c>
      <c r="E52" s="3">
        <v>0</v>
      </c>
    </row>
    <row r="53" spans="1:5" x14ac:dyDescent="0.25">
      <c r="A53" s="7" t="s">
        <v>808</v>
      </c>
      <c r="B53" s="3">
        <v>12</v>
      </c>
      <c r="C53" s="8">
        <v>3.6563071297989031E-3</v>
      </c>
      <c r="D53" s="3">
        <v>2</v>
      </c>
      <c r="E53" s="3">
        <v>0</v>
      </c>
    </row>
    <row r="54" spans="1:5" x14ac:dyDescent="0.25">
      <c r="A54" s="7" t="s">
        <v>807</v>
      </c>
      <c r="B54" s="3">
        <v>18</v>
      </c>
      <c r="C54" s="8">
        <v>5.4844606946983544E-3</v>
      </c>
      <c r="D54" s="3">
        <v>3</v>
      </c>
      <c r="E54" s="3">
        <v>0</v>
      </c>
    </row>
    <row r="55" spans="1:5" x14ac:dyDescent="0.25">
      <c r="A55" s="6" t="s">
        <v>1480</v>
      </c>
      <c r="B55" s="3">
        <v>48</v>
      </c>
      <c r="C55" s="8">
        <v>1.4625228519195612E-2</v>
      </c>
      <c r="D55" s="3">
        <v>8</v>
      </c>
      <c r="E55" s="3">
        <v>0</v>
      </c>
    </row>
    <row r="56" spans="1:5" x14ac:dyDescent="0.25">
      <c r="A56" s="7" t="s">
        <v>812</v>
      </c>
      <c r="B56" s="3">
        <v>18</v>
      </c>
      <c r="C56" s="8">
        <v>5.4844606946983544E-3</v>
      </c>
      <c r="D56" s="3">
        <v>3</v>
      </c>
      <c r="E56" s="3">
        <v>0</v>
      </c>
    </row>
    <row r="57" spans="1:5" x14ac:dyDescent="0.25">
      <c r="A57" s="7" t="s">
        <v>808</v>
      </c>
      <c r="B57" s="3">
        <v>6</v>
      </c>
      <c r="C57" s="8">
        <v>1.8281535648994515E-3</v>
      </c>
      <c r="D57" s="3">
        <v>1</v>
      </c>
      <c r="E57" s="3">
        <v>0</v>
      </c>
    </row>
    <row r="58" spans="1:5" x14ac:dyDescent="0.25">
      <c r="A58" s="7" t="s">
        <v>807</v>
      </c>
      <c r="B58" s="3">
        <v>24</v>
      </c>
      <c r="C58" s="8">
        <v>7.3126142595978062E-3</v>
      </c>
      <c r="D58" s="3">
        <v>4</v>
      </c>
      <c r="E58" s="3">
        <v>0</v>
      </c>
    </row>
    <row r="59" spans="1:5" x14ac:dyDescent="0.25">
      <c r="A59" s="6" t="s">
        <v>1477</v>
      </c>
      <c r="B59" s="3">
        <v>54</v>
      </c>
      <c r="C59" s="8">
        <v>1.6453382084095063E-2</v>
      </c>
      <c r="D59" s="3">
        <v>9</v>
      </c>
      <c r="E59" s="3">
        <v>0</v>
      </c>
    </row>
    <row r="60" spans="1:5" x14ac:dyDescent="0.25">
      <c r="A60" s="7" t="s">
        <v>808</v>
      </c>
      <c r="B60" s="3">
        <v>30</v>
      </c>
      <c r="C60" s="8">
        <v>9.140767824497258E-3</v>
      </c>
      <c r="D60" s="3">
        <v>5</v>
      </c>
      <c r="E60" s="3">
        <v>0</v>
      </c>
    </row>
    <row r="61" spans="1:5" x14ac:dyDescent="0.25">
      <c r="A61" s="7" t="s">
        <v>807</v>
      </c>
      <c r="B61" s="3">
        <v>24</v>
      </c>
      <c r="C61" s="8">
        <v>7.3126142595978062E-3</v>
      </c>
      <c r="D61" s="3">
        <v>4</v>
      </c>
      <c r="E61" s="3">
        <v>0</v>
      </c>
    </row>
    <row r="62" spans="1:5" x14ac:dyDescent="0.25">
      <c r="A62" s="5" t="s">
        <v>10</v>
      </c>
      <c r="B62" s="3">
        <v>60</v>
      </c>
      <c r="C62" s="8">
        <v>2.7422303473491772E-2</v>
      </c>
      <c r="D62" s="3">
        <v>15</v>
      </c>
      <c r="E62" s="3">
        <v>0</v>
      </c>
    </row>
    <row r="63" spans="1:5" x14ac:dyDescent="0.25">
      <c r="A63" s="6" t="s">
        <v>1482</v>
      </c>
      <c r="B63" s="3">
        <v>20</v>
      </c>
      <c r="C63" s="8">
        <v>9.140767824497258E-3</v>
      </c>
      <c r="D63" s="3">
        <v>5</v>
      </c>
      <c r="E63" s="3">
        <v>0</v>
      </c>
    </row>
    <row r="64" spans="1:5" x14ac:dyDescent="0.25">
      <c r="A64" s="7" t="s">
        <v>812</v>
      </c>
      <c r="B64" s="3">
        <v>8</v>
      </c>
      <c r="C64" s="8">
        <v>3.6563071297989031E-3</v>
      </c>
      <c r="D64" s="3">
        <v>2</v>
      </c>
      <c r="E64" s="3">
        <v>0</v>
      </c>
    </row>
    <row r="65" spans="1:5" x14ac:dyDescent="0.25">
      <c r="A65" s="7" t="s">
        <v>808</v>
      </c>
      <c r="B65" s="3">
        <v>4</v>
      </c>
      <c r="C65" s="8">
        <v>1.8281535648994515E-3</v>
      </c>
      <c r="D65" s="3">
        <v>1</v>
      </c>
      <c r="E65" s="3">
        <v>0</v>
      </c>
    </row>
    <row r="66" spans="1:5" x14ac:dyDescent="0.25">
      <c r="A66" s="7" t="s">
        <v>807</v>
      </c>
      <c r="B66" s="3">
        <v>8</v>
      </c>
      <c r="C66" s="8">
        <v>3.6563071297989031E-3</v>
      </c>
      <c r="D66" s="3">
        <v>2</v>
      </c>
      <c r="E66" s="3">
        <v>0</v>
      </c>
    </row>
    <row r="67" spans="1:5" x14ac:dyDescent="0.25">
      <c r="A67" s="6" t="s">
        <v>1480</v>
      </c>
      <c r="B67" s="3">
        <v>12</v>
      </c>
      <c r="C67" s="8">
        <v>5.4844606946983544E-3</v>
      </c>
      <c r="D67" s="3">
        <v>3</v>
      </c>
      <c r="E67" s="3">
        <v>0</v>
      </c>
    </row>
    <row r="68" spans="1:5" x14ac:dyDescent="0.25">
      <c r="A68" s="7" t="s">
        <v>812</v>
      </c>
      <c r="B68" s="3">
        <v>4</v>
      </c>
      <c r="C68" s="8">
        <v>1.8281535648994515E-3</v>
      </c>
      <c r="D68" s="3">
        <v>1</v>
      </c>
      <c r="E68" s="3">
        <v>0</v>
      </c>
    </row>
    <row r="69" spans="1:5" x14ac:dyDescent="0.25">
      <c r="A69" s="7" t="s">
        <v>808</v>
      </c>
      <c r="B69" s="3">
        <v>8</v>
      </c>
      <c r="C69" s="8">
        <v>3.6563071297989031E-3</v>
      </c>
      <c r="D69" s="3">
        <v>2</v>
      </c>
      <c r="E69" s="3">
        <v>0</v>
      </c>
    </row>
    <row r="70" spans="1:5" x14ac:dyDescent="0.25">
      <c r="A70" s="6" t="s">
        <v>1477</v>
      </c>
      <c r="B70" s="3">
        <v>28</v>
      </c>
      <c r="C70" s="8">
        <v>1.2797074954296161E-2</v>
      </c>
      <c r="D70" s="3">
        <v>7</v>
      </c>
      <c r="E70" s="3">
        <v>0</v>
      </c>
    </row>
    <row r="71" spans="1:5" x14ac:dyDescent="0.25">
      <c r="A71" s="7" t="s">
        <v>812</v>
      </c>
      <c r="B71" s="3">
        <v>4</v>
      </c>
      <c r="C71" s="8">
        <v>1.8281535648994515E-3</v>
      </c>
      <c r="D71" s="3">
        <v>1</v>
      </c>
      <c r="E71" s="3">
        <v>0</v>
      </c>
    </row>
    <row r="72" spans="1:5" x14ac:dyDescent="0.25">
      <c r="A72" s="7" t="s">
        <v>808</v>
      </c>
      <c r="B72" s="3">
        <v>8</v>
      </c>
      <c r="C72" s="8">
        <v>3.6563071297989031E-3</v>
      </c>
      <c r="D72" s="3">
        <v>2</v>
      </c>
      <c r="E72" s="3">
        <v>0</v>
      </c>
    </row>
    <row r="73" spans="1:5" x14ac:dyDescent="0.25">
      <c r="A73" s="7" t="s">
        <v>807</v>
      </c>
      <c r="B73" s="3">
        <v>16</v>
      </c>
      <c r="C73" s="8">
        <v>7.3126142595978062E-3</v>
      </c>
      <c r="D73" s="3">
        <v>4</v>
      </c>
      <c r="E73" s="3">
        <v>0</v>
      </c>
    </row>
    <row r="74" spans="1:5" x14ac:dyDescent="0.25">
      <c r="A74" s="5" t="s">
        <v>29</v>
      </c>
      <c r="B74" s="3">
        <v>96</v>
      </c>
      <c r="C74" s="8">
        <v>2.9250457038391225E-2</v>
      </c>
      <c r="D74" s="3">
        <v>16</v>
      </c>
      <c r="E74" s="3">
        <v>0</v>
      </c>
    </row>
    <row r="75" spans="1:5" x14ac:dyDescent="0.25">
      <c r="A75" s="6" t="s">
        <v>1482</v>
      </c>
      <c r="B75" s="3">
        <v>18</v>
      </c>
      <c r="C75" s="8">
        <v>5.4844606946983544E-3</v>
      </c>
      <c r="D75" s="3">
        <v>3</v>
      </c>
      <c r="E75" s="3">
        <v>0</v>
      </c>
    </row>
    <row r="76" spans="1:5" x14ac:dyDescent="0.25">
      <c r="A76" s="7" t="s">
        <v>812</v>
      </c>
      <c r="B76" s="3">
        <v>12</v>
      </c>
      <c r="C76" s="8">
        <v>3.6563071297989031E-3</v>
      </c>
      <c r="D76" s="3">
        <v>2</v>
      </c>
      <c r="E76" s="3">
        <v>0</v>
      </c>
    </row>
    <row r="77" spans="1:5" x14ac:dyDescent="0.25">
      <c r="A77" s="7" t="s">
        <v>808</v>
      </c>
      <c r="B77" s="3">
        <v>6</v>
      </c>
      <c r="C77" s="8">
        <v>1.8281535648994515E-3</v>
      </c>
      <c r="D77" s="3">
        <v>1</v>
      </c>
      <c r="E77" s="3">
        <v>0</v>
      </c>
    </row>
    <row r="78" spans="1:5" x14ac:dyDescent="0.25">
      <c r="A78" s="6" t="s">
        <v>1480</v>
      </c>
      <c r="B78" s="3">
        <v>30</v>
      </c>
      <c r="C78" s="8">
        <v>9.140767824497258E-3</v>
      </c>
      <c r="D78" s="3">
        <v>5</v>
      </c>
      <c r="E78" s="3">
        <v>0</v>
      </c>
    </row>
    <row r="79" spans="1:5" x14ac:dyDescent="0.25">
      <c r="A79" s="7" t="s">
        <v>812</v>
      </c>
      <c r="B79" s="3">
        <v>12</v>
      </c>
      <c r="C79" s="8">
        <v>3.6563071297989031E-3</v>
      </c>
      <c r="D79" s="3">
        <v>2</v>
      </c>
      <c r="E79" s="3">
        <v>0</v>
      </c>
    </row>
    <row r="80" spans="1:5" x14ac:dyDescent="0.25">
      <c r="A80" s="7" t="s">
        <v>808</v>
      </c>
      <c r="B80" s="3">
        <v>18</v>
      </c>
      <c r="C80" s="8">
        <v>5.4844606946983544E-3</v>
      </c>
      <c r="D80" s="3">
        <v>3</v>
      </c>
      <c r="E80" s="3">
        <v>0</v>
      </c>
    </row>
    <row r="81" spans="1:5" x14ac:dyDescent="0.25">
      <c r="A81" s="6" t="s">
        <v>1477</v>
      </c>
      <c r="B81" s="3">
        <v>48</v>
      </c>
      <c r="C81" s="8">
        <v>1.4625228519195612E-2</v>
      </c>
      <c r="D81" s="3">
        <v>8</v>
      </c>
      <c r="E81" s="3">
        <v>0</v>
      </c>
    </row>
    <row r="82" spans="1:5" x14ac:dyDescent="0.25">
      <c r="A82" s="7" t="s">
        <v>812</v>
      </c>
      <c r="B82" s="3">
        <v>18</v>
      </c>
      <c r="C82" s="8">
        <v>5.4844606946983544E-3</v>
      </c>
      <c r="D82" s="3">
        <v>3</v>
      </c>
      <c r="E82" s="3">
        <v>0</v>
      </c>
    </row>
    <row r="83" spans="1:5" x14ac:dyDescent="0.25">
      <c r="A83" s="7" t="s">
        <v>808</v>
      </c>
      <c r="B83" s="3">
        <v>6</v>
      </c>
      <c r="C83" s="8">
        <v>1.8281535648994515E-3</v>
      </c>
      <c r="D83" s="3">
        <v>1</v>
      </c>
      <c r="E83" s="3">
        <v>0</v>
      </c>
    </row>
    <row r="84" spans="1:5" x14ac:dyDescent="0.25">
      <c r="A84" s="7" t="s">
        <v>807</v>
      </c>
      <c r="B84" s="3">
        <v>24</v>
      </c>
      <c r="C84" s="8">
        <v>7.3126142595978062E-3</v>
      </c>
      <c r="D84" s="3">
        <v>4</v>
      </c>
      <c r="E84" s="3">
        <v>0</v>
      </c>
    </row>
    <row r="85" spans="1:5" x14ac:dyDescent="0.25">
      <c r="A85" s="5" t="s">
        <v>33</v>
      </c>
      <c r="B85" s="3">
        <v>60</v>
      </c>
      <c r="C85" s="8">
        <v>3.6563071297989032E-2</v>
      </c>
      <c r="D85" s="3">
        <v>20</v>
      </c>
      <c r="E85" s="3">
        <v>16223.4</v>
      </c>
    </row>
    <row r="86" spans="1:5" x14ac:dyDescent="0.25">
      <c r="A86" s="6" t="s">
        <v>1482</v>
      </c>
      <c r="B86" s="3">
        <v>21</v>
      </c>
      <c r="C86" s="8">
        <v>1.2797074954296161E-2</v>
      </c>
      <c r="D86" s="3">
        <v>7</v>
      </c>
      <c r="E86" s="3">
        <v>5678.19</v>
      </c>
    </row>
    <row r="87" spans="1:5" x14ac:dyDescent="0.25">
      <c r="A87" s="7" t="s">
        <v>812</v>
      </c>
      <c r="B87" s="3">
        <v>6</v>
      </c>
      <c r="C87" s="8">
        <v>3.6563071297989031E-3</v>
      </c>
      <c r="D87" s="3">
        <v>2</v>
      </c>
      <c r="E87" s="3">
        <v>1622.34</v>
      </c>
    </row>
    <row r="88" spans="1:5" x14ac:dyDescent="0.25">
      <c r="A88" s="7" t="s">
        <v>808</v>
      </c>
      <c r="B88" s="3">
        <v>12</v>
      </c>
      <c r="C88" s="8">
        <v>7.3126142595978062E-3</v>
      </c>
      <c r="D88" s="3">
        <v>4</v>
      </c>
      <c r="E88" s="3">
        <v>3244.68</v>
      </c>
    </row>
    <row r="89" spans="1:5" x14ac:dyDescent="0.25">
      <c r="A89" s="7" t="s">
        <v>807</v>
      </c>
      <c r="B89" s="3">
        <v>3</v>
      </c>
      <c r="C89" s="8">
        <v>1.8281535648994515E-3</v>
      </c>
      <c r="D89" s="3">
        <v>1</v>
      </c>
      <c r="E89" s="3">
        <v>811.17</v>
      </c>
    </row>
    <row r="90" spans="1:5" x14ac:dyDescent="0.25">
      <c r="A90" s="6" t="s">
        <v>1480</v>
      </c>
      <c r="B90" s="3">
        <v>27</v>
      </c>
      <c r="C90" s="8">
        <v>1.6453382084095063E-2</v>
      </c>
      <c r="D90" s="3">
        <v>9</v>
      </c>
      <c r="E90" s="3">
        <v>7300.53</v>
      </c>
    </row>
    <row r="91" spans="1:5" x14ac:dyDescent="0.25">
      <c r="A91" s="7" t="s">
        <v>812</v>
      </c>
      <c r="B91" s="3">
        <v>9</v>
      </c>
      <c r="C91" s="8">
        <v>5.4844606946983544E-3</v>
      </c>
      <c r="D91" s="3">
        <v>3</v>
      </c>
      <c r="E91" s="3">
        <v>2433.5099999999998</v>
      </c>
    </row>
    <row r="92" spans="1:5" x14ac:dyDescent="0.25">
      <c r="A92" s="7" t="s">
        <v>808</v>
      </c>
      <c r="B92" s="3">
        <v>3</v>
      </c>
      <c r="C92" s="8">
        <v>1.8281535648994515E-3</v>
      </c>
      <c r="D92" s="3">
        <v>1</v>
      </c>
      <c r="E92" s="3">
        <v>811.17</v>
      </c>
    </row>
    <row r="93" spans="1:5" x14ac:dyDescent="0.25">
      <c r="A93" s="7" t="s">
        <v>807</v>
      </c>
      <c r="B93" s="3">
        <v>15</v>
      </c>
      <c r="C93" s="8">
        <v>9.140767824497258E-3</v>
      </c>
      <c r="D93" s="3">
        <v>5</v>
      </c>
      <c r="E93" s="3">
        <v>4055.85</v>
      </c>
    </row>
    <row r="94" spans="1:5" x14ac:dyDescent="0.25">
      <c r="A94" s="6" t="s">
        <v>1477</v>
      </c>
      <c r="B94" s="3">
        <v>12</v>
      </c>
      <c r="C94" s="8">
        <v>7.3126142595978062E-3</v>
      </c>
      <c r="D94" s="3">
        <v>4</v>
      </c>
      <c r="E94" s="3">
        <v>3244.68</v>
      </c>
    </row>
    <row r="95" spans="1:5" x14ac:dyDescent="0.25">
      <c r="A95" s="7" t="s">
        <v>812</v>
      </c>
      <c r="B95" s="3">
        <v>3</v>
      </c>
      <c r="C95" s="8">
        <v>1.8281535648994515E-3</v>
      </c>
      <c r="D95" s="3">
        <v>1</v>
      </c>
      <c r="E95" s="3">
        <v>811.17</v>
      </c>
    </row>
    <row r="96" spans="1:5" x14ac:dyDescent="0.25">
      <c r="A96" s="7" t="s">
        <v>808</v>
      </c>
      <c r="B96" s="3">
        <v>3</v>
      </c>
      <c r="C96" s="8">
        <v>1.8281535648994515E-3</v>
      </c>
      <c r="D96" s="3">
        <v>1</v>
      </c>
      <c r="E96" s="3">
        <v>811.17</v>
      </c>
    </row>
    <row r="97" spans="1:5" x14ac:dyDescent="0.25">
      <c r="A97" s="7" t="s">
        <v>807</v>
      </c>
      <c r="B97" s="3">
        <v>6</v>
      </c>
      <c r="C97" s="8">
        <v>3.6563071297989031E-3</v>
      </c>
      <c r="D97" s="3">
        <v>2</v>
      </c>
      <c r="E97" s="3">
        <v>1622.34</v>
      </c>
    </row>
    <row r="98" spans="1:5" x14ac:dyDescent="0.25">
      <c r="A98" s="5" t="s">
        <v>57</v>
      </c>
      <c r="B98" s="3">
        <v>55</v>
      </c>
      <c r="C98" s="8">
        <v>2.0109689213893969E-2</v>
      </c>
      <c r="D98" s="3">
        <v>11</v>
      </c>
      <c r="E98" s="3">
        <v>1031.25</v>
      </c>
    </row>
    <row r="99" spans="1:5" x14ac:dyDescent="0.25">
      <c r="A99" s="6" t="s">
        <v>1482</v>
      </c>
      <c r="B99" s="3">
        <v>15</v>
      </c>
      <c r="C99" s="8">
        <v>5.4844606946983544E-3</v>
      </c>
      <c r="D99" s="3">
        <v>3</v>
      </c>
      <c r="E99" s="3">
        <v>281.25</v>
      </c>
    </row>
    <row r="100" spans="1:5" x14ac:dyDescent="0.25">
      <c r="A100" s="7" t="s">
        <v>812</v>
      </c>
      <c r="B100" s="3">
        <v>5</v>
      </c>
      <c r="C100" s="8">
        <v>1.8281535648994515E-3</v>
      </c>
      <c r="D100" s="3">
        <v>1</v>
      </c>
      <c r="E100" s="3">
        <v>93.75</v>
      </c>
    </row>
    <row r="101" spans="1:5" x14ac:dyDescent="0.25">
      <c r="A101" s="7" t="s">
        <v>808</v>
      </c>
      <c r="B101" s="3">
        <v>10</v>
      </c>
      <c r="C101" s="8">
        <v>3.6563071297989031E-3</v>
      </c>
      <c r="D101" s="3">
        <v>2</v>
      </c>
      <c r="E101" s="3">
        <v>187.5</v>
      </c>
    </row>
    <row r="102" spans="1:5" x14ac:dyDescent="0.25">
      <c r="A102" s="6" t="s">
        <v>1480</v>
      </c>
      <c r="B102" s="3">
        <v>10</v>
      </c>
      <c r="C102" s="8">
        <v>3.6563071297989031E-3</v>
      </c>
      <c r="D102" s="3">
        <v>2</v>
      </c>
      <c r="E102" s="3">
        <v>187.5</v>
      </c>
    </row>
    <row r="103" spans="1:5" x14ac:dyDescent="0.25">
      <c r="A103" s="7" t="s">
        <v>812</v>
      </c>
      <c r="B103" s="3">
        <v>5</v>
      </c>
      <c r="C103" s="8">
        <v>1.8281535648994515E-3</v>
      </c>
      <c r="D103" s="3">
        <v>1</v>
      </c>
      <c r="E103" s="3">
        <v>93.75</v>
      </c>
    </row>
    <row r="104" spans="1:5" x14ac:dyDescent="0.25">
      <c r="A104" s="7" t="s">
        <v>808</v>
      </c>
      <c r="B104" s="3">
        <v>5</v>
      </c>
      <c r="C104" s="8">
        <v>1.8281535648994515E-3</v>
      </c>
      <c r="D104" s="3">
        <v>1</v>
      </c>
      <c r="E104" s="3">
        <v>93.75</v>
      </c>
    </row>
    <row r="105" spans="1:5" x14ac:dyDescent="0.25">
      <c r="A105" s="6" t="s">
        <v>1477</v>
      </c>
      <c r="B105" s="3">
        <v>30</v>
      </c>
      <c r="C105" s="8">
        <v>1.0968921389396709E-2</v>
      </c>
      <c r="D105" s="3">
        <v>6</v>
      </c>
      <c r="E105" s="3">
        <v>562.5</v>
      </c>
    </row>
    <row r="106" spans="1:5" x14ac:dyDescent="0.25">
      <c r="A106" s="7" t="s">
        <v>812</v>
      </c>
      <c r="B106" s="3">
        <v>15</v>
      </c>
      <c r="C106" s="8">
        <v>5.4844606946983544E-3</v>
      </c>
      <c r="D106" s="3">
        <v>3</v>
      </c>
      <c r="E106" s="3">
        <v>281.25</v>
      </c>
    </row>
    <row r="107" spans="1:5" x14ac:dyDescent="0.25">
      <c r="A107" s="7" t="s">
        <v>808</v>
      </c>
      <c r="B107" s="3">
        <v>10</v>
      </c>
      <c r="C107" s="8">
        <v>3.6563071297989031E-3</v>
      </c>
      <c r="D107" s="3">
        <v>2</v>
      </c>
      <c r="E107" s="3">
        <v>187.5</v>
      </c>
    </row>
    <row r="108" spans="1:5" x14ac:dyDescent="0.25">
      <c r="A108" s="7" t="s">
        <v>807</v>
      </c>
      <c r="B108" s="3">
        <v>5</v>
      </c>
      <c r="C108" s="8">
        <v>1.8281535648994515E-3</v>
      </c>
      <c r="D108" s="3">
        <v>1</v>
      </c>
      <c r="E108" s="3">
        <v>93.75</v>
      </c>
    </row>
    <row r="109" spans="1:5" x14ac:dyDescent="0.25">
      <c r="A109" s="5" t="s">
        <v>64</v>
      </c>
      <c r="B109" s="3">
        <v>84</v>
      </c>
      <c r="C109" s="8">
        <v>3.8391224862888484E-2</v>
      </c>
      <c r="D109" s="3">
        <v>21</v>
      </c>
      <c r="E109" s="3">
        <v>0</v>
      </c>
    </row>
    <row r="110" spans="1:5" x14ac:dyDescent="0.25">
      <c r="A110" s="6" t="s">
        <v>1482</v>
      </c>
      <c r="B110" s="3">
        <v>36</v>
      </c>
      <c r="C110" s="8">
        <v>1.6453382084095063E-2</v>
      </c>
      <c r="D110" s="3">
        <v>9</v>
      </c>
      <c r="E110" s="3">
        <v>0</v>
      </c>
    </row>
    <row r="111" spans="1:5" x14ac:dyDescent="0.25">
      <c r="A111" s="7" t="s">
        <v>812</v>
      </c>
      <c r="B111" s="3">
        <v>4</v>
      </c>
      <c r="C111" s="8">
        <v>1.8281535648994515E-3</v>
      </c>
      <c r="D111" s="3">
        <v>1</v>
      </c>
      <c r="E111" s="3">
        <v>0</v>
      </c>
    </row>
    <row r="112" spans="1:5" x14ac:dyDescent="0.25">
      <c r="A112" s="7" t="s">
        <v>808</v>
      </c>
      <c r="B112" s="3">
        <v>20</v>
      </c>
      <c r="C112" s="8">
        <v>9.140767824497258E-3</v>
      </c>
      <c r="D112" s="3">
        <v>5</v>
      </c>
      <c r="E112" s="3">
        <v>0</v>
      </c>
    </row>
    <row r="113" spans="1:5" x14ac:dyDescent="0.25">
      <c r="A113" s="7" t="s">
        <v>807</v>
      </c>
      <c r="B113" s="3">
        <v>12</v>
      </c>
      <c r="C113" s="8">
        <v>5.4844606946983544E-3</v>
      </c>
      <c r="D113" s="3">
        <v>3</v>
      </c>
      <c r="E113" s="3">
        <v>0</v>
      </c>
    </row>
    <row r="114" spans="1:5" x14ac:dyDescent="0.25">
      <c r="A114" s="6" t="s">
        <v>1480</v>
      </c>
      <c r="B114" s="3">
        <v>12</v>
      </c>
      <c r="C114" s="8">
        <v>5.4844606946983544E-3</v>
      </c>
      <c r="D114" s="3">
        <v>3</v>
      </c>
      <c r="E114" s="3">
        <v>0</v>
      </c>
    </row>
    <row r="115" spans="1:5" x14ac:dyDescent="0.25">
      <c r="A115" s="7" t="s">
        <v>812</v>
      </c>
      <c r="B115" s="3">
        <v>4</v>
      </c>
      <c r="C115" s="8">
        <v>1.8281535648994515E-3</v>
      </c>
      <c r="D115" s="3">
        <v>1</v>
      </c>
      <c r="E115" s="3">
        <v>0</v>
      </c>
    </row>
    <row r="116" spans="1:5" x14ac:dyDescent="0.25">
      <c r="A116" s="7" t="s">
        <v>808</v>
      </c>
      <c r="B116" s="3">
        <v>8</v>
      </c>
      <c r="C116" s="8">
        <v>3.6563071297989031E-3</v>
      </c>
      <c r="D116" s="3">
        <v>2</v>
      </c>
      <c r="E116" s="3">
        <v>0</v>
      </c>
    </row>
    <row r="117" spans="1:5" x14ac:dyDescent="0.25">
      <c r="A117" s="6" t="s">
        <v>1477</v>
      </c>
      <c r="B117" s="3">
        <v>36</v>
      </c>
      <c r="C117" s="8">
        <v>1.6453382084095063E-2</v>
      </c>
      <c r="D117" s="3">
        <v>9</v>
      </c>
      <c r="E117" s="3">
        <v>0</v>
      </c>
    </row>
    <row r="118" spans="1:5" x14ac:dyDescent="0.25">
      <c r="A118" s="7" t="s">
        <v>812</v>
      </c>
      <c r="B118" s="3">
        <v>8</v>
      </c>
      <c r="C118" s="8">
        <v>3.6563071297989031E-3</v>
      </c>
      <c r="D118" s="3">
        <v>2</v>
      </c>
      <c r="E118" s="3">
        <v>0</v>
      </c>
    </row>
    <row r="119" spans="1:5" x14ac:dyDescent="0.25">
      <c r="A119" s="7" t="s">
        <v>808</v>
      </c>
      <c r="B119" s="3">
        <v>12</v>
      </c>
      <c r="C119" s="8">
        <v>5.4844606946983544E-3</v>
      </c>
      <c r="D119" s="3">
        <v>3</v>
      </c>
      <c r="E119" s="3">
        <v>0</v>
      </c>
    </row>
    <row r="120" spans="1:5" x14ac:dyDescent="0.25">
      <c r="A120" s="7" t="s">
        <v>807</v>
      </c>
      <c r="B120" s="3">
        <v>16</v>
      </c>
      <c r="C120" s="8">
        <v>7.3126142595978062E-3</v>
      </c>
      <c r="D120" s="3">
        <v>4</v>
      </c>
      <c r="E120" s="3">
        <v>0</v>
      </c>
    </row>
    <row r="121" spans="1:5" x14ac:dyDescent="0.25">
      <c r="A121" s="5" t="s">
        <v>62</v>
      </c>
      <c r="B121" s="3">
        <v>174</v>
      </c>
      <c r="C121" s="8">
        <v>5.3016453382084092E-2</v>
      </c>
      <c r="D121" s="3">
        <v>29</v>
      </c>
      <c r="E121" s="3">
        <v>15086.959999999995</v>
      </c>
    </row>
    <row r="122" spans="1:5" x14ac:dyDescent="0.25">
      <c r="A122" s="6" t="s">
        <v>1482</v>
      </c>
      <c r="B122" s="3">
        <v>24</v>
      </c>
      <c r="C122" s="8">
        <v>7.3126142595978062E-3</v>
      </c>
      <c r="D122" s="3">
        <v>4</v>
      </c>
      <c r="E122" s="3">
        <v>2080.96</v>
      </c>
    </row>
    <row r="123" spans="1:5" x14ac:dyDescent="0.25">
      <c r="A123" s="7" t="s">
        <v>812</v>
      </c>
      <c r="B123" s="3">
        <v>6</v>
      </c>
      <c r="C123" s="8">
        <v>1.8281535648994515E-3</v>
      </c>
      <c r="D123" s="3">
        <v>1</v>
      </c>
      <c r="E123" s="3">
        <v>520.24</v>
      </c>
    </row>
    <row r="124" spans="1:5" x14ac:dyDescent="0.25">
      <c r="A124" s="7" t="s">
        <v>808</v>
      </c>
      <c r="B124" s="3">
        <v>6</v>
      </c>
      <c r="C124" s="8">
        <v>1.8281535648994515E-3</v>
      </c>
      <c r="D124" s="3">
        <v>1</v>
      </c>
      <c r="E124" s="3">
        <v>520.24</v>
      </c>
    </row>
    <row r="125" spans="1:5" x14ac:dyDescent="0.25">
      <c r="A125" s="7" t="s">
        <v>807</v>
      </c>
      <c r="B125" s="3">
        <v>12</v>
      </c>
      <c r="C125" s="8">
        <v>3.6563071297989031E-3</v>
      </c>
      <c r="D125" s="3">
        <v>2</v>
      </c>
      <c r="E125" s="3">
        <v>1040.48</v>
      </c>
    </row>
    <row r="126" spans="1:5" x14ac:dyDescent="0.25">
      <c r="A126" s="6" t="s">
        <v>1480</v>
      </c>
      <c r="B126" s="3">
        <v>54</v>
      </c>
      <c r="C126" s="8">
        <v>1.6453382084095063E-2</v>
      </c>
      <c r="D126" s="3">
        <v>9</v>
      </c>
      <c r="E126" s="3">
        <v>4682.1599999999989</v>
      </c>
    </row>
    <row r="127" spans="1:5" x14ac:dyDescent="0.25">
      <c r="A127" s="7" t="s">
        <v>812</v>
      </c>
      <c r="B127" s="3">
        <v>18</v>
      </c>
      <c r="C127" s="8">
        <v>5.4844606946983544E-3</v>
      </c>
      <c r="D127" s="3">
        <v>3</v>
      </c>
      <c r="E127" s="3">
        <v>1560.72</v>
      </c>
    </row>
    <row r="128" spans="1:5" x14ac:dyDescent="0.25">
      <c r="A128" s="7" t="s">
        <v>808</v>
      </c>
      <c r="B128" s="3">
        <v>24</v>
      </c>
      <c r="C128" s="8">
        <v>7.3126142595978062E-3</v>
      </c>
      <c r="D128" s="3">
        <v>4</v>
      </c>
      <c r="E128" s="3">
        <v>2080.96</v>
      </c>
    </row>
    <row r="129" spans="1:5" x14ac:dyDescent="0.25">
      <c r="A129" s="7" t="s">
        <v>807</v>
      </c>
      <c r="B129" s="3">
        <v>12</v>
      </c>
      <c r="C129" s="8">
        <v>3.6563071297989031E-3</v>
      </c>
      <c r="D129" s="3">
        <v>2</v>
      </c>
      <c r="E129" s="3">
        <v>1040.48</v>
      </c>
    </row>
    <row r="130" spans="1:5" x14ac:dyDescent="0.25">
      <c r="A130" s="6" t="s">
        <v>1477</v>
      </c>
      <c r="B130" s="3">
        <v>96</v>
      </c>
      <c r="C130" s="8">
        <v>2.9250457038391225E-2</v>
      </c>
      <c r="D130" s="3">
        <v>16</v>
      </c>
      <c r="E130" s="3">
        <v>8323.8399999999983</v>
      </c>
    </row>
    <row r="131" spans="1:5" x14ac:dyDescent="0.25">
      <c r="A131" s="7" t="s">
        <v>812</v>
      </c>
      <c r="B131" s="3">
        <v>18</v>
      </c>
      <c r="C131" s="8">
        <v>5.4844606946983544E-3</v>
      </c>
      <c r="D131" s="3">
        <v>3</v>
      </c>
      <c r="E131" s="3">
        <v>1560.72</v>
      </c>
    </row>
    <row r="132" spans="1:5" x14ac:dyDescent="0.25">
      <c r="A132" s="7" t="s">
        <v>808</v>
      </c>
      <c r="B132" s="3">
        <v>30</v>
      </c>
      <c r="C132" s="8">
        <v>9.140767824497258E-3</v>
      </c>
      <c r="D132" s="3">
        <v>5</v>
      </c>
      <c r="E132" s="3">
        <v>2601.1999999999998</v>
      </c>
    </row>
    <row r="133" spans="1:5" x14ac:dyDescent="0.25">
      <c r="A133" s="7" t="s">
        <v>807</v>
      </c>
      <c r="B133" s="3">
        <v>48</v>
      </c>
      <c r="C133" s="8">
        <v>1.4625228519195612E-2</v>
      </c>
      <c r="D133" s="3">
        <v>8</v>
      </c>
      <c r="E133" s="3">
        <v>4161.9199999999992</v>
      </c>
    </row>
    <row r="134" spans="1:5" x14ac:dyDescent="0.25">
      <c r="A134" s="5" t="s">
        <v>40</v>
      </c>
      <c r="B134" s="3">
        <v>119</v>
      </c>
      <c r="C134" s="8">
        <v>3.1078610603290677E-2</v>
      </c>
      <c r="D134" s="3">
        <v>17</v>
      </c>
      <c r="E134" s="3">
        <v>2539.8000000000006</v>
      </c>
    </row>
    <row r="135" spans="1:5" x14ac:dyDescent="0.25">
      <c r="A135" s="6" t="s">
        <v>1482</v>
      </c>
      <c r="B135" s="3">
        <v>21</v>
      </c>
      <c r="C135" s="8">
        <v>5.4844606946983544E-3</v>
      </c>
      <c r="D135" s="3">
        <v>3</v>
      </c>
      <c r="E135" s="3">
        <v>448.20000000000005</v>
      </c>
    </row>
    <row r="136" spans="1:5" x14ac:dyDescent="0.25">
      <c r="A136" s="7" t="s">
        <v>812</v>
      </c>
      <c r="B136" s="3">
        <v>7</v>
      </c>
      <c r="C136" s="8">
        <v>1.8281535648994515E-3</v>
      </c>
      <c r="D136" s="3">
        <v>1</v>
      </c>
      <c r="E136" s="3">
        <v>149.4</v>
      </c>
    </row>
    <row r="137" spans="1:5" x14ac:dyDescent="0.25">
      <c r="A137" s="7" t="s">
        <v>807</v>
      </c>
      <c r="B137" s="3">
        <v>14</v>
      </c>
      <c r="C137" s="8">
        <v>3.6563071297989031E-3</v>
      </c>
      <c r="D137" s="3">
        <v>2</v>
      </c>
      <c r="E137" s="3">
        <v>298.8</v>
      </c>
    </row>
    <row r="138" spans="1:5" x14ac:dyDescent="0.25">
      <c r="A138" s="6" t="s">
        <v>1480</v>
      </c>
      <c r="B138" s="3">
        <v>49</v>
      </c>
      <c r="C138" s="8">
        <v>1.2797074954296161E-2</v>
      </c>
      <c r="D138" s="3">
        <v>7</v>
      </c>
      <c r="E138" s="3">
        <v>1045.8</v>
      </c>
    </row>
    <row r="139" spans="1:5" x14ac:dyDescent="0.25">
      <c r="A139" s="7" t="s">
        <v>812</v>
      </c>
      <c r="B139" s="3">
        <v>14</v>
      </c>
      <c r="C139" s="8">
        <v>3.6563071297989031E-3</v>
      </c>
      <c r="D139" s="3">
        <v>2</v>
      </c>
      <c r="E139" s="3">
        <v>298.8</v>
      </c>
    </row>
    <row r="140" spans="1:5" x14ac:dyDescent="0.25">
      <c r="A140" s="7" t="s">
        <v>807</v>
      </c>
      <c r="B140" s="3">
        <v>35</v>
      </c>
      <c r="C140" s="8">
        <v>9.140767824497258E-3</v>
      </c>
      <c r="D140" s="3">
        <v>5</v>
      </c>
      <c r="E140" s="3">
        <v>747</v>
      </c>
    </row>
    <row r="141" spans="1:5" x14ac:dyDescent="0.25">
      <c r="A141" s="6" t="s">
        <v>1477</v>
      </c>
      <c r="B141" s="3">
        <v>49</v>
      </c>
      <c r="C141" s="8">
        <v>1.2797074954296161E-2</v>
      </c>
      <c r="D141" s="3">
        <v>7</v>
      </c>
      <c r="E141" s="3">
        <v>1045.8</v>
      </c>
    </row>
    <row r="142" spans="1:5" x14ac:dyDescent="0.25">
      <c r="A142" s="7" t="s">
        <v>812</v>
      </c>
      <c r="B142" s="3">
        <v>21</v>
      </c>
      <c r="C142" s="8">
        <v>5.4844606946983544E-3</v>
      </c>
      <c r="D142" s="3">
        <v>3</v>
      </c>
      <c r="E142" s="3">
        <v>448.20000000000005</v>
      </c>
    </row>
    <row r="143" spans="1:5" x14ac:dyDescent="0.25">
      <c r="A143" s="7" t="s">
        <v>808</v>
      </c>
      <c r="B143" s="3">
        <v>14</v>
      </c>
      <c r="C143" s="8">
        <v>3.6563071297989031E-3</v>
      </c>
      <c r="D143" s="3">
        <v>2</v>
      </c>
      <c r="E143" s="3">
        <v>298.8</v>
      </c>
    </row>
    <row r="144" spans="1:5" x14ac:dyDescent="0.25">
      <c r="A144" s="7" t="s">
        <v>807</v>
      </c>
      <c r="B144" s="3">
        <v>14</v>
      </c>
      <c r="C144" s="8">
        <v>3.6563071297989031E-3</v>
      </c>
      <c r="D144" s="3">
        <v>2</v>
      </c>
      <c r="E144" s="3">
        <v>298.8</v>
      </c>
    </row>
    <row r="145" spans="1:5" x14ac:dyDescent="0.25">
      <c r="A145" s="5" t="s">
        <v>51</v>
      </c>
      <c r="B145" s="3">
        <v>88</v>
      </c>
      <c r="C145" s="8">
        <v>4.0219378427787937E-2</v>
      </c>
      <c r="D145" s="3">
        <v>22</v>
      </c>
      <c r="E145" s="3">
        <v>0</v>
      </c>
    </row>
    <row r="146" spans="1:5" x14ac:dyDescent="0.25">
      <c r="A146" s="6" t="s">
        <v>1482</v>
      </c>
      <c r="B146" s="3">
        <v>36</v>
      </c>
      <c r="C146" s="8">
        <v>1.6453382084095063E-2</v>
      </c>
      <c r="D146" s="3">
        <v>9</v>
      </c>
      <c r="E146" s="3">
        <v>0</v>
      </c>
    </row>
    <row r="147" spans="1:5" x14ac:dyDescent="0.25">
      <c r="A147" s="7" t="s">
        <v>812</v>
      </c>
      <c r="B147" s="3">
        <v>16</v>
      </c>
      <c r="C147" s="8">
        <v>7.3126142595978062E-3</v>
      </c>
      <c r="D147" s="3">
        <v>4</v>
      </c>
      <c r="E147" s="3">
        <v>0</v>
      </c>
    </row>
    <row r="148" spans="1:5" x14ac:dyDescent="0.25">
      <c r="A148" s="7" t="s">
        <v>808</v>
      </c>
      <c r="B148" s="3">
        <v>4</v>
      </c>
      <c r="C148" s="8">
        <v>1.8281535648994515E-3</v>
      </c>
      <c r="D148" s="3">
        <v>1</v>
      </c>
      <c r="E148" s="3">
        <v>0</v>
      </c>
    </row>
    <row r="149" spans="1:5" x14ac:dyDescent="0.25">
      <c r="A149" s="7" t="s">
        <v>807</v>
      </c>
      <c r="B149" s="3">
        <v>16</v>
      </c>
      <c r="C149" s="8">
        <v>7.3126142595978062E-3</v>
      </c>
      <c r="D149" s="3">
        <v>4</v>
      </c>
      <c r="E149" s="3">
        <v>0</v>
      </c>
    </row>
    <row r="150" spans="1:5" x14ac:dyDescent="0.25">
      <c r="A150" s="6" t="s">
        <v>1480</v>
      </c>
      <c r="B150" s="3">
        <v>44</v>
      </c>
      <c r="C150" s="8">
        <v>2.0109689213893969E-2</v>
      </c>
      <c r="D150" s="3">
        <v>11</v>
      </c>
      <c r="E150" s="3">
        <v>0</v>
      </c>
    </row>
    <row r="151" spans="1:5" x14ac:dyDescent="0.25">
      <c r="A151" s="7" t="s">
        <v>812</v>
      </c>
      <c r="B151" s="3">
        <v>16</v>
      </c>
      <c r="C151" s="8">
        <v>7.3126142595978062E-3</v>
      </c>
      <c r="D151" s="3">
        <v>4</v>
      </c>
      <c r="E151" s="3">
        <v>0</v>
      </c>
    </row>
    <row r="152" spans="1:5" x14ac:dyDescent="0.25">
      <c r="A152" s="7" t="s">
        <v>808</v>
      </c>
      <c r="B152" s="3">
        <v>20</v>
      </c>
      <c r="C152" s="8">
        <v>9.140767824497258E-3</v>
      </c>
      <c r="D152" s="3">
        <v>5</v>
      </c>
      <c r="E152" s="3">
        <v>0</v>
      </c>
    </row>
    <row r="153" spans="1:5" x14ac:dyDescent="0.25">
      <c r="A153" s="7" t="s">
        <v>807</v>
      </c>
      <c r="B153" s="3">
        <v>8</v>
      </c>
      <c r="C153" s="8">
        <v>3.6563071297989031E-3</v>
      </c>
      <c r="D153" s="3">
        <v>2</v>
      </c>
      <c r="E153" s="3">
        <v>0</v>
      </c>
    </row>
    <row r="154" spans="1:5" x14ac:dyDescent="0.25">
      <c r="A154" s="6" t="s">
        <v>1477</v>
      </c>
      <c r="B154" s="3">
        <v>8</v>
      </c>
      <c r="C154" s="8">
        <v>3.6563071297989031E-3</v>
      </c>
      <c r="D154" s="3">
        <v>2</v>
      </c>
      <c r="E154" s="3">
        <v>0</v>
      </c>
    </row>
    <row r="155" spans="1:5" x14ac:dyDescent="0.25">
      <c r="A155" s="7" t="s">
        <v>808</v>
      </c>
      <c r="B155" s="3">
        <v>4</v>
      </c>
      <c r="C155" s="8">
        <v>1.8281535648994515E-3</v>
      </c>
      <c r="D155" s="3">
        <v>1</v>
      </c>
      <c r="E155" s="3">
        <v>0</v>
      </c>
    </row>
    <row r="156" spans="1:5" x14ac:dyDescent="0.25">
      <c r="A156" s="7" t="s">
        <v>807</v>
      </c>
      <c r="B156" s="3">
        <v>4</v>
      </c>
      <c r="C156" s="8">
        <v>1.8281535648994515E-3</v>
      </c>
      <c r="D156" s="3">
        <v>1</v>
      </c>
      <c r="E156" s="3">
        <v>0</v>
      </c>
    </row>
    <row r="157" spans="1:5" x14ac:dyDescent="0.25">
      <c r="A157" s="5" t="s">
        <v>67</v>
      </c>
      <c r="B157" s="3">
        <v>54</v>
      </c>
      <c r="C157" s="8">
        <v>3.2906764168190127E-2</v>
      </c>
      <c r="D157" s="3">
        <v>18</v>
      </c>
      <c r="E157" s="3">
        <v>13932</v>
      </c>
    </row>
    <row r="158" spans="1:5" x14ac:dyDescent="0.25">
      <c r="A158" s="6" t="s">
        <v>1482</v>
      </c>
      <c r="B158" s="3">
        <v>27</v>
      </c>
      <c r="C158" s="8">
        <v>1.6453382084095063E-2</v>
      </c>
      <c r="D158" s="3">
        <v>9</v>
      </c>
      <c r="E158" s="3">
        <v>6966</v>
      </c>
    </row>
    <row r="159" spans="1:5" x14ac:dyDescent="0.25">
      <c r="A159" s="7" t="s">
        <v>812</v>
      </c>
      <c r="B159" s="3">
        <v>12</v>
      </c>
      <c r="C159" s="8">
        <v>7.3126142595978062E-3</v>
      </c>
      <c r="D159" s="3">
        <v>4</v>
      </c>
      <c r="E159" s="3">
        <v>3096</v>
      </c>
    </row>
    <row r="160" spans="1:5" x14ac:dyDescent="0.25">
      <c r="A160" s="7" t="s">
        <v>808</v>
      </c>
      <c r="B160" s="3">
        <v>12</v>
      </c>
      <c r="C160" s="8">
        <v>7.3126142595978062E-3</v>
      </c>
      <c r="D160" s="3">
        <v>4</v>
      </c>
      <c r="E160" s="3">
        <v>3096</v>
      </c>
    </row>
    <row r="161" spans="1:5" x14ac:dyDescent="0.25">
      <c r="A161" s="7" t="s">
        <v>807</v>
      </c>
      <c r="B161" s="3">
        <v>3</v>
      </c>
      <c r="C161" s="8">
        <v>1.8281535648994515E-3</v>
      </c>
      <c r="D161" s="3">
        <v>1</v>
      </c>
      <c r="E161" s="3">
        <v>774</v>
      </c>
    </row>
    <row r="162" spans="1:5" x14ac:dyDescent="0.25">
      <c r="A162" s="6" t="s">
        <v>1480</v>
      </c>
      <c r="B162" s="3">
        <v>15</v>
      </c>
      <c r="C162" s="8">
        <v>9.140767824497258E-3</v>
      </c>
      <c r="D162" s="3">
        <v>5</v>
      </c>
      <c r="E162" s="3">
        <v>3870</v>
      </c>
    </row>
    <row r="163" spans="1:5" x14ac:dyDescent="0.25">
      <c r="A163" s="7" t="s">
        <v>812</v>
      </c>
      <c r="B163" s="3">
        <v>3</v>
      </c>
      <c r="C163" s="8">
        <v>1.8281535648994515E-3</v>
      </c>
      <c r="D163" s="3">
        <v>1</v>
      </c>
      <c r="E163" s="3">
        <v>774</v>
      </c>
    </row>
    <row r="164" spans="1:5" x14ac:dyDescent="0.25">
      <c r="A164" s="7" t="s">
        <v>808</v>
      </c>
      <c r="B164" s="3">
        <v>6</v>
      </c>
      <c r="C164" s="8">
        <v>3.6563071297989031E-3</v>
      </c>
      <c r="D164" s="3">
        <v>2</v>
      </c>
      <c r="E164" s="3">
        <v>1548</v>
      </c>
    </row>
    <row r="165" spans="1:5" x14ac:dyDescent="0.25">
      <c r="A165" s="7" t="s">
        <v>807</v>
      </c>
      <c r="B165" s="3">
        <v>6</v>
      </c>
      <c r="C165" s="8">
        <v>3.6563071297989031E-3</v>
      </c>
      <c r="D165" s="3">
        <v>2</v>
      </c>
      <c r="E165" s="3">
        <v>1548</v>
      </c>
    </row>
    <row r="166" spans="1:5" x14ac:dyDescent="0.25">
      <c r="A166" s="6" t="s">
        <v>1477</v>
      </c>
      <c r="B166" s="3">
        <v>12</v>
      </c>
      <c r="C166" s="8">
        <v>7.3126142595978062E-3</v>
      </c>
      <c r="D166" s="3">
        <v>4</v>
      </c>
      <c r="E166" s="3">
        <v>3096</v>
      </c>
    </row>
    <row r="167" spans="1:5" x14ac:dyDescent="0.25">
      <c r="A167" s="7" t="s">
        <v>812</v>
      </c>
      <c r="B167" s="3">
        <v>6</v>
      </c>
      <c r="C167" s="8">
        <v>3.6563071297989031E-3</v>
      </c>
      <c r="D167" s="3">
        <v>2</v>
      </c>
      <c r="E167" s="3">
        <v>1548</v>
      </c>
    </row>
    <row r="168" spans="1:5" x14ac:dyDescent="0.25">
      <c r="A168" s="7" t="s">
        <v>808</v>
      </c>
      <c r="B168" s="3">
        <v>6</v>
      </c>
      <c r="C168" s="8">
        <v>3.6563071297989031E-3</v>
      </c>
      <c r="D168" s="3">
        <v>2</v>
      </c>
      <c r="E168" s="3">
        <v>1548</v>
      </c>
    </row>
    <row r="169" spans="1:5" x14ac:dyDescent="0.25">
      <c r="A169" s="5" t="s">
        <v>137</v>
      </c>
      <c r="B169" s="3">
        <v>69</v>
      </c>
      <c r="C169" s="8">
        <v>4.2047531992687383E-2</v>
      </c>
      <c r="D169" s="3">
        <v>23</v>
      </c>
      <c r="E169" s="3">
        <v>0</v>
      </c>
    </row>
    <row r="170" spans="1:5" x14ac:dyDescent="0.25">
      <c r="A170" s="6" t="s">
        <v>1482</v>
      </c>
      <c r="B170" s="3">
        <v>24</v>
      </c>
      <c r="C170" s="8">
        <v>1.4625228519195612E-2</v>
      </c>
      <c r="D170" s="3">
        <v>8</v>
      </c>
      <c r="E170" s="3">
        <v>0</v>
      </c>
    </row>
    <row r="171" spans="1:5" x14ac:dyDescent="0.25">
      <c r="A171" s="7" t="s">
        <v>812</v>
      </c>
      <c r="B171" s="3">
        <v>6</v>
      </c>
      <c r="C171" s="8">
        <v>3.6563071297989031E-3</v>
      </c>
      <c r="D171" s="3">
        <v>2</v>
      </c>
      <c r="E171" s="3">
        <v>0</v>
      </c>
    </row>
    <row r="172" spans="1:5" x14ac:dyDescent="0.25">
      <c r="A172" s="7" t="s">
        <v>808</v>
      </c>
      <c r="B172" s="3">
        <v>15</v>
      </c>
      <c r="C172" s="8">
        <v>9.140767824497258E-3</v>
      </c>
      <c r="D172" s="3">
        <v>5</v>
      </c>
      <c r="E172" s="3">
        <v>0</v>
      </c>
    </row>
    <row r="173" spans="1:5" x14ac:dyDescent="0.25">
      <c r="A173" s="7" t="s">
        <v>807</v>
      </c>
      <c r="B173" s="3">
        <v>3</v>
      </c>
      <c r="C173" s="8">
        <v>1.8281535648994515E-3</v>
      </c>
      <c r="D173" s="3">
        <v>1</v>
      </c>
      <c r="E173" s="3">
        <v>0</v>
      </c>
    </row>
    <row r="174" spans="1:5" x14ac:dyDescent="0.25">
      <c r="A174" s="6" t="s">
        <v>1480</v>
      </c>
      <c r="B174" s="3">
        <v>33</v>
      </c>
      <c r="C174" s="8">
        <v>2.0109689213893969E-2</v>
      </c>
      <c r="D174" s="3">
        <v>11</v>
      </c>
      <c r="E174" s="3">
        <v>0</v>
      </c>
    </row>
    <row r="175" spans="1:5" x14ac:dyDescent="0.25">
      <c r="A175" s="7" t="s">
        <v>812</v>
      </c>
      <c r="B175" s="3">
        <v>12</v>
      </c>
      <c r="C175" s="8">
        <v>7.3126142595978062E-3</v>
      </c>
      <c r="D175" s="3">
        <v>4</v>
      </c>
      <c r="E175" s="3">
        <v>0</v>
      </c>
    </row>
    <row r="176" spans="1:5" x14ac:dyDescent="0.25">
      <c r="A176" s="7" t="s">
        <v>808</v>
      </c>
      <c r="B176" s="3">
        <v>9</v>
      </c>
      <c r="C176" s="8">
        <v>5.4844606946983544E-3</v>
      </c>
      <c r="D176" s="3">
        <v>3</v>
      </c>
      <c r="E176" s="3">
        <v>0</v>
      </c>
    </row>
    <row r="177" spans="1:5" x14ac:dyDescent="0.25">
      <c r="A177" s="7" t="s">
        <v>807</v>
      </c>
      <c r="B177" s="3">
        <v>12</v>
      </c>
      <c r="C177" s="8">
        <v>7.3126142595978062E-3</v>
      </c>
      <c r="D177" s="3">
        <v>4</v>
      </c>
      <c r="E177" s="3">
        <v>0</v>
      </c>
    </row>
    <row r="178" spans="1:5" x14ac:dyDescent="0.25">
      <c r="A178" s="6" t="s">
        <v>1477</v>
      </c>
      <c r="B178" s="3">
        <v>12</v>
      </c>
      <c r="C178" s="8">
        <v>7.3126142595978062E-3</v>
      </c>
      <c r="D178" s="3">
        <v>4</v>
      </c>
      <c r="E178" s="3">
        <v>0</v>
      </c>
    </row>
    <row r="179" spans="1:5" x14ac:dyDescent="0.25">
      <c r="A179" s="7" t="s">
        <v>812</v>
      </c>
      <c r="B179" s="3">
        <v>3</v>
      </c>
      <c r="C179" s="8">
        <v>1.8281535648994515E-3</v>
      </c>
      <c r="D179" s="3">
        <v>1</v>
      </c>
      <c r="E179" s="3">
        <v>0</v>
      </c>
    </row>
    <row r="180" spans="1:5" x14ac:dyDescent="0.25">
      <c r="A180" s="7" t="s">
        <v>808</v>
      </c>
      <c r="B180" s="3">
        <v>3</v>
      </c>
      <c r="C180" s="8">
        <v>1.8281535648994515E-3</v>
      </c>
      <c r="D180" s="3">
        <v>1</v>
      </c>
      <c r="E180" s="3">
        <v>0</v>
      </c>
    </row>
    <row r="181" spans="1:5" x14ac:dyDescent="0.25">
      <c r="A181" s="7" t="s">
        <v>807</v>
      </c>
      <c r="B181" s="3">
        <v>6</v>
      </c>
      <c r="C181" s="8">
        <v>3.6563071297989031E-3</v>
      </c>
      <c r="D181" s="3">
        <v>2</v>
      </c>
      <c r="E181" s="3">
        <v>0</v>
      </c>
    </row>
    <row r="182" spans="1:5" x14ac:dyDescent="0.25">
      <c r="A182" s="5" t="s">
        <v>44</v>
      </c>
      <c r="B182" s="3">
        <v>60</v>
      </c>
      <c r="C182" s="8">
        <v>2.1937842778793418E-2</v>
      </c>
      <c r="D182" s="3">
        <v>12</v>
      </c>
      <c r="E182" s="3">
        <v>0</v>
      </c>
    </row>
    <row r="183" spans="1:5" x14ac:dyDescent="0.25">
      <c r="A183" s="6" t="s">
        <v>1482</v>
      </c>
      <c r="B183" s="3">
        <v>10</v>
      </c>
      <c r="C183" s="8">
        <v>3.6563071297989031E-3</v>
      </c>
      <c r="D183" s="3">
        <v>2</v>
      </c>
      <c r="E183" s="3">
        <v>0</v>
      </c>
    </row>
    <row r="184" spans="1:5" x14ac:dyDescent="0.25">
      <c r="A184" s="7" t="s">
        <v>812</v>
      </c>
      <c r="B184" s="3">
        <v>5</v>
      </c>
      <c r="C184" s="8">
        <v>1.8281535648994515E-3</v>
      </c>
      <c r="D184" s="3">
        <v>1</v>
      </c>
      <c r="E184" s="3">
        <v>0</v>
      </c>
    </row>
    <row r="185" spans="1:5" x14ac:dyDescent="0.25">
      <c r="A185" s="7" t="s">
        <v>808</v>
      </c>
      <c r="B185" s="3">
        <v>5</v>
      </c>
      <c r="C185" s="8">
        <v>1.8281535648994515E-3</v>
      </c>
      <c r="D185" s="3">
        <v>1</v>
      </c>
      <c r="E185" s="3">
        <v>0</v>
      </c>
    </row>
    <row r="186" spans="1:5" x14ac:dyDescent="0.25">
      <c r="A186" s="6" t="s">
        <v>1480</v>
      </c>
      <c r="B186" s="3">
        <v>40</v>
      </c>
      <c r="C186" s="8">
        <v>1.4625228519195612E-2</v>
      </c>
      <c r="D186" s="3">
        <v>8</v>
      </c>
      <c r="E186" s="3">
        <v>0</v>
      </c>
    </row>
    <row r="187" spans="1:5" x14ac:dyDescent="0.25">
      <c r="A187" s="7" t="s">
        <v>812</v>
      </c>
      <c r="B187" s="3">
        <v>15</v>
      </c>
      <c r="C187" s="8">
        <v>5.4844606946983544E-3</v>
      </c>
      <c r="D187" s="3">
        <v>3</v>
      </c>
      <c r="E187" s="3">
        <v>0</v>
      </c>
    </row>
    <row r="188" spans="1:5" x14ac:dyDescent="0.25">
      <c r="A188" s="7" t="s">
        <v>808</v>
      </c>
      <c r="B188" s="3">
        <v>15</v>
      </c>
      <c r="C188" s="8">
        <v>5.4844606946983544E-3</v>
      </c>
      <c r="D188" s="3">
        <v>3</v>
      </c>
      <c r="E188" s="3">
        <v>0</v>
      </c>
    </row>
    <row r="189" spans="1:5" x14ac:dyDescent="0.25">
      <c r="A189" s="7" t="s">
        <v>807</v>
      </c>
      <c r="B189" s="3">
        <v>10</v>
      </c>
      <c r="C189" s="8">
        <v>3.6563071297989031E-3</v>
      </c>
      <c r="D189" s="3">
        <v>2</v>
      </c>
      <c r="E189" s="3">
        <v>0</v>
      </c>
    </row>
    <row r="190" spans="1:5" x14ac:dyDescent="0.25">
      <c r="A190" s="6" t="s">
        <v>1477</v>
      </c>
      <c r="B190" s="3">
        <v>10</v>
      </c>
      <c r="C190" s="8">
        <v>3.6563071297989031E-3</v>
      </c>
      <c r="D190" s="3">
        <v>2</v>
      </c>
      <c r="E190" s="3">
        <v>0</v>
      </c>
    </row>
    <row r="191" spans="1:5" x14ac:dyDescent="0.25">
      <c r="A191" s="7" t="s">
        <v>812</v>
      </c>
      <c r="B191" s="3">
        <v>5</v>
      </c>
      <c r="C191" s="8">
        <v>1.8281535648994515E-3</v>
      </c>
      <c r="D191" s="3">
        <v>1</v>
      </c>
      <c r="E191" s="3">
        <v>0</v>
      </c>
    </row>
    <row r="192" spans="1:5" x14ac:dyDescent="0.25">
      <c r="A192" s="7" t="s">
        <v>807</v>
      </c>
      <c r="B192" s="3">
        <v>5</v>
      </c>
      <c r="C192" s="8">
        <v>1.8281535648994515E-3</v>
      </c>
      <c r="D192" s="3">
        <v>1</v>
      </c>
      <c r="E192" s="3">
        <v>0</v>
      </c>
    </row>
    <row r="193" spans="1:5" x14ac:dyDescent="0.25">
      <c r="A193" s="5" t="s">
        <v>78</v>
      </c>
      <c r="B193" s="3">
        <v>54</v>
      </c>
      <c r="C193" s="8">
        <v>3.2906764168190127E-2</v>
      </c>
      <c r="D193" s="3">
        <v>18</v>
      </c>
      <c r="E193" s="3">
        <v>700.92000000000007</v>
      </c>
    </row>
    <row r="194" spans="1:5" x14ac:dyDescent="0.25">
      <c r="A194" s="6" t="s">
        <v>1480</v>
      </c>
      <c r="B194" s="3">
        <v>33</v>
      </c>
      <c r="C194" s="8">
        <v>2.0109689213893969E-2</v>
      </c>
      <c r="D194" s="3">
        <v>11</v>
      </c>
      <c r="E194" s="3">
        <v>428.34</v>
      </c>
    </row>
    <row r="195" spans="1:5" x14ac:dyDescent="0.25">
      <c r="A195" s="7" t="s">
        <v>812</v>
      </c>
      <c r="B195" s="3">
        <v>15</v>
      </c>
      <c r="C195" s="8">
        <v>9.140767824497258E-3</v>
      </c>
      <c r="D195" s="3">
        <v>5</v>
      </c>
      <c r="E195" s="3">
        <v>194.7</v>
      </c>
    </row>
    <row r="196" spans="1:5" x14ac:dyDescent="0.25">
      <c r="A196" s="7" t="s">
        <v>808</v>
      </c>
      <c r="B196" s="3">
        <v>3</v>
      </c>
      <c r="C196" s="8">
        <v>1.8281535648994515E-3</v>
      </c>
      <c r="D196" s="3">
        <v>1</v>
      </c>
      <c r="E196" s="3">
        <v>38.94</v>
      </c>
    </row>
    <row r="197" spans="1:5" x14ac:dyDescent="0.25">
      <c r="A197" s="7" t="s">
        <v>807</v>
      </c>
      <c r="B197" s="3">
        <v>15</v>
      </c>
      <c r="C197" s="8">
        <v>9.140767824497258E-3</v>
      </c>
      <c r="D197" s="3">
        <v>5</v>
      </c>
      <c r="E197" s="3">
        <v>194.7</v>
      </c>
    </row>
    <row r="198" spans="1:5" x14ac:dyDescent="0.25">
      <c r="A198" s="6" t="s">
        <v>1477</v>
      </c>
      <c r="B198" s="3">
        <v>21</v>
      </c>
      <c r="C198" s="8">
        <v>1.2797074954296161E-2</v>
      </c>
      <c r="D198" s="3">
        <v>7</v>
      </c>
      <c r="E198" s="3">
        <v>272.58</v>
      </c>
    </row>
    <row r="199" spans="1:5" x14ac:dyDescent="0.25">
      <c r="A199" s="7" t="s">
        <v>812</v>
      </c>
      <c r="B199" s="3">
        <v>9</v>
      </c>
      <c r="C199" s="8">
        <v>5.4844606946983544E-3</v>
      </c>
      <c r="D199" s="3">
        <v>3</v>
      </c>
      <c r="E199" s="3">
        <v>116.82</v>
      </c>
    </row>
    <row r="200" spans="1:5" x14ac:dyDescent="0.25">
      <c r="A200" s="7" t="s">
        <v>808</v>
      </c>
      <c r="B200" s="3">
        <v>9</v>
      </c>
      <c r="C200" s="8">
        <v>5.4844606946983544E-3</v>
      </c>
      <c r="D200" s="3">
        <v>3</v>
      </c>
      <c r="E200" s="3">
        <v>116.82</v>
      </c>
    </row>
    <row r="201" spans="1:5" x14ac:dyDescent="0.25">
      <c r="A201" s="7" t="s">
        <v>807</v>
      </c>
      <c r="B201" s="3">
        <v>3</v>
      </c>
      <c r="C201" s="8">
        <v>1.8281535648994515E-3</v>
      </c>
      <c r="D201" s="3">
        <v>1</v>
      </c>
      <c r="E201" s="3">
        <v>38.94</v>
      </c>
    </row>
    <row r="202" spans="1:5" x14ac:dyDescent="0.25">
      <c r="A202" s="5" t="s">
        <v>16</v>
      </c>
      <c r="B202" s="3">
        <v>120</v>
      </c>
      <c r="C202" s="8">
        <v>2.7422303473491772E-2</v>
      </c>
      <c r="D202" s="3">
        <v>15</v>
      </c>
      <c r="E202" s="3">
        <v>5115.6000000000004</v>
      </c>
    </row>
    <row r="203" spans="1:5" x14ac:dyDescent="0.25">
      <c r="A203" s="6" t="s">
        <v>1482</v>
      </c>
      <c r="B203" s="3">
        <v>24</v>
      </c>
      <c r="C203" s="8">
        <v>5.4844606946983544E-3</v>
      </c>
      <c r="D203" s="3">
        <v>3</v>
      </c>
      <c r="E203" s="3">
        <v>1023.1200000000001</v>
      </c>
    </row>
    <row r="204" spans="1:5" x14ac:dyDescent="0.25">
      <c r="A204" s="7" t="s">
        <v>812</v>
      </c>
      <c r="B204" s="3">
        <v>8</v>
      </c>
      <c r="C204" s="8">
        <v>1.8281535648994515E-3</v>
      </c>
      <c r="D204" s="3">
        <v>1</v>
      </c>
      <c r="E204" s="3">
        <v>341.04</v>
      </c>
    </row>
    <row r="205" spans="1:5" x14ac:dyDescent="0.25">
      <c r="A205" s="7" t="s">
        <v>807</v>
      </c>
      <c r="B205" s="3">
        <v>16</v>
      </c>
      <c r="C205" s="8">
        <v>3.6563071297989031E-3</v>
      </c>
      <c r="D205" s="3">
        <v>2</v>
      </c>
      <c r="E205" s="3">
        <v>682.08</v>
      </c>
    </row>
    <row r="206" spans="1:5" x14ac:dyDescent="0.25">
      <c r="A206" s="6" t="s">
        <v>1480</v>
      </c>
      <c r="B206" s="3">
        <v>24</v>
      </c>
      <c r="C206" s="8">
        <v>5.4844606946983544E-3</v>
      </c>
      <c r="D206" s="3">
        <v>3</v>
      </c>
      <c r="E206" s="3">
        <v>1023.1200000000001</v>
      </c>
    </row>
    <row r="207" spans="1:5" x14ac:dyDescent="0.25">
      <c r="A207" s="7" t="s">
        <v>812</v>
      </c>
      <c r="B207" s="3">
        <v>8</v>
      </c>
      <c r="C207" s="8">
        <v>1.8281535648994515E-3</v>
      </c>
      <c r="D207" s="3">
        <v>1</v>
      </c>
      <c r="E207" s="3">
        <v>341.04</v>
      </c>
    </row>
    <row r="208" spans="1:5" x14ac:dyDescent="0.25">
      <c r="A208" s="7" t="s">
        <v>807</v>
      </c>
      <c r="B208" s="3">
        <v>16</v>
      </c>
      <c r="C208" s="8">
        <v>3.6563071297989031E-3</v>
      </c>
      <c r="D208" s="3">
        <v>2</v>
      </c>
      <c r="E208" s="3">
        <v>682.08</v>
      </c>
    </row>
    <row r="209" spans="1:5" x14ac:dyDescent="0.25">
      <c r="A209" s="6" t="s">
        <v>1477</v>
      </c>
      <c r="B209" s="3">
        <v>72</v>
      </c>
      <c r="C209" s="8">
        <v>1.6453382084095063E-2</v>
      </c>
      <c r="D209" s="3">
        <v>9</v>
      </c>
      <c r="E209" s="3">
        <v>3069.36</v>
      </c>
    </row>
    <row r="210" spans="1:5" x14ac:dyDescent="0.25">
      <c r="A210" s="7" t="s">
        <v>812</v>
      </c>
      <c r="B210" s="3">
        <v>24</v>
      </c>
      <c r="C210" s="8">
        <v>5.4844606946983544E-3</v>
      </c>
      <c r="D210" s="3">
        <v>3</v>
      </c>
      <c r="E210" s="3">
        <v>1023.1200000000001</v>
      </c>
    </row>
    <row r="211" spans="1:5" x14ac:dyDescent="0.25">
      <c r="A211" s="7" t="s">
        <v>808</v>
      </c>
      <c r="B211" s="3">
        <v>24</v>
      </c>
      <c r="C211" s="8">
        <v>5.4844606946983544E-3</v>
      </c>
      <c r="D211" s="3">
        <v>3</v>
      </c>
      <c r="E211" s="3">
        <v>1023.1200000000001</v>
      </c>
    </row>
    <row r="212" spans="1:5" x14ac:dyDescent="0.25">
      <c r="A212" s="7" t="s">
        <v>807</v>
      </c>
      <c r="B212" s="3">
        <v>24</v>
      </c>
      <c r="C212" s="8">
        <v>5.4844606946983544E-3</v>
      </c>
      <c r="D212" s="3">
        <v>3</v>
      </c>
      <c r="E212" s="3">
        <v>1023.1200000000001</v>
      </c>
    </row>
    <row r="213" spans="1:5" x14ac:dyDescent="0.25">
      <c r="A213" s="5" t="s">
        <v>131</v>
      </c>
      <c r="B213" s="3">
        <v>308</v>
      </c>
      <c r="C213" s="8">
        <v>8.0438756855575874E-2</v>
      </c>
      <c r="D213" s="3">
        <v>44</v>
      </c>
      <c r="E213" s="3">
        <v>0</v>
      </c>
    </row>
    <row r="214" spans="1:5" x14ac:dyDescent="0.25">
      <c r="A214" s="6" t="s">
        <v>1482</v>
      </c>
      <c r="B214" s="3">
        <v>105</v>
      </c>
      <c r="C214" s="8">
        <v>2.7422303473491772E-2</v>
      </c>
      <c r="D214" s="3">
        <v>15</v>
      </c>
      <c r="E214" s="3">
        <v>0</v>
      </c>
    </row>
    <row r="215" spans="1:5" x14ac:dyDescent="0.25">
      <c r="A215" s="7" t="s">
        <v>812</v>
      </c>
      <c r="B215" s="3">
        <v>28</v>
      </c>
      <c r="C215" s="8">
        <v>7.3126142595978062E-3</v>
      </c>
      <c r="D215" s="3">
        <v>4</v>
      </c>
      <c r="E215" s="3">
        <v>0</v>
      </c>
    </row>
    <row r="216" spans="1:5" x14ac:dyDescent="0.25">
      <c r="A216" s="7" t="s">
        <v>808</v>
      </c>
      <c r="B216" s="3">
        <v>42</v>
      </c>
      <c r="C216" s="8">
        <v>1.0968921389396709E-2</v>
      </c>
      <c r="D216" s="3">
        <v>6</v>
      </c>
      <c r="E216" s="3">
        <v>0</v>
      </c>
    </row>
    <row r="217" spans="1:5" x14ac:dyDescent="0.25">
      <c r="A217" s="7" t="s">
        <v>807</v>
      </c>
      <c r="B217" s="3">
        <v>35</v>
      </c>
      <c r="C217" s="8">
        <v>9.140767824497258E-3</v>
      </c>
      <c r="D217" s="3">
        <v>5</v>
      </c>
      <c r="E217" s="3">
        <v>0</v>
      </c>
    </row>
    <row r="218" spans="1:5" x14ac:dyDescent="0.25">
      <c r="A218" s="6" t="s">
        <v>1480</v>
      </c>
      <c r="B218" s="3">
        <v>84</v>
      </c>
      <c r="C218" s="8">
        <v>2.1937842778793418E-2</v>
      </c>
      <c r="D218" s="3">
        <v>12</v>
      </c>
      <c r="E218" s="3">
        <v>0</v>
      </c>
    </row>
    <row r="219" spans="1:5" x14ac:dyDescent="0.25">
      <c r="A219" s="7" t="s">
        <v>812</v>
      </c>
      <c r="B219" s="3">
        <v>35</v>
      </c>
      <c r="C219" s="8">
        <v>9.140767824497258E-3</v>
      </c>
      <c r="D219" s="3">
        <v>5</v>
      </c>
      <c r="E219" s="3">
        <v>0</v>
      </c>
    </row>
    <row r="220" spans="1:5" x14ac:dyDescent="0.25">
      <c r="A220" s="7" t="s">
        <v>808</v>
      </c>
      <c r="B220" s="3">
        <v>21</v>
      </c>
      <c r="C220" s="8">
        <v>5.4844606946983544E-3</v>
      </c>
      <c r="D220" s="3">
        <v>3</v>
      </c>
      <c r="E220" s="3">
        <v>0</v>
      </c>
    </row>
    <row r="221" spans="1:5" x14ac:dyDescent="0.25">
      <c r="A221" s="7" t="s">
        <v>807</v>
      </c>
      <c r="B221" s="3">
        <v>28</v>
      </c>
      <c r="C221" s="8">
        <v>7.3126142595978062E-3</v>
      </c>
      <c r="D221" s="3">
        <v>4</v>
      </c>
      <c r="E221" s="3">
        <v>0</v>
      </c>
    </row>
    <row r="222" spans="1:5" x14ac:dyDescent="0.25">
      <c r="A222" s="6" t="s">
        <v>1477</v>
      </c>
      <c r="B222" s="3">
        <v>119</v>
      </c>
      <c r="C222" s="8">
        <v>3.1078610603290677E-2</v>
      </c>
      <c r="D222" s="3">
        <v>17</v>
      </c>
      <c r="E222" s="3">
        <v>0</v>
      </c>
    </row>
    <row r="223" spans="1:5" x14ac:dyDescent="0.25">
      <c r="A223" s="7" t="s">
        <v>812</v>
      </c>
      <c r="B223" s="3">
        <v>35</v>
      </c>
      <c r="C223" s="8">
        <v>9.140767824497258E-3</v>
      </c>
      <c r="D223" s="3">
        <v>5</v>
      </c>
      <c r="E223" s="3">
        <v>0</v>
      </c>
    </row>
    <row r="224" spans="1:5" x14ac:dyDescent="0.25">
      <c r="A224" s="7" t="s">
        <v>808</v>
      </c>
      <c r="B224" s="3">
        <v>28</v>
      </c>
      <c r="C224" s="8">
        <v>7.3126142595978062E-3</v>
      </c>
      <c r="D224" s="3">
        <v>4</v>
      </c>
      <c r="E224" s="3">
        <v>0</v>
      </c>
    </row>
    <row r="225" spans="1:5" x14ac:dyDescent="0.25">
      <c r="A225" s="7" t="s">
        <v>807</v>
      </c>
      <c r="B225" s="3">
        <v>56</v>
      </c>
      <c r="C225" s="8">
        <v>1.4625228519195612E-2</v>
      </c>
      <c r="D225" s="3">
        <v>8</v>
      </c>
      <c r="E225" s="3">
        <v>0</v>
      </c>
    </row>
    <row r="226" spans="1:5" x14ac:dyDescent="0.25">
      <c r="A226" s="5" t="s">
        <v>89</v>
      </c>
      <c r="B226" s="3">
        <v>208</v>
      </c>
      <c r="C226" s="8">
        <v>4.7531992687385741E-2</v>
      </c>
      <c r="D226" s="3">
        <v>26</v>
      </c>
      <c r="E226" s="3">
        <v>8586.2399999999961</v>
      </c>
    </row>
    <row r="227" spans="1:5" x14ac:dyDescent="0.25">
      <c r="A227" s="6" t="s">
        <v>1482</v>
      </c>
      <c r="B227" s="3">
        <v>40</v>
      </c>
      <c r="C227" s="8">
        <v>9.140767824497258E-3</v>
      </c>
      <c r="D227" s="3">
        <v>5</v>
      </c>
      <c r="E227" s="3">
        <v>1651.2</v>
      </c>
    </row>
    <row r="228" spans="1:5" x14ac:dyDescent="0.25">
      <c r="A228" s="7" t="s">
        <v>812</v>
      </c>
      <c r="B228" s="3">
        <v>24</v>
      </c>
      <c r="C228" s="8">
        <v>5.4844606946983544E-3</v>
      </c>
      <c r="D228" s="3">
        <v>3</v>
      </c>
      <c r="E228" s="3">
        <v>990.72</v>
      </c>
    </row>
    <row r="229" spans="1:5" x14ac:dyDescent="0.25">
      <c r="A229" s="7" t="s">
        <v>808</v>
      </c>
      <c r="B229" s="3">
        <v>16</v>
      </c>
      <c r="C229" s="8">
        <v>3.6563071297989031E-3</v>
      </c>
      <c r="D229" s="3">
        <v>2</v>
      </c>
      <c r="E229" s="3">
        <v>660.48</v>
      </c>
    </row>
    <row r="230" spans="1:5" x14ac:dyDescent="0.25">
      <c r="A230" s="6" t="s">
        <v>1480</v>
      </c>
      <c r="B230" s="3">
        <v>96</v>
      </c>
      <c r="C230" s="8">
        <v>2.1937842778793418E-2</v>
      </c>
      <c r="D230" s="3">
        <v>12</v>
      </c>
      <c r="E230" s="3">
        <v>3962.8799999999992</v>
      </c>
    </row>
    <row r="231" spans="1:5" x14ac:dyDescent="0.25">
      <c r="A231" s="7" t="s">
        <v>812</v>
      </c>
      <c r="B231" s="3">
        <v>32</v>
      </c>
      <c r="C231" s="8">
        <v>7.3126142595978062E-3</v>
      </c>
      <c r="D231" s="3">
        <v>4</v>
      </c>
      <c r="E231" s="3">
        <v>1320.96</v>
      </c>
    </row>
    <row r="232" spans="1:5" x14ac:dyDescent="0.25">
      <c r="A232" s="7" t="s">
        <v>808</v>
      </c>
      <c r="B232" s="3">
        <v>48</v>
      </c>
      <c r="C232" s="8">
        <v>1.0968921389396709E-2</v>
      </c>
      <c r="D232" s="3">
        <v>6</v>
      </c>
      <c r="E232" s="3">
        <v>1981.44</v>
      </c>
    </row>
    <row r="233" spans="1:5" x14ac:dyDescent="0.25">
      <c r="A233" s="7" t="s">
        <v>807</v>
      </c>
      <c r="B233" s="3">
        <v>16</v>
      </c>
      <c r="C233" s="8">
        <v>3.6563071297989031E-3</v>
      </c>
      <c r="D233" s="3">
        <v>2</v>
      </c>
      <c r="E233" s="3">
        <v>660.48</v>
      </c>
    </row>
    <row r="234" spans="1:5" x14ac:dyDescent="0.25">
      <c r="A234" s="6" t="s">
        <v>1477</v>
      </c>
      <c r="B234" s="3">
        <v>72</v>
      </c>
      <c r="C234" s="8">
        <v>1.6453382084095063E-2</v>
      </c>
      <c r="D234" s="3">
        <v>9</v>
      </c>
      <c r="E234" s="3">
        <v>2972.16</v>
      </c>
    </row>
    <row r="235" spans="1:5" x14ac:dyDescent="0.25">
      <c r="A235" s="7" t="s">
        <v>812</v>
      </c>
      <c r="B235" s="3">
        <v>32</v>
      </c>
      <c r="C235" s="8">
        <v>7.3126142595978062E-3</v>
      </c>
      <c r="D235" s="3">
        <v>4</v>
      </c>
      <c r="E235" s="3">
        <v>1320.96</v>
      </c>
    </row>
    <row r="236" spans="1:5" x14ac:dyDescent="0.25">
      <c r="A236" s="7" t="s">
        <v>808</v>
      </c>
      <c r="B236" s="3">
        <v>24</v>
      </c>
      <c r="C236" s="8">
        <v>5.4844606946983544E-3</v>
      </c>
      <c r="D236" s="3">
        <v>3</v>
      </c>
      <c r="E236" s="3">
        <v>990.72</v>
      </c>
    </row>
    <row r="237" spans="1:5" x14ac:dyDescent="0.25">
      <c r="A237" s="7" t="s">
        <v>807</v>
      </c>
      <c r="B237" s="3">
        <v>16</v>
      </c>
      <c r="C237" s="8">
        <v>3.6563071297989031E-3</v>
      </c>
      <c r="D237" s="3">
        <v>2</v>
      </c>
      <c r="E237" s="3">
        <v>660.48</v>
      </c>
    </row>
    <row r="238" spans="1:5" x14ac:dyDescent="0.25">
      <c r="A238" s="5" t="s">
        <v>35</v>
      </c>
      <c r="B238" s="3">
        <v>104</v>
      </c>
      <c r="C238" s="8">
        <v>2.376599634369287E-2</v>
      </c>
      <c r="D238" s="3">
        <v>13</v>
      </c>
      <c r="E238" s="3">
        <v>4570.0200000000004</v>
      </c>
    </row>
    <row r="239" spans="1:5" x14ac:dyDescent="0.25">
      <c r="A239" s="6" t="s">
        <v>1482</v>
      </c>
      <c r="B239" s="3">
        <v>24</v>
      </c>
      <c r="C239" s="8">
        <v>5.4844606946983544E-3</v>
      </c>
      <c r="D239" s="3">
        <v>3</v>
      </c>
      <c r="E239" s="3">
        <v>1054.6200000000001</v>
      </c>
    </row>
    <row r="240" spans="1:5" x14ac:dyDescent="0.25">
      <c r="A240" s="7" t="s">
        <v>812</v>
      </c>
      <c r="B240" s="3">
        <v>8</v>
      </c>
      <c r="C240" s="8">
        <v>1.8281535648994515E-3</v>
      </c>
      <c r="D240" s="3">
        <v>1</v>
      </c>
      <c r="E240" s="3">
        <v>351.54</v>
      </c>
    </row>
    <row r="241" spans="1:5" x14ac:dyDescent="0.25">
      <c r="A241" s="7" t="s">
        <v>807</v>
      </c>
      <c r="B241" s="3">
        <v>16</v>
      </c>
      <c r="C241" s="8">
        <v>3.6563071297989031E-3</v>
      </c>
      <c r="D241" s="3">
        <v>2</v>
      </c>
      <c r="E241" s="3">
        <v>703.08</v>
      </c>
    </row>
    <row r="242" spans="1:5" x14ac:dyDescent="0.25">
      <c r="A242" s="6" t="s">
        <v>1480</v>
      </c>
      <c r="B242" s="3">
        <v>48</v>
      </c>
      <c r="C242" s="8">
        <v>1.0968921389396709E-2</v>
      </c>
      <c r="D242" s="3">
        <v>6</v>
      </c>
      <c r="E242" s="3">
        <v>2109.2400000000002</v>
      </c>
    </row>
    <row r="243" spans="1:5" x14ac:dyDescent="0.25">
      <c r="A243" s="7" t="s">
        <v>812</v>
      </c>
      <c r="B243" s="3">
        <v>24</v>
      </c>
      <c r="C243" s="8">
        <v>5.4844606946983544E-3</v>
      </c>
      <c r="D243" s="3">
        <v>3</v>
      </c>
      <c r="E243" s="3">
        <v>1054.6200000000001</v>
      </c>
    </row>
    <row r="244" spans="1:5" x14ac:dyDescent="0.25">
      <c r="A244" s="7" t="s">
        <v>808</v>
      </c>
      <c r="B244" s="3">
        <v>16</v>
      </c>
      <c r="C244" s="8">
        <v>3.6563071297989031E-3</v>
      </c>
      <c r="D244" s="3">
        <v>2</v>
      </c>
      <c r="E244" s="3">
        <v>703.08</v>
      </c>
    </row>
    <row r="245" spans="1:5" x14ac:dyDescent="0.25">
      <c r="A245" s="7" t="s">
        <v>807</v>
      </c>
      <c r="B245" s="3">
        <v>8</v>
      </c>
      <c r="C245" s="8">
        <v>1.8281535648994515E-3</v>
      </c>
      <c r="D245" s="3">
        <v>1</v>
      </c>
      <c r="E245" s="3">
        <v>351.54</v>
      </c>
    </row>
    <row r="246" spans="1:5" x14ac:dyDescent="0.25">
      <c r="A246" s="6" t="s">
        <v>1477</v>
      </c>
      <c r="B246" s="3">
        <v>32</v>
      </c>
      <c r="C246" s="8">
        <v>7.3126142595978062E-3</v>
      </c>
      <c r="D246" s="3">
        <v>4</v>
      </c>
      <c r="E246" s="3">
        <v>1406.16</v>
      </c>
    </row>
    <row r="247" spans="1:5" x14ac:dyDescent="0.25">
      <c r="A247" s="7" t="s">
        <v>812</v>
      </c>
      <c r="B247" s="3">
        <v>8</v>
      </c>
      <c r="C247" s="8">
        <v>1.8281535648994515E-3</v>
      </c>
      <c r="D247" s="3">
        <v>1</v>
      </c>
      <c r="E247" s="3">
        <v>351.54</v>
      </c>
    </row>
    <row r="248" spans="1:5" x14ac:dyDescent="0.25">
      <c r="A248" s="7" t="s">
        <v>808</v>
      </c>
      <c r="B248" s="3">
        <v>8</v>
      </c>
      <c r="C248" s="8">
        <v>1.8281535648994515E-3</v>
      </c>
      <c r="D248" s="3">
        <v>1</v>
      </c>
      <c r="E248" s="3">
        <v>351.54</v>
      </c>
    </row>
    <row r="249" spans="1:5" x14ac:dyDescent="0.25">
      <c r="A249" s="7" t="s">
        <v>807</v>
      </c>
      <c r="B249" s="3">
        <v>16</v>
      </c>
      <c r="C249" s="8">
        <v>3.6563071297989031E-3</v>
      </c>
      <c r="D249" s="3">
        <v>2</v>
      </c>
      <c r="E249" s="3">
        <v>703.08</v>
      </c>
    </row>
    <row r="250" spans="1:5" x14ac:dyDescent="0.25">
      <c r="A250" s="5" t="s">
        <v>21</v>
      </c>
      <c r="B250" s="3">
        <v>186</v>
      </c>
      <c r="C250" s="8">
        <v>5.6672760511882997E-2</v>
      </c>
      <c r="D250" s="3">
        <v>31</v>
      </c>
      <c r="E250" s="3">
        <v>0</v>
      </c>
    </row>
    <row r="251" spans="1:5" x14ac:dyDescent="0.25">
      <c r="A251" s="6" t="s">
        <v>1482</v>
      </c>
      <c r="B251" s="3">
        <v>126</v>
      </c>
      <c r="C251" s="8">
        <v>3.8391224862888484E-2</v>
      </c>
      <c r="D251" s="3">
        <v>21</v>
      </c>
      <c r="E251" s="3">
        <v>0</v>
      </c>
    </row>
    <row r="252" spans="1:5" x14ac:dyDescent="0.25">
      <c r="A252" s="7" t="s">
        <v>812</v>
      </c>
      <c r="B252" s="3">
        <v>48</v>
      </c>
      <c r="C252" s="8">
        <v>1.4625228519195612E-2</v>
      </c>
      <c r="D252" s="3">
        <v>8</v>
      </c>
      <c r="E252" s="3">
        <v>0</v>
      </c>
    </row>
    <row r="253" spans="1:5" x14ac:dyDescent="0.25">
      <c r="A253" s="7" t="s">
        <v>808</v>
      </c>
      <c r="B253" s="3">
        <v>30</v>
      </c>
      <c r="C253" s="8">
        <v>9.140767824497258E-3</v>
      </c>
      <c r="D253" s="3">
        <v>5</v>
      </c>
      <c r="E253" s="3">
        <v>0</v>
      </c>
    </row>
    <row r="254" spans="1:5" x14ac:dyDescent="0.25">
      <c r="A254" s="7" t="s">
        <v>807</v>
      </c>
      <c r="B254" s="3">
        <v>48</v>
      </c>
      <c r="C254" s="8">
        <v>1.4625228519195612E-2</v>
      </c>
      <c r="D254" s="3">
        <v>8</v>
      </c>
      <c r="E254" s="3">
        <v>0</v>
      </c>
    </row>
    <row r="255" spans="1:5" x14ac:dyDescent="0.25">
      <c r="A255" s="6" t="s">
        <v>1480</v>
      </c>
      <c r="B255" s="3">
        <v>24</v>
      </c>
      <c r="C255" s="8">
        <v>7.3126142595978062E-3</v>
      </c>
      <c r="D255" s="3">
        <v>4</v>
      </c>
      <c r="E255" s="3">
        <v>0</v>
      </c>
    </row>
    <row r="256" spans="1:5" x14ac:dyDescent="0.25">
      <c r="A256" s="7" t="s">
        <v>812</v>
      </c>
      <c r="B256" s="3">
        <v>12</v>
      </c>
      <c r="C256" s="8">
        <v>3.6563071297989031E-3</v>
      </c>
      <c r="D256" s="3">
        <v>2</v>
      </c>
      <c r="E256" s="3">
        <v>0</v>
      </c>
    </row>
    <row r="257" spans="1:5" x14ac:dyDescent="0.25">
      <c r="A257" s="7" t="s">
        <v>808</v>
      </c>
      <c r="B257" s="3">
        <v>6</v>
      </c>
      <c r="C257" s="8">
        <v>1.8281535648994515E-3</v>
      </c>
      <c r="D257" s="3">
        <v>1</v>
      </c>
      <c r="E257" s="3">
        <v>0</v>
      </c>
    </row>
    <row r="258" spans="1:5" x14ac:dyDescent="0.25">
      <c r="A258" s="7" t="s">
        <v>807</v>
      </c>
      <c r="B258" s="3">
        <v>6</v>
      </c>
      <c r="C258" s="8">
        <v>1.8281535648994515E-3</v>
      </c>
      <c r="D258" s="3">
        <v>1</v>
      </c>
      <c r="E258" s="3">
        <v>0</v>
      </c>
    </row>
    <row r="259" spans="1:5" x14ac:dyDescent="0.25">
      <c r="A259" s="6" t="s">
        <v>1477</v>
      </c>
      <c r="B259" s="3">
        <v>36</v>
      </c>
      <c r="C259" s="8">
        <v>1.0968921389396709E-2</v>
      </c>
      <c r="D259" s="3">
        <v>6</v>
      </c>
      <c r="E259" s="3">
        <v>0</v>
      </c>
    </row>
    <row r="260" spans="1:5" x14ac:dyDescent="0.25">
      <c r="A260" s="7" t="s">
        <v>812</v>
      </c>
      <c r="B260" s="3">
        <v>6</v>
      </c>
      <c r="C260" s="8">
        <v>1.8281535648994515E-3</v>
      </c>
      <c r="D260" s="3">
        <v>1</v>
      </c>
      <c r="E260" s="3">
        <v>0</v>
      </c>
    </row>
    <row r="261" spans="1:5" x14ac:dyDescent="0.25">
      <c r="A261" s="7" t="s">
        <v>808</v>
      </c>
      <c r="B261" s="3">
        <v>18</v>
      </c>
      <c r="C261" s="8">
        <v>5.4844606946983544E-3</v>
      </c>
      <c r="D261" s="3">
        <v>3</v>
      </c>
      <c r="E261" s="3">
        <v>0</v>
      </c>
    </row>
    <row r="262" spans="1:5" x14ac:dyDescent="0.25">
      <c r="A262" s="7" t="s">
        <v>807</v>
      </c>
      <c r="B262" s="3">
        <v>12</v>
      </c>
      <c r="C262" s="8">
        <v>3.6563071297989031E-3</v>
      </c>
      <c r="D262" s="3">
        <v>2</v>
      </c>
      <c r="E262" s="3">
        <v>0</v>
      </c>
    </row>
    <row r="263" spans="1:5" x14ac:dyDescent="0.25">
      <c r="A263" s="5" t="s">
        <v>31</v>
      </c>
      <c r="B263" s="3">
        <v>120</v>
      </c>
      <c r="C263" s="8">
        <v>3.6563071297989032E-2</v>
      </c>
      <c r="D263" s="3">
        <v>20</v>
      </c>
      <c r="E263" s="3">
        <v>0</v>
      </c>
    </row>
    <row r="264" spans="1:5" x14ac:dyDescent="0.25">
      <c r="A264" s="6" t="s">
        <v>1482</v>
      </c>
      <c r="B264" s="3">
        <v>48</v>
      </c>
      <c r="C264" s="8">
        <v>1.4625228519195612E-2</v>
      </c>
      <c r="D264" s="3">
        <v>8</v>
      </c>
      <c r="E264" s="3">
        <v>0</v>
      </c>
    </row>
    <row r="265" spans="1:5" x14ac:dyDescent="0.25">
      <c r="A265" s="7" t="s">
        <v>812</v>
      </c>
      <c r="B265" s="3">
        <v>12</v>
      </c>
      <c r="C265" s="8">
        <v>3.6563071297989031E-3</v>
      </c>
      <c r="D265" s="3">
        <v>2</v>
      </c>
      <c r="E265" s="3">
        <v>0</v>
      </c>
    </row>
    <row r="266" spans="1:5" x14ac:dyDescent="0.25">
      <c r="A266" s="7" t="s">
        <v>808</v>
      </c>
      <c r="B266" s="3">
        <v>24</v>
      </c>
      <c r="C266" s="8">
        <v>7.3126142595978062E-3</v>
      </c>
      <c r="D266" s="3">
        <v>4</v>
      </c>
      <c r="E266" s="3">
        <v>0</v>
      </c>
    </row>
    <row r="267" spans="1:5" x14ac:dyDescent="0.25">
      <c r="A267" s="7" t="s">
        <v>807</v>
      </c>
      <c r="B267" s="3">
        <v>12</v>
      </c>
      <c r="C267" s="8">
        <v>3.6563071297989031E-3</v>
      </c>
      <c r="D267" s="3">
        <v>2</v>
      </c>
      <c r="E267" s="3">
        <v>0</v>
      </c>
    </row>
    <row r="268" spans="1:5" x14ac:dyDescent="0.25">
      <c r="A268" s="6" t="s">
        <v>1480</v>
      </c>
      <c r="B268" s="3">
        <v>24</v>
      </c>
      <c r="C268" s="8">
        <v>7.3126142595978062E-3</v>
      </c>
      <c r="D268" s="3">
        <v>4</v>
      </c>
      <c r="E268" s="3">
        <v>0</v>
      </c>
    </row>
    <row r="269" spans="1:5" x14ac:dyDescent="0.25">
      <c r="A269" s="7" t="s">
        <v>812</v>
      </c>
      <c r="B269" s="3">
        <v>6</v>
      </c>
      <c r="C269" s="8">
        <v>1.8281535648994515E-3</v>
      </c>
      <c r="D269" s="3">
        <v>1</v>
      </c>
      <c r="E269" s="3">
        <v>0</v>
      </c>
    </row>
    <row r="270" spans="1:5" x14ac:dyDescent="0.25">
      <c r="A270" s="7" t="s">
        <v>808</v>
      </c>
      <c r="B270" s="3">
        <v>12</v>
      </c>
      <c r="C270" s="8">
        <v>3.6563071297989031E-3</v>
      </c>
      <c r="D270" s="3">
        <v>2</v>
      </c>
      <c r="E270" s="3">
        <v>0</v>
      </c>
    </row>
    <row r="271" spans="1:5" x14ac:dyDescent="0.25">
      <c r="A271" s="7" t="s">
        <v>807</v>
      </c>
      <c r="B271" s="3">
        <v>6</v>
      </c>
      <c r="C271" s="8">
        <v>1.8281535648994515E-3</v>
      </c>
      <c r="D271" s="3">
        <v>1</v>
      </c>
      <c r="E271" s="3">
        <v>0</v>
      </c>
    </row>
    <row r="272" spans="1:5" x14ac:dyDescent="0.25">
      <c r="A272" s="6" t="s">
        <v>1477</v>
      </c>
      <c r="B272" s="3">
        <v>48</v>
      </c>
      <c r="C272" s="8">
        <v>1.4625228519195612E-2</v>
      </c>
      <c r="D272" s="3">
        <v>8</v>
      </c>
      <c r="E272" s="3">
        <v>0</v>
      </c>
    </row>
    <row r="273" spans="1:5" x14ac:dyDescent="0.25">
      <c r="A273" s="7" t="s">
        <v>812</v>
      </c>
      <c r="B273" s="3">
        <v>24</v>
      </c>
      <c r="C273" s="8">
        <v>7.3126142595978062E-3</v>
      </c>
      <c r="D273" s="3">
        <v>4</v>
      </c>
      <c r="E273" s="3">
        <v>0</v>
      </c>
    </row>
    <row r="274" spans="1:5" x14ac:dyDescent="0.25">
      <c r="A274" s="7" t="s">
        <v>808</v>
      </c>
      <c r="B274" s="3">
        <v>12</v>
      </c>
      <c r="C274" s="8">
        <v>3.6563071297989031E-3</v>
      </c>
      <c r="D274" s="3">
        <v>2</v>
      </c>
      <c r="E274" s="3">
        <v>0</v>
      </c>
    </row>
    <row r="275" spans="1:5" x14ac:dyDescent="0.25">
      <c r="A275" s="7" t="s">
        <v>807</v>
      </c>
      <c r="B275" s="3">
        <v>12</v>
      </c>
      <c r="C275" s="8">
        <v>3.6563071297989031E-3</v>
      </c>
      <c r="D275" s="3">
        <v>2</v>
      </c>
      <c r="E275" s="3">
        <v>0</v>
      </c>
    </row>
    <row r="276" spans="1:5" x14ac:dyDescent="0.25">
      <c r="A276" s="5" t="s">
        <v>37</v>
      </c>
      <c r="B276" s="3">
        <v>75</v>
      </c>
      <c r="C276" s="8">
        <v>4.5703839122486288E-2</v>
      </c>
      <c r="D276" s="3">
        <v>25</v>
      </c>
      <c r="E276" s="3">
        <v>0</v>
      </c>
    </row>
    <row r="277" spans="1:5" x14ac:dyDescent="0.25">
      <c r="A277" s="6" t="s">
        <v>1482</v>
      </c>
      <c r="B277" s="3">
        <v>15</v>
      </c>
      <c r="C277" s="8">
        <v>9.140767824497258E-3</v>
      </c>
      <c r="D277" s="3">
        <v>5</v>
      </c>
      <c r="E277" s="3">
        <v>0</v>
      </c>
    </row>
    <row r="278" spans="1:5" x14ac:dyDescent="0.25">
      <c r="A278" s="7" t="s">
        <v>808</v>
      </c>
      <c r="B278" s="3">
        <v>9</v>
      </c>
      <c r="C278" s="8">
        <v>5.4844606946983544E-3</v>
      </c>
      <c r="D278" s="3">
        <v>3</v>
      </c>
      <c r="E278" s="3">
        <v>0</v>
      </c>
    </row>
    <row r="279" spans="1:5" x14ac:dyDescent="0.25">
      <c r="A279" s="7" t="s">
        <v>807</v>
      </c>
      <c r="B279" s="3">
        <v>6</v>
      </c>
      <c r="C279" s="8">
        <v>3.6563071297989031E-3</v>
      </c>
      <c r="D279" s="3">
        <v>2</v>
      </c>
      <c r="E279" s="3">
        <v>0</v>
      </c>
    </row>
    <row r="280" spans="1:5" x14ac:dyDescent="0.25">
      <c r="A280" s="6" t="s">
        <v>1480</v>
      </c>
      <c r="B280" s="3">
        <v>27</v>
      </c>
      <c r="C280" s="8">
        <v>1.6453382084095063E-2</v>
      </c>
      <c r="D280" s="3">
        <v>9</v>
      </c>
      <c r="E280" s="3">
        <v>0</v>
      </c>
    </row>
    <row r="281" spans="1:5" x14ac:dyDescent="0.25">
      <c r="A281" s="7" t="s">
        <v>812</v>
      </c>
      <c r="B281" s="3">
        <v>6</v>
      </c>
      <c r="C281" s="8">
        <v>3.6563071297989031E-3</v>
      </c>
      <c r="D281" s="3">
        <v>2</v>
      </c>
      <c r="E281" s="3">
        <v>0</v>
      </c>
    </row>
    <row r="282" spans="1:5" x14ac:dyDescent="0.25">
      <c r="A282" s="7" t="s">
        <v>808</v>
      </c>
      <c r="B282" s="3">
        <v>3</v>
      </c>
      <c r="C282" s="8">
        <v>1.8281535648994515E-3</v>
      </c>
      <c r="D282" s="3">
        <v>1</v>
      </c>
      <c r="E282" s="3">
        <v>0</v>
      </c>
    </row>
    <row r="283" spans="1:5" x14ac:dyDescent="0.25">
      <c r="A283" s="7" t="s">
        <v>807</v>
      </c>
      <c r="B283" s="3">
        <v>18</v>
      </c>
      <c r="C283" s="8">
        <v>1.0968921389396709E-2</v>
      </c>
      <c r="D283" s="3">
        <v>6</v>
      </c>
      <c r="E283" s="3">
        <v>0</v>
      </c>
    </row>
    <row r="284" spans="1:5" x14ac:dyDescent="0.25">
      <c r="A284" s="6" t="s">
        <v>1477</v>
      </c>
      <c r="B284" s="3">
        <v>33</v>
      </c>
      <c r="C284" s="8">
        <v>2.0109689213893969E-2</v>
      </c>
      <c r="D284" s="3">
        <v>11</v>
      </c>
      <c r="E284" s="3">
        <v>0</v>
      </c>
    </row>
    <row r="285" spans="1:5" x14ac:dyDescent="0.25">
      <c r="A285" s="7" t="s">
        <v>812</v>
      </c>
      <c r="B285" s="3">
        <v>9</v>
      </c>
      <c r="C285" s="8">
        <v>5.4844606946983544E-3</v>
      </c>
      <c r="D285" s="3">
        <v>3</v>
      </c>
      <c r="E285" s="3">
        <v>0</v>
      </c>
    </row>
    <row r="286" spans="1:5" x14ac:dyDescent="0.25">
      <c r="A286" s="7" t="s">
        <v>808</v>
      </c>
      <c r="B286" s="3">
        <v>9</v>
      </c>
      <c r="C286" s="8">
        <v>5.4844606946983544E-3</v>
      </c>
      <c r="D286" s="3">
        <v>3</v>
      </c>
      <c r="E286" s="3">
        <v>0</v>
      </c>
    </row>
    <row r="287" spans="1:5" x14ac:dyDescent="0.25">
      <c r="A287" s="7" t="s">
        <v>807</v>
      </c>
      <c r="B287" s="3">
        <v>15</v>
      </c>
      <c r="C287" s="8">
        <v>9.140767824497258E-3</v>
      </c>
      <c r="D287" s="3">
        <v>5</v>
      </c>
      <c r="E287" s="3">
        <v>0</v>
      </c>
    </row>
    <row r="288" spans="1:5" x14ac:dyDescent="0.25">
      <c r="A288" s="5" t="s">
        <v>73</v>
      </c>
      <c r="B288" s="3">
        <v>54</v>
      </c>
      <c r="C288" s="8">
        <v>3.2906764168190127E-2</v>
      </c>
      <c r="D288" s="3">
        <v>18</v>
      </c>
      <c r="E288" s="3">
        <v>0</v>
      </c>
    </row>
    <row r="289" spans="1:5" x14ac:dyDescent="0.25">
      <c r="A289" s="6" t="s">
        <v>1482</v>
      </c>
      <c r="B289" s="3">
        <v>18</v>
      </c>
      <c r="C289" s="8">
        <v>1.0968921389396709E-2</v>
      </c>
      <c r="D289" s="3">
        <v>6</v>
      </c>
      <c r="E289" s="3">
        <v>0</v>
      </c>
    </row>
    <row r="290" spans="1:5" x14ac:dyDescent="0.25">
      <c r="A290" s="7" t="s">
        <v>812</v>
      </c>
      <c r="B290" s="3">
        <v>3</v>
      </c>
      <c r="C290" s="8">
        <v>1.8281535648994515E-3</v>
      </c>
      <c r="D290" s="3">
        <v>1</v>
      </c>
      <c r="E290" s="3">
        <v>0</v>
      </c>
    </row>
    <row r="291" spans="1:5" x14ac:dyDescent="0.25">
      <c r="A291" s="7" t="s">
        <v>808</v>
      </c>
      <c r="B291" s="3">
        <v>3</v>
      </c>
      <c r="C291" s="8">
        <v>1.8281535648994515E-3</v>
      </c>
      <c r="D291" s="3">
        <v>1</v>
      </c>
      <c r="E291" s="3">
        <v>0</v>
      </c>
    </row>
    <row r="292" spans="1:5" x14ac:dyDescent="0.25">
      <c r="A292" s="7" t="s">
        <v>807</v>
      </c>
      <c r="B292" s="3">
        <v>12</v>
      </c>
      <c r="C292" s="8">
        <v>7.3126142595978062E-3</v>
      </c>
      <c r="D292" s="3">
        <v>4</v>
      </c>
      <c r="E292" s="3">
        <v>0</v>
      </c>
    </row>
    <row r="293" spans="1:5" x14ac:dyDescent="0.25">
      <c r="A293" s="6" t="s">
        <v>1480</v>
      </c>
      <c r="B293" s="3">
        <v>15</v>
      </c>
      <c r="C293" s="8">
        <v>9.140767824497258E-3</v>
      </c>
      <c r="D293" s="3">
        <v>5</v>
      </c>
      <c r="E293" s="3">
        <v>0</v>
      </c>
    </row>
    <row r="294" spans="1:5" x14ac:dyDescent="0.25">
      <c r="A294" s="7" t="s">
        <v>812</v>
      </c>
      <c r="B294" s="3">
        <v>6</v>
      </c>
      <c r="C294" s="8">
        <v>3.6563071297989031E-3</v>
      </c>
      <c r="D294" s="3">
        <v>2</v>
      </c>
      <c r="E294" s="3">
        <v>0</v>
      </c>
    </row>
    <row r="295" spans="1:5" x14ac:dyDescent="0.25">
      <c r="A295" s="7" t="s">
        <v>808</v>
      </c>
      <c r="B295" s="3">
        <v>6</v>
      </c>
      <c r="C295" s="8">
        <v>3.6563071297989031E-3</v>
      </c>
      <c r="D295" s="3">
        <v>2</v>
      </c>
      <c r="E295" s="3">
        <v>0</v>
      </c>
    </row>
    <row r="296" spans="1:5" x14ac:dyDescent="0.25">
      <c r="A296" s="7" t="s">
        <v>807</v>
      </c>
      <c r="B296" s="3">
        <v>3</v>
      </c>
      <c r="C296" s="8">
        <v>1.8281535648994515E-3</v>
      </c>
      <c r="D296" s="3">
        <v>1</v>
      </c>
      <c r="E296" s="3">
        <v>0</v>
      </c>
    </row>
    <row r="297" spans="1:5" x14ac:dyDescent="0.25">
      <c r="A297" s="6" t="s">
        <v>1477</v>
      </c>
      <c r="B297" s="3">
        <v>21</v>
      </c>
      <c r="C297" s="8">
        <v>1.2797074954296161E-2</v>
      </c>
      <c r="D297" s="3">
        <v>7</v>
      </c>
      <c r="E297" s="3">
        <v>0</v>
      </c>
    </row>
    <row r="298" spans="1:5" x14ac:dyDescent="0.25">
      <c r="A298" s="7" t="s">
        <v>812</v>
      </c>
      <c r="B298" s="3">
        <v>6</v>
      </c>
      <c r="C298" s="8">
        <v>3.6563071297989031E-3</v>
      </c>
      <c r="D298" s="3">
        <v>2</v>
      </c>
      <c r="E298" s="3">
        <v>0</v>
      </c>
    </row>
    <row r="299" spans="1:5" x14ac:dyDescent="0.25">
      <c r="A299" s="7" t="s">
        <v>808</v>
      </c>
      <c r="B299" s="3">
        <v>12</v>
      </c>
      <c r="C299" s="8">
        <v>7.3126142595978062E-3</v>
      </c>
      <c r="D299" s="3">
        <v>4</v>
      </c>
      <c r="E299" s="3">
        <v>0</v>
      </c>
    </row>
    <row r="300" spans="1:5" x14ac:dyDescent="0.25">
      <c r="A300" s="7" t="s">
        <v>807</v>
      </c>
      <c r="B300" s="3">
        <v>3</v>
      </c>
      <c r="C300" s="8">
        <v>1.8281535648994515E-3</v>
      </c>
      <c r="D300" s="3">
        <v>1</v>
      </c>
      <c r="E300" s="3">
        <v>0</v>
      </c>
    </row>
    <row r="301" spans="1:5" x14ac:dyDescent="0.25">
      <c r="A301" s="5" t="s">
        <v>13</v>
      </c>
      <c r="B301" s="3">
        <v>60</v>
      </c>
      <c r="C301" s="8">
        <v>3.6563071297989032E-2</v>
      </c>
      <c r="D301" s="3">
        <v>20</v>
      </c>
      <c r="E301" s="3">
        <v>16054.199999999993</v>
      </c>
    </row>
    <row r="302" spans="1:5" x14ac:dyDescent="0.25">
      <c r="A302" s="6" t="s">
        <v>1482</v>
      </c>
      <c r="B302" s="3">
        <v>15</v>
      </c>
      <c r="C302" s="8">
        <v>9.140767824497258E-3</v>
      </c>
      <c r="D302" s="3">
        <v>5</v>
      </c>
      <c r="E302" s="3">
        <v>4013.55</v>
      </c>
    </row>
    <row r="303" spans="1:5" x14ac:dyDescent="0.25">
      <c r="A303" s="7" t="s">
        <v>812</v>
      </c>
      <c r="B303" s="3">
        <v>9</v>
      </c>
      <c r="C303" s="8">
        <v>5.4844606946983544E-3</v>
      </c>
      <c r="D303" s="3">
        <v>3</v>
      </c>
      <c r="E303" s="3">
        <v>2408.13</v>
      </c>
    </row>
    <row r="304" spans="1:5" x14ac:dyDescent="0.25">
      <c r="A304" s="7" t="s">
        <v>808</v>
      </c>
      <c r="B304" s="3">
        <v>6</v>
      </c>
      <c r="C304" s="8">
        <v>3.6563071297989031E-3</v>
      </c>
      <c r="D304" s="3">
        <v>2</v>
      </c>
      <c r="E304" s="3">
        <v>1605.42</v>
      </c>
    </row>
    <row r="305" spans="1:5" x14ac:dyDescent="0.25">
      <c r="A305" s="6" t="s">
        <v>1480</v>
      </c>
      <c r="B305" s="3">
        <v>15</v>
      </c>
      <c r="C305" s="8">
        <v>9.140767824497258E-3</v>
      </c>
      <c r="D305" s="3">
        <v>5</v>
      </c>
      <c r="E305" s="3">
        <v>4013.55</v>
      </c>
    </row>
    <row r="306" spans="1:5" x14ac:dyDescent="0.25">
      <c r="A306" s="7" t="s">
        <v>808</v>
      </c>
      <c r="B306" s="3">
        <v>9</v>
      </c>
      <c r="C306" s="8">
        <v>5.4844606946983544E-3</v>
      </c>
      <c r="D306" s="3">
        <v>3</v>
      </c>
      <c r="E306" s="3">
        <v>2408.13</v>
      </c>
    </row>
    <row r="307" spans="1:5" x14ac:dyDescent="0.25">
      <c r="A307" s="7" t="s">
        <v>807</v>
      </c>
      <c r="B307" s="3">
        <v>6</v>
      </c>
      <c r="C307" s="8">
        <v>3.6563071297989031E-3</v>
      </c>
      <c r="D307" s="3">
        <v>2</v>
      </c>
      <c r="E307" s="3">
        <v>1605.42</v>
      </c>
    </row>
    <row r="308" spans="1:5" x14ac:dyDescent="0.25">
      <c r="A308" s="6" t="s">
        <v>1477</v>
      </c>
      <c r="B308" s="3">
        <v>30</v>
      </c>
      <c r="C308" s="8">
        <v>1.8281535648994516E-2</v>
      </c>
      <c r="D308" s="3">
        <v>10</v>
      </c>
      <c r="E308" s="3">
        <v>8027.1</v>
      </c>
    </row>
    <row r="309" spans="1:5" x14ac:dyDescent="0.25">
      <c r="A309" s="7" t="s">
        <v>812</v>
      </c>
      <c r="B309" s="3">
        <v>9</v>
      </c>
      <c r="C309" s="8">
        <v>5.4844606946983544E-3</v>
      </c>
      <c r="D309" s="3">
        <v>3</v>
      </c>
      <c r="E309" s="3">
        <v>2408.13</v>
      </c>
    </row>
    <row r="310" spans="1:5" x14ac:dyDescent="0.25">
      <c r="A310" s="7" t="s">
        <v>808</v>
      </c>
      <c r="B310" s="3">
        <v>6</v>
      </c>
      <c r="C310" s="8">
        <v>3.6563071297989031E-3</v>
      </c>
      <c r="D310" s="3">
        <v>2</v>
      </c>
      <c r="E310" s="3">
        <v>1605.42</v>
      </c>
    </row>
    <row r="311" spans="1:5" x14ac:dyDescent="0.25">
      <c r="A311" s="7" t="s">
        <v>807</v>
      </c>
      <c r="B311" s="3">
        <v>15</v>
      </c>
      <c r="C311" s="8">
        <v>9.140767824497258E-3</v>
      </c>
      <c r="D311" s="3">
        <v>5</v>
      </c>
      <c r="E311" s="3">
        <v>4013.55</v>
      </c>
    </row>
    <row r="312" spans="1:5" x14ac:dyDescent="0.25">
      <c r="A312" s="5" t="s">
        <v>1676</v>
      </c>
      <c r="B312" s="3">
        <v>2865</v>
      </c>
      <c r="C312" s="8">
        <v>1</v>
      </c>
      <c r="D312" s="3">
        <v>547</v>
      </c>
      <c r="E312" s="3">
        <v>90573.110000000161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CC48-5E06-4E5B-898F-B9146FA76BA1}">
  <dimension ref="A1:W548"/>
  <sheetViews>
    <sheetView topLeftCell="A2" workbookViewId="0">
      <selection activeCell="N2" sqref="N2"/>
    </sheetView>
  </sheetViews>
  <sheetFormatPr defaultRowHeight="15" x14ac:dyDescent="0.25"/>
  <cols>
    <col min="1" max="2" width="21.5703125" bestFit="1" customWidth="1"/>
    <col min="3" max="3" width="9.28515625" bestFit="1" customWidth="1"/>
    <col min="4" max="4" width="19.140625" bestFit="1" customWidth="1"/>
    <col min="5" max="5" width="18.7109375" bestFit="1" customWidth="1"/>
    <col min="6" max="6" width="17" customWidth="1"/>
    <col min="7" max="7" width="10.7109375" bestFit="1" customWidth="1"/>
    <col min="8" max="8" width="11.85546875" bestFit="1" customWidth="1"/>
    <col min="9" max="9" width="14" bestFit="1" customWidth="1"/>
    <col min="10" max="10" width="16.140625" bestFit="1" customWidth="1"/>
    <col min="11" max="11" width="11.85546875" bestFit="1" customWidth="1"/>
    <col min="12" max="12" width="18.42578125" bestFit="1" customWidth="1"/>
    <col min="13" max="13" width="17.85546875" bestFit="1" customWidth="1"/>
    <col min="14" max="14" width="28.85546875" bestFit="1" customWidth="1"/>
    <col min="15" max="15" width="19.7109375" bestFit="1" customWidth="1"/>
    <col min="16" max="16" width="25.42578125" customWidth="1"/>
    <col min="17" max="17" width="36.140625" customWidth="1"/>
    <col min="18" max="18" width="36.28515625" customWidth="1"/>
    <col min="19" max="19" width="31.42578125" customWidth="1"/>
    <col min="20" max="20" width="23.7109375" customWidth="1"/>
    <col min="21" max="21" width="20.7109375" customWidth="1"/>
    <col min="22" max="22" width="17.140625" customWidth="1"/>
    <col min="23" max="23" width="18.28515625" customWidth="1"/>
  </cols>
  <sheetData>
    <row r="1" spans="1:23" x14ac:dyDescent="0.25">
      <c r="A1" t="s">
        <v>801</v>
      </c>
      <c r="B1" t="s">
        <v>802</v>
      </c>
      <c r="C1" t="s">
        <v>803</v>
      </c>
      <c r="D1" t="s">
        <v>804</v>
      </c>
      <c r="E1" t="s">
        <v>805</v>
      </c>
      <c r="F1" t="s">
        <v>1667</v>
      </c>
      <c r="G1" t="s">
        <v>1473</v>
      </c>
      <c r="H1" t="s">
        <v>1474</v>
      </c>
      <c r="I1" t="s">
        <v>1475</v>
      </c>
      <c r="J1" t="s">
        <v>1476</v>
      </c>
      <c r="K1" t="s">
        <v>1666</v>
      </c>
      <c r="L1" t="s">
        <v>1661</v>
      </c>
      <c r="M1" t="s">
        <v>1662</v>
      </c>
      <c r="N1" t="s">
        <v>1663</v>
      </c>
      <c r="O1" t="s">
        <v>1664</v>
      </c>
      <c r="P1" t="s">
        <v>1665</v>
      </c>
      <c r="Q1" t="s">
        <v>1668</v>
      </c>
      <c r="R1" t="s">
        <v>1669</v>
      </c>
      <c r="S1" t="s">
        <v>1670</v>
      </c>
      <c r="T1" t="s">
        <v>1671</v>
      </c>
      <c r="U1" t="s">
        <v>1672</v>
      </c>
      <c r="V1" t="s">
        <v>1673</v>
      </c>
      <c r="W1" t="s">
        <v>1674</v>
      </c>
    </row>
    <row r="2" spans="1:23" x14ac:dyDescent="0.25">
      <c r="A2" s="1">
        <v>45200</v>
      </c>
      <c r="B2" s="2">
        <v>0.91388888888888886</v>
      </c>
      <c r="C2" t="s">
        <v>947</v>
      </c>
      <c r="D2">
        <v>87</v>
      </c>
      <c r="E2" t="s">
        <v>807</v>
      </c>
      <c r="F2" t="s">
        <v>35</v>
      </c>
      <c r="G2">
        <v>3.175935</v>
      </c>
      <c r="H2">
        <v>16.862832000000001</v>
      </c>
      <c r="I2" t="s">
        <v>1477</v>
      </c>
      <c r="J2" t="s">
        <v>1478</v>
      </c>
      <c r="K2" t="s">
        <v>34</v>
      </c>
      <c r="L2">
        <v>35</v>
      </c>
      <c r="M2" t="s">
        <v>14</v>
      </c>
      <c r="N2">
        <v>465</v>
      </c>
      <c r="O2">
        <v>58.59</v>
      </c>
      <c r="P2">
        <v>5</v>
      </c>
      <c r="Q2">
        <f>_26_03_2026_Log_Reseau_v15_7[[#This Row],[Durée cumulée_panne_minu]]/60</f>
        <v>7.75</v>
      </c>
      <c r="R2">
        <f>ROUND(_26_03_2026_Log_Reseau_v15_7[[#This Row],[Durée_cumulée _ panne_en heure]],0)</f>
        <v>8</v>
      </c>
      <c r="S2">
        <f>_26_03_2026_Log_Reseau_v15_7[[#This Row],[Anciennété_mois]]/12</f>
        <v>2.9166666666666665</v>
      </c>
      <c r="T2">
        <f>ROUND(_26_03_2026_Log_Reseau_v15_7[[#This Row],[anciennete_ en année]],0)</f>
        <v>3</v>
      </c>
      <c r="U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2" s="3">
        <f>ROUND(_26_03_2026_Log_Reseau_v15_7[[#This Row],[remise 10%_70%_45%]],0)</f>
        <v>6</v>
      </c>
      <c r="W2" s="3">
        <f>_26_03_2026_Log_Reseau_v15_7[[#This Row],[Facture mensuelle]]*_26_03_2026_Log_Reseau_v15_7[[#This Row],[remise 10_70_45]]</f>
        <v>351.54</v>
      </c>
    </row>
    <row r="3" spans="1:23" x14ac:dyDescent="0.25">
      <c r="A3" s="1">
        <v>45200</v>
      </c>
      <c r="B3" s="2">
        <v>0.46666666666666667</v>
      </c>
      <c r="C3" t="s">
        <v>978</v>
      </c>
      <c r="D3">
        <v>31</v>
      </c>
      <c r="E3" t="s">
        <v>808</v>
      </c>
      <c r="F3" t="s">
        <v>67</v>
      </c>
      <c r="G3">
        <v>-9.5619429999999994</v>
      </c>
      <c r="H3">
        <v>21.445726000000001</v>
      </c>
      <c r="I3" t="s">
        <v>1480</v>
      </c>
      <c r="J3" t="s">
        <v>1490</v>
      </c>
      <c r="K3" t="s">
        <v>66</v>
      </c>
      <c r="L3">
        <v>101</v>
      </c>
      <c r="M3" t="s">
        <v>14</v>
      </c>
      <c r="N3">
        <v>176</v>
      </c>
      <c r="O3">
        <v>86</v>
      </c>
      <c r="P3">
        <v>3</v>
      </c>
      <c r="Q3">
        <f>_26_03_2026_Log_Reseau_v15_7[[#This Row],[Durée cumulée_panne_minu]]/60</f>
        <v>2.9333333333333331</v>
      </c>
      <c r="R3">
        <f>ROUND(_26_03_2026_Log_Reseau_v15_7[[#This Row],[Durée_cumulée _ panne_en heure]],0)</f>
        <v>3</v>
      </c>
      <c r="S3">
        <f>_26_03_2026_Log_Reseau_v15_7[[#This Row],[Anciennété_mois]]/12</f>
        <v>8.4166666666666661</v>
      </c>
      <c r="T3">
        <f>ROUND(_26_03_2026_Log_Reseau_v15_7[[#This Row],[anciennete_ en année]],0)</f>
        <v>8</v>
      </c>
      <c r="U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3" s="3">
        <f>ROUND(_26_03_2026_Log_Reseau_v15_7[[#This Row],[remise 10%_70%_45%]],0)</f>
        <v>9</v>
      </c>
      <c r="W3" s="3">
        <f>_26_03_2026_Log_Reseau_v15_7[[#This Row],[Facture mensuelle]]*_26_03_2026_Log_Reseau_v15_7[[#This Row],[remise 10_70_45]]</f>
        <v>774</v>
      </c>
    </row>
    <row r="4" spans="1:23" x14ac:dyDescent="0.25">
      <c r="A4" s="1">
        <v>45200</v>
      </c>
      <c r="B4" s="2">
        <v>0.52569444444444446</v>
      </c>
      <c r="C4" t="s">
        <v>988</v>
      </c>
      <c r="D4">
        <v>88</v>
      </c>
      <c r="E4" t="s">
        <v>812</v>
      </c>
      <c r="F4" t="s">
        <v>64</v>
      </c>
      <c r="G4">
        <v>-1.6097570000000001</v>
      </c>
      <c r="H4">
        <v>30.661662</v>
      </c>
      <c r="I4" t="s">
        <v>1480</v>
      </c>
      <c r="J4" t="s">
        <v>1478</v>
      </c>
      <c r="K4" t="s">
        <v>63</v>
      </c>
      <c r="L4">
        <v>79</v>
      </c>
      <c r="M4" t="s">
        <v>11</v>
      </c>
      <c r="N4">
        <v>226</v>
      </c>
      <c r="O4">
        <v>94.38</v>
      </c>
      <c r="P4">
        <v>3</v>
      </c>
      <c r="Q4">
        <f>_26_03_2026_Log_Reseau_v15_7[[#This Row],[Durée cumulée_panne_minu]]/60</f>
        <v>3.7666666666666666</v>
      </c>
      <c r="R4">
        <f>ROUND(_26_03_2026_Log_Reseau_v15_7[[#This Row],[Durée_cumulée _ panne_en heure]],0)</f>
        <v>4</v>
      </c>
      <c r="S4">
        <f>_26_03_2026_Log_Reseau_v15_7[[#This Row],[Anciennété_mois]]/12</f>
        <v>6.583333333333333</v>
      </c>
      <c r="T4">
        <f>ROUND(_26_03_2026_Log_Reseau_v15_7[[#This Row],[anciennete_ en année]],0)</f>
        <v>7</v>
      </c>
      <c r="U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" s="3">
        <f>ROUND(_26_03_2026_Log_Reseau_v15_7[[#This Row],[remise 10%_70%_45%]],0)</f>
        <v>0</v>
      </c>
      <c r="W4" s="3">
        <f>_26_03_2026_Log_Reseau_v15_7[[#This Row],[Facture mensuelle]]*_26_03_2026_Log_Reseau_v15_7[[#This Row],[remise 10_70_45]]</f>
        <v>0</v>
      </c>
    </row>
    <row r="5" spans="1:23" x14ac:dyDescent="0.25">
      <c r="A5" s="1">
        <v>45200</v>
      </c>
      <c r="B5" s="2">
        <v>0.51458333333333328</v>
      </c>
      <c r="C5" t="s">
        <v>991</v>
      </c>
      <c r="D5">
        <v>24</v>
      </c>
      <c r="E5" t="s">
        <v>812</v>
      </c>
      <c r="F5" t="s">
        <v>13</v>
      </c>
      <c r="G5">
        <v>-11.622688999999999</v>
      </c>
      <c r="H5">
        <v>18.483874</v>
      </c>
      <c r="I5" t="s">
        <v>1477</v>
      </c>
      <c r="J5" t="s">
        <v>1483</v>
      </c>
      <c r="K5" t="s">
        <v>12</v>
      </c>
      <c r="L5">
        <v>63</v>
      </c>
      <c r="M5" t="s">
        <v>14</v>
      </c>
      <c r="N5">
        <v>205</v>
      </c>
      <c r="O5">
        <v>89.19</v>
      </c>
      <c r="P5">
        <v>0</v>
      </c>
      <c r="Q5">
        <f>_26_03_2026_Log_Reseau_v15_7[[#This Row],[Durée cumulée_panne_minu]]/60</f>
        <v>3.4166666666666665</v>
      </c>
      <c r="R5">
        <f>ROUND(_26_03_2026_Log_Reseau_v15_7[[#This Row],[Durée_cumulée _ panne_en heure]],0)</f>
        <v>3</v>
      </c>
      <c r="S5">
        <f>_26_03_2026_Log_Reseau_v15_7[[#This Row],[Anciennété_mois]]/12</f>
        <v>5.25</v>
      </c>
      <c r="T5">
        <f>ROUND(_26_03_2026_Log_Reseau_v15_7[[#This Row],[anciennete_ en année]],0)</f>
        <v>5</v>
      </c>
      <c r="U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5" s="3">
        <f>ROUND(_26_03_2026_Log_Reseau_v15_7[[#This Row],[remise 10%_70%_45%]],0)</f>
        <v>9</v>
      </c>
      <c r="W5" s="3">
        <f>_26_03_2026_Log_Reseau_v15_7[[#This Row],[Facture mensuelle]]*_26_03_2026_Log_Reseau_v15_7[[#This Row],[remise 10_70_45]]</f>
        <v>802.71</v>
      </c>
    </row>
    <row r="6" spans="1:23" x14ac:dyDescent="0.25">
      <c r="A6" s="1">
        <v>45200</v>
      </c>
      <c r="B6" s="2">
        <v>0.57013888888888886</v>
      </c>
      <c r="C6" t="s">
        <v>1069</v>
      </c>
      <c r="D6">
        <v>53</v>
      </c>
      <c r="E6" t="s">
        <v>812</v>
      </c>
      <c r="F6" t="s">
        <v>62</v>
      </c>
      <c r="G6">
        <v>2.8552499999999998</v>
      </c>
      <c r="H6">
        <v>14.077933</v>
      </c>
      <c r="I6" t="s">
        <v>1480</v>
      </c>
      <c r="J6" t="s">
        <v>1483</v>
      </c>
      <c r="K6" t="s">
        <v>61</v>
      </c>
      <c r="L6">
        <v>101</v>
      </c>
      <c r="M6" t="s">
        <v>14</v>
      </c>
      <c r="N6">
        <v>333</v>
      </c>
      <c r="O6">
        <v>74.319999999999993</v>
      </c>
      <c r="P6">
        <v>1</v>
      </c>
      <c r="Q6">
        <f>_26_03_2026_Log_Reseau_v15_7[[#This Row],[Durée cumulée_panne_minu]]/60</f>
        <v>5.55</v>
      </c>
      <c r="R6">
        <f>ROUND(_26_03_2026_Log_Reseau_v15_7[[#This Row],[Durée_cumulée _ panne_en heure]],0)</f>
        <v>6</v>
      </c>
      <c r="S6">
        <f>_26_03_2026_Log_Reseau_v15_7[[#This Row],[Anciennété_mois]]/12</f>
        <v>8.4166666666666661</v>
      </c>
      <c r="T6">
        <f>ROUND(_26_03_2026_Log_Reseau_v15_7[[#This Row],[anciennete_ en année]],0)</f>
        <v>8</v>
      </c>
      <c r="U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6" s="3">
        <f>ROUND(_26_03_2026_Log_Reseau_v15_7[[#This Row],[remise 10%_70%_45%]],0)</f>
        <v>7</v>
      </c>
      <c r="W6" s="3">
        <f>_26_03_2026_Log_Reseau_v15_7[[#This Row],[Facture mensuelle]]*_26_03_2026_Log_Reseau_v15_7[[#This Row],[remise 10_70_45]]</f>
        <v>520.24</v>
      </c>
    </row>
    <row r="7" spans="1:23" x14ac:dyDescent="0.25">
      <c r="A7" s="1">
        <v>45200</v>
      </c>
      <c r="B7" s="2">
        <v>0.51111111111111107</v>
      </c>
      <c r="C7" t="s">
        <v>1085</v>
      </c>
      <c r="D7">
        <v>22</v>
      </c>
      <c r="E7" t="s">
        <v>812</v>
      </c>
      <c r="F7" t="s">
        <v>51</v>
      </c>
      <c r="G7">
        <v>-10.939712999999999</v>
      </c>
      <c r="H7">
        <v>18.276230999999999</v>
      </c>
      <c r="I7" t="s">
        <v>1480</v>
      </c>
      <c r="J7" t="s">
        <v>1483</v>
      </c>
      <c r="K7" t="s">
        <v>50</v>
      </c>
      <c r="L7">
        <v>119</v>
      </c>
      <c r="M7" t="s">
        <v>22</v>
      </c>
      <c r="N7">
        <v>228</v>
      </c>
      <c r="O7">
        <v>94.72</v>
      </c>
      <c r="P7">
        <v>3</v>
      </c>
      <c r="Q7">
        <f>_26_03_2026_Log_Reseau_v15_7[[#This Row],[Durée cumulée_panne_minu]]/60</f>
        <v>3.8</v>
      </c>
      <c r="R7">
        <f>ROUND(_26_03_2026_Log_Reseau_v15_7[[#This Row],[Durée_cumulée _ panne_en heure]],0)</f>
        <v>4</v>
      </c>
      <c r="S7">
        <f>_26_03_2026_Log_Reseau_v15_7[[#This Row],[Anciennété_mois]]/12</f>
        <v>9.9166666666666661</v>
      </c>
      <c r="T7">
        <f>ROUND(_26_03_2026_Log_Reseau_v15_7[[#This Row],[anciennete_ en année]],0)</f>
        <v>10</v>
      </c>
      <c r="U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7" s="3">
        <f>ROUND(_26_03_2026_Log_Reseau_v15_7[[#This Row],[remise 10%_70%_45%]],0)</f>
        <v>0</v>
      </c>
      <c r="W7" s="3">
        <f>_26_03_2026_Log_Reseau_v15_7[[#This Row],[Facture mensuelle]]*_26_03_2026_Log_Reseau_v15_7[[#This Row],[remise 10_70_45]]</f>
        <v>0</v>
      </c>
    </row>
    <row r="8" spans="1:23" x14ac:dyDescent="0.25">
      <c r="A8" s="1">
        <v>45200</v>
      </c>
      <c r="B8" s="2">
        <v>0.83263888888888893</v>
      </c>
      <c r="C8" t="s">
        <v>1114</v>
      </c>
      <c r="D8">
        <v>27</v>
      </c>
      <c r="E8" t="s">
        <v>807</v>
      </c>
      <c r="F8" t="s">
        <v>21</v>
      </c>
      <c r="G8">
        <v>1.2419519999999999</v>
      </c>
      <c r="H8">
        <v>25.261382999999999</v>
      </c>
      <c r="I8" t="s">
        <v>1480</v>
      </c>
      <c r="J8" t="s">
        <v>1481</v>
      </c>
      <c r="K8" t="s">
        <v>20</v>
      </c>
      <c r="L8">
        <v>101</v>
      </c>
      <c r="M8" t="s">
        <v>22</v>
      </c>
      <c r="N8">
        <v>358</v>
      </c>
      <c r="O8">
        <v>29.24</v>
      </c>
      <c r="P8">
        <v>3</v>
      </c>
      <c r="Q8">
        <f>_26_03_2026_Log_Reseau_v15_7[[#This Row],[Durée cumulée_panne_minu]]/60</f>
        <v>5.9666666666666668</v>
      </c>
      <c r="R8">
        <f>ROUND(_26_03_2026_Log_Reseau_v15_7[[#This Row],[Durée_cumulée _ panne_en heure]],0)</f>
        <v>6</v>
      </c>
      <c r="S8">
        <f>_26_03_2026_Log_Reseau_v15_7[[#This Row],[Anciennété_mois]]/12</f>
        <v>8.4166666666666661</v>
      </c>
      <c r="T8">
        <f>ROUND(_26_03_2026_Log_Reseau_v15_7[[#This Row],[anciennete_ en année]],0)</f>
        <v>8</v>
      </c>
      <c r="U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8" s="3">
        <f>ROUND(_26_03_2026_Log_Reseau_v15_7[[#This Row],[remise 10%_70%_45%]],0)</f>
        <v>0</v>
      </c>
      <c r="W8" s="3">
        <f>_26_03_2026_Log_Reseau_v15_7[[#This Row],[Facture mensuelle]]*_26_03_2026_Log_Reseau_v15_7[[#This Row],[remise 10_70_45]]</f>
        <v>0</v>
      </c>
    </row>
    <row r="9" spans="1:23" x14ac:dyDescent="0.25">
      <c r="A9" s="1">
        <v>45200</v>
      </c>
      <c r="B9" s="2">
        <v>0.50624999999999998</v>
      </c>
      <c r="C9" t="s">
        <v>1201</v>
      </c>
      <c r="D9">
        <v>99</v>
      </c>
      <c r="E9" t="s">
        <v>807</v>
      </c>
      <c r="F9" t="s">
        <v>24</v>
      </c>
      <c r="G9">
        <v>-10.945031</v>
      </c>
      <c r="H9">
        <v>27.922274000000002</v>
      </c>
      <c r="I9" t="s">
        <v>1480</v>
      </c>
      <c r="J9" t="s">
        <v>1478</v>
      </c>
      <c r="K9" t="s">
        <v>23</v>
      </c>
      <c r="L9">
        <v>46</v>
      </c>
      <c r="M9" t="s">
        <v>11</v>
      </c>
      <c r="N9">
        <v>283</v>
      </c>
      <c r="O9">
        <v>56.05</v>
      </c>
      <c r="P9">
        <v>1</v>
      </c>
      <c r="Q9">
        <f>_26_03_2026_Log_Reseau_v15_7[[#This Row],[Durée cumulée_panne_minu]]/60</f>
        <v>4.7166666666666668</v>
      </c>
      <c r="R9">
        <f>ROUND(_26_03_2026_Log_Reseau_v15_7[[#This Row],[Durée_cumulée _ panne_en heure]],0)</f>
        <v>5</v>
      </c>
      <c r="S9">
        <f>_26_03_2026_Log_Reseau_v15_7[[#This Row],[Anciennété_mois]]/12</f>
        <v>3.8333333333333335</v>
      </c>
      <c r="T9">
        <f>ROUND(_26_03_2026_Log_Reseau_v15_7[[#This Row],[anciennete_ en année]],0)</f>
        <v>4</v>
      </c>
      <c r="U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9" s="3">
        <f>ROUND(_26_03_2026_Log_Reseau_v15_7[[#This Row],[remise 10%_70%_45%]],0)</f>
        <v>0</v>
      </c>
      <c r="W9" s="3">
        <f>_26_03_2026_Log_Reseau_v15_7[[#This Row],[Facture mensuelle]]*_26_03_2026_Log_Reseau_v15_7[[#This Row],[remise 10_70_45]]</f>
        <v>0</v>
      </c>
    </row>
    <row r="10" spans="1:23" x14ac:dyDescent="0.25">
      <c r="A10" s="1">
        <v>45200</v>
      </c>
      <c r="B10" s="2">
        <v>0.44513888888888886</v>
      </c>
      <c r="C10" t="s">
        <v>1201</v>
      </c>
      <c r="D10">
        <v>112</v>
      </c>
      <c r="E10" t="s">
        <v>807</v>
      </c>
      <c r="F10" t="s">
        <v>24</v>
      </c>
      <c r="G10">
        <v>-10.945031</v>
      </c>
      <c r="H10">
        <v>27.922274000000002</v>
      </c>
      <c r="I10" t="s">
        <v>1480</v>
      </c>
      <c r="J10" t="s">
        <v>1478</v>
      </c>
      <c r="K10" t="s">
        <v>23</v>
      </c>
      <c r="L10">
        <v>46</v>
      </c>
      <c r="M10" t="s">
        <v>11</v>
      </c>
      <c r="N10">
        <v>283</v>
      </c>
      <c r="O10">
        <v>56.05</v>
      </c>
      <c r="P10">
        <v>1</v>
      </c>
      <c r="Q10">
        <f>_26_03_2026_Log_Reseau_v15_7[[#This Row],[Durée cumulée_panne_minu]]/60</f>
        <v>4.7166666666666668</v>
      </c>
      <c r="R10">
        <f>ROUND(_26_03_2026_Log_Reseau_v15_7[[#This Row],[Durée_cumulée _ panne_en heure]],0)</f>
        <v>5</v>
      </c>
      <c r="S10">
        <f>_26_03_2026_Log_Reseau_v15_7[[#This Row],[Anciennété_mois]]/12</f>
        <v>3.8333333333333335</v>
      </c>
      <c r="T10">
        <f>ROUND(_26_03_2026_Log_Reseau_v15_7[[#This Row],[anciennete_ en année]],0)</f>
        <v>4</v>
      </c>
      <c r="U1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0" s="3">
        <f>ROUND(_26_03_2026_Log_Reseau_v15_7[[#This Row],[remise 10%_70%_45%]],0)</f>
        <v>0</v>
      </c>
      <c r="W10" s="3">
        <f>_26_03_2026_Log_Reseau_v15_7[[#This Row],[Facture mensuelle]]*_26_03_2026_Log_Reseau_v15_7[[#This Row],[remise 10_70_45]]</f>
        <v>0</v>
      </c>
    </row>
    <row r="11" spans="1:23" x14ac:dyDescent="0.25">
      <c r="A11" s="1">
        <v>45200</v>
      </c>
      <c r="B11" s="2">
        <v>0.34236111111111112</v>
      </c>
      <c r="C11" t="s">
        <v>1211</v>
      </c>
      <c r="D11">
        <v>86</v>
      </c>
      <c r="E11" t="s">
        <v>808</v>
      </c>
      <c r="F11" t="s">
        <v>18</v>
      </c>
      <c r="G11">
        <v>2.628638</v>
      </c>
      <c r="H11">
        <v>28.420582</v>
      </c>
      <c r="I11" t="s">
        <v>1480</v>
      </c>
      <c r="J11" t="s">
        <v>1481</v>
      </c>
      <c r="K11" t="s">
        <v>17</v>
      </c>
      <c r="L11">
        <v>44</v>
      </c>
      <c r="M11" t="s">
        <v>19</v>
      </c>
      <c r="N11">
        <v>348</v>
      </c>
      <c r="O11">
        <v>58.67</v>
      </c>
      <c r="P11">
        <v>0</v>
      </c>
      <c r="Q11">
        <f>_26_03_2026_Log_Reseau_v15_7[[#This Row],[Durée cumulée_panne_minu]]/60</f>
        <v>5.8</v>
      </c>
      <c r="R11">
        <f>ROUND(_26_03_2026_Log_Reseau_v15_7[[#This Row],[Durée_cumulée _ panne_en heure]],0)</f>
        <v>6</v>
      </c>
      <c r="S11">
        <f>_26_03_2026_Log_Reseau_v15_7[[#This Row],[Anciennété_mois]]/12</f>
        <v>3.6666666666666665</v>
      </c>
      <c r="T11">
        <f>ROUND(_26_03_2026_Log_Reseau_v15_7[[#This Row],[anciennete_ en année]],0)</f>
        <v>4</v>
      </c>
      <c r="U1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1" s="3">
        <f>ROUND(_26_03_2026_Log_Reseau_v15_7[[#This Row],[remise 10%_70%_45%]],0)</f>
        <v>0</v>
      </c>
      <c r="W11" s="3">
        <f>_26_03_2026_Log_Reseau_v15_7[[#This Row],[Facture mensuelle]]*_26_03_2026_Log_Reseau_v15_7[[#This Row],[remise 10_70_45]]</f>
        <v>0</v>
      </c>
    </row>
    <row r="12" spans="1:23" x14ac:dyDescent="0.25">
      <c r="A12" s="1">
        <v>45200</v>
      </c>
      <c r="B12" s="2">
        <v>0.53472222222222221</v>
      </c>
      <c r="C12" t="s">
        <v>1220</v>
      </c>
      <c r="D12">
        <v>50</v>
      </c>
      <c r="E12" t="s">
        <v>812</v>
      </c>
      <c r="F12" t="s">
        <v>13</v>
      </c>
      <c r="G12">
        <v>-7.7587710000000003</v>
      </c>
      <c r="H12">
        <v>17.880848</v>
      </c>
      <c r="I12" t="s">
        <v>1482</v>
      </c>
      <c r="J12" t="s">
        <v>1478</v>
      </c>
      <c r="K12" t="s">
        <v>12</v>
      </c>
      <c r="L12">
        <v>63</v>
      </c>
      <c r="M12" t="s">
        <v>14</v>
      </c>
      <c r="N12">
        <v>205</v>
      </c>
      <c r="O12">
        <v>89.19</v>
      </c>
      <c r="P12">
        <v>0</v>
      </c>
      <c r="Q12">
        <f>_26_03_2026_Log_Reseau_v15_7[[#This Row],[Durée cumulée_panne_minu]]/60</f>
        <v>3.4166666666666665</v>
      </c>
      <c r="R12">
        <f>ROUND(_26_03_2026_Log_Reseau_v15_7[[#This Row],[Durée_cumulée _ panne_en heure]],0)</f>
        <v>3</v>
      </c>
      <c r="S12">
        <f>_26_03_2026_Log_Reseau_v15_7[[#This Row],[Anciennété_mois]]/12</f>
        <v>5.25</v>
      </c>
      <c r="T12">
        <f>ROUND(_26_03_2026_Log_Reseau_v15_7[[#This Row],[anciennete_ en année]],0)</f>
        <v>5</v>
      </c>
      <c r="U1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12" s="3">
        <f>ROUND(_26_03_2026_Log_Reseau_v15_7[[#This Row],[remise 10%_70%_45%]],0)</f>
        <v>9</v>
      </c>
      <c r="W12" s="3">
        <f>_26_03_2026_Log_Reseau_v15_7[[#This Row],[Facture mensuelle]]*_26_03_2026_Log_Reseau_v15_7[[#This Row],[remise 10_70_45]]</f>
        <v>802.71</v>
      </c>
    </row>
    <row r="13" spans="1:23" x14ac:dyDescent="0.25">
      <c r="A13" s="1">
        <v>45200</v>
      </c>
      <c r="B13" s="2">
        <v>0.92569444444444449</v>
      </c>
      <c r="C13" t="s">
        <v>1296</v>
      </c>
      <c r="D13">
        <v>76</v>
      </c>
      <c r="E13" t="s">
        <v>812</v>
      </c>
      <c r="F13" t="s">
        <v>62</v>
      </c>
      <c r="G13">
        <v>-2.8211520000000001</v>
      </c>
      <c r="H13">
        <v>20.651419000000001</v>
      </c>
      <c r="I13" t="s">
        <v>1477</v>
      </c>
      <c r="J13" t="s">
        <v>1478</v>
      </c>
      <c r="K13" t="s">
        <v>61</v>
      </c>
      <c r="L13">
        <v>101</v>
      </c>
      <c r="M13" t="s">
        <v>14</v>
      </c>
      <c r="N13">
        <v>333</v>
      </c>
      <c r="O13">
        <v>74.319999999999993</v>
      </c>
      <c r="P13">
        <v>1</v>
      </c>
      <c r="Q13">
        <f>_26_03_2026_Log_Reseau_v15_7[[#This Row],[Durée cumulée_panne_minu]]/60</f>
        <v>5.55</v>
      </c>
      <c r="R13">
        <f>ROUND(_26_03_2026_Log_Reseau_v15_7[[#This Row],[Durée_cumulée _ panne_en heure]],0)</f>
        <v>6</v>
      </c>
      <c r="S13">
        <f>_26_03_2026_Log_Reseau_v15_7[[#This Row],[Anciennété_mois]]/12</f>
        <v>8.4166666666666661</v>
      </c>
      <c r="T13">
        <f>ROUND(_26_03_2026_Log_Reseau_v15_7[[#This Row],[anciennete_ en année]],0)</f>
        <v>8</v>
      </c>
      <c r="U1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13" s="3">
        <f>ROUND(_26_03_2026_Log_Reseau_v15_7[[#This Row],[remise 10%_70%_45%]],0)</f>
        <v>7</v>
      </c>
      <c r="W13" s="3">
        <f>_26_03_2026_Log_Reseau_v15_7[[#This Row],[Facture mensuelle]]*_26_03_2026_Log_Reseau_v15_7[[#This Row],[remise 10_70_45]]</f>
        <v>520.24</v>
      </c>
    </row>
    <row r="14" spans="1:23" x14ac:dyDescent="0.25">
      <c r="A14" s="1">
        <v>45200</v>
      </c>
      <c r="B14" s="2">
        <v>0.98541666666666672</v>
      </c>
      <c r="C14" t="s">
        <v>1318</v>
      </c>
      <c r="D14">
        <v>29</v>
      </c>
      <c r="E14" t="s">
        <v>812</v>
      </c>
      <c r="F14" t="s">
        <v>26</v>
      </c>
      <c r="G14">
        <v>1.5278670000000001</v>
      </c>
      <c r="H14">
        <v>13.899388999999999</v>
      </c>
      <c r="I14" t="s">
        <v>1482</v>
      </c>
      <c r="J14" t="s">
        <v>1481</v>
      </c>
      <c r="K14" t="s">
        <v>25</v>
      </c>
      <c r="L14">
        <v>99</v>
      </c>
      <c r="M14" t="s">
        <v>11</v>
      </c>
      <c r="N14">
        <v>447</v>
      </c>
      <c r="O14">
        <v>38.1</v>
      </c>
      <c r="P14">
        <v>3</v>
      </c>
      <c r="Q14">
        <f>_26_03_2026_Log_Reseau_v15_7[[#This Row],[Durée cumulée_panne_minu]]/60</f>
        <v>7.45</v>
      </c>
      <c r="R14">
        <f>ROUND(_26_03_2026_Log_Reseau_v15_7[[#This Row],[Durée_cumulée _ panne_en heure]],0)</f>
        <v>7</v>
      </c>
      <c r="S14">
        <f>_26_03_2026_Log_Reseau_v15_7[[#This Row],[Anciennété_mois]]/12</f>
        <v>8.25</v>
      </c>
      <c r="T14">
        <f>ROUND(_26_03_2026_Log_Reseau_v15_7[[#This Row],[anciennete_ en année]],0)</f>
        <v>8</v>
      </c>
      <c r="U1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4" s="3">
        <f>ROUND(_26_03_2026_Log_Reseau_v15_7[[#This Row],[remise 10%_70%_45%]],0)</f>
        <v>0</v>
      </c>
      <c r="W14" s="3">
        <f>_26_03_2026_Log_Reseau_v15_7[[#This Row],[Facture mensuelle]]*_26_03_2026_Log_Reseau_v15_7[[#This Row],[remise 10_70_45]]</f>
        <v>0</v>
      </c>
    </row>
    <row r="15" spans="1:23" x14ac:dyDescent="0.25">
      <c r="A15" s="1">
        <v>45200</v>
      </c>
      <c r="B15" s="2">
        <v>0.67083333333333328</v>
      </c>
      <c r="C15" t="s">
        <v>1341</v>
      </c>
      <c r="D15">
        <v>74</v>
      </c>
      <c r="E15" t="s">
        <v>812</v>
      </c>
      <c r="F15" t="s">
        <v>10</v>
      </c>
      <c r="G15">
        <v>-4.6426759999999998</v>
      </c>
      <c r="H15">
        <v>22.124254000000001</v>
      </c>
      <c r="I15" t="s">
        <v>1480</v>
      </c>
      <c r="J15" t="s">
        <v>1483</v>
      </c>
      <c r="K15" t="s">
        <v>9</v>
      </c>
      <c r="L15">
        <v>29</v>
      </c>
      <c r="M15" t="s">
        <v>11</v>
      </c>
      <c r="N15">
        <v>214</v>
      </c>
      <c r="O15">
        <v>74.7</v>
      </c>
      <c r="P15">
        <v>3</v>
      </c>
      <c r="Q15">
        <f>_26_03_2026_Log_Reseau_v15_7[[#This Row],[Durée cumulée_panne_minu]]/60</f>
        <v>3.5666666666666669</v>
      </c>
      <c r="R15">
        <f>ROUND(_26_03_2026_Log_Reseau_v15_7[[#This Row],[Durée_cumulée _ panne_en heure]],0)</f>
        <v>4</v>
      </c>
      <c r="S15">
        <f>_26_03_2026_Log_Reseau_v15_7[[#This Row],[Anciennété_mois]]/12</f>
        <v>2.4166666666666665</v>
      </c>
      <c r="T15">
        <f>ROUND(_26_03_2026_Log_Reseau_v15_7[[#This Row],[anciennete_ en année]],0)</f>
        <v>2</v>
      </c>
      <c r="U1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5" s="3">
        <f>ROUND(_26_03_2026_Log_Reseau_v15_7[[#This Row],[remise 10%_70%_45%]],0)</f>
        <v>0</v>
      </c>
      <c r="W15" s="3">
        <f>_26_03_2026_Log_Reseau_v15_7[[#This Row],[Facture mensuelle]]*_26_03_2026_Log_Reseau_v15_7[[#This Row],[remise 10_70_45]]</f>
        <v>0</v>
      </c>
    </row>
    <row r="16" spans="1:23" x14ac:dyDescent="0.25">
      <c r="A16" s="1">
        <v>45200</v>
      </c>
      <c r="B16" s="2">
        <v>0.49305555555555558</v>
      </c>
      <c r="C16" t="s">
        <v>1344</v>
      </c>
      <c r="D16">
        <v>113</v>
      </c>
      <c r="E16" t="s">
        <v>807</v>
      </c>
      <c r="F16" t="s">
        <v>21</v>
      </c>
      <c r="G16">
        <v>-1.5419050000000001</v>
      </c>
      <c r="H16">
        <v>14.730632999999999</v>
      </c>
      <c r="I16" t="s">
        <v>1482</v>
      </c>
      <c r="J16" t="s">
        <v>1483</v>
      </c>
      <c r="K16" t="s">
        <v>20</v>
      </c>
      <c r="L16">
        <v>101</v>
      </c>
      <c r="M16" t="s">
        <v>22</v>
      </c>
      <c r="N16">
        <v>358</v>
      </c>
      <c r="O16">
        <v>29.24</v>
      </c>
      <c r="P16">
        <v>3</v>
      </c>
      <c r="Q16">
        <f>_26_03_2026_Log_Reseau_v15_7[[#This Row],[Durée cumulée_panne_minu]]/60</f>
        <v>5.9666666666666668</v>
      </c>
      <c r="R16">
        <f>ROUND(_26_03_2026_Log_Reseau_v15_7[[#This Row],[Durée_cumulée _ panne_en heure]],0)</f>
        <v>6</v>
      </c>
      <c r="S16">
        <f>_26_03_2026_Log_Reseau_v15_7[[#This Row],[Anciennété_mois]]/12</f>
        <v>8.4166666666666661</v>
      </c>
      <c r="T16">
        <f>ROUND(_26_03_2026_Log_Reseau_v15_7[[#This Row],[anciennete_ en année]],0)</f>
        <v>8</v>
      </c>
      <c r="U1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6" s="3">
        <f>ROUND(_26_03_2026_Log_Reseau_v15_7[[#This Row],[remise 10%_70%_45%]],0)</f>
        <v>0</v>
      </c>
      <c r="W16" s="3">
        <f>_26_03_2026_Log_Reseau_v15_7[[#This Row],[Facture mensuelle]]*_26_03_2026_Log_Reseau_v15_7[[#This Row],[remise 10_70_45]]</f>
        <v>0</v>
      </c>
    </row>
    <row r="17" spans="1:23" x14ac:dyDescent="0.25">
      <c r="A17" s="1">
        <v>45200</v>
      </c>
      <c r="B17" s="2">
        <v>7.8472222222222221E-2</v>
      </c>
      <c r="C17" t="s">
        <v>1425</v>
      </c>
      <c r="D17">
        <v>40</v>
      </c>
      <c r="E17" t="s">
        <v>807</v>
      </c>
      <c r="F17" t="s">
        <v>29</v>
      </c>
      <c r="G17">
        <v>-10.165072</v>
      </c>
      <c r="H17">
        <v>29.428024000000001</v>
      </c>
      <c r="I17" t="s">
        <v>1477</v>
      </c>
      <c r="J17" t="s">
        <v>1481</v>
      </c>
      <c r="K17" t="s">
        <v>28</v>
      </c>
      <c r="L17">
        <v>99</v>
      </c>
      <c r="M17" t="s">
        <v>19</v>
      </c>
      <c r="N17">
        <v>369</v>
      </c>
      <c r="O17">
        <v>67.209999999999994</v>
      </c>
      <c r="P17">
        <v>3</v>
      </c>
      <c r="Q17">
        <f>_26_03_2026_Log_Reseau_v15_7[[#This Row],[Durée cumulée_panne_minu]]/60</f>
        <v>6.15</v>
      </c>
      <c r="R17">
        <f>ROUND(_26_03_2026_Log_Reseau_v15_7[[#This Row],[Durée_cumulée _ panne_en heure]],0)</f>
        <v>6</v>
      </c>
      <c r="S17">
        <f>_26_03_2026_Log_Reseau_v15_7[[#This Row],[Anciennété_mois]]/12</f>
        <v>8.25</v>
      </c>
      <c r="T17">
        <f>ROUND(_26_03_2026_Log_Reseau_v15_7[[#This Row],[anciennete_ en année]],0)</f>
        <v>8</v>
      </c>
      <c r="U1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7" s="3">
        <f>ROUND(_26_03_2026_Log_Reseau_v15_7[[#This Row],[remise 10%_70%_45%]],0)</f>
        <v>0</v>
      </c>
      <c r="W17" s="3">
        <f>_26_03_2026_Log_Reseau_v15_7[[#This Row],[Facture mensuelle]]*_26_03_2026_Log_Reseau_v15_7[[#This Row],[remise 10_70_45]]</f>
        <v>0</v>
      </c>
    </row>
    <row r="18" spans="1:23" x14ac:dyDescent="0.25">
      <c r="A18" s="1">
        <v>45201</v>
      </c>
      <c r="B18" s="2">
        <v>0.82430555555555551</v>
      </c>
      <c r="C18" t="s">
        <v>844</v>
      </c>
      <c r="D18">
        <v>28</v>
      </c>
      <c r="E18" t="s">
        <v>808</v>
      </c>
      <c r="F18" t="s">
        <v>44</v>
      </c>
      <c r="G18">
        <v>-9.3652280000000001</v>
      </c>
      <c r="H18">
        <v>18.674116000000001</v>
      </c>
      <c r="I18" t="s">
        <v>1480</v>
      </c>
      <c r="J18" t="s">
        <v>1481</v>
      </c>
      <c r="K18" t="s">
        <v>43</v>
      </c>
      <c r="L18">
        <v>66</v>
      </c>
      <c r="M18" t="s">
        <v>22</v>
      </c>
      <c r="N18">
        <v>270</v>
      </c>
      <c r="O18">
        <v>75.88</v>
      </c>
      <c r="P18">
        <v>3</v>
      </c>
      <c r="Q18">
        <f>_26_03_2026_Log_Reseau_v15_7[[#This Row],[Durée cumulée_panne_minu]]/60</f>
        <v>4.5</v>
      </c>
      <c r="R18">
        <f>ROUND(_26_03_2026_Log_Reseau_v15_7[[#This Row],[Durée_cumulée _ panne_en heure]],0)</f>
        <v>5</v>
      </c>
      <c r="S18">
        <f>_26_03_2026_Log_Reseau_v15_7[[#This Row],[Anciennété_mois]]/12</f>
        <v>5.5</v>
      </c>
      <c r="T18">
        <f>ROUND(_26_03_2026_Log_Reseau_v15_7[[#This Row],[anciennete_ en année]],0)</f>
        <v>6</v>
      </c>
      <c r="U1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8" s="3">
        <f>ROUND(_26_03_2026_Log_Reseau_v15_7[[#This Row],[remise 10%_70%_45%]],0)</f>
        <v>0</v>
      </c>
      <c r="W18" s="3">
        <f>_26_03_2026_Log_Reseau_v15_7[[#This Row],[Facture mensuelle]]*_26_03_2026_Log_Reseau_v15_7[[#This Row],[remise 10_70_45]]</f>
        <v>0</v>
      </c>
    </row>
    <row r="19" spans="1:23" x14ac:dyDescent="0.25">
      <c r="A19" s="1">
        <v>45201</v>
      </c>
      <c r="B19" s="2">
        <v>0.24583333333333332</v>
      </c>
      <c r="C19" t="s">
        <v>846</v>
      </c>
      <c r="D19">
        <v>91</v>
      </c>
      <c r="E19" t="s">
        <v>808</v>
      </c>
      <c r="F19" t="s">
        <v>10</v>
      </c>
      <c r="G19">
        <v>-0.34051900000000002</v>
      </c>
      <c r="H19">
        <v>17.079799000000001</v>
      </c>
      <c r="I19" t="s">
        <v>1477</v>
      </c>
      <c r="J19" t="s">
        <v>1478</v>
      </c>
      <c r="K19" t="s">
        <v>9</v>
      </c>
      <c r="L19">
        <v>29</v>
      </c>
      <c r="M19" t="s">
        <v>11</v>
      </c>
      <c r="N19">
        <v>214</v>
      </c>
      <c r="O19">
        <v>74.7</v>
      </c>
      <c r="P19">
        <v>3</v>
      </c>
      <c r="Q19">
        <f>_26_03_2026_Log_Reseau_v15_7[[#This Row],[Durée cumulée_panne_minu]]/60</f>
        <v>3.5666666666666669</v>
      </c>
      <c r="R19">
        <f>ROUND(_26_03_2026_Log_Reseau_v15_7[[#This Row],[Durée_cumulée _ panne_en heure]],0)</f>
        <v>4</v>
      </c>
      <c r="S19">
        <f>_26_03_2026_Log_Reseau_v15_7[[#This Row],[Anciennété_mois]]/12</f>
        <v>2.4166666666666665</v>
      </c>
      <c r="T19">
        <f>ROUND(_26_03_2026_Log_Reseau_v15_7[[#This Row],[anciennete_ en année]],0)</f>
        <v>2</v>
      </c>
      <c r="U1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9" s="3">
        <f>ROUND(_26_03_2026_Log_Reseau_v15_7[[#This Row],[remise 10%_70%_45%]],0)</f>
        <v>0</v>
      </c>
      <c r="W19" s="3">
        <f>_26_03_2026_Log_Reseau_v15_7[[#This Row],[Facture mensuelle]]*_26_03_2026_Log_Reseau_v15_7[[#This Row],[remise 10_70_45]]</f>
        <v>0</v>
      </c>
    </row>
    <row r="20" spans="1:23" x14ac:dyDescent="0.25">
      <c r="A20" s="1">
        <v>45201</v>
      </c>
      <c r="B20" s="2">
        <v>0.29305555555555557</v>
      </c>
      <c r="C20" t="s">
        <v>978</v>
      </c>
      <c r="D20">
        <v>95</v>
      </c>
      <c r="E20" t="s">
        <v>812</v>
      </c>
      <c r="F20" t="s">
        <v>67</v>
      </c>
      <c r="G20">
        <v>-9.5619429999999994</v>
      </c>
      <c r="H20">
        <v>21.445726000000001</v>
      </c>
      <c r="I20" t="s">
        <v>1480</v>
      </c>
      <c r="J20" t="s">
        <v>1490</v>
      </c>
      <c r="K20" t="s">
        <v>66</v>
      </c>
      <c r="L20">
        <v>101</v>
      </c>
      <c r="M20" t="s">
        <v>14</v>
      </c>
      <c r="N20">
        <v>176</v>
      </c>
      <c r="O20">
        <v>86</v>
      </c>
      <c r="P20">
        <v>3</v>
      </c>
      <c r="Q20">
        <f>_26_03_2026_Log_Reseau_v15_7[[#This Row],[Durée cumulée_panne_minu]]/60</f>
        <v>2.9333333333333331</v>
      </c>
      <c r="R20">
        <f>ROUND(_26_03_2026_Log_Reseau_v15_7[[#This Row],[Durée_cumulée _ panne_en heure]],0)</f>
        <v>3</v>
      </c>
      <c r="S20">
        <f>_26_03_2026_Log_Reseau_v15_7[[#This Row],[Anciennété_mois]]/12</f>
        <v>8.4166666666666661</v>
      </c>
      <c r="T20">
        <f>ROUND(_26_03_2026_Log_Reseau_v15_7[[#This Row],[anciennete_ en année]],0)</f>
        <v>8</v>
      </c>
      <c r="U2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20" s="3">
        <f>ROUND(_26_03_2026_Log_Reseau_v15_7[[#This Row],[remise 10%_70%_45%]],0)</f>
        <v>9</v>
      </c>
      <c r="W20" s="3">
        <f>_26_03_2026_Log_Reseau_v15_7[[#This Row],[Facture mensuelle]]*_26_03_2026_Log_Reseau_v15_7[[#This Row],[remise 10_70_45]]</f>
        <v>774</v>
      </c>
    </row>
    <row r="21" spans="1:23" x14ac:dyDescent="0.25">
      <c r="A21" s="1">
        <v>45201</v>
      </c>
      <c r="B21" s="2">
        <v>0.51180555555555551</v>
      </c>
      <c r="C21" t="s">
        <v>987</v>
      </c>
      <c r="D21">
        <v>62</v>
      </c>
      <c r="E21" t="s">
        <v>808</v>
      </c>
      <c r="F21" t="s">
        <v>131</v>
      </c>
      <c r="G21">
        <v>-10.25074</v>
      </c>
      <c r="H21">
        <v>26.099086</v>
      </c>
      <c r="I21" t="s">
        <v>1480</v>
      </c>
      <c r="J21" t="s">
        <v>1481</v>
      </c>
      <c r="K21" t="s">
        <v>130</v>
      </c>
      <c r="L21">
        <v>16</v>
      </c>
      <c r="M21" t="s">
        <v>19</v>
      </c>
      <c r="N21">
        <v>390</v>
      </c>
      <c r="O21">
        <v>98.17</v>
      </c>
      <c r="P21">
        <v>5</v>
      </c>
      <c r="Q21">
        <f>_26_03_2026_Log_Reseau_v15_7[[#This Row],[Durée cumulée_panne_minu]]/60</f>
        <v>6.5</v>
      </c>
      <c r="R21">
        <f>ROUND(_26_03_2026_Log_Reseau_v15_7[[#This Row],[Durée_cumulée _ panne_en heure]],0)</f>
        <v>7</v>
      </c>
      <c r="S21">
        <f>_26_03_2026_Log_Reseau_v15_7[[#This Row],[Anciennété_mois]]/12</f>
        <v>1.3333333333333333</v>
      </c>
      <c r="T21">
        <f>ROUND(_26_03_2026_Log_Reseau_v15_7[[#This Row],[anciennete_ en année]],0)</f>
        <v>1</v>
      </c>
      <c r="U2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1" s="3">
        <f>ROUND(_26_03_2026_Log_Reseau_v15_7[[#This Row],[remise 10%_70%_45%]],0)</f>
        <v>0</v>
      </c>
      <c r="W21" s="3">
        <f>_26_03_2026_Log_Reseau_v15_7[[#This Row],[Facture mensuelle]]*_26_03_2026_Log_Reseau_v15_7[[#This Row],[remise 10_70_45]]</f>
        <v>0</v>
      </c>
    </row>
    <row r="22" spans="1:23" x14ac:dyDescent="0.25">
      <c r="A22" s="1">
        <v>45201</v>
      </c>
      <c r="B22" s="2">
        <v>0.72638888888888886</v>
      </c>
      <c r="C22" t="s">
        <v>997</v>
      </c>
      <c r="D22">
        <v>97</v>
      </c>
      <c r="E22" t="s">
        <v>808</v>
      </c>
      <c r="F22" t="s">
        <v>57</v>
      </c>
      <c r="G22">
        <v>-4.3639070000000002</v>
      </c>
      <c r="H22">
        <v>16.283307000000001</v>
      </c>
      <c r="I22" t="s">
        <v>1477</v>
      </c>
      <c r="J22" t="s">
        <v>1481</v>
      </c>
      <c r="K22" t="s">
        <v>56</v>
      </c>
      <c r="L22">
        <v>97</v>
      </c>
      <c r="M22" t="s">
        <v>14</v>
      </c>
      <c r="N22">
        <v>319</v>
      </c>
      <c r="O22">
        <v>31.25</v>
      </c>
      <c r="P22">
        <v>1</v>
      </c>
      <c r="Q22">
        <f>_26_03_2026_Log_Reseau_v15_7[[#This Row],[Durée cumulée_panne_minu]]/60</f>
        <v>5.3166666666666664</v>
      </c>
      <c r="R22">
        <f>ROUND(_26_03_2026_Log_Reseau_v15_7[[#This Row],[Durée_cumulée _ panne_en heure]],0)</f>
        <v>5</v>
      </c>
      <c r="S22">
        <f>_26_03_2026_Log_Reseau_v15_7[[#This Row],[Anciennété_mois]]/12</f>
        <v>8.0833333333333339</v>
      </c>
      <c r="T22">
        <f>ROUND(_26_03_2026_Log_Reseau_v15_7[[#This Row],[anciennete_ en année]],0)</f>
        <v>8</v>
      </c>
      <c r="U2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3.125</v>
      </c>
      <c r="V22" s="3">
        <f>ROUND(_26_03_2026_Log_Reseau_v15_7[[#This Row],[remise 10%_70%_45%]],0)</f>
        <v>3</v>
      </c>
      <c r="W22" s="3">
        <f>_26_03_2026_Log_Reseau_v15_7[[#This Row],[Facture mensuelle]]*_26_03_2026_Log_Reseau_v15_7[[#This Row],[remise 10_70_45]]</f>
        <v>93.75</v>
      </c>
    </row>
    <row r="23" spans="1:23" x14ac:dyDescent="0.25">
      <c r="A23" s="1">
        <v>45201</v>
      </c>
      <c r="B23" s="2">
        <v>0.52777777777777779</v>
      </c>
      <c r="C23" t="s">
        <v>1136</v>
      </c>
      <c r="D23">
        <v>20</v>
      </c>
      <c r="E23" t="s">
        <v>808</v>
      </c>
      <c r="F23" t="s">
        <v>26</v>
      </c>
      <c r="G23">
        <v>0.45116099999999998</v>
      </c>
      <c r="H23">
        <v>17.265761000000001</v>
      </c>
      <c r="I23" t="s">
        <v>1480</v>
      </c>
      <c r="J23" t="s">
        <v>1481</v>
      </c>
      <c r="K23" t="s">
        <v>25</v>
      </c>
      <c r="L23">
        <v>99</v>
      </c>
      <c r="M23" t="s">
        <v>11</v>
      </c>
      <c r="N23">
        <v>447</v>
      </c>
      <c r="O23">
        <v>38.1</v>
      </c>
      <c r="P23">
        <v>3</v>
      </c>
      <c r="Q23">
        <f>_26_03_2026_Log_Reseau_v15_7[[#This Row],[Durée cumulée_panne_minu]]/60</f>
        <v>7.45</v>
      </c>
      <c r="R23">
        <f>ROUND(_26_03_2026_Log_Reseau_v15_7[[#This Row],[Durée_cumulée _ panne_en heure]],0)</f>
        <v>7</v>
      </c>
      <c r="S23">
        <f>_26_03_2026_Log_Reseau_v15_7[[#This Row],[Anciennété_mois]]/12</f>
        <v>8.25</v>
      </c>
      <c r="T23">
        <f>ROUND(_26_03_2026_Log_Reseau_v15_7[[#This Row],[anciennete_ en année]],0)</f>
        <v>8</v>
      </c>
      <c r="U2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3" s="3">
        <f>ROUND(_26_03_2026_Log_Reseau_v15_7[[#This Row],[remise 10%_70%_45%]],0)</f>
        <v>0</v>
      </c>
      <c r="W23" s="3">
        <f>_26_03_2026_Log_Reseau_v15_7[[#This Row],[Facture mensuelle]]*_26_03_2026_Log_Reseau_v15_7[[#This Row],[remise 10_70_45]]</f>
        <v>0</v>
      </c>
    </row>
    <row r="24" spans="1:23" x14ac:dyDescent="0.25">
      <c r="A24" s="1">
        <v>45201</v>
      </c>
      <c r="B24" s="2">
        <v>0.88472222222222219</v>
      </c>
      <c r="C24" t="s">
        <v>1171</v>
      </c>
      <c r="D24">
        <v>54</v>
      </c>
      <c r="E24" t="s">
        <v>812</v>
      </c>
      <c r="F24" t="s">
        <v>131</v>
      </c>
      <c r="G24">
        <v>4.6287159999999998</v>
      </c>
      <c r="H24">
        <v>19.407077999999998</v>
      </c>
      <c r="I24" t="s">
        <v>1480</v>
      </c>
      <c r="J24" t="s">
        <v>1478</v>
      </c>
      <c r="K24" t="s">
        <v>130</v>
      </c>
      <c r="L24">
        <v>16</v>
      </c>
      <c r="M24" t="s">
        <v>19</v>
      </c>
      <c r="N24">
        <v>390</v>
      </c>
      <c r="O24">
        <v>98.17</v>
      </c>
      <c r="P24">
        <v>5</v>
      </c>
      <c r="Q24">
        <f>_26_03_2026_Log_Reseau_v15_7[[#This Row],[Durée cumulée_panne_minu]]/60</f>
        <v>6.5</v>
      </c>
      <c r="R24">
        <f>ROUND(_26_03_2026_Log_Reseau_v15_7[[#This Row],[Durée_cumulée _ panne_en heure]],0)</f>
        <v>7</v>
      </c>
      <c r="S24">
        <f>_26_03_2026_Log_Reseau_v15_7[[#This Row],[Anciennété_mois]]/12</f>
        <v>1.3333333333333333</v>
      </c>
      <c r="T24">
        <f>ROUND(_26_03_2026_Log_Reseau_v15_7[[#This Row],[anciennete_ en année]],0)</f>
        <v>1</v>
      </c>
      <c r="U2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4" s="3">
        <f>ROUND(_26_03_2026_Log_Reseau_v15_7[[#This Row],[remise 10%_70%_45%]],0)</f>
        <v>0</v>
      </c>
      <c r="W24" s="3">
        <f>_26_03_2026_Log_Reseau_v15_7[[#This Row],[Facture mensuelle]]*_26_03_2026_Log_Reseau_v15_7[[#This Row],[remise 10_70_45]]</f>
        <v>0</v>
      </c>
    </row>
    <row r="25" spans="1:23" x14ac:dyDescent="0.25">
      <c r="A25" s="1">
        <v>45201</v>
      </c>
      <c r="B25" s="2">
        <v>8.611111111111111E-2</v>
      </c>
      <c r="C25" t="s">
        <v>1180</v>
      </c>
      <c r="D25">
        <v>55</v>
      </c>
      <c r="E25" t="s">
        <v>807</v>
      </c>
      <c r="F25" t="s">
        <v>131</v>
      </c>
      <c r="G25">
        <v>-1.8555980000000001</v>
      </c>
      <c r="H25">
        <v>30.421918000000002</v>
      </c>
      <c r="I25" t="s">
        <v>1482</v>
      </c>
      <c r="J25" t="s">
        <v>1483</v>
      </c>
      <c r="K25" t="s">
        <v>130</v>
      </c>
      <c r="L25">
        <v>16</v>
      </c>
      <c r="M25" t="s">
        <v>19</v>
      </c>
      <c r="N25">
        <v>390</v>
      </c>
      <c r="O25">
        <v>98.17</v>
      </c>
      <c r="P25">
        <v>5</v>
      </c>
      <c r="Q25">
        <f>_26_03_2026_Log_Reseau_v15_7[[#This Row],[Durée cumulée_panne_minu]]/60</f>
        <v>6.5</v>
      </c>
      <c r="R25">
        <f>ROUND(_26_03_2026_Log_Reseau_v15_7[[#This Row],[Durée_cumulée _ panne_en heure]],0)</f>
        <v>7</v>
      </c>
      <c r="S25">
        <f>_26_03_2026_Log_Reseau_v15_7[[#This Row],[Anciennété_mois]]/12</f>
        <v>1.3333333333333333</v>
      </c>
      <c r="T25">
        <f>ROUND(_26_03_2026_Log_Reseau_v15_7[[#This Row],[anciennete_ en année]],0)</f>
        <v>1</v>
      </c>
      <c r="U2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5" s="3">
        <f>ROUND(_26_03_2026_Log_Reseau_v15_7[[#This Row],[remise 10%_70%_45%]],0)</f>
        <v>0</v>
      </c>
      <c r="W25" s="3">
        <f>_26_03_2026_Log_Reseau_v15_7[[#This Row],[Facture mensuelle]]*_26_03_2026_Log_Reseau_v15_7[[#This Row],[remise 10_70_45]]</f>
        <v>0</v>
      </c>
    </row>
    <row r="26" spans="1:23" x14ac:dyDescent="0.25">
      <c r="A26" s="1">
        <v>45201</v>
      </c>
      <c r="B26" s="2">
        <v>0.87708333333333333</v>
      </c>
      <c r="C26" t="s">
        <v>1181</v>
      </c>
      <c r="D26">
        <v>82</v>
      </c>
      <c r="E26" t="s">
        <v>812</v>
      </c>
      <c r="F26" t="s">
        <v>131</v>
      </c>
      <c r="G26">
        <v>-12.336202</v>
      </c>
      <c r="H26">
        <v>13.693683999999999</v>
      </c>
      <c r="I26" t="s">
        <v>1477</v>
      </c>
      <c r="J26" t="s">
        <v>1481</v>
      </c>
      <c r="K26" t="s">
        <v>130</v>
      </c>
      <c r="L26">
        <v>16</v>
      </c>
      <c r="M26" t="s">
        <v>19</v>
      </c>
      <c r="N26">
        <v>390</v>
      </c>
      <c r="O26">
        <v>98.17</v>
      </c>
      <c r="P26">
        <v>5</v>
      </c>
      <c r="Q26">
        <f>_26_03_2026_Log_Reseau_v15_7[[#This Row],[Durée cumulée_panne_minu]]/60</f>
        <v>6.5</v>
      </c>
      <c r="R26">
        <f>ROUND(_26_03_2026_Log_Reseau_v15_7[[#This Row],[Durée_cumulée _ panne_en heure]],0)</f>
        <v>7</v>
      </c>
      <c r="S26">
        <f>_26_03_2026_Log_Reseau_v15_7[[#This Row],[Anciennété_mois]]/12</f>
        <v>1.3333333333333333</v>
      </c>
      <c r="T26">
        <f>ROUND(_26_03_2026_Log_Reseau_v15_7[[#This Row],[anciennete_ en année]],0)</f>
        <v>1</v>
      </c>
      <c r="U2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6" s="3">
        <f>ROUND(_26_03_2026_Log_Reseau_v15_7[[#This Row],[remise 10%_70%_45%]],0)</f>
        <v>0</v>
      </c>
      <c r="W26" s="3">
        <f>_26_03_2026_Log_Reseau_v15_7[[#This Row],[Facture mensuelle]]*_26_03_2026_Log_Reseau_v15_7[[#This Row],[remise 10_70_45]]</f>
        <v>0</v>
      </c>
    </row>
    <row r="27" spans="1:23" x14ac:dyDescent="0.25">
      <c r="A27" s="1">
        <v>45201</v>
      </c>
      <c r="B27" s="2">
        <v>0.46805555555555556</v>
      </c>
      <c r="C27" t="s">
        <v>1186</v>
      </c>
      <c r="D27">
        <v>80</v>
      </c>
      <c r="E27" t="s">
        <v>807</v>
      </c>
      <c r="F27" t="s">
        <v>24</v>
      </c>
      <c r="G27">
        <v>-3.3890790000000002</v>
      </c>
      <c r="H27">
        <v>18.374571</v>
      </c>
      <c r="I27" t="s">
        <v>1477</v>
      </c>
      <c r="J27" t="s">
        <v>1483</v>
      </c>
      <c r="K27" t="s">
        <v>23</v>
      </c>
      <c r="L27">
        <v>46</v>
      </c>
      <c r="M27" t="s">
        <v>11</v>
      </c>
      <c r="N27">
        <v>283</v>
      </c>
      <c r="O27">
        <v>56.05</v>
      </c>
      <c r="P27">
        <v>1</v>
      </c>
      <c r="Q27">
        <f>_26_03_2026_Log_Reseau_v15_7[[#This Row],[Durée cumulée_panne_minu]]/60</f>
        <v>4.7166666666666668</v>
      </c>
      <c r="R27">
        <f>ROUND(_26_03_2026_Log_Reseau_v15_7[[#This Row],[Durée_cumulée _ panne_en heure]],0)</f>
        <v>5</v>
      </c>
      <c r="S27">
        <f>_26_03_2026_Log_Reseau_v15_7[[#This Row],[Anciennété_mois]]/12</f>
        <v>3.8333333333333335</v>
      </c>
      <c r="T27">
        <f>ROUND(_26_03_2026_Log_Reseau_v15_7[[#This Row],[anciennete_ en année]],0)</f>
        <v>4</v>
      </c>
      <c r="U2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7" s="3">
        <f>ROUND(_26_03_2026_Log_Reseau_v15_7[[#This Row],[remise 10%_70%_45%]],0)</f>
        <v>0</v>
      </c>
      <c r="W27" s="3">
        <f>_26_03_2026_Log_Reseau_v15_7[[#This Row],[Facture mensuelle]]*_26_03_2026_Log_Reseau_v15_7[[#This Row],[remise 10_70_45]]</f>
        <v>0</v>
      </c>
    </row>
    <row r="28" spans="1:23" x14ac:dyDescent="0.25">
      <c r="A28" s="1">
        <v>45201</v>
      </c>
      <c r="B28" s="2">
        <v>0.57430555555555551</v>
      </c>
      <c r="C28" t="s">
        <v>1226</v>
      </c>
      <c r="D28">
        <v>75</v>
      </c>
      <c r="E28" t="s">
        <v>812</v>
      </c>
      <c r="F28" t="s">
        <v>24</v>
      </c>
      <c r="G28">
        <v>0.172153</v>
      </c>
      <c r="H28">
        <v>21.091376</v>
      </c>
      <c r="I28" t="s">
        <v>1482</v>
      </c>
      <c r="J28" t="s">
        <v>1478</v>
      </c>
      <c r="K28" t="s">
        <v>23</v>
      </c>
      <c r="L28">
        <v>46</v>
      </c>
      <c r="M28" t="s">
        <v>11</v>
      </c>
      <c r="N28">
        <v>283</v>
      </c>
      <c r="O28">
        <v>56.05</v>
      </c>
      <c r="P28">
        <v>1</v>
      </c>
      <c r="Q28">
        <f>_26_03_2026_Log_Reseau_v15_7[[#This Row],[Durée cumulée_panne_minu]]/60</f>
        <v>4.7166666666666668</v>
      </c>
      <c r="R28">
        <f>ROUND(_26_03_2026_Log_Reseau_v15_7[[#This Row],[Durée_cumulée _ panne_en heure]],0)</f>
        <v>5</v>
      </c>
      <c r="S28">
        <f>_26_03_2026_Log_Reseau_v15_7[[#This Row],[Anciennété_mois]]/12</f>
        <v>3.8333333333333335</v>
      </c>
      <c r="T28">
        <f>ROUND(_26_03_2026_Log_Reseau_v15_7[[#This Row],[anciennete_ en année]],0)</f>
        <v>4</v>
      </c>
      <c r="U2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8" s="3">
        <f>ROUND(_26_03_2026_Log_Reseau_v15_7[[#This Row],[remise 10%_70%_45%]],0)</f>
        <v>0</v>
      </c>
      <c r="W28" s="3">
        <f>_26_03_2026_Log_Reseau_v15_7[[#This Row],[Facture mensuelle]]*_26_03_2026_Log_Reseau_v15_7[[#This Row],[remise 10_70_45]]</f>
        <v>0</v>
      </c>
    </row>
    <row r="29" spans="1:23" x14ac:dyDescent="0.25">
      <c r="A29" s="1">
        <v>45201</v>
      </c>
      <c r="B29" s="2">
        <v>9.0277777777777769E-3</v>
      </c>
      <c r="C29" t="s">
        <v>1241</v>
      </c>
      <c r="D29">
        <v>56</v>
      </c>
      <c r="E29" t="s">
        <v>808</v>
      </c>
      <c r="F29" t="s">
        <v>89</v>
      </c>
      <c r="G29">
        <v>-7.7839049999999999</v>
      </c>
      <c r="H29">
        <v>14.114281999999999</v>
      </c>
      <c r="I29" t="s">
        <v>1482</v>
      </c>
      <c r="J29" t="s">
        <v>1483</v>
      </c>
      <c r="K29" t="s">
        <v>88</v>
      </c>
      <c r="L29">
        <v>98</v>
      </c>
      <c r="M29" t="s">
        <v>14</v>
      </c>
      <c r="N29">
        <v>482</v>
      </c>
      <c r="O29">
        <v>55.04</v>
      </c>
      <c r="P29">
        <v>5</v>
      </c>
      <c r="Q29">
        <f>_26_03_2026_Log_Reseau_v15_7[[#This Row],[Durée cumulée_panne_minu]]/60</f>
        <v>8.0333333333333332</v>
      </c>
      <c r="R29">
        <f>ROUND(_26_03_2026_Log_Reseau_v15_7[[#This Row],[Durée_cumulée _ panne_en heure]],0)</f>
        <v>8</v>
      </c>
      <c r="S29">
        <f>_26_03_2026_Log_Reseau_v15_7[[#This Row],[Anciennété_mois]]/12</f>
        <v>8.1666666666666661</v>
      </c>
      <c r="T29">
        <f>ROUND(_26_03_2026_Log_Reseau_v15_7[[#This Row],[anciennete_ en année]],0)</f>
        <v>8</v>
      </c>
      <c r="U2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29" s="3">
        <f>ROUND(_26_03_2026_Log_Reseau_v15_7[[#This Row],[remise 10%_70%_45%]],0)</f>
        <v>6</v>
      </c>
      <c r="W29" s="3">
        <f>_26_03_2026_Log_Reseau_v15_7[[#This Row],[Facture mensuelle]]*_26_03_2026_Log_Reseau_v15_7[[#This Row],[remise 10_70_45]]</f>
        <v>330.24</v>
      </c>
    </row>
    <row r="30" spans="1:23" x14ac:dyDescent="0.25">
      <c r="A30" s="1">
        <v>45201</v>
      </c>
      <c r="B30" s="2">
        <v>0.21249999999999999</v>
      </c>
      <c r="C30" t="s">
        <v>1243</v>
      </c>
      <c r="D30">
        <v>40</v>
      </c>
      <c r="E30" t="s">
        <v>808</v>
      </c>
      <c r="F30" t="s">
        <v>131</v>
      </c>
      <c r="G30">
        <v>0.82868600000000003</v>
      </c>
      <c r="H30">
        <v>26.958843999999999</v>
      </c>
      <c r="I30" t="s">
        <v>1477</v>
      </c>
      <c r="J30" t="s">
        <v>1483</v>
      </c>
      <c r="K30" t="s">
        <v>130</v>
      </c>
      <c r="L30">
        <v>16</v>
      </c>
      <c r="M30" t="s">
        <v>19</v>
      </c>
      <c r="N30">
        <v>390</v>
      </c>
      <c r="O30">
        <v>98.17</v>
      </c>
      <c r="P30">
        <v>5</v>
      </c>
      <c r="Q30">
        <f>_26_03_2026_Log_Reseau_v15_7[[#This Row],[Durée cumulée_panne_minu]]/60</f>
        <v>6.5</v>
      </c>
      <c r="R30">
        <f>ROUND(_26_03_2026_Log_Reseau_v15_7[[#This Row],[Durée_cumulée _ panne_en heure]],0)</f>
        <v>7</v>
      </c>
      <c r="S30">
        <f>_26_03_2026_Log_Reseau_v15_7[[#This Row],[Anciennété_mois]]/12</f>
        <v>1.3333333333333333</v>
      </c>
      <c r="T30">
        <f>ROUND(_26_03_2026_Log_Reseau_v15_7[[#This Row],[anciennete_ en année]],0)</f>
        <v>1</v>
      </c>
      <c r="U3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0" s="3">
        <f>ROUND(_26_03_2026_Log_Reseau_v15_7[[#This Row],[remise 10%_70%_45%]],0)</f>
        <v>0</v>
      </c>
      <c r="W30" s="3">
        <f>_26_03_2026_Log_Reseau_v15_7[[#This Row],[Facture mensuelle]]*_26_03_2026_Log_Reseau_v15_7[[#This Row],[remise 10_70_45]]</f>
        <v>0</v>
      </c>
    </row>
    <row r="31" spans="1:23" x14ac:dyDescent="0.25">
      <c r="A31" s="1">
        <v>45201</v>
      </c>
      <c r="B31" s="2">
        <v>0.22500000000000001</v>
      </c>
      <c r="C31" t="s">
        <v>1243</v>
      </c>
      <c r="D31">
        <v>83</v>
      </c>
      <c r="E31" t="s">
        <v>808</v>
      </c>
      <c r="F31" t="s">
        <v>131</v>
      </c>
      <c r="G31">
        <v>0.82868600000000003</v>
      </c>
      <c r="H31">
        <v>26.958843999999999</v>
      </c>
      <c r="I31" t="s">
        <v>1477</v>
      </c>
      <c r="J31" t="s">
        <v>1483</v>
      </c>
      <c r="K31" t="s">
        <v>130</v>
      </c>
      <c r="L31">
        <v>16</v>
      </c>
      <c r="M31" t="s">
        <v>19</v>
      </c>
      <c r="N31">
        <v>390</v>
      </c>
      <c r="O31">
        <v>98.17</v>
      </c>
      <c r="P31">
        <v>5</v>
      </c>
      <c r="Q31">
        <f>_26_03_2026_Log_Reseau_v15_7[[#This Row],[Durée cumulée_panne_minu]]/60</f>
        <v>6.5</v>
      </c>
      <c r="R31">
        <f>ROUND(_26_03_2026_Log_Reseau_v15_7[[#This Row],[Durée_cumulée _ panne_en heure]],0)</f>
        <v>7</v>
      </c>
      <c r="S31">
        <f>_26_03_2026_Log_Reseau_v15_7[[#This Row],[Anciennété_mois]]/12</f>
        <v>1.3333333333333333</v>
      </c>
      <c r="T31">
        <f>ROUND(_26_03_2026_Log_Reseau_v15_7[[#This Row],[anciennete_ en année]],0)</f>
        <v>1</v>
      </c>
      <c r="U3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1" s="3">
        <f>ROUND(_26_03_2026_Log_Reseau_v15_7[[#This Row],[remise 10%_70%_45%]],0)</f>
        <v>0</v>
      </c>
      <c r="W31" s="3">
        <f>_26_03_2026_Log_Reseau_v15_7[[#This Row],[Facture mensuelle]]*_26_03_2026_Log_Reseau_v15_7[[#This Row],[remise 10_70_45]]</f>
        <v>0</v>
      </c>
    </row>
    <row r="32" spans="1:23" x14ac:dyDescent="0.25">
      <c r="A32" s="1">
        <v>45201</v>
      </c>
      <c r="B32" s="2">
        <v>0.3125</v>
      </c>
      <c r="C32" t="s">
        <v>1293</v>
      </c>
      <c r="D32">
        <v>90</v>
      </c>
      <c r="E32" t="s">
        <v>808</v>
      </c>
      <c r="F32" t="s">
        <v>57</v>
      </c>
      <c r="G32">
        <v>-12.333232000000001</v>
      </c>
      <c r="H32">
        <v>25.229620000000001</v>
      </c>
      <c r="I32" t="s">
        <v>1477</v>
      </c>
      <c r="J32" t="s">
        <v>1490</v>
      </c>
      <c r="K32" t="s">
        <v>56</v>
      </c>
      <c r="L32">
        <v>97</v>
      </c>
      <c r="M32" t="s">
        <v>14</v>
      </c>
      <c r="N32">
        <v>319</v>
      </c>
      <c r="O32">
        <v>31.25</v>
      </c>
      <c r="P32">
        <v>1</v>
      </c>
      <c r="Q32">
        <f>_26_03_2026_Log_Reseau_v15_7[[#This Row],[Durée cumulée_panne_minu]]/60</f>
        <v>5.3166666666666664</v>
      </c>
      <c r="R32">
        <f>ROUND(_26_03_2026_Log_Reseau_v15_7[[#This Row],[Durée_cumulée _ panne_en heure]],0)</f>
        <v>5</v>
      </c>
      <c r="S32">
        <f>_26_03_2026_Log_Reseau_v15_7[[#This Row],[Anciennété_mois]]/12</f>
        <v>8.0833333333333339</v>
      </c>
      <c r="T32">
        <f>ROUND(_26_03_2026_Log_Reseau_v15_7[[#This Row],[anciennete_ en année]],0)</f>
        <v>8</v>
      </c>
      <c r="U3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3.125</v>
      </c>
      <c r="V32" s="3">
        <f>ROUND(_26_03_2026_Log_Reseau_v15_7[[#This Row],[remise 10%_70%_45%]],0)</f>
        <v>3</v>
      </c>
      <c r="W32" s="3">
        <f>_26_03_2026_Log_Reseau_v15_7[[#This Row],[Facture mensuelle]]*_26_03_2026_Log_Reseau_v15_7[[#This Row],[remise 10_70_45]]</f>
        <v>93.75</v>
      </c>
    </row>
    <row r="33" spans="1:23" x14ac:dyDescent="0.25">
      <c r="A33" s="1">
        <v>45201</v>
      </c>
      <c r="B33" s="2">
        <v>0.92222222222222228</v>
      </c>
      <c r="C33" t="s">
        <v>1318</v>
      </c>
      <c r="D33">
        <v>32</v>
      </c>
      <c r="E33" t="s">
        <v>807</v>
      </c>
      <c r="F33" t="s">
        <v>26</v>
      </c>
      <c r="G33">
        <v>1.5278670000000001</v>
      </c>
      <c r="H33">
        <v>13.899388999999999</v>
      </c>
      <c r="I33" t="s">
        <v>1482</v>
      </c>
      <c r="J33" t="s">
        <v>1481</v>
      </c>
      <c r="K33" t="s">
        <v>25</v>
      </c>
      <c r="L33">
        <v>99</v>
      </c>
      <c r="M33" t="s">
        <v>11</v>
      </c>
      <c r="N33">
        <v>447</v>
      </c>
      <c r="O33">
        <v>38.1</v>
      </c>
      <c r="P33">
        <v>3</v>
      </c>
      <c r="Q33">
        <f>_26_03_2026_Log_Reseau_v15_7[[#This Row],[Durée cumulée_panne_minu]]/60</f>
        <v>7.45</v>
      </c>
      <c r="R33">
        <f>ROUND(_26_03_2026_Log_Reseau_v15_7[[#This Row],[Durée_cumulée _ panne_en heure]],0)</f>
        <v>7</v>
      </c>
      <c r="S33">
        <f>_26_03_2026_Log_Reseau_v15_7[[#This Row],[Anciennété_mois]]/12</f>
        <v>8.25</v>
      </c>
      <c r="T33">
        <f>ROUND(_26_03_2026_Log_Reseau_v15_7[[#This Row],[anciennete_ en année]],0)</f>
        <v>8</v>
      </c>
      <c r="U3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3" s="3">
        <f>ROUND(_26_03_2026_Log_Reseau_v15_7[[#This Row],[remise 10%_70%_45%]],0)</f>
        <v>0</v>
      </c>
      <c r="W33" s="3">
        <f>_26_03_2026_Log_Reseau_v15_7[[#This Row],[Facture mensuelle]]*_26_03_2026_Log_Reseau_v15_7[[#This Row],[remise 10_70_45]]</f>
        <v>0</v>
      </c>
    </row>
    <row r="34" spans="1:23" x14ac:dyDescent="0.25">
      <c r="A34" s="1">
        <v>45201</v>
      </c>
      <c r="B34" s="2">
        <v>5.7638888888888892E-2</v>
      </c>
      <c r="C34" t="s">
        <v>1459</v>
      </c>
      <c r="D34">
        <v>103</v>
      </c>
      <c r="E34" t="s">
        <v>807</v>
      </c>
      <c r="F34" t="s">
        <v>24</v>
      </c>
      <c r="G34">
        <v>-11.594525000000001</v>
      </c>
      <c r="H34">
        <v>29.744895</v>
      </c>
      <c r="I34" t="s">
        <v>1482</v>
      </c>
      <c r="J34" t="s">
        <v>1483</v>
      </c>
      <c r="K34" t="s">
        <v>23</v>
      </c>
      <c r="L34">
        <v>46</v>
      </c>
      <c r="M34" t="s">
        <v>11</v>
      </c>
      <c r="N34">
        <v>283</v>
      </c>
      <c r="O34">
        <v>56.05</v>
      </c>
      <c r="P34">
        <v>1</v>
      </c>
      <c r="Q34">
        <f>_26_03_2026_Log_Reseau_v15_7[[#This Row],[Durée cumulée_panne_minu]]/60</f>
        <v>4.7166666666666668</v>
      </c>
      <c r="R34">
        <f>ROUND(_26_03_2026_Log_Reseau_v15_7[[#This Row],[Durée_cumulée _ panne_en heure]],0)</f>
        <v>5</v>
      </c>
      <c r="S34">
        <f>_26_03_2026_Log_Reseau_v15_7[[#This Row],[Anciennété_mois]]/12</f>
        <v>3.8333333333333335</v>
      </c>
      <c r="T34">
        <f>ROUND(_26_03_2026_Log_Reseau_v15_7[[#This Row],[anciennete_ en année]],0)</f>
        <v>4</v>
      </c>
      <c r="U3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4" s="3">
        <f>ROUND(_26_03_2026_Log_Reseau_v15_7[[#This Row],[remise 10%_70%_45%]],0)</f>
        <v>0</v>
      </c>
      <c r="W34" s="3">
        <f>_26_03_2026_Log_Reseau_v15_7[[#This Row],[Facture mensuelle]]*_26_03_2026_Log_Reseau_v15_7[[#This Row],[remise 10_70_45]]</f>
        <v>0</v>
      </c>
    </row>
    <row r="35" spans="1:23" x14ac:dyDescent="0.25">
      <c r="A35" s="1">
        <v>45201</v>
      </c>
      <c r="B35" s="2">
        <v>0.86736111111111114</v>
      </c>
      <c r="C35" t="s">
        <v>1460</v>
      </c>
      <c r="D35">
        <v>18</v>
      </c>
      <c r="E35" t="s">
        <v>807</v>
      </c>
      <c r="F35" t="s">
        <v>62</v>
      </c>
      <c r="G35">
        <v>-12.112399999999999</v>
      </c>
      <c r="H35">
        <v>15.872226</v>
      </c>
      <c r="I35" t="s">
        <v>1480</v>
      </c>
      <c r="J35" t="s">
        <v>1490</v>
      </c>
      <c r="K35" t="s">
        <v>61</v>
      </c>
      <c r="L35">
        <v>101</v>
      </c>
      <c r="M35" t="s">
        <v>14</v>
      </c>
      <c r="N35">
        <v>333</v>
      </c>
      <c r="O35">
        <v>74.319999999999993</v>
      </c>
      <c r="P35">
        <v>1</v>
      </c>
      <c r="Q35">
        <f>_26_03_2026_Log_Reseau_v15_7[[#This Row],[Durée cumulée_panne_minu]]/60</f>
        <v>5.55</v>
      </c>
      <c r="R35">
        <f>ROUND(_26_03_2026_Log_Reseau_v15_7[[#This Row],[Durée_cumulée _ panne_en heure]],0)</f>
        <v>6</v>
      </c>
      <c r="S35">
        <f>_26_03_2026_Log_Reseau_v15_7[[#This Row],[Anciennété_mois]]/12</f>
        <v>8.4166666666666661</v>
      </c>
      <c r="T35">
        <f>ROUND(_26_03_2026_Log_Reseau_v15_7[[#This Row],[anciennete_ en année]],0)</f>
        <v>8</v>
      </c>
      <c r="U3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35" s="3">
        <f>ROUND(_26_03_2026_Log_Reseau_v15_7[[#This Row],[remise 10%_70%_45%]],0)</f>
        <v>7</v>
      </c>
      <c r="W35" s="3">
        <f>_26_03_2026_Log_Reseau_v15_7[[#This Row],[Facture mensuelle]]*_26_03_2026_Log_Reseau_v15_7[[#This Row],[remise 10_70_45]]</f>
        <v>520.24</v>
      </c>
    </row>
    <row r="36" spans="1:23" x14ac:dyDescent="0.25">
      <c r="A36" s="1">
        <v>45201</v>
      </c>
      <c r="B36" s="2">
        <v>0.17222222222222222</v>
      </c>
      <c r="C36" t="s">
        <v>1469</v>
      </c>
      <c r="D36">
        <v>33</v>
      </c>
      <c r="E36" t="s">
        <v>812</v>
      </c>
      <c r="F36" t="s">
        <v>89</v>
      </c>
      <c r="G36">
        <v>-7.9987219999999999</v>
      </c>
      <c r="H36">
        <v>12.779335</v>
      </c>
      <c r="I36" t="s">
        <v>1477</v>
      </c>
      <c r="J36" t="s">
        <v>1490</v>
      </c>
      <c r="K36" t="s">
        <v>88</v>
      </c>
      <c r="L36">
        <v>98</v>
      </c>
      <c r="M36" t="s">
        <v>14</v>
      </c>
      <c r="N36">
        <v>482</v>
      </c>
      <c r="O36">
        <v>55.04</v>
      </c>
      <c r="P36">
        <v>5</v>
      </c>
      <c r="Q36">
        <f>_26_03_2026_Log_Reseau_v15_7[[#This Row],[Durée cumulée_panne_minu]]/60</f>
        <v>8.0333333333333332</v>
      </c>
      <c r="R36">
        <f>ROUND(_26_03_2026_Log_Reseau_v15_7[[#This Row],[Durée_cumulée _ panne_en heure]],0)</f>
        <v>8</v>
      </c>
      <c r="S36">
        <f>_26_03_2026_Log_Reseau_v15_7[[#This Row],[Anciennété_mois]]/12</f>
        <v>8.1666666666666661</v>
      </c>
      <c r="T36">
        <f>ROUND(_26_03_2026_Log_Reseau_v15_7[[#This Row],[anciennete_ en année]],0)</f>
        <v>8</v>
      </c>
      <c r="U3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36" s="3">
        <f>ROUND(_26_03_2026_Log_Reseau_v15_7[[#This Row],[remise 10%_70%_45%]],0)</f>
        <v>6</v>
      </c>
      <c r="W36" s="3">
        <f>_26_03_2026_Log_Reseau_v15_7[[#This Row],[Facture mensuelle]]*_26_03_2026_Log_Reseau_v15_7[[#This Row],[remise 10_70_45]]</f>
        <v>330.24</v>
      </c>
    </row>
    <row r="37" spans="1:23" x14ac:dyDescent="0.25">
      <c r="A37" s="1">
        <v>45202</v>
      </c>
      <c r="B37" s="2">
        <v>0.8520833333333333</v>
      </c>
      <c r="C37" t="s">
        <v>816</v>
      </c>
      <c r="D37">
        <v>83</v>
      </c>
      <c r="E37" t="s">
        <v>807</v>
      </c>
      <c r="F37" t="s">
        <v>44</v>
      </c>
      <c r="G37">
        <v>-1.607639</v>
      </c>
      <c r="H37">
        <v>17.003636</v>
      </c>
      <c r="I37" t="s">
        <v>1480</v>
      </c>
      <c r="J37" t="s">
        <v>1478</v>
      </c>
      <c r="K37" t="s">
        <v>43</v>
      </c>
      <c r="L37">
        <v>66</v>
      </c>
      <c r="M37" t="s">
        <v>22</v>
      </c>
      <c r="N37">
        <v>270</v>
      </c>
      <c r="O37">
        <v>75.88</v>
      </c>
      <c r="P37">
        <v>3</v>
      </c>
      <c r="Q37">
        <f>_26_03_2026_Log_Reseau_v15_7[[#This Row],[Durée cumulée_panne_minu]]/60</f>
        <v>4.5</v>
      </c>
      <c r="R37">
        <f>ROUND(_26_03_2026_Log_Reseau_v15_7[[#This Row],[Durée_cumulée _ panne_en heure]],0)</f>
        <v>5</v>
      </c>
      <c r="S37">
        <f>_26_03_2026_Log_Reseau_v15_7[[#This Row],[Anciennété_mois]]/12</f>
        <v>5.5</v>
      </c>
      <c r="T37">
        <f>ROUND(_26_03_2026_Log_Reseau_v15_7[[#This Row],[anciennete_ en année]],0)</f>
        <v>6</v>
      </c>
      <c r="U3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7" s="3">
        <f>ROUND(_26_03_2026_Log_Reseau_v15_7[[#This Row],[remise 10%_70%_45%]],0)</f>
        <v>0</v>
      </c>
      <c r="W37" s="3">
        <f>_26_03_2026_Log_Reseau_v15_7[[#This Row],[Facture mensuelle]]*_26_03_2026_Log_Reseau_v15_7[[#This Row],[remise 10_70_45]]</f>
        <v>0</v>
      </c>
    </row>
    <row r="38" spans="1:23" x14ac:dyDescent="0.25">
      <c r="A38" s="1">
        <v>45202</v>
      </c>
      <c r="B38" s="2">
        <v>0.35</v>
      </c>
      <c r="C38" t="s">
        <v>833</v>
      </c>
      <c r="D38">
        <v>78</v>
      </c>
      <c r="E38" t="s">
        <v>807</v>
      </c>
      <c r="F38" t="s">
        <v>16</v>
      </c>
      <c r="G38">
        <v>4.0988100000000003</v>
      </c>
      <c r="H38">
        <v>29.843810999999999</v>
      </c>
      <c r="I38" t="s">
        <v>1482</v>
      </c>
      <c r="J38" t="s">
        <v>1481</v>
      </c>
      <c r="K38" t="s">
        <v>15</v>
      </c>
      <c r="L38">
        <v>34</v>
      </c>
      <c r="M38" t="s">
        <v>14</v>
      </c>
      <c r="N38">
        <v>453</v>
      </c>
      <c r="O38">
        <v>56.84</v>
      </c>
      <c r="P38">
        <v>0</v>
      </c>
      <c r="Q38">
        <f>_26_03_2026_Log_Reseau_v15_7[[#This Row],[Durée cumulée_panne_minu]]/60</f>
        <v>7.55</v>
      </c>
      <c r="R38">
        <f>ROUND(_26_03_2026_Log_Reseau_v15_7[[#This Row],[Durée_cumulée _ panne_en heure]],0)</f>
        <v>8</v>
      </c>
      <c r="S38">
        <f>_26_03_2026_Log_Reseau_v15_7[[#This Row],[Anciennété_mois]]/12</f>
        <v>2.8333333333333335</v>
      </c>
      <c r="T38">
        <f>ROUND(_26_03_2026_Log_Reseau_v15_7[[#This Row],[anciennete_ en année]],0)</f>
        <v>3</v>
      </c>
      <c r="U3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38" s="3">
        <f>ROUND(_26_03_2026_Log_Reseau_v15_7[[#This Row],[remise 10%_70%_45%]],0)</f>
        <v>6</v>
      </c>
      <c r="W38" s="3">
        <f>_26_03_2026_Log_Reseau_v15_7[[#This Row],[Facture mensuelle]]*_26_03_2026_Log_Reseau_v15_7[[#This Row],[remise 10_70_45]]</f>
        <v>341.04</v>
      </c>
    </row>
    <row r="39" spans="1:23" x14ac:dyDescent="0.25">
      <c r="A39" s="1">
        <v>45202</v>
      </c>
      <c r="B39" s="2">
        <v>0.16180555555555556</v>
      </c>
      <c r="C39" t="s">
        <v>837</v>
      </c>
      <c r="D39">
        <v>61</v>
      </c>
      <c r="E39" t="s">
        <v>808</v>
      </c>
      <c r="F39" t="s">
        <v>131</v>
      </c>
      <c r="G39">
        <v>-6.5529849999999996</v>
      </c>
      <c r="H39">
        <v>21.990606</v>
      </c>
      <c r="I39" t="s">
        <v>1482</v>
      </c>
      <c r="J39" t="s">
        <v>1481</v>
      </c>
      <c r="K39" t="s">
        <v>130</v>
      </c>
      <c r="L39">
        <v>16</v>
      </c>
      <c r="M39" t="s">
        <v>19</v>
      </c>
      <c r="N39">
        <v>390</v>
      </c>
      <c r="O39">
        <v>98.17</v>
      </c>
      <c r="P39">
        <v>5</v>
      </c>
      <c r="Q39">
        <f>_26_03_2026_Log_Reseau_v15_7[[#This Row],[Durée cumulée_panne_minu]]/60</f>
        <v>6.5</v>
      </c>
      <c r="R39">
        <f>ROUND(_26_03_2026_Log_Reseau_v15_7[[#This Row],[Durée_cumulée _ panne_en heure]],0)</f>
        <v>7</v>
      </c>
      <c r="S39">
        <f>_26_03_2026_Log_Reseau_v15_7[[#This Row],[Anciennété_mois]]/12</f>
        <v>1.3333333333333333</v>
      </c>
      <c r="T39">
        <f>ROUND(_26_03_2026_Log_Reseau_v15_7[[#This Row],[anciennete_ en année]],0)</f>
        <v>1</v>
      </c>
      <c r="U3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9" s="3">
        <f>ROUND(_26_03_2026_Log_Reseau_v15_7[[#This Row],[remise 10%_70%_45%]],0)</f>
        <v>0</v>
      </c>
      <c r="W39" s="3">
        <f>_26_03_2026_Log_Reseau_v15_7[[#This Row],[Facture mensuelle]]*_26_03_2026_Log_Reseau_v15_7[[#This Row],[remise 10_70_45]]</f>
        <v>0</v>
      </c>
    </row>
    <row r="40" spans="1:23" x14ac:dyDescent="0.25">
      <c r="A40" s="1">
        <v>45202</v>
      </c>
      <c r="B40" s="2">
        <v>4.791666666666667E-2</v>
      </c>
      <c r="C40" t="s">
        <v>864</v>
      </c>
      <c r="D40">
        <v>115</v>
      </c>
      <c r="E40" t="s">
        <v>808</v>
      </c>
      <c r="F40" t="s">
        <v>13</v>
      </c>
      <c r="G40">
        <v>-10.577049000000001</v>
      </c>
      <c r="H40">
        <v>23.721854</v>
      </c>
      <c r="I40" t="s">
        <v>1480</v>
      </c>
      <c r="J40" t="s">
        <v>1483</v>
      </c>
      <c r="K40" t="s">
        <v>12</v>
      </c>
      <c r="L40">
        <v>63</v>
      </c>
      <c r="M40" t="s">
        <v>14</v>
      </c>
      <c r="N40">
        <v>205</v>
      </c>
      <c r="O40">
        <v>89.19</v>
      </c>
      <c r="P40">
        <v>0</v>
      </c>
      <c r="Q40">
        <f>_26_03_2026_Log_Reseau_v15_7[[#This Row],[Durée cumulée_panne_minu]]/60</f>
        <v>3.4166666666666665</v>
      </c>
      <c r="R40">
        <f>ROUND(_26_03_2026_Log_Reseau_v15_7[[#This Row],[Durée_cumulée _ panne_en heure]],0)</f>
        <v>3</v>
      </c>
      <c r="S40">
        <f>_26_03_2026_Log_Reseau_v15_7[[#This Row],[Anciennété_mois]]/12</f>
        <v>5.25</v>
      </c>
      <c r="T40">
        <f>ROUND(_26_03_2026_Log_Reseau_v15_7[[#This Row],[anciennete_ en année]],0)</f>
        <v>5</v>
      </c>
      <c r="U4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40" s="3">
        <f>ROUND(_26_03_2026_Log_Reseau_v15_7[[#This Row],[remise 10%_70%_45%]],0)</f>
        <v>9</v>
      </c>
      <c r="W40" s="3">
        <f>_26_03_2026_Log_Reseau_v15_7[[#This Row],[Facture mensuelle]]*_26_03_2026_Log_Reseau_v15_7[[#This Row],[remise 10_70_45]]</f>
        <v>802.71</v>
      </c>
    </row>
    <row r="41" spans="1:23" x14ac:dyDescent="0.25">
      <c r="A41" s="1">
        <v>45202</v>
      </c>
      <c r="B41" s="2">
        <v>0.77916666666666667</v>
      </c>
      <c r="C41" t="s">
        <v>909</v>
      </c>
      <c r="D41">
        <v>61</v>
      </c>
      <c r="E41" t="s">
        <v>812</v>
      </c>
      <c r="F41" t="s">
        <v>37</v>
      </c>
      <c r="G41">
        <v>-12.229338</v>
      </c>
      <c r="H41">
        <v>29.587834999999998</v>
      </c>
      <c r="I41" t="s">
        <v>1480</v>
      </c>
      <c r="J41" t="s">
        <v>1490</v>
      </c>
      <c r="K41" t="s">
        <v>36</v>
      </c>
      <c r="L41">
        <v>115</v>
      </c>
      <c r="M41" t="s">
        <v>19</v>
      </c>
      <c r="N41">
        <v>176</v>
      </c>
      <c r="O41">
        <v>33.28</v>
      </c>
      <c r="P41">
        <v>4</v>
      </c>
      <c r="Q41">
        <f>_26_03_2026_Log_Reseau_v15_7[[#This Row],[Durée cumulée_panne_minu]]/60</f>
        <v>2.9333333333333331</v>
      </c>
      <c r="R41">
        <f>ROUND(_26_03_2026_Log_Reseau_v15_7[[#This Row],[Durée_cumulée _ panne_en heure]],0)</f>
        <v>3</v>
      </c>
      <c r="S41">
        <f>_26_03_2026_Log_Reseau_v15_7[[#This Row],[Anciennété_mois]]/12</f>
        <v>9.5833333333333339</v>
      </c>
      <c r="T41">
        <f>ROUND(_26_03_2026_Log_Reseau_v15_7[[#This Row],[anciennete_ en année]],0)</f>
        <v>10</v>
      </c>
      <c r="U4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1" s="3">
        <f>ROUND(_26_03_2026_Log_Reseau_v15_7[[#This Row],[remise 10%_70%_45%]],0)</f>
        <v>0</v>
      </c>
      <c r="W41" s="3">
        <f>_26_03_2026_Log_Reseau_v15_7[[#This Row],[Facture mensuelle]]*_26_03_2026_Log_Reseau_v15_7[[#This Row],[remise 10_70_45]]</f>
        <v>0</v>
      </c>
    </row>
    <row r="42" spans="1:23" x14ac:dyDescent="0.25">
      <c r="A42" s="1">
        <v>45202</v>
      </c>
      <c r="B42" s="2">
        <v>0.42083333333333334</v>
      </c>
      <c r="C42" t="s">
        <v>925</v>
      </c>
      <c r="D42">
        <v>84</v>
      </c>
      <c r="E42" t="s">
        <v>807</v>
      </c>
      <c r="F42" t="s">
        <v>31</v>
      </c>
      <c r="G42">
        <v>-10.56448</v>
      </c>
      <c r="H42">
        <v>19.792876</v>
      </c>
      <c r="I42" t="s">
        <v>1477</v>
      </c>
      <c r="J42" t="s">
        <v>1478</v>
      </c>
      <c r="K42" t="s">
        <v>30</v>
      </c>
      <c r="L42">
        <v>113</v>
      </c>
      <c r="M42" t="s">
        <v>22</v>
      </c>
      <c r="N42">
        <v>380</v>
      </c>
      <c r="O42">
        <v>12.11</v>
      </c>
      <c r="P42">
        <v>0</v>
      </c>
      <c r="Q42">
        <f>_26_03_2026_Log_Reseau_v15_7[[#This Row],[Durée cumulée_panne_minu]]/60</f>
        <v>6.333333333333333</v>
      </c>
      <c r="R42">
        <f>ROUND(_26_03_2026_Log_Reseau_v15_7[[#This Row],[Durée_cumulée _ panne_en heure]],0)</f>
        <v>6</v>
      </c>
      <c r="S42">
        <f>_26_03_2026_Log_Reseau_v15_7[[#This Row],[Anciennété_mois]]/12</f>
        <v>9.4166666666666661</v>
      </c>
      <c r="T42">
        <f>ROUND(_26_03_2026_Log_Reseau_v15_7[[#This Row],[anciennete_ en année]],0)</f>
        <v>9</v>
      </c>
      <c r="U4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2" s="3">
        <f>ROUND(_26_03_2026_Log_Reseau_v15_7[[#This Row],[remise 10%_70%_45%]],0)</f>
        <v>0</v>
      </c>
      <c r="W42" s="3">
        <f>_26_03_2026_Log_Reseau_v15_7[[#This Row],[Facture mensuelle]]*_26_03_2026_Log_Reseau_v15_7[[#This Row],[remise 10_70_45]]</f>
        <v>0</v>
      </c>
    </row>
    <row r="43" spans="1:23" x14ac:dyDescent="0.25">
      <c r="A43" s="1">
        <v>45202</v>
      </c>
      <c r="B43" s="2">
        <v>0.8041666666666667</v>
      </c>
      <c r="C43" t="s">
        <v>932</v>
      </c>
      <c r="D43">
        <v>115</v>
      </c>
      <c r="E43" t="s">
        <v>808</v>
      </c>
      <c r="F43" t="s">
        <v>127</v>
      </c>
      <c r="G43">
        <v>1.2391989999999999</v>
      </c>
      <c r="H43">
        <v>15.386718999999999</v>
      </c>
      <c r="I43" t="s">
        <v>1477</v>
      </c>
      <c r="J43" t="s">
        <v>1483</v>
      </c>
      <c r="K43" t="s">
        <v>126</v>
      </c>
      <c r="L43">
        <v>40</v>
      </c>
      <c r="M43" t="s">
        <v>11</v>
      </c>
      <c r="N43">
        <v>345</v>
      </c>
      <c r="O43">
        <v>89.55</v>
      </c>
      <c r="P43">
        <v>3</v>
      </c>
      <c r="Q43">
        <f>_26_03_2026_Log_Reseau_v15_7[[#This Row],[Durée cumulée_panne_minu]]/60</f>
        <v>5.75</v>
      </c>
      <c r="R43">
        <f>ROUND(_26_03_2026_Log_Reseau_v15_7[[#This Row],[Durée_cumulée _ panne_en heure]],0)</f>
        <v>6</v>
      </c>
      <c r="S43">
        <f>_26_03_2026_Log_Reseau_v15_7[[#This Row],[Anciennété_mois]]/12</f>
        <v>3.3333333333333335</v>
      </c>
      <c r="T43">
        <f>ROUND(_26_03_2026_Log_Reseau_v15_7[[#This Row],[anciennete_ en année]],0)</f>
        <v>3</v>
      </c>
      <c r="U4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3" s="3">
        <f>ROUND(_26_03_2026_Log_Reseau_v15_7[[#This Row],[remise 10%_70%_45%]],0)</f>
        <v>0</v>
      </c>
      <c r="W43" s="3">
        <f>_26_03_2026_Log_Reseau_v15_7[[#This Row],[Facture mensuelle]]*_26_03_2026_Log_Reseau_v15_7[[#This Row],[remise 10_70_45]]</f>
        <v>0</v>
      </c>
    </row>
    <row r="44" spans="1:23" x14ac:dyDescent="0.25">
      <c r="A44" s="1">
        <v>45202</v>
      </c>
      <c r="B44" s="2">
        <v>0.78055555555555556</v>
      </c>
      <c r="C44" t="s">
        <v>969</v>
      </c>
      <c r="D44">
        <v>53</v>
      </c>
      <c r="E44" t="s">
        <v>812</v>
      </c>
      <c r="F44" t="s">
        <v>78</v>
      </c>
      <c r="G44">
        <v>-2.3743210000000001</v>
      </c>
      <c r="H44">
        <v>22.399491000000001</v>
      </c>
      <c r="I44" t="s">
        <v>1477</v>
      </c>
      <c r="J44" t="s">
        <v>1478</v>
      </c>
      <c r="K44" t="s">
        <v>77</v>
      </c>
      <c r="L44">
        <v>81</v>
      </c>
      <c r="M44" t="s">
        <v>14</v>
      </c>
      <c r="N44">
        <v>154</v>
      </c>
      <c r="O44">
        <v>19.47</v>
      </c>
      <c r="P44">
        <v>3</v>
      </c>
      <c r="Q44">
        <f>_26_03_2026_Log_Reseau_v15_7[[#This Row],[Durée cumulée_panne_minu]]/60</f>
        <v>2.5666666666666669</v>
      </c>
      <c r="R44">
        <f>ROUND(_26_03_2026_Log_Reseau_v15_7[[#This Row],[Durée_cumulée _ panne_en heure]],0)</f>
        <v>3</v>
      </c>
      <c r="S44">
        <f>_26_03_2026_Log_Reseau_v15_7[[#This Row],[Anciennété_mois]]/12</f>
        <v>6.75</v>
      </c>
      <c r="T44">
        <f>ROUND(_26_03_2026_Log_Reseau_v15_7[[#This Row],[anciennete_ en année]],0)</f>
        <v>7</v>
      </c>
      <c r="U4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44" s="3">
        <f>ROUND(_26_03_2026_Log_Reseau_v15_7[[#This Row],[remise 10%_70%_45%]],0)</f>
        <v>2</v>
      </c>
      <c r="W44" s="3">
        <f>_26_03_2026_Log_Reseau_v15_7[[#This Row],[Facture mensuelle]]*_26_03_2026_Log_Reseau_v15_7[[#This Row],[remise 10_70_45]]</f>
        <v>38.94</v>
      </c>
    </row>
    <row r="45" spans="1:23" x14ac:dyDescent="0.25">
      <c r="A45" s="1">
        <v>45202</v>
      </c>
      <c r="B45" s="2">
        <v>0.25972222222222224</v>
      </c>
      <c r="C45" t="s">
        <v>980</v>
      </c>
      <c r="D45">
        <v>79</v>
      </c>
      <c r="E45" t="s">
        <v>807</v>
      </c>
      <c r="F45" t="s">
        <v>33</v>
      </c>
      <c r="G45">
        <v>-1.648264</v>
      </c>
      <c r="H45">
        <v>28.866143999999998</v>
      </c>
      <c r="I45" t="s">
        <v>1477</v>
      </c>
      <c r="J45" t="s">
        <v>1478</v>
      </c>
      <c r="K45" t="s">
        <v>32</v>
      </c>
      <c r="L45">
        <v>72</v>
      </c>
      <c r="M45" t="s">
        <v>14</v>
      </c>
      <c r="N45">
        <v>160</v>
      </c>
      <c r="O45">
        <v>90.13</v>
      </c>
      <c r="P45">
        <v>2</v>
      </c>
      <c r="Q45">
        <f>_26_03_2026_Log_Reseau_v15_7[[#This Row],[Durée cumulée_panne_minu]]/60</f>
        <v>2.6666666666666665</v>
      </c>
      <c r="R45">
        <f>ROUND(_26_03_2026_Log_Reseau_v15_7[[#This Row],[Durée_cumulée _ panne_en heure]],0)</f>
        <v>3</v>
      </c>
      <c r="S45">
        <f>_26_03_2026_Log_Reseau_v15_7[[#This Row],[Anciennété_mois]]/12</f>
        <v>6</v>
      </c>
      <c r="T45">
        <f>ROUND(_26_03_2026_Log_Reseau_v15_7[[#This Row],[anciennete_ en année]],0)</f>
        <v>6</v>
      </c>
      <c r="U4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45" s="3">
        <f>ROUND(_26_03_2026_Log_Reseau_v15_7[[#This Row],[remise 10%_70%_45%]],0)</f>
        <v>9</v>
      </c>
      <c r="W45" s="3">
        <f>_26_03_2026_Log_Reseau_v15_7[[#This Row],[Facture mensuelle]]*_26_03_2026_Log_Reseau_v15_7[[#This Row],[remise 10_70_45]]</f>
        <v>811.17</v>
      </c>
    </row>
    <row r="46" spans="1:23" x14ac:dyDescent="0.25">
      <c r="A46" s="1">
        <v>45202</v>
      </c>
      <c r="B46" s="2">
        <v>0.69930555555555551</v>
      </c>
      <c r="C46" t="s">
        <v>992</v>
      </c>
      <c r="D46">
        <v>63</v>
      </c>
      <c r="E46" t="s">
        <v>808</v>
      </c>
      <c r="F46" t="s">
        <v>73</v>
      </c>
      <c r="G46">
        <v>1.400674</v>
      </c>
      <c r="H46">
        <v>13.503126999999999</v>
      </c>
      <c r="I46" t="s">
        <v>1477</v>
      </c>
      <c r="J46" t="s">
        <v>1483</v>
      </c>
      <c r="K46" t="s">
        <v>72</v>
      </c>
      <c r="L46">
        <v>6</v>
      </c>
      <c r="M46" t="s">
        <v>11</v>
      </c>
      <c r="N46">
        <v>207</v>
      </c>
      <c r="O46">
        <v>61.55</v>
      </c>
      <c r="P46">
        <v>0</v>
      </c>
      <c r="Q46">
        <f>_26_03_2026_Log_Reseau_v15_7[[#This Row],[Durée cumulée_panne_minu]]/60</f>
        <v>3.45</v>
      </c>
      <c r="R46">
        <f>ROUND(_26_03_2026_Log_Reseau_v15_7[[#This Row],[Durée_cumulée _ panne_en heure]],0)</f>
        <v>3</v>
      </c>
      <c r="S46">
        <f>_26_03_2026_Log_Reseau_v15_7[[#This Row],[Anciennété_mois]]/12</f>
        <v>0.5</v>
      </c>
      <c r="T46">
        <f>ROUND(_26_03_2026_Log_Reseau_v15_7[[#This Row],[anciennete_ en année]],0)</f>
        <v>1</v>
      </c>
      <c r="U4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6" s="3">
        <f>ROUND(_26_03_2026_Log_Reseau_v15_7[[#This Row],[remise 10%_70%_45%]],0)</f>
        <v>0</v>
      </c>
      <c r="W46" s="3">
        <f>_26_03_2026_Log_Reseau_v15_7[[#This Row],[Facture mensuelle]]*_26_03_2026_Log_Reseau_v15_7[[#This Row],[remise 10_70_45]]</f>
        <v>0</v>
      </c>
    </row>
    <row r="47" spans="1:23" x14ac:dyDescent="0.25">
      <c r="A47" s="1">
        <v>45202</v>
      </c>
      <c r="B47" s="2">
        <v>0.41249999999999998</v>
      </c>
      <c r="C47" t="s">
        <v>995</v>
      </c>
      <c r="D47">
        <v>35</v>
      </c>
      <c r="E47" t="s">
        <v>807</v>
      </c>
      <c r="F47" t="s">
        <v>26</v>
      </c>
      <c r="G47">
        <v>-6.4197189999999997</v>
      </c>
      <c r="H47">
        <v>22.287264</v>
      </c>
      <c r="I47" t="s">
        <v>1482</v>
      </c>
      <c r="J47" t="s">
        <v>1478</v>
      </c>
      <c r="K47" t="s">
        <v>25</v>
      </c>
      <c r="L47">
        <v>99</v>
      </c>
      <c r="M47" t="s">
        <v>11</v>
      </c>
      <c r="N47">
        <v>447</v>
      </c>
      <c r="O47">
        <v>38.1</v>
      </c>
      <c r="P47">
        <v>3</v>
      </c>
      <c r="Q47">
        <f>_26_03_2026_Log_Reseau_v15_7[[#This Row],[Durée cumulée_panne_minu]]/60</f>
        <v>7.45</v>
      </c>
      <c r="R47">
        <f>ROUND(_26_03_2026_Log_Reseau_v15_7[[#This Row],[Durée_cumulée _ panne_en heure]],0)</f>
        <v>7</v>
      </c>
      <c r="S47">
        <f>_26_03_2026_Log_Reseau_v15_7[[#This Row],[Anciennété_mois]]/12</f>
        <v>8.25</v>
      </c>
      <c r="T47">
        <f>ROUND(_26_03_2026_Log_Reseau_v15_7[[#This Row],[anciennete_ en année]],0)</f>
        <v>8</v>
      </c>
      <c r="U4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7" s="3">
        <f>ROUND(_26_03_2026_Log_Reseau_v15_7[[#This Row],[remise 10%_70%_45%]],0)</f>
        <v>0</v>
      </c>
      <c r="W47" s="3">
        <f>_26_03_2026_Log_Reseau_v15_7[[#This Row],[Facture mensuelle]]*_26_03_2026_Log_Reseau_v15_7[[#This Row],[remise 10_70_45]]</f>
        <v>0</v>
      </c>
    </row>
    <row r="48" spans="1:23" x14ac:dyDescent="0.25">
      <c r="A48" s="1">
        <v>45202</v>
      </c>
      <c r="B48" s="2">
        <v>0.2902777777777778</v>
      </c>
      <c r="C48" t="s">
        <v>1012</v>
      </c>
      <c r="D48">
        <v>103</v>
      </c>
      <c r="E48" t="s">
        <v>808</v>
      </c>
      <c r="F48" t="s">
        <v>60</v>
      </c>
      <c r="G48">
        <v>4.9250049999999996</v>
      </c>
      <c r="H48">
        <v>19.887931999999999</v>
      </c>
      <c r="I48" t="s">
        <v>1480</v>
      </c>
      <c r="J48" t="s">
        <v>1481</v>
      </c>
      <c r="K48" t="s">
        <v>59</v>
      </c>
      <c r="L48">
        <v>14</v>
      </c>
      <c r="M48" t="s">
        <v>14</v>
      </c>
      <c r="N48">
        <v>316</v>
      </c>
      <c r="O48">
        <v>62.34</v>
      </c>
      <c r="P48">
        <v>4</v>
      </c>
      <c r="Q48">
        <f>_26_03_2026_Log_Reseau_v15_7[[#This Row],[Durée cumulée_panne_minu]]/60</f>
        <v>5.2666666666666666</v>
      </c>
      <c r="R48">
        <f>ROUND(_26_03_2026_Log_Reseau_v15_7[[#This Row],[Durée_cumulée _ panne_en heure]],0)</f>
        <v>5</v>
      </c>
      <c r="S48">
        <f>_26_03_2026_Log_Reseau_v15_7[[#This Row],[Anciennété_mois]]/12</f>
        <v>1.1666666666666667</v>
      </c>
      <c r="T48">
        <f>ROUND(_26_03_2026_Log_Reseau_v15_7[[#This Row],[anciennete_ en année]],0)</f>
        <v>1</v>
      </c>
      <c r="U4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48" s="3">
        <f>ROUND(_26_03_2026_Log_Reseau_v15_7[[#This Row],[remise 10%_70%_45%]],0)</f>
        <v>6</v>
      </c>
      <c r="W48" s="3">
        <f>_26_03_2026_Log_Reseau_v15_7[[#This Row],[Facture mensuelle]]*_26_03_2026_Log_Reseau_v15_7[[#This Row],[remise 10_70_45]]</f>
        <v>374.04</v>
      </c>
    </row>
    <row r="49" spans="1:23" x14ac:dyDescent="0.25">
      <c r="A49" s="1">
        <v>45202</v>
      </c>
      <c r="B49" s="2">
        <v>0.21875</v>
      </c>
      <c r="C49" t="s">
        <v>1044</v>
      </c>
      <c r="D49">
        <v>86</v>
      </c>
      <c r="E49" t="s">
        <v>812</v>
      </c>
      <c r="F49" t="s">
        <v>18</v>
      </c>
      <c r="G49">
        <v>-12.112682</v>
      </c>
      <c r="H49">
        <v>19.972052000000001</v>
      </c>
      <c r="I49" t="s">
        <v>1480</v>
      </c>
      <c r="J49" t="s">
        <v>1481</v>
      </c>
      <c r="K49" t="s">
        <v>17</v>
      </c>
      <c r="L49">
        <v>44</v>
      </c>
      <c r="M49" t="s">
        <v>19</v>
      </c>
      <c r="N49">
        <v>348</v>
      </c>
      <c r="O49">
        <v>58.67</v>
      </c>
      <c r="P49">
        <v>0</v>
      </c>
      <c r="Q49">
        <f>_26_03_2026_Log_Reseau_v15_7[[#This Row],[Durée cumulée_panne_minu]]/60</f>
        <v>5.8</v>
      </c>
      <c r="R49">
        <f>ROUND(_26_03_2026_Log_Reseau_v15_7[[#This Row],[Durée_cumulée _ panne_en heure]],0)</f>
        <v>6</v>
      </c>
      <c r="S49">
        <f>_26_03_2026_Log_Reseau_v15_7[[#This Row],[Anciennété_mois]]/12</f>
        <v>3.6666666666666665</v>
      </c>
      <c r="T49">
        <f>ROUND(_26_03_2026_Log_Reseau_v15_7[[#This Row],[anciennete_ en année]],0)</f>
        <v>4</v>
      </c>
      <c r="U4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9" s="3">
        <f>ROUND(_26_03_2026_Log_Reseau_v15_7[[#This Row],[remise 10%_70%_45%]],0)</f>
        <v>0</v>
      </c>
      <c r="W49" s="3">
        <f>_26_03_2026_Log_Reseau_v15_7[[#This Row],[Facture mensuelle]]*_26_03_2026_Log_Reseau_v15_7[[#This Row],[remise 10_70_45]]</f>
        <v>0</v>
      </c>
    </row>
    <row r="50" spans="1:23" x14ac:dyDescent="0.25">
      <c r="A50" s="1">
        <v>45202</v>
      </c>
      <c r="B50" s="2">
        <v>0.71736111111111112</v>
      </c>
      <c r="C50" t="s">
        <v>1061</v>
      </c>
      <c r="D50">
        <v>115</v>
      </c>
      <c r="E50" t="s">
        <v>812</v>
      </c>
      <c r="F50" t="s">
        <v>37</v>
      </c>
      <c r="G50">
        <v>-1.5936220000000001</v>
      </c>
      <c r="H50">
        <v>14.928856</v>
      </c>
      <c r="I50" t="s">
        <v>1477</v>
      </c>
      <c r="J50" t="s">
        <v>1478</v>
      </c>
      <c r="K50" t="s">
        <v>36</v>
      </c>
      <c r="L50">
        <v>115</v>
      </c>
      <c r="M50" t="s">
        <v>19</v>
      </c>
      <c r="N50">
        <v>176</v>
      </c>
      <c r="O50">
        <v>33.28</v>
      </c>
      <c r="P50">
        <v>4</v>
      </c>
      <c r="Q50">
        <f>_26_03_2026_Log_Reseau_v15_7[[#This Row],[Durée cumulée_panne_minu]]/60</f>
        <v>2.9333333333333331</v>
      </c>
      <c r="R50">
        <f>ROUND(_26_03_2026_Log_Reseau_v15_7[[#This Row],[Durée_cumulée _ panne_en heure]],0)</f>
        <v>3</v>
      </c>
      <c r="S50">
        <f>_26_03_2026_Log_Reseau_v15_7[[#This Row],[Anciennété_mois]]/12</f>
        <v>9.5833333333333339</v>
      </c>
      <c r="T50">
        <f>ROUND(_26_03_2026_Log_Reseau_v15_7[[#This Row],[anciennete_ en année]],0)</f>
        <v>10</v>
      </c>
      <c r="U5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0" s="3">
        <f>ROUND(_26_03_2026_Log_Reseau_v15_7[[#This Row],[remise 10%_70%_45%]],0)</f>
        <v>0</v>
      </c>
      <c r="W50" s="3">
        <f>_26_03_2026_Log_Reseau_v15_7[[#This Row],[Facture mensuelle]]*_26_03_2026_Log_Reseau_v15_7[[#This Row],[remise 10_70_45]]</f>
        <v>0</v>
      </c>
    </row>
    <row r="51" spans="1:23" x14ac:dyDescent="0.25">
      <c r="A51" s="1">
        <v>45202</v>
      </c>
      <c r="B51" s="2">
        <v>0.74791666666666667</v>
      </c>
      <c r="C51" t="s">
        <v>1125</v>
      </c>
      <c r="D51">
        <v>28</v>
      </c>
      <c r="E51" t="s">
        <v>808</v>
      </c>
      <c r="F51" t="s">
        <v>33</v>
      </c>
      <c r="G51">
        <v>-3.111418</v>
      </c>
      <c r="H51">
        <v>14.144854</v>
      </c>
      <c r="I51" t="s">
        <v>1480</v>
      </c>
      <c r="J51" t="s">
        <v>1483</v>
      </c>
      <c r="K51" t="s">
        <v>32</v>
      </c>
      <c r="L51">
        <v>72</v>
      </c>
      <c r="M51" t="s">
        <v>14</v>
      </c>
      <c r="N51">
        <v>160</v>
      </c>
      <c r="O51">
        <v>90.13</v>
      </c>
      <c r="P51">
        <v>2</v>
      </c>
      <c r="Q51">
        <f>_26_03_2026_Log_Reseau_v15_7[[#This Row],[Durée cumulée_panne_minu]]/60</f>
        <v>2.6666666666666665</v>
      </c>
      <c r="R51">
        <f>ROUND(_26_03_2026_Log_Reseau_v15_7[[#This Row],[Durée_cumulée _ panne_en heure]],0)</f>
        <v>3</v>
      </c>
      <c r="S51">
        <f>_26_03_2026_Log_Reseau_v15_7[[#This Row],[Anciennété_mois]]/12</f>
        <v>6</v>
      </c>
      <c r="T51">
        <f>ROUND(_26_03_2026_Log_Reseau_v15_7[[#This Row],[anciennete_ en année]],0)</f>
        <v>6</v>
      </c>
      <c r="U5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51" s="3">
        <f>ROUND(_26_03_2026_Log_Reseau_v15_7[[#This Row],[remise 10%_70%_45%]],0)</f>
        <v>9</v>
      </c>
      <c r="W51" s="3">
        <f>_26_03_2026_Log_Reseau_v15_7[[#This Row],[Facture mensuelle]]*_26_03_2026_Log_Reseau_v15_7[[#This Row],[remise 10_70_45]]</f>
        <v>811.17</v>
      </c>
    </row>
    <row r="52" spans="1:23" x14ac:dyDescent="0.25">
      <c r="A52" s="1">
        <v>45202</v>
      </c>
      <c r="B52" s="2">
        <v>0.37638888888888888</v>
      </c>
      <c r="C52" t="s">
        <v>1150</v>
      </c>
      <c r="D52">
        <v>28</v>
      </c>
      <c r="E52" t="s">
        <v>807</v>
      </c>
      <c r="F52" t="s">
        <v>51</v>
      </c>
      <c r="G52">
        <v>-7.402336</v>
      </c>
      <c r="H52">
        <v>27.376697</v>
      </c>
      <c r="I52" t="s">
        <v>1480</v>
      </c>
      <c r="J52" t="s">
        <v>1481</v>
      </c>
      <c r="K52" t="s">
        <v>50</v>
      </c>
      <c r="L52">
        <v>119</v>
      </c>
      <c r="M52" t="s">
        <v>22</v>
      </c>
      <c r="N52">
        <v>228</v>
      </c>
      <c r="O52">
        <v>94.72</v>
      </c>
      <c r="P52">
        <v>3</v>
      </c>
      <c r="Q52">
        <f>_26_03_2026_Log_Reseau_v15_7[[#This Row],[Durée cumulée_panne_minu]]/60</f>
        <v>3.8</v>
      </c>
      <c r="R52">
        <f>ROUND(_26_03_2026_Log_Reseau_v15_7[[#This Row],[Durée_cumulée _ panne_en heure]],0)</f>
        <v>4</v>
      </c>
      <c r="S52">
        <f>_26_03_2026_Log_Reseau_v15_7[[#This Row],[Anciennété_mois]]/12</f>
        <v>9.9166666666666661</v>
      </c>
      <c r="T52">
        <f>ROUND(_26_03_2026_Log_Reseau_v15_7[[#This Row],[anciennete_ en année]],0)</f>
        <v>10</v>
      </c>
      <c r="U5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2" s="3">
        <f>ROUND(_26_03_2026_Log_Reseau_v15_7[[#This Row],[remise 10%_70%_45%]],0)</f>
        <v>0</v>
      </c>
      <c r="W52" s="3">
        <f>_26_03_2026_Log_Reseau_v15_7[[#This Row],[Facture mensuelle]]*_26_03_2026_Log_Reseau_v15_7[[#This Row],[remise 10_70_45]]</f>
        <v>0</v>
      </c>
    </row>
    <row r="53" spans="1:23" x14ac:dyDescent="0.25">
      <c r="A53" s="1">
        <v>45202</v>
      </c>
      <c r="B53" s="2">
        <v>0.52916666666666667</v>
      </c>
      <c r="C53" t="s">
        <v>1254</v>
      </c>
      <c r="D53">
        <v>109</v>
      </c>
      <c r="E53" t="s">
        <v>808</v>
      </c>
      <c r="F53" t="s">
        <v>127</v>
      </c>
      <c r="G53">
        <v>-7.1483749999999997</v>
      </c>
      <c r="H53">
        <v>26.014271000000001</v>
      </c>
      <c r="I53" t="s">
        <v>1477</v>
      </c>
      <c r="J53" t="s">
        <v>1481</v>
      </c>
      <c r="K53" t="s">
        <v>126</v>
      </c>
      <c r="L53">
        <v>40</v>
      </c>
      <c r="M53" t="s">
        <v>11</v>
      </c>
      <c r="N53">
        <v>345</v>
      </c>
      <c r="O53">
        <v>89.55</v>
      </c>
      <c r="P53">
        <v>3</v>
      </c>
      <c r="Q53">
        <f>_26_03_2026_Log_Reseau_v15_7[[#This Row],[Durée cumulée_panne_minu]]/60</f>
        <v>5.75</v>
      </c>
      <c r="R53">
        <f>ROUND(_26_03_2026_Log_Reseau_v15_7[[#This Row],[Durée_cumulée _ panne_en heure]],0)</f>
        <v>6</v>
      </c>
      <c r="S53">
        <f>_26_03_2026_Log_Reseau_v15_7[[#This Row],[Anciennété_mois]]/12</f>
        <v>3.3333333333333335</v>
      </c>
      <c r="T53">
        <f>ROUND(_26_03_2026_Log_Reseau_v15_7[[#This Row],[anciennete_ en année]],0)</f>
        <v>3</v>
      </c>
      <c r="U5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3" s="3">
        <f>ROUND(_26_03_2026_Log_Reseau_v15_7[[#This Row],[remise 10%_70%_45%]],0)</f>
        <v>0</v>
      </c>
      <c r="W53" s="3">
        <f>_26_03_2026_Log_Reseau_v15_7[[#This Row],[Facture mensuelle]]*_26_03_2026_Log_Reseau_v15_7[[#This Row],[remise 10_70_45]]</f>
        <v>0</v>
      </c>
    </row>
    <row r="54" spans="1:23" x14ac:dyDescent="0.25">
      <c r="A54" s="1">
        <v>45202</v>
      </c>
      <c r="B54" s="2">
        <v>0.64513888888888893</v>
      </c>
      <c r="C54" t="s">
        <v>1284</v>
      </c>
      <c r="D54">
        <v>106</v>
      </c>
      <c r="E54" t="s">
        <v>812</v>
      </c>
      <c r="F54" t="s">
        <v>62</v>
      </c>
      <c r="G54">
        <v>1.981107</v>
      </c>
      <c r="H54">
        <v>23.932569000000001</v>
      </c>
      <c r="I54" t="s">
        <v>1482</v>
      </c>
      <c r="J54" t="s">
        <v>1490</v>
      </c>
      <c r="K54" t="s">
        <v>61</v>
      </c>
      <c r="L54">
        <v>101</v>
      </c>
      <c r="M54" t="s">
        <v>14</v>
      </c>
      <c r="N54">
        <v>333</v>
      </c>
      <c r="O54">
        <v>74.319999999999993</v>
      </c>
      <c r="P54">
        <v>1</v>
      </c>
      <c r="Q54">
        <f>_26_03_2026_Log_Reseau_v15_7[[#This Row],[Durée cumulée_panne_minu]]/60</f>
        <v>5.55</v>
      </c>
      <c r="R54">
        <f>ROUND(_26_03_2026_Log_Reseau_v15_7[[#This Row],[Durée_cumulée _ panne_en heure]],0)</f>
        <v>6</v>
      </c>
      <c r="S54">
        <f>_26_03_2026_Log_Reseau_v15_7[[#This Row],[Anciennété_mois]]/12</f>
        <v>8.4166666666666661</v>
      </c>
      <c r="T54">
        <f>ROUND(_26_03_2026_Log_Reseau_v15_7[[#This Row],[anciennete_ en année]],0)</f>
        <v>8</v>
      </c>
      <c r="U5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54" s="3">
        <f>ROUND(_26_03_2026_Log_Reseau_v15_7[[#This Row],[remise 10%_70%_45%]],0)</f>
        <v>7</v>
      </c>
      <c r="W54" s="3">
        <f>_26_03_2026_Log_Reseau_v15_7[[#This Row],[Facture mensuelle]]*_26_03_2026_Log_Reseau_v15_7[[#This Row],[remise 10_70_45]]</f>
        <v>520.24</v>
      </c>
    </row>
    <row r="55" spans="1:23" x14ac:dyDescent="0.25">
      <c r="A55" s="1">
        <v>45202</v>
      </c>
      <c r="B55" s="2">
        <v>0.77569444444444446</v>
      </c>
      <c r="C55" t="s">
        <v>1284</v>
      </c>
      <c r="D55">
        <v>72</v>
      </c>
      <c r="E55" t="s">
        <v>807</v>
      </c>
      <c r="F55" t="s">
        <v>62</v>
      </c>
      <c r="G55">
        <v>1.981107</v>
      </c>
      <c r="H55">
        <v>23.932569000000001</v>
      </c>
      <c r="I55" t="s">
        <v>1482</v>
      </c>
      <c r="J55" t="s">
        <v>1490</v>
      </c>
      <c r="K55" t="s">
        <v>61</v>
      </c>
      <c r="L55">
        <v>101</v>
      </c>
      <c r="M55" t="s">
        <v>14</v>
      </c>
      <c r="N55">
        <v>333</v>
      </c>
      <c r="O55">
        <v>74.319999999999993</v>
      </c>
      <c r="P55">
        <v>1</v>
      </c>
      <c r="Q55">
        <f>_26_03_2026_Log_Reseau_v15_7[[#This Row],[Durée cumulée_panne_minu]]/60</f>
        <v>5.55</v>
      </c>
      <c r="R55">
        <f>ROUND(_26_03_2026_Log_Reseau_v15_7[[#This Row],[Durée_cumulée _ panne_en heure]],0)</f>
        <v>6</v>
      </c>
      <c r="S55">
        <f>_26_03_2026_Log_Reseau_v15_7[[#This Row],[Anciennété_mois]]/12</f>
        <v>8.4166666666666661</v>
      </c>
      <c r="T55">
        <f>ROUND(_26_03_2026_Log_Reseau_v15_7[[#This Row],[anciennete_ en année]],0)</f>
        <v>8</v>
      </c>
      <c r="U5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55" s="3">
        <f>ROUND(_26_03_2026_Log_Reseau_v15_7[[#This Row],[remise 10%_70%_45%]],0)</f>
        <v>7</v>
      </c>
      <c r="W55" s="3">
        <f>_26_03_2026_Log_Reseau_v15_7[[#This Row],[Facture mensuelle]]*_26_03_2026_Log_Reseau_v15_7[[#This Row],[remise 10_70_45]]</f>
        <v>520.24</v>
      </c>
    </row>
    <row r="56" spans="1:23" x14ac:dyDescent="0.25">
      <c r="A56" s="1">
        <v>45203</v>
      </c>
      <c r="B56" s="2">
        <v>0.51736111111111116</v>
      </c>
      <c r="C56" t="s">
        <v>806</v>
      </c>
      <c r="D56">
        <v>26</v>
      </c>
      <c r="E56" t="s">
        <v>807</v>
      </c>
      <c r="F56" t="s">
        <v>89</v>
      </c>
      <c r="G56">
        <v>-8.1437910000000002</v>
      </c>
      <c r="H56">
        <v>28.946161</v>
      </c>
      <c r="I56" t="s">
        <v>1480</v>
      </c>
      <c r="J56" t="s">
        <v>1483</v>
      </c>
      <c r="K56" t="s">
        <v>88</v>
      </c>
      <c r="L56">
        <v>98</v>
      </c>
      <c r="M56" t="s">
        <v>14</v>
      </c>
      <c r="N56">
        <v>482</v>
      </c>
      <c r="O56">
        <v>55.04</v>
      </c>
      <c r="P56">
        <v>5</v>
      </c>
      <c r="Q56">
        <f>_26_03_2026_Log_Reseau_v15_7[[#This Row],[Durée cumulée_panne_minu]]/60</f>
        <v>8.0333333333333332</v>
      </c>
      <c r="R56">
        <f>ROUND(_26_03_2026_Log_Reseau_v15_7[[#This Row],[Durée_cumulée _ panne_en heure]],0)</f>
        <v>8</v>
      </c>
      <c r="S56">
        <f>_26_03_2026_Log_Reseau_v15_7[[#This Row],[Anciennété_mois]]/12</f>
        <v>8.1666666666666661</v>
      </c>
      <c r="T56">
        <f>ROUND(_26_03_2026_Log_Reseau_v15_7[[#This Row],[anciennete_ en année]],0)</f>
        <v>8</v>
      </c>
      <c r="U5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56" s="3">
        <f>ROUND(_26_03_2026_Log_Reseau_v15_7[[#This Row],[remise 10%_70%_45%]],0)</f>
        <v>6</v>
      </c>
      <c r="W56" s="3">
        <f>_26_03_2026_Log_Reseau_v15_7[[#This Row],[Facture mensuelle]]*_26_03_2026_Log_Reseau_v15_7[[#This Row],[remise 10_70_45]]</f>
        <v>330.24</v>
      </c>
    </row>
    <row r="57" spans="1:23" x14ac:dyDescent="0.25">
      <c r="A57" s="1">
        <v>45203</v>
      </c>
      <c r="B57" s="2">
        <v>0.22152777777777777</v>
      </c>
      <c r="C57" t="s">
        <v>875</v>
      </c>
      <c r="D57">
        <v>101</v>
      </c>
      <c r="E57" t="s">
        <v>807</v>
      </c>
      <c r="F57" t="s">
        <v>73</v>
      </c>
      <c r="G57">
        <v>3.0603760000000002</v>
      </c>
      <c r="H57">
        <v>19.708034000000001</v>
      </c>
      <c r="I57" t="s">
        <v>1482</v>
      </c>
      <c r="J57" t="s">
        <v>1483</v>
      </c>
      <c r="K57" t="s">
        <v>72</v>
      </c>
      <c r="L57">
        <v>6</v>
      </c>
      <c r="M57" t="s">
        <v>11</v>
      </c>
      <c r="N57">
        <v>207</v>
      </c>
      <c r="O57">
        <v>61.55</v>
      </c>
      <c r="P57">
        <v>0</v>
      </c>
      <c r="Q57">
        <f>_26_03_2026_Log_Reseau_v15_7[[#This Row],[Durée cumulée_panne_minu]]/60</f>
        <v>3.45</v>
      </c>
      <c r="R57">
        <f>ROUND(_26_03_2026_Log_Reseau_v15_7[[#This Row],[Durée_cumulée _ panne_en heure]],0)</f>
        <v>3</v>
      </c>
      <c r="S57">
        <f>_26_03_2026_Log_Reseau_v15_7[[#This Row],[Anciennété_mois]]/12</f>
        <v>0.5</v>
      </c>
      <c r="T57">
        <f>ROUND(_26_03_2026_Log_Reseau_v15_7[[#This Row],[anciennete_ en année]],0)</f>
        <v>1</v>
      </c>
      <c r="U5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7" s="3">
        <f>ROUND(_26_03_2026_Log_Reseau_v15_7[[#This Row],[remise 10%_70%_45%]],0)</f>
        <v>0</v>
      </c>
      <c r="W57" s="3">
        <f>_26_03_2026_Log_Reseau_v15_7[[#This Row],[Facture mensuelle]]*_26_03_2026_Log_Reseau_v15_7[[#This Row],[remise 10_70_45]]</f>
        <v>0</v>
      </c>
    </row>
    <row r="58" spans="1:23" x14ac:dyDescent="0.25">
      <c r="A58" s="1">
        <v>45203</v>
      </c>
      <c r="B58" s="2">
        <v>4.1666666666666664E-2</v>
      </c>
      <c r="C58" t="s">
        <v>884</v>
      </c>
      <c r="D58">
        <v>69</v>
      </c>
      <c r="E58" t="s">
        <v>812</v>
      </c>
      <c r="F58" t="s">
        <v>26</v>
      </c>
      <c r="G58">
        <v>-2.2876210000000001</v>
      </c>
      <c r="H58">
        <v>27.582545</v>
      </c>
      <c r="I58" t="s">
        <v>1480</v>
      </c>
      <c r="J58" t="s">
        <v>1481</v>
      </c>
      <c r="K58" t="s">
        <v>25</v>
      </c>
      <c r="L58">
        <v>99</v>
      </c>
      <c r="M58" t="s">
        <v>11</v>
      </c>
      <c r="N58">
        <v>447</v>
      </c>
      <c r="O58">
        <v>38.1</v>
      </c>
      <c r="P58">
        <v>3</v>
      </c>
      <c r="Q58">
        <f>_26_03_2026_Log_Reseau_v15_7[[#This Row],[Durée cumulée_panne_minu]]/60</f>
        <v>7.45</v>
      </c>
      <c r="R58">
        <f>ROUND(_26_03_2026_Log_Reseau_v15_7[[#This Row],[Durée_cumulée _ panne_en heure]],0)</f>
        <v>7</v>
      </c>
      <c r="S58">
        <f>_26_03_2026_Log_Reseau_v15_7[[#This Row],[Anciennété_mois]]/12</f>
        <v>8.25</v>
      </c>
      <c r="T58">
        <f>ROUND(_26_03_2026_Log_Reseau_v15_7[[#This Row],[anciennete_ en année]],0)</f>
        <v>8</v>
      </c>
      <c r="U5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8" s="3">
        <f>ROUND(_26_03_2026_Log_Reseau_v15_7[[#This Row],[remise 10%_70%_45%]],0)</f>
        <v>0</v>
      </c>
      <c r="W58" s="3">
        <f>_26_03_2026_Log_Reseau_v15_7[[#This Row],[Facture mensuelle]]*_26_03_2026_Log_Reseau_v15_7[[#This Row],[remise 10_70_45]]</f>
        <v>0</v>
      </c>
    </row>
    <row r="59" spans="1:23" x14ac:dyDescent="0.25">
      <c r="A59" s="1">
        <v>45203</v>
      </c>
      <c r="B59" s="2">
        <v>0.91041666666666665</v>
      </c>
      <c r="C59" t="s">
        <v>891</v>
      </c>
      <c r="D59">
        <v>62</v>
      </c>
      <c r="E59" t="s">
        <v>807</v>
      </c>
      <c r="F59" t="s">
        <v>78</v>
      </c>
      <c r="G59">
        <v>1.938083</v>
      </c>
      <c r="H59">
        <v>28.25281</v>
      </c>
      <c r="I59" t="s">
        <v>1480</v>
      </c>
      <c r="J59" t="s">
        <v>1490</v>
      </c>
      <c r="K59" t="s">
        <v>77</v>
      </c>
      <c r="L59">
        <v>81</v>
      </c>
      <c r="M59" t="s">
        <v>14</v>
      </c>
      <c r="N59">
        <v>154</v>
      </c>
      <c r="O59">
        <v>19.47</v>
      </c>
      <c r="P59">
        <v>3</v>
      </c>
      <c r="Q59">
        <f>_26_03_2026_Log_Reseau_v15_7[[#This Row],[Durée cumulée_panne_minu]]/60</f>
        <v>2.5666666666666669</v>
      </c>
      <c r="R59">
        <f>ROUND(_26_03_2026_Log_Reseau_v15_7[[#This Row],[Durée_cumulée _ panne_en heure]],0)</f>
        <v>3</v>
      </c>
      <c r="S59">
        <f>_26_03_2026_Log_Reseau_v15_7[[#This Row],[Anciennété_mois]]/12</f>
        <v>6.75</v>
      </c>
      <c r="T59">
        <f>ROUND(_26_03_2026_Log_Reseau_v15_7[[#This Row],[anciennete_ en année]],0)</f>
        <v>7</v>
      </c>
      <c r="U5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59" s="3">
        <f>ROUND(_26_03_2026_Log_Reseau_v15_7[[#This Row],[remise 10%_70%_45%]],0)</f>
        <v>2</v>
      </c>
      <c r="W59" s="3">
        <f>_26_03_2026_Log_Reseau_v15_7[[#This Row],[Facture mensuelle]]*_26_03_2026_Log_Reseau_v15_7[[#This Row],[remise 10_70_45]]</f>
        <v>38.94</v>
      </c>
    </row>
    <row r="60" spans="1:23" x14ac:dyDescent="0.25">
      <c r="A60" s="1">
        <v>45203</v>
      </c>
      <c r="B60" s="2">
        <v>0.76041666666666663</v>
      </c>
      <c r="C60" t="s">
        <v>915</v>
      </c>
      <c r="D60">
        <v>18</v>
      </c>
      <c r="E60" t="s">
        <v>812</v>
      </c>
      <c r="F60" t="s">
        <v>89</v>
      </c>
      <c r="G60">
        <v>0.94539899999999999</v>
      </c>
      <c r="H60">
        <v>14.401821999999999</v>
      </c>
      <c r="I60" t="s">
        <v>1477</v>
      </c>
      <c r="J60" t="s">
        <v>1490</v>
      </c>
      <c r="K60" t="s">
        <v>88</v>
      </c>
      <c r="L60">
        <v>98</v>
      </c>
      <c r="M60" t="s">
        <v>14</v>
      </c>
      <c r="N60">
        <v>482</v>
      </c>
      <c r="O60">
        <v>55.04</v>
      </c>
      <c r="P60">
        <v>5</v>
      </c>
      <c r="Q60">
        <f>_26_03_2026_Log_Reseau_v15_7[[#This Row],[Durée cumulée_panne_minu]]/60</f>
        <v>8.0333333333333332</v>
      </c>
      <c r="R60">
        <f>ROUND(_26_03_2026_Log_Reseau_v15_7[[#This Row],[Durée_cumulée _ panne_en heure]],0)</f>
        <v>8</v>
      </c>
      <c r="S60">
        <f>_26_03_2026_Log_Reseau_v15_7[[#This Row],[Anciennété_mois]]/12</f>
        <v>8.1666666666666661</v>
      </c>
      <c r="T60">
        <f>ROUND(_26_03_2026_Log_Reseau_v15_7[[#This Row],[anciennete_ en année]],0)</f>
        <v>8</v>
      </c>
      <c r="U6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60" s="3">
        <f>ROUND(_26_03_2026_Log_Reseau_v15_7[[#This Row],[remise 10%_70%_45%]],0)</f>
        <v>6</v>
      </c>
      <c r="W60" s="3">
        <f>_26_03_2026_Log_Reseau_v15_7[[#This Row],[Facture mensuelle]]*_26_03_2026_Log_Reseau_v15_7[[#This Row],[remise 10_70_45]]</f>
        <v>330.24</v>
      </c>
    </row>
    <row r="61" spans="1:23" x14ac:dyDescent="0.25">
      <c r="A61" s="1">
        <v>45203</v>
      </c>
      <c r="B61" s="2">
        <v>0.71597222222222223</v>
      </c>
      <c r="C61" t="s">
        <v>950</v>
      </c>
      <c r="D61">
        <v>68</v>
      </c>
      <c r="E61" t="s">
        <v>808</v>
      </c>
      <c r="F61" t="s">
        <v>131</v>
      </c>
      <c r="G61">
        <v>-7.9866700000000002</v>
      </c>
      <c r="H61">
        <v>17.757847000000002</v>
      </c>
      <c r="I61" t="s">
        <v>1477</v>
      </c>
      <c r="J61" t="s">
        <v>1481</v>
      </c>
      <c r="K61" t="s">
        <v>130</v>
      </c>
      <c r="L61">
        <v>16</v>
      </c>
      <c r="M61" t="s">
        <v>19</v>
      </c>
      <c r="N61">
        <v>390</v>
      </c>
      <c r="O61">
        <v>98.17</v>
      </c>
      <c r="P61">
        <v>5</v>
      </c>
      <c r="Q61">
        <f>_26_03_2026_Log_Reseau_v15_7[[#This Row],[Durée cumulée_panne_minu]]/60</f>
        <v>6.5</v>
      </c>
      <c r="R61">
        <f>ROUND(_26_03_2026_Log_Reseau_v15_7[[#This Row],[Durée_cumulée _ panne_en heure]],0)</f>
        <v>7</v>
      </c>
      <c r="S61">
        <f>_26_03_2026_Log_Reseau_v15_7[[#This Row],[Anciennété_mois]]/12</f>
        <v>1.3333333333333333</v>
      </c>
      <c r="T61">
        <f>ROUND(_26_03_2026_Log_Reseau_v15_7[[#This Row],[anciennete_ en année]],0)</f>
        <v>1</v>
      </c>
      <c r="U6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61" s="3">
        <f>ROUND(_26_03_2026_Log_Reseau_v15_7[[#This Row],[remise 10%_70%_45%]],0)</f>
        <v>0</v>
      </c>
      <c r="W61" s="3">
        <f>_26_03_2026_Log_Reseau_v15_7[[#This Row],[Facture mensuelle]]*_26_03_2026_Log_Reseau_v15_7[[#This Row],[remise 10_70_45]]</f>
        <v>0</v>
      </c>
    </row>
    <row r="62" spans="1:23" x14ac:dyDescent="0.25">
      <c r="A62" s="1">
        <v>45203</v>
      </c>
      <c r="B62" s="2">
        <v>0.59652777777777777</v>
      </c>
      <c r="C62" t="s">
        <v>954</v>
      </c>
      <c r="D62">
        <v>13</v>
      </c>
      <c r="E62" t="s">
        <v>808</v>
      </c>
      <c r="F62" t="s">
        <v>13</v>
      </c>
      <c r="G62">
        <v>-1.9540519999999999</v>
      </c>
      <c r="H62">
        <v>12.667945</v>
      </c>
      <c r="I62" t="s">
        <v>1480</v>
      </c>
      <c r="J62" t="s">
        <v>1481</v>
      </c>
      <c r="K62" t="s">
        <v>12</v>
      </c>
      <c r="L62">
        <v>63</v>
      </c>
      <c r="M62" t="s">
        <v>14</v>
      </c>
      <c r="N62">
        <v>205</v>
      </c>
      <c r="O62">
        <v>89.19</v>
      </c>
      <c r="P62">
        <v>0</v>
      </c>
      <c r="Q62">
        <f>_26_03_2026_Log_Reseau_v15_7[[#This Row],[Durée cumulée_panne_minu]]/60</f>
        <v>3.4166666666666665</v>
      </c>
      <c r="R62">
        <f>ROUND(_26_03_2026_Log_Reseau_v15_7[[#This Row],[Durée_cumulée _ panne_en heure]],0)</f>
        <v>3</v>
      </c>
      <c r="S62">
        <f>_26_03_2026_Log_Reseau_v15_7[[#This Row],[Anciennété_mois]]/12</f>
        <v>5.25</v>
      </c>
      <c r="T62">
        <f>ROUND(_26_03_2026_Log_Reseau_v15_7[[#This Row],[anciennete_ en année]],0)</f>
        <v>5</v>
      </c>
      <c r="U6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62" s="3">
        <f>ROUND(_26_03_2026_Log_Reseau_v15_7[[#This Row],[remise 10%_70%_45%]],0)</f>
        <v>9</v>
      </c>
      <c r="W62" s="3">
        <f>_26_03_2026_Log_Reseau_v15_7[[#This Row],[Facture mensuelle]]*_26_03_2026_Log_Reseau_v15_7[[#This Row],[remise 10_70_45]]</f>
        <v>802.71</v>
      </c>
    </row>
    <row r="63" spans="1:23" x14ac:dyDescent="0.25">
      <c r="A63" s="1">
        <v>45203</v>
      </c>
      <c r="B63" s="2">
        <v>0.75069444444444444</v>
      </c>
      <c r="C63" t="s">
        <v>1002</v>
      </c>
      <c r="D63">
        <v>64</v>
      </c>
      <c r="E63" t="s">
        <v>812</v>
      </c>
      <c r="F63" t="s">
        <v>78</v>
      </c>
      <c r="G63">
        <v>-4.6818410000000004</v>
      </c>
      <c r="H63">
        <v>17.541618</v>
      </c>
      <c r="I63" t="s">
        <v>1480</v>
      </c>
      <c r="J63" t="s">
        <v>1478</v>
      </c>
      <c r="K63" t="s">
        <v>77</v>
      </c>
      <c r="L63">
        <v>81</v>
      </c>
      <c r="M63" t="s">
        <v>14</v>
      </c>
      <c r="N63">
        <v>154</v>
      </c>
      <c r="O63">
        <v>19.47</v>
      </c>
      <c r="P63">
        <v>3</v>
      </c>
      <c r="Q63">
        <f>_26_03_2026_Log_Reseau_v15_7[[#This Row],[Durée cumulée_panne_minu]]/60</f>
        <v>2.5666666666666669</v>
      </c>
      <c r="R63">
        <f>ROUND(_26_03_2026_Log_Reseau_v15_7[[#This Row],[Durée_cumulée _ panne_en heure]],0)</f>
        <v>3</v>
      </c>
      <c r="S63">
        <f>_26_03_2026_Log_Reseau_v15_7[[#This Row],[Anciennété_mois]]/12</f>
        <v>6.75</v>
      </c>
      <c r="T63">
        <f>ROUND(_26_03_2026_Log_Reseau_v15_7[[#This Row],[anciennete_ en année]],0)</f>
        <v>7</v>
      </c>
      <c r="U6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63" s="3">
        <f>ROUND(_26_03_2026_Log_Reseau_v15_7[[#This Row],[remise 10%_70%_45%]],0)</f>
        <v>2</v>
      </c>
      <c r="W63" s="3">
        <f>_26_03_2026_Log_Reseau_v15_7[[#This Row],[Facture mensuelle]]*_26_03_2026_Log_Reseau_v15_7[[#This Row],[remise 10_70_45]]</f>
        <v>38.94</v>
      </c>
    </row>
    <row r="64" spans="1:23" x14ac:dyDescent="0.25">
      <c r="A64" s="1">
        <v>45203</v>
      </c>
      <c r="B64" s="2">
        <v>0.30486111111111114</v>
      </c>
      <c r="C64" t="s">
        <v>1035</v>
      </c>
      <c r="D64">
        <v>106</v>
      </c>
      <c r="E64" t="s">
        <v>808</v>
      </c>
      <c r="F64" t="s">
        <v>37</v>
      </c>
      <c r="G64">
        <v>-11.793894</v>
      </c>
      <c r="H64">
        <v>20.433340999999999</v>
      </c>
      <c r="I64" t="s">
        <v>1477</v>
      </c>
      <c r="J64" t="s">
        <v>1490</v>
      </c>
      <c r="K64" t="s">
        <v>36</v>
      </c>
      <c r="L64">
        <v>115</v>
      </c>
      <c r="M64" t="s">
        <v>19</v>
      </c>
      <c r="N64">
        <v>176</v>
      </c>
      <c r="O64">
        <v>33.28</v>
      </c>
      <c r="P64">
        <v>4</v>
      </c>
      <c r="Q64">
        <f>_26_03_2026_Log_Reseau_v15_7[[#This Row],[Durée cumulée_panne_minu]]/60</f>
        <v>2.9333333333333331</v>
      </c>
      <c r="R64">
        <f>ROUND(_26_03_2026_Log_Reseau_v15_7[[#This Row],[Durée_cumulée _ panne_en heure]],0)</f>
        <v>3</v>
      </c>
      <c r="S64">
        <f>_26_03_2026_Log_Reseau_v15_7[[#This Row],[Anciennété_mois]]/12</f>
        <v>9.5833333333333339</v>
      </c>
      <c r="T64">
        <f>ROUND(_26_03_2026_Log_Reseau_v15_7[[#This Row],[anciennete_ en année]],0)</f>
        <v>10</v>
      </c>
      <c r="U6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64" s="3">
        <f>ROUND(_26_03_2026_Log_Reseau_v15_7[[#This Row],[remise 10%_70%_45%]],0)</f>
        <v>0</v>
      </c>
      <c r="W64" s="3">
        <f>_26_03_2026_Log_Reseau_v15_7[[#This Row],[Facture mensuelle]]*_26_03_2026_Log_Reseau_v15_7[[#This Row],[remise 10_70_45]]</f>
        <v>0</v>
      </c>
    </row>
    <row r="65" spans="1:23" x14ac:dyDescent="0.25">
      <c r="A65" s="1">
        <v>45203</v>
      </c>
      <c r="B65" s="2">
        <v>0.99791666666666667</v>
      </c>
      <c r="C65" t="s">
        <v>1104</v>
      </c>
      <c r="D65">
        <v>101</v>
      </c>
      <c r="E65" t="s">
        <v>812</v>
      </c>
      <c r="F65" t="s">
        <v>131</v>
      </c>
      <c r="G65">
        <v>-6.3148239999999998</v>
      </c>
      <c r="H65">
        <v>24.507498999999999</v>
      </c>
      <c r="I65" t="s">
        <v>1482</v>
      </c>
      <c r="J65" t="s">
        <v>1483</v>
      </c>
      <c r="K65" t="s">
        <v>130</v>
      </c>
      <c r="L65">
        <v>16</v>
      </c>
      <c r="M65" t="s">
        <v>19</v>
      </c>
      <c r="N65">
        <v>390</v>
      </c>
      <c r="O65">
        <v>98.17</v>
      </c>
      <c r="P65">
        <v>5</v>
      </c>
      <c r="Q65">
        <f>_26_03_2026_Log_Reseau_v15_7[[#This Row],[Durée cumulée_panne_minu]]/60</f>
        <v>6.5</v>
      </c>
      <c r="R65">
        <f>ROUND(_26_03_2026_Log_Reseau_v15_7[[#This Row],[Durée_cumulée _ panne_en heure]],0)</f>
        <v>7</v>
      </c>
      <c r="S65">
        <f>_26_03_2026_Log_Reseau_v15_7[[#This Row],[Anciennété_mois]]/12</f>
        <v>1.3333333333333333</v>
      </c>
      <c r="T65">
        <f>ROUND(_26_03_2026_Log_Reseau_v15_7[[#This Row],[anciennete_ en année]],0)</f>
        <v>1</v>
      </c>
      <c r="U6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65" s="3">
        <f>ROUND(_26_03_2026_Log_Reseau_v15_7[[#This Row],[remise 10%_70%_45%]],0)</f>
        <v>0</v>
      </c>
      <c r="W65" s="3">
        <f>_26_03_2026_Log_Reseau_v15_7[[#This Row],[Facture mensuelle]]*_26_03_2026_Log_Reseau_v15_7[[#This Row],[remise 10_70_45]]</f>
        <v>0</v>
      </c>
    </row>
    <row r="66" spans="1:23" x14ac:dyDescent="0.25">
      <c r="A66" s="1">
        <v>45203</v>
      </c>
      <c r="B66" s="2">
        <v>3.2638888888888891E-2</v>
      </c>
      <c r="C66" t="s">
        <v>1108</v>
      </c>
      <c r="D66">
        <v>73</v>
      </c>
      <c r="E66" t="s">
        <v>807</v>
      </c>
      <c r="F66" t="s">
        <v>37</v>
      </c>
      <c r="G66">
        <v>-11.144149000000001</v>
      </c>
      <c r="H66">
        <v>27.244658999999999</v>
      </c>
      <c r="I66" t="s">
        <v>1480</v>
      </c>
      <c r="J66" t="s">
        <v>1490</v>
      </c>
      <c r="K66" t="s">
        <v>36</v>
      </c>
      <c r="L66">
        <v>115</v>
      </c>
      <c r="M66" t="s">
        <v>19</v>
      </c>
      <c r="N66">
        <v>176</v>
      </c>
      <c r="O66">
        <v>33.28</v>
      </c>
      <c r="P66">
        <v>4</v>
      </c>
      <c r="Q66">
        <f>_26_03_2026_Log_Reseau_v15_7[[#This Row],[Durée cumulée_panne_minu]]/60</f>
        <v>2.9333333333333331</v>
      </c>
      <c r="R66">
        <f>ROUND(_26_03_2026_Log_Reseau_v15_7[[#This Row],[Durée_cumulée _ panne_en heure]],0)</f>
        <v>3</v>
      </c>
      <c r="S66">
        <f>_26_03_2026_Log_Reseau_v15_7[[#This Row],[Anciennété_mois]]/12</f>
        <v>9.5833333333333339</v>
      </c>
      <c r="T66">
        <f>ROUND(_26_03_2026_Log_Reseau_v15_7[[#This Row],[anciennete_ en année]],0)</f>
        <v>10</v>
      </c>
      <c r="U6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66" s="3">
        <f>ROUND(_26_03_2026_Log_Reseau_v15_7[[#This Row],[remise 10%_70%_45%]],0)</f>
        <v>0</v>
      </c>
      <c r="W66" s="3">
        <f>_26_03_2026_Log_Reseau_v15_7[[#This Row],[Facture mensuelle]]*_26_03_2026_Log_Reseau_v15_7[[#This Row],[remise 10_70_45]]</f>
        <v>0</v>
      </c>
    </row>
    <row r="67" spans="1:23" x14ac:dyDescent="0.25">
      <c r="A67" s="1">
        <v>45203</v>
      </c>
      <c r="B67" s="2">
        <v>0.52222222222222225</v>
      </c>
      <c r="C67" t="s">
        <v>1150</v>
      </c>
      <c r="D67">
        <v>11</v>
      </c>
      <c r="E67" t="s">
        <v>808</v>
      </c>
      <c r="F67" t="s">
        <v>51</v>
      </c>
      <c r="G67">
        <v>-7.402336</v>
      </c>
      <c r="H67">
        <v>27.376697</v>
      </c>
      <c r="I67" t="s">
        <v>1480</v>
      </c>
      <c r="J67" t="s">
        <v>1481</v>
      </c>
      <c r="K67" t="s">
        <v>50</v>
      </c>
      <c r="L67">
        <v>119</v>
      </c>
      <c r="M67" t="s">
        <v>22</v>
      </c>
      <c r="N67">
        <v>228</v>
      </c>
      <c r="O67">
        <v>94.72</v>
      </c>
      <c r="P67">
        <v>3</v>
      </c>
      <c r="Q67">
        <f>_26_03_2026_Log_Reseau_v15_7[[#This Row],[Durée cumulée_panne_minu]]/60</f>
        <v>3.8</v>
      </c>
      <c r="R67">
        <f>ROUND(_26_03_2026_Log_Reseau_v15_7[[#This Row],[Durée_cumulée _ panne_en heure]],0)</f>
        <v>4</v>
      </c>
      <c r="S67">
        <f>_26_03_2026_Log_Reseau_v15_7[[#This Row],[Anciennété_mois]]/12</f>
        <v>9.9166666666666661</v>
      </c>
      <c r="T67">
        <f>ROUND(_26_03_2026_Log_Reseau_v15_7[[#This Row],[anciennete_ en année]],0)</f>
        <v>10</v>
      </c>
      <c r="U6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67" s="3">
        <f>ROUND(_26_03_2026_Log_Reseau_v15_7[[#This Row],[remise 10%_70%_45%]],0)</f>
        <v>0</v>
      </c>
      <c r="W67" s="3">
        <f>_26_03_2026_Log_Reseau_v15_7[[#This Row],[Facture mensuelle]]*_26_03_2026_Log_Reseau_v15_7[[#This Row],[remise 10_70_45]]</f>
        <v>0</v>
      </c>
    </row>
    <row r="68" spans="1:23" x14ac:dyDescent="0.25">
      <c r="A68" s="1">
        <v>45203</v>
      </c>
      <c r="B68" s="2">
        <v>0.9506944444444444</v>
      </c>
      <c r="C68" t="s">
        <v>1262</v>
      </c>
      <c r="D68">
        <v>8</v>
      </c>
      <c r="E68" t="s">
        <v>808</v>
      </c>
      <c r="F68" t="s">
        <v>13</v>
      </c>
      <c r="G68">
        <v>-0.79406600000000005</v>
      </c>
      <c r="H68">
        <v>12.534793000000001</v>
      </c>
      <c r="I68" t="s">
        <v>1482</v>
      </c>
      <c r="J68" t="s">
        <v>1481</v>
      </c>
      <c r="K68" t="s">
        <v>12</v>
      </c>
      <c r="L68">
        <v>63</v>
      </c>
      <c r="M68" t="s">
        <v>14</v>
      </c>
      <c r="N68">
        <v>205</v>
      </c>
      <c r="O68">
        <v>89.19</v>
      </c>
      <c r="P68">
        <v>0</v>
      </c>
      <c r="Q68">
        <f>_26_03_2026_Log_Reseau_v15_7[[#This Row],[Durée cumulée_panne_minu]]/60</f>
        <v>3.4166666666666665</v>
      </c>
      <c r="R68">
        <f>ROUND(_26_03_2026_Log_Reseau_v15_7[[#This Row],[Durée_cumulée _ panne_en heure]],0)</f>
        <v>3</v>
      </c>
      <c r="S68">
        <f>_26_03_2026_Log_Reseau_v15_7[[#This Row],[Anciennété_mois]]/12</f>
        <v>5.25</v>
      </c>
      <c r="T68">
        <f>ROUND(_26_03_2026_Log_Reseau_v15_7[[#This Row],[anciennete_ en année]],0)</f>
        <v>5</v>
      </c>
      <c r="U6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68" s="3">
        <f>ROUND(_26_03_2026_Log_Reseau_v15_7[[#This Row],[remise 10%_70%_45%]],0)</f>
        <v>9</v>
      </c>
      <c r="W68" s="3">
        <f>_26_03_2026_Log_Reseau_v15_7[[#This Row],[Facture mensuelle]]*_26_03_2026_Log_Reseau_v15_7[[#This Row],[remise 10_70_45]]</f>
        <v>802.71</v>
      </c>
    </row>
    <row r="69" spans="1:23" x14ac:dyDescent="0.25">
      <c r="A69" s="1">
        <v>45203</v>
      </c>
      <c r="B69" s="2">
        <v>0.60347222222222219</v>
      </c>
      <c r="C69" t="s">
        <v>1305</v>
      </c>
      <c r="D69">
        <v>106</v>
      </c>
      <c r="E69" t="s">
        <v>808</v>
      </c>
      <c r="F69" t="s">
        <v>24</v>
      </c>
      <c r="G69">
        <v>-5.1507670000000001</v>
      </c>
      <c r="H69">
        <v>28.075324999999999</v>
      </c>
      <c r="I69" t="s">
        <v>1477</v>
      </c>
      <c r="J69" t="s">
        <v>1481</v>
      </c>
      <c r="K69" t="s">
        <v>23</v>
      </c>
      <c r="L69">
        <v>46</v>
      </c>
      <c r="M69" t="s">
        <v>11</v>
      </c>
      <c r="N69">
        <v>283</v>
      </c>
      <c r="O69">
        <v>56.05</v>
      </c>
      <c r="P69">
        <v>1</v>
      </c>
      <c r="Q69">
        <f>_26_03_2026_Log_Reseau_v15_7[[#This Row],[Durée cumulée_panne_minu]]/60</f>
        <v>4.7166666666666668</v>
      </c>
      <c r="R69">
        <f>ROUND(_26_03_2026_Log_Reseau_v15_7[[#This Row],[Durée_cumulée _ panne_en heure]],0)</f>
        <v>5</v>
      </c>
      <c r="S69">
        <f>_26_03_2026_Log_Reseau_v15_7[[#This Row],[Anciennété_mois]]/12</f>
        <v>3.8333333333333335</v>
      </c>
      <c r="T69">
        <f>ROUND(_26_03_2026_Log_Reseau_v15_7[[#This Row],[anciennete_ en année]],0)</f>
        <v>4</v>
      </c>
      <c r="U6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69" s="3">
        <f>ROUND(_26_03_2026_Log_Reseau_v15_7[[#This Row],[remise 10%_70%_45%]],0)</f>
        <v>0</v>
      </c>
      <c r="W69" s="3">
        <f>_26_03_2026_Log_Reseau_v15_7[[#This Row],[Facture mensuelle]]*_26_03_2026_Log_Reseau_v15_7[[#This Row],[remise 10_70_45]]</f>
        <v>0</v>
      </c>
    </row>
    <row r="70" spans="1:23" x14ac:dyDescent="0.25">
      <c r="A70" s="1">
        <v>45203</v>
      </c>
      <c r="B70" s="2">
        <v>0.21388888888888888</v>
      </c>
      <c r="C70" t="s">
        <v>1387</v>
      </c>
      <c r="D70">
        <v>5</v>
      </c>
      <c r="E70" t="s">
        <v>807</v>
      </c>
      <c r="F70" t="s">
        <v>131</v>
      </c>
      <c r="G70">
        <v>-6.5332999999999997</v>
      </c>
      <c r="H70">
        <v>20.098018</v>
      </c>
      <c r="I70" t="s">
        <v>1480</v>
      </c>
      <c r="J70" t="s">
        <v>1481</v>
      </c>
      <c r="K70" t="s">
        <v>130</v>
      </c>
      <c r="L70">
        <v>16</v>
      </c>
      <c r="M70" t="s">
        <v>19</v>
      </c>
      <c r="N70">
        <v>390</v>
      </c>
      <c r="O70">
        <v>98.17</v>
      </c>
      <c r="P70">
        <v>5</v>
      </c>
      <c r="Q70">
        <f>_26_03_2026_Log_Reseau_v15_7[[#This Row],[Durée cumulée_panne_minu]]/60</f>
        <v>6.5</v>
      </c>
      <c r="R70">
        <f>ROUND(_26_03_2026_Log_Reseau_v15_7[[#This Row],[Durée_cumulée _ panne_en heure]],0)</f>
        <v>7</v>
      </c>
      <c r="S70">
        <f>_26_03_2026_Log_Reseau_v15_7[[#This Row],[Anciennété_mois]]/12</f>
        <v>1.3333333333333333</v>
      </c>
      <c r="T70">
        <f>ROUND(_26_03_2026_Log_Reseau_v15_7[[#This Row],[anciennete_ en année]],0)</f>
        <v>1</v>
      </c>
      <c r="U7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70" s="3">
        <f>ROUND(_26_03_2026_Log_Reseau_v15_7[[#This Row],[remise 10%_70%_45%]],0)</f>
        <v>0</v>
      </c>
      <c r="W70" s="3">
        <f>_26_03_2026_Log_Reseau_v15_7[[#This Row],[Facture mensuelle]]*_26_03_2026_Log_Reseau_v15_7[[#This Row],[remise 10_70_45]]</f>
        <v>0</v>
      </c>
    </row>
    <row r="71" spans="1:23" x14ac:dyDescent="0.25">
      <c r="A71" s="1">
        <v>45203</v>
      </c>
      <c r="B71" s="2">
        <v>0.22430555555555556</v>
      </c>
      <c r="C71" t="s">
        <v>1389</v>
      </c>
      <c r="D71">
        <v>102</v>
      </c>
      <c r="E71" t="s">
        <v>812</v>
      </c>
      <c r="F71" t="s">
        <v>21</v>
      </c>
      <c r="G71">
        <v>-9.4702129999999993</v>
      </c>
      <c r="H71">
        <v>12.826158</v>
      </c>
      <c r="I71" t="s">
        <v>1482</v>
      </c>
      <c r="J71" t="s">
        <v>1478</v>
      </c>
      <c r="K71" t="s">
        <v>20</v>
      </c>
      <c r="L71">
        <v>101</v>
      </c>
      <c r="M71" t="s">
        <v>22</v>
      </c>
      <c r="N71">
        <v>358</v>
      </c>
      <c r="O71">
        <v>29.24</v>
      </c>
      <c r="P71">
        <v>3</v>
      </c>
      <c r="Q71">
        <f>_26_03_2026_Log_Reseau_v15_7[[#This Row],[Durée cumulée_panne_minu]]/60</f>
        <v>5.9666666666666668</v>
      </c>
      <c r="R71">
        <f>ROUND(_26_03_2026_Log_Reseau_v15_7[[#This Row],[Durée_cumulée _ panne_en heure]],0)</f>
        <v>6</v>
      </c>
      <c r="S71">
        <f>_26_03_2026_Log_Reseau_v15_7[[#This Row],[Anciennété_mois]]/12</f>
        <v>8.4166666666666661</v>
      </c>
      <c r="T71">
        <f>ROUND(_26_03_2026_Log_Reseau_v15_7[[#This Row],[anciennete_ en année]],0)</f>
        <v>8</v>
      </c>
      <c r="U7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71" s="3">
        <f>ROUND(_26_03_2026_Log_Reseau_v15_7[[#This Row],[remise 10%_70%_45%]],0)</f>
        <v>0</v>
      </c>
      <c r="W71" s="3">
        <f>_26_03_2026_Log_Reseau_v15_7[[#This Row],[Facture mensuelle]]*_26_03_2026_Log_Reseau_v15_7[[#This Row],[remise 10_70_45]]</f>
        <v>0</v>
      </c>
    </row>
    <row r="72" spans="1:23" x14ac:dyDescent="0.25">
      <c r="A72" s="1">
        <v>45203</v>
      </c>
      <c r="B72" s="2">
        <v>0.25069444444444444</v>
      </c>
      <c r="C72" t="s">
        <v>1402</v>
      </c>
      <c r="D72">
        <v>49</v>
      </c>
      <c r="E72" t="s">
        <v>808</v>
      </c>
      <c r="F72" t="s">
        <v>33</v>
      </c>
      <c r="G72">
        <v>-10.414493</v>
      </c>
      <c r="H72">
        <v>12.333356999999999</v>
      </c>
      <c r="I72" t="s">
        <v>1482</v>
      </c>
      <c r="J72" t="s">
        <v>1478</v>
      </c>
      <c r="K72" t="s">
        <v>32</v>
      </c>
      <c r="L72">
        <v>72</v>
      </c>
      <c r="M72" t="s">
        <v>14</v>
      </c>
      <c r="N72">
        <v>160</v>
      </c>
      <c r="O72">
        <v>90.13</v>
      </c>
      <c r="P72">
        <v>2</v>
      </c>
      <c r="Q72">
        <f>_26_03_2026_Log_Reseau_v15_7[[#This Row],[Durée cumulée_panne_minu]]/60</f>
        <v>2.6666666666666665</v>
      </c>
      <c r="R72">
        <f>ROUND(_26_03_2026_Log_Reseau_v15_7[[#This Row],[Durée_cumulée _ panne_en heure]],0)</f>
        <v>3</v>
      </c>
      <c r="S72">
        <f>_26_03_2026_Log_Reseau_v15_7[[#This Row],[Anciennété_mois]]/12</f>
        <v>6</v>
      </c>
      <c r="T72">
        <f>ROUND(_26_03_2026_Log_Reseau_v15_7[[#This Row],[anciennete_ en année]],0)</f>
        <v>6</v>
      </c>
      <c r="U7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72" s="3">
        <f>ROUND(_26_03_2026_Log_Reseau_v15_7[[#This Row],[remise 10%_70%_45%]],0)</f>
        <v>9</v>
      </c>
      <c r="W72" s="3">
        <f>_26_03_2026_Log_Reseau_v15_7[[#This Row],[Facture mensuelle]]*_26_03_2026_Log_Reseau_v15_7[[#This Row],[remise 10_70_45]]</f>
        <v>811.17</v>
      </c>
    </row>
    <row r="73" spans="1:23" x14ac:dyDescent="0.25">
      <c r="A73" s="1">
        <v>45203</v>
      </c>
      <c r="B73" s="2">
        <v>0.65208333333333335</v>
      </c>
      <c r="C73" t="s">
        <v>1412</v>
      </c>
      <c r="D73">
        <v>65</v>
      </c>
      <c r="E73" t="s">
        <v>812</v>
      </c>
      <c r="F73" t="s">
        <v>24</v>
      </c>
      <c r="G73">
        <v>2.016505</v>
      </c>
      <c r="H73">
        <v>14.294164</v>
      </c>
      <c r="I73" t="s">
        <v>1477</v>
      </c>
      <c r="J73" t="s">
        <v>1481</v>
      </c>
      <c r="K73" t="s">
        <v>23</v>
      </c>
      <c r="L73">
        <v>46</v>
      </c>
      <c r="M73" t="s">
        <v>11</v>
      </c>
      <c r="N73">
        <v>283</v>
      </c>
      <c r="O73">
        <v>56.05</v>
      </c>
      <c r="P73">
        <v>1</v>
      </c>
      <c r="Q73">
        <f>_26_03_2026_Log_Reseau_v15_7[[#This Row],[Durée cumulée_panne_minu]]/60</f>
        <v>4.7166666666666668</v>
      </c>
      <c r="R73">
        <f>ROUND(_26_03_2026_Log_Reseau_v15_7[[#This Row],[Durée_cumulée _ panne_en heure]],0)</f>
        <v>5</v>
      </c>
      <c r="S73">
        <f>_26_03_2026_Log_Reseau_v15_7[[#This Row],[Anciennété_mois]]/12</f>
        <v>3.8333333333333335</v>
      </c>
      <c r="T73">
        <f>ROUND(_26_03_2026_Log_Reseau_v15_7[[#This Row],[anciennete_ en année]],0)</f>
        <v>4</v>
      </c>
      <c r="U7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73" s="3">
        <f>ROUND(_26_03_2026_Log_Reseau_v15_7[[#This Row],[remise 10%_70%_45%]],0)</f>
        <v>0</v>
      </c>
      <c r="W73" s="3">
        <f>_26_03_2026_Log_Reseau_v15_7[[#This Row],[Facture mensuelle]]*_26_03_2026_Log_Reseau_v15_7[[#This Row],[remise 10_70_45]]</f>
        <v>0</v>
      </c>
    </row>
    <row r="74" spans="1:23" x14ac:dyDescent="0.25">
      <c r="A74" s="1">
        <v>45203</v>
      </c>
      <c r="B74" s="2">
        <v>0.51180555555555551</v>
      </c>
      <c r="C74" t="s">
        <v>1429</v>
      </c>
      <c r="D74">
        <v>64</v>
      </c>
      <c r="E74" t="s">
        <v>812</v>
      </c>
      <c r="F74" t="s">
        <v>73</v>
      </c>
      <c r="G74">
        <v>0.23583499999999999</v>
      </c>
      <c r="H74">
        <v>24.889558999999998</v>
      </c>
      <c r="I74" t="s">
        <v>1482</v>
      </c>
      <c r="J74" t="s">
        <v>1483</v>
      </c>
      <c r="K74" t="s">
        <v>72</v>
      </c>
      <c r="L74">
        <v>6</v>
      </c>
      <c r="M74" t="s">
        <v>11</v>
      </c>
      <c r="N74">
        <v>207</v>
      </c>
      <c r="O74">
        <v>61.55</v>
      </c>
      <c r="P74">
        <v>0</v>
      </c>
      <c r="Q74">
        <f>_26_03_2026_Log_Reseau_v15_7[[#This Row],[Durée cumulée_panne_minu]]/60</f>
        <v>3.45</v>
      </c>
      <c r="R74">
        <f>ROUND(_26_03_2026_Log_Reseau_v15_7[[#This Row],[Durée_cumulée _ panne_en heure]],0)</f>
        <v>3</v>
      </c>
      <c r="S74">
        <f>_26_03_2026_Log_Reseau_v15_7[[#This Row],[Anciennété_mois]]/12</f>
        <v>0.5</v>
      </c>
      <c r="T74">
        <f>ROUND(_26_03_2026_Log_Reseau_v15_7[[#This Row],[anciennete_ en année]],0)</f>
        <v>1</v>
      </c>
      <c r="U7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74" s="3">
        <f>ROUND(_26_03_2026_Log_Reseau_v15_7[[#This Row],[remise 10%_70%_45%]],0)</f>
        <v>0</v>
      </c>
      <c r="W74" s="3">
        <f>_26_03_2026_Log_Reseau_v15_7[[#This Row],[Facture mensuelle]]*_26_03_2026_Log_Reseau_v15_7[[#This Row],[remise 10_70_45]]</f>
        <v>0</v>
      </c>
    </row>
    <row r="75" spans="1:23" x14ac:dyDescent="0.25">
      <c r="A75" s="1">
        <v>45204</v>
      </c>
      <c r="B75" s="2">
        <v>0.23749999999999999</v>
      </c>
      <c r="C75" t="s">
        <v>872</v>
      </c>
      <c r="D75">
        <v>21</v>
      </c>
      <c r="E75" t="s">
        <v>808</v>
      </c>
      <c r="F75" t="s">
        <v>62</v>
      </c>
      <c r="G75">
        <v>2.975352</v>
      </c>
      <c r="H75">
        <v>22.535886000000001</v>
      </c>
      <c r="I75" t="s">
        <v>1480</v>
      </c>
      <c r="J75" t="s">
        <v>1481</v>
      </c>
      <c r="K75" t="s">
        <v>61</v>
      </c>
      <c r="L75">
        <v>101</v>
      </c>
      <c r="M75" t="s">
        <v>14</v>
      </c>
      <c r="N75">
        <v>333</v>
      </c>
      <c r="O75">
        <v>74.319999999999993</v>
      </c>
      <c r="P75">
        <v>1</v>
      </c>
      <c r="Q75">
        <f>_26_03_2026_Log_Reseau_v15_7[[#This Row],[Durée cumulée_panne_minu]]/60</f>
        <v>5.55</v>
      </c>
      <c r="R75">
        <f>ROUND(_26_03_2026_Log_Reseau_v15_7[[#This Row],[Durée_cumulée _ panne_en heure]],0)</f>
        <v>6</v>
      </c>
      <c r="S75">
        <f>_26_03_2026_Log_Reseau_v15_7[[#This Row],[Anciennété_mois]]/12</f>
        <v>8.4166666666666661</v>
      </c>
      <c r="T75">
        <f>ROUND(_26_03_2026_Log_Reseau_v15_7[[#This Row],[anciennete_ en année]],0)</f>
        <v>8</v>
      </c>
      <c r="U7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75" s="3">
        <f>ROUND(_26_03_2026_Log_Reseau_v15_7[[#This Row],[remise 10%_70%_45%]],0)</f>
        <v>7</v>
      </c>
      <c r="W75" s="3">
        <f>_26_03_2026_Log_Reseau_v15_7[[#This Row],[Facture mensuelle]]*_26_03_2026_Log_Reseau_v15_7[[#This Row],[remise 10_70_45]]</f>
        <v>520.24</v>
      </c>
    </row>
    <row r="76" spans="1:23" x14ac:dyDescent="0.25">
      <c r="A76" s="1">
        <v>45204</v>
      </c>
      <c r="B76" s="2">
        <v>0.55000000000000004</v>
      </c>
      <c r="C76" t="s">
        <v>872</v>
      </c>
      <c r="D76">
        <v>113</v>
      </c>
      <c r="E76" t="s">
        <v>808</v>
      </c>
      <c r="F76" t="s">
        <v>62</v>
      </c>
      <c r="G76">
        <v>2.975352</v>
      </c>
      <c r="H76">
        <v>22.535886000000001</v>
      </c>
      <c r="I76" t="s">
        <v>1480</v>
      </c>
      <c r="J76" t="s">
        <v>1481</v>
      </c>
      <c r="K76" t="s">
        <v>61</v>
      </c>
      <c r="L76">
        <v>101</v>
      </c>
      <c r="M76" t="s">
        <v>14</v>
      </c>
      <c r="N76">
        <v>333</v>
      </c>
      <c r="O76">
        <v>74.319999999999993</v>
      </c>
      <c r="P76">
        <v>1</v>
      </c>
      <c r="Q76">
        <f>_26_03_2026_Log_Reseau_v15_7[[#This Row],[Durée cumulée_panne_minu]]/60</f>
        <v>5.55</v>
      </c>
      <c r="R76">
        <f>ROUND(_26_03_2026_Log_Reseau_v15_7[[#This Row],[Durée_cumulée _ panne_en heure]],0)</f>
        <v>6</v>
      </c>
      <c r="S76">
        <f>_26_03_2026_Log_Reseau_v15_7[[#This Row],[Anciennété_mois]]/12</f>
        <v>8.4166666666666661</v>
      </c>
      <c r="T76">
        <f>ROUND(_26_03_2026_Log_Reseau_v15_7[[#This Row],[anciennete_ en année]],0)</f>
        <v>8</v>
      </c>
      <c r="U7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76" s="3">
        <f>ROUND(_26_03_2026_Log_Reseau_v15_7[[#This Row],[remise 10%_70%_45%]],0)</f>
        <v>7</v>
      </c>
      <c r="W76" s="3">
        <f>_26_03_2026_Log_Reseau_v15_7[[#This Row],[Facture mensuelle]]*_26_03_2026_Log_Reseau_v15_7[[#This Row],[remise 10_70_45]]</f>
        <v>520.24</v>
      </c>
    </row>
    <row r="77" spans="1:23" x14ac:dyDescent="0.25">
      <c r="A77" s="1">
        <v>45204</v>
      </c>
      <c r="B77" s="2">
        <v>0.625</v>
      </c>
      <c r="C77" t="s">
        <v>896</v>
      </c>
      <c r="D77">
        <v>94</v>
      </c>
      <c r="E77" t="s">
        <v>812</v>
      </c>
      <c r="F77" t="s">
        <v>26</v>
      </c>
      <c r="G77">
        <v>-1.6893210000000001</v>
      </c>
      <c r="H77">
        <v>30.446543999999999</v>
      </c>
      <c r="I77" t="s">
        <v>1480</v>
      </c>
      <c r="J77" t="s">
        <v>1481</v>
      </c>
      <c r="K77" t="s">
        <v>25</v>
      </c>
      <c r="L77">
        <v>99</v>
      </c>
      <c r="M77" t="s">
        <v>11</v>
      </c>
      <c r="N77">
        <v>447</v>
      </c>
      <c r="O77">
        <v>38.1</v>
      </c>
      <c r="P77">
        <v>3</v>
      </c>
      <c r="Q77">
        <f>_26_03_2026_Log_Reseau_v15_7[[#This Row],[Durée cumulée_panne_minu]]/60</f>
        <v>7.45</v>
      </c>
      <c r="R77">
        <f>ROUND(_26_03_2026_Log_Reseau_v15_7[[#This Row],[Durée_cumulée _ panne_en heure]],0)</f>
        <v>7</v>
      </c>
      <c r="S77">
        <f>_26_03_2026_Log_Reseau_v15_7[[#This Row],[Anciennété_mois]]/12</f>
        <v>8.25</v>
      </c>
      <c r="T77">
        <f>ROUND(_26_03_2026_Log_Reseau_v15_7[[#This Row],[anciennete_ en année]],0)</f>
        <v>8</v>
      </c>
      <c r="U7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77" s="3">
        <f>ROUND(_26_03_2026_Log_Reseau_v15_7[[#This Row],[remise 10%_70%_45%]],0)</f>
        <v>0</v>
      </c>
      <c r="W77" s="3">
        <f>_26_03_2026_Log_Reseau_v15_7[[#This Row],[Facture mensuelle]]*_26_03_2026_Log_Reseau_v15_7[[#This Row],[remise 10_70_45]]</f>
        <v>0</v>
      </c>
    </row>
    <row r="78" spans="1:23" x14ac:dyDescent="0.25">
      <c r="A78" s="1">
        <v>45204</v>
      </c>
      <c r="B78" s="2">
        <v>0.26458333333333334</v>
      </c>
      <c r="C78" t="s">
        <v>956</v>
      </c>
      <c r="D78">
        <v>90</v>
      </c>
      <c r="E78" t="s">
        <v>812</v>
      </c>
      <c r="F78" t="s">
        <v>137</v>
      </c>
      <c r="G78">
        <v>2.0392079999999999</v>
      </c>
      <c r="H78">
        <v>19.090841999999999</v>
      </c>
      <c r="I78" t="s">
        <v>1480</v>
      </c>
      <c r="J78" t="s">
        <v>1490</v>
      </c>
      <c r="K78" t="s">
        <v>136</v>
      </c>
      <c r="L78">
        <v>80</v>
      </c>
      <c r="M78" t="s">
        <v>22</v>
      </c>
      <c r="N78">
        <v>155</v>
      </c>
      <c r="O78">
        <v>28.96</v>
      </c>
      <c r="P78">
        <v>2</v>
      </c>
      <c r="Q78">
        <f>_26_03_2026_Log_Reseau_v15_7[[#This Row],[Durée cumulée_panne_minu]]/60</f>
        <v>2.5833333333333335</v>
      </c>
      <c r="R78">
        <f>ROUND(_26_03_2026_Log_Reseau_v15_7[[#This Row],[Durée_cumulée _ panne_en heure]],0)</f>
        <v>3</v>
      </c>
      <c r="S78">
        <f>_26_03_2026_Log_Reseau_v15_7[[#This Row],[Anciennété_mois]]/12</f>
        <v>6.666666666666667</v>
      </c>
      <c r="T78">
        <f>ROUND(_26_03_2026_Log_Reseau_v15_7[[#This Row],[anciennete_ en année]],0)</f>
        <v>7</v>
      </c>
      <c r="U7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78" s="3">
        <f>ROUND(_26_03_2026_Log_Reseau_v15_7[[#This Row],[remise 10%_70%_45%]],0)</f>
        <v>0</v>
      </c>
      <c r="W78" s="3">
        <f>_26_03_2026_Log_Reseau_v15_7[[#This Row],[Facture mensuelle]]*_26_03_2026_Log_Reseau_v15_7[[#This Row],[remise 10_70_45]]</f>
        <v>0</v>
      </c>
    </row>
    <row r="79" spans="1:23" x14ac:dyDescent="0.25">
      <c r="A79" s="1">
        <v>45204</v>
      </c>
      <c r="B79" s="2">
        <v>0.90555555555555556</v>
      </c>
      <c r="C79" t="s">
        <v>1053</v>
      </c>
      <c r="D79">
        <v>61</v>
      </c>
      <c r="E79" t="s">
        <v>807</v>
      </c>
      <c r="F79" t="s">
        <v>26</v>
      </c>
      <c r="G79">
        <v>4.497306</v>
      </c>
      <c r="H79">
        <v>12.857251</v>
      </c>
      <c r="I79" t="s">
        <v>1477</v>
      </c>
      <c r="J79" t="s">
        <v>1478</v>
      </c>
      <c r="K79" t="s">
        <v>25</v>
      </c>
      <c r="L79">
        <v>99</v>
      </c>
      <c r="M79" t="s">
        <v>11</v>
      </c>
      <c r="N79">
        <v>447</v>
      </c>
      <c r="O79">
        <v>38.1</v>
      </c>
      <c r="P79">
        <v>3</v>
      </c>
      <c r="Q79">
        <f>_26_03_2026_Log_Reseau_v15_7[[#This Row],[Durée cumulée_panne_minu]]/60</f>
        <v>7.45</v>
      </c>
      <c r="R79">
        <f>ROUND(_26_03_2026_Log_Reseau_v15_7[[#This Row],[Durée_cumulée _ panne_en heure]],0)</f>
        <v>7</v>
      </c>
      <c r="S79">
        <f>_26_03_2026_Log_Reseau_v15_7[[#This Row],[Anciennété_mois]]/12</f>
        <v>8.25</v>
      </c>
      <c r="T79">
        <f>ROUND(_26_03_2026_Log_Reseau_v15_7[[#This Row],[anciennete_ en année]],0)</f>
        <v>8</v>
      </c>
      <c r="U7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79" s="3">
        <f>ROUND(_26_03_2026_Log_Reseau_v15_7[[#This Row],[remise 10%_70%_45%]],0)</f>
        <v>0</v>
      </c>
      <c r="W79" s="3">
        <f>_26_03_2026_Log_Reseau_v15_7[[#This Row],[Facture mensuelle]]*_26_03_2026_Log_Reseau_v15_7[[#This Row],[remise 10_70_45]]</f>
        <v>0</v>
      </c>
    </row>
    <row r="80" spans="1:23" x14ac:dyDescent="0.25">
      <c r="A80" s="1">
        <v>45204</v>
      </c>
      <c r="B80" s="2">
        <v>0.76666666666666672</v>
      </c>
      <c r="C80" t="s">
        <v>1098</v>
      </c>
      <c r="D80">
        <v>9</v>
      </c>
      <c r="E80" t="s">
        <v>812</v>
      </c>
      <c r="F80" t="s">
        <v>33</v>
      </c>
      <c r="G80">
        <v>-12.560556999999999</v>
      </c>
      <c r="H80">
        <v>13.204014000000001</v>
      </c>
      <c r="I80" t="s">
        <v>1480</v>
      </c>
      <c r="J80" t="s">
        <v>1478</v>
      </c>
      <c r="K80" t="s">
        <v>32</v>
      </c>
      <c r="L80">
        <v>72</v>
      </c>
      <c r="M80" t="s">
        <v>14</v>
      </c>
      <c r="N80">
        <v>160</v>
      </c>
      <c r="O80">
        <v>90.13</v>
      </c>
      <c r="P80">
        <v>2</v>
      </c>
      <c r="Q80">
        <f>_26_03_2026_Log_Reseau_v15_7[[#This Row],[Durée cumulée_panne_minu]]/60</f>
        <v>2.6666666666666665</v>
      </c>
      <c r="R80">
        <f>ROUND(_26_03_2026_Log_Reseau_v15_7[[#This Row],[Durée_cumulée _ panne_en heure]],0)</f>
        <v>3</v>
      </c>
      <c r="S80">
        <f>_26_03_2026_Log_Reseau_v15_7[[#This Row],[Anciennété_mois]]/12</f>
        <v>6</v>
      </c>
      <c r="T80">
        <f>ROUND(_26_03_2026_Log_Reseau_v15_7[[#This Row],[anciennete_ en année]],0)</f>
        <v>6</v>
      </c>
      <c r="U8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80" s="3">
        <f>ROUND(_26_03_2026_Log_Reseau_v15_7[[#This Row],[remise 10%_70%_45%]],0)</f>
        <v>9</v>
      </c>
      <c r="W80" s="3">
        <f>_26_03_2026_Log_Reseau_v15_7[[#This Row],[Facture mensuelle]]*_26_03_2026_Log_Reseau_v15_7[[#This Row],[remise 10_70_45]]</f>
        <v>811.17</v>
      </c>
    </row>
    <row r="81" spans="1:23" x14ac:dyDescent="0.25">
      <c r="A81" s="1">
        <v>45204</v>
      </c>
      <c r="B81" s="2">
        <v>0.57222222222222219</v>
      </c>
      <c r="C81" t="s">
        <v>1125</v>
      </c>
      <c r="D81">
        <v>88</v>
      </c>
      <c r="E81" t="s">
        <v>812</v>
      </c>
      <c r="F81" t="s">
        <v>33</v>
      </c>
      <c r="G81">
        <v>-3.111418</v>
      </c>
      <c r="H81">
        <v>14.144854</v>
      </c>
      <c r="I81" t="s">
        <v>1480</v>
      </c>
      <c r="J81" t="s">
        <v>1483</v>
      </c>
      <c r="K81" t="s">
        <v>32</v>
      </c>
      <c r="L81">
        <v>72</v>
      </c>
      <c r="M81" t="s">
        <v>14</v>
      </c>
      <c r="N81">
        <v>160</v>
      </c>
      <c r="O81">
        <v>90.13</v>
      </c>
      <c r="P81">
        <v>2</v>
      </c>
      <c r="Q81">
        <f>_26_03_2026_Log_Reseau_v15_7[[#This Row],[Durée cumulée_panne_minu]]/60</f>
        <v>2.6666666666666665</v>
      </c>
      <c r="R81">
        <f>ROUND(_26_03_2026_Log_Reseau_v15_7[[#This Row],[Durée_cumulée _ panne_en heure]],0)</f>
        <v>3</v>
      </c>
      <c r="S81">
        <f>_26_03_2026_Log_Reseau_v15_7[[#This Row],[Anciennété_mois]]/12</f>
        <v>6</v>
      </c>
      <c r="T81">
        <f>ROUND(_26_03_2026_Log_Reseau_v15_7[[#This Row],[anciennete_ en année]],0)</f>
        <v>6</v>
      </c>
      <c r="U8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81" s="3">
        <f>ROUND(_26_03_2026_Log_Reseau_v15_7[[#This Row],[remise 10%_70%_45%]],0)</f>
        <v>9</v>
      </c>
      <c r="W81" s="3">
        <f>_26_03_2026_Log_Reseau_v15_7[[#This Row],[Facture mensuelle]]*_26_03_2026_Log_Reseau_v15_7[[#This Row],[remise 10_70_45]]</f>
        <v>811.17</v>
      </c>
    </row>
    <row r="82" spans="1:23" x14ac:dyDescent="0.25">
      <c r="A82" s="1">
        <v>45204</v>
      </c>
      <c r="B82" s="2">
        <v>0.59097222222222223</v>
      </c>
      <c r="C82" t="s">
        <v>1155</v>
      </c>
      <c r="D82">
        <v>108</v>
      </c>
      <c r="E82" t="s">
        <v>808</v>
      </c>
      <c r="F82" t="s">
        <v>51</v>
      </c>
      <c r="G82">
        <v>-8.5675749999999997</v>
      </c>
      <c r="H82">
        <v>26.994581</v>
      </c>
      <c r="I82" t="s">
        <v>1482</v>
      </c>
      <c r="J82" t="s">
        <v>1490</v>
      </c>
      <c r="K82" t="s">
        <v>50</v>
      </c>
      <c r="L82">
        <v>119</v>
      </c>
      <c r="M82" t="s">
        <v>22</v>
      </c>
      <c r="N82">
        <v>228</v>
      </c>
      <c r="O82">
        <v>94.72</v>
      </c>
      <c r="P82">
        <v>3</v>
      </c>
      <c r="Q82">
        <f>_26_03_2026_Log_Reseau_v15_7[[#This Row],[Durée cumulée_panne_minu]]/60</f>
        <v>3.8</v>
      </c>
      <c r="R82">
        <f>ROUND(_26_03_2026_Log_Reseau_v15_7[[#This Row],[Durée_cumulée _ panne_en heure]],0)</f>
        <v>4</v>
      </c>
      <c r="S82">
        <f>_26_03_2026_Log_Reseau_v15_7[[#This Row],[Anciennété_mois]]/12</f>
        <v>9.9166666666666661</v>
      </c>
      <c r="T82">
        <f>ROUND(_26_03_2026_Log_Reseau_v15_7[[#This Row],[anciennete_ en année]],0)</f>
        <v>10</v>
      </c>
      <c r="U8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82" s="3">
        <f>ROUND(_26_03_2026_Log_Reseau_v15_7[[#This Row],[remise 10%_70%_45%]],0)</f>
        <v>0</v>
      </c>
      <c r="W82" s="3">
        <f>_26_03_2026_Log_Reseau_v15_7[[#This Row],[Facture mensuelle]]*_26_03_2026_Log_Reseau_v15_7[[#This Row],[remise 10_70_45]]</f>
        <v>0</v>
      </c>
    </row>
    <row r="83" spans="1:23" x14ac:dyDescent="0.25">
      <c r="A83" s="1">
        <v>45204</v>
      </c>
      <c r="B83" s="2">
        <v>0.53125</v>
      </c>
      <c r="C83" t="s">
        <v>1181</v>
      </c>
      <c r="D83">
        <v>47</v>
      </c>
      <c r="E83" t="s">
        <v>807</v>
      </c>
      <c r="F83" t="s">
        <v>131</v>
      </c>
      <c r="G83">
        <v>-12.336202</v>
      </c>
      <c r="H83">
        <v>13.693683999999999</v>
      </c>
      <c r="I83" t="s">
        <v>1477</v>
      </c>
      <c r="J83" t="s">
        <v>1481</v>
      </c>
      <c r="K83" t="s">
        <v>130</v>
      </c>
      <c r="L83">
        <v>16</v>
      </c>
      <c r="M83" t="s">
        <v>19</v>
      </c>
      <c r="N83">
        <v>390</v>
      </c>
      <c r="O83">
        <v>98.17</v>
      </c>
      <c r="P83">
        <v>5</v>
      </c>
      <c r="Q83">
        <f>_26_03_2026_Log_Reseau_v15_7[[#This Row],[Durée cumulée_panne_minu]]/60</f>
        <v>6.5</v>
      </c>
      <c r="R83">
        <f>ROUND(_26_03_2026_Log_Reseau_v15_7[[#This Row],[Durée_cumulée _ panne_en heure]],0)</f>
        <v>7</v>
      </c>
      <c r="S83">
        <f>_26_03_2026_Log_Reseau_v15_7[[#This Row],[Anciennété_mois]]/12</f>
        <v>1.3333333333333333</v>
      </c>
      <c r="T83">
        <f>ROUND(_26_03_2026_Log_Reseau_v15_7[[#This Row],[anciennete_ en année]],0)</f>
        <v>1</v>
      </c>
      <c r="U8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83" s="3">
        <f>ROUND(_26_03_2026_Log_Reseau_v15_7[[#This Row],[remise 10%_70%_45%]],0)</f>
        <v>0</v>
      </c>
      <c r="W83" s="3">
        <f>_26_03_2026_Log_Reseau_v15_7[[#This Row],[Facture mensuelle]]*_26_03_2026_Log_Reseau_v15_7[[#This Row],[remise 10_70_45]]</f>
        <v>0</v>
      </c>
    </row>
    <row r="84" spans="1:23" x14ac:dyDescent="0.25">
      <c r="A84" s="1">
        <v>45204</v>
      </c>
      <c r="B84" s="2">
        <v>0.12291666666666666</v>
      </c>
      <c r="C84" t="s">
        <v>1194</v>
      </c>
      <c r="D84">
        <v>34</v>
      </c>
      <c r="E84" t="s">
        <v>807</v>
      </c>
      <c r="F84" t="s">
        <v>60</v>
      </c>
      <c r="G84">
        <v>-6.1490739999999997</v>
      </c>
      <c r="H84">
        <v>23.304411000000002</v>
      </c>
      <c r="I84" t="s">
        <v>1477</v>
      </c>
      <c r="J84" t="s">
        <v>1483</v>
      </c>
      <c r="K84" t="s">
        <v>59</v>
      </c>
      <c r="L84">
        <v>14</v>
      </c>
      <c r="M84" t="s">
        <v>14</v>
      </c>
      <c r="N84">
        <v>316</v>
      </c>
      <c r="O84">
        <v>62.34</v>
      </c>
      <c r="P84">
        <v>4</v>
      </c>
      <c r="Q84">
        <f>_26_03_2026_Log_Reseau_v15_7[[#This Row],[Durée cumulée_panne_minu]]/60</f>
        <v>5.2666666666666666</v>
      </c>
      <c r="R84">
        <f>ROUND(_26_03_2026_Log_Reseau_v15_7[[#This Row],[Durée_cumulée _ panne_en heure]],0)</f>
        <v>5</v>
      </c>
      <c r="S84">
        <f>_26_03_2026_Log_Reseau_v15_7[[#This Row],[Anciennété_mois]]/12</f>
        <v>1.1666666666666667</v>
      </c>
      <c r="T84">
        <f>ROUND(_26_03_2026_Log_Reseau_v15_7[[#This Row],[anciennete_ en année]],0)</f>
        <v>1</v>
      </c>
      <c r="U8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84" s="3">
        <f>ROUND(_26_03_2026_Log_Reseau_v15_7[[#This Row],[remise 10%_70%_45%]],0)</f>
        <v>6</v>
      </c>
      <c r="W84" s="3">
        <f>_26_03_2026_Log_Reseau_v15_7[[#This Row],[Facture mensuelle]]*_26_03_2026_Log_Reseau_v15_7[[#This Row],[remise 10_70_45]]</f>
        <v>374.04</v>
      </c>
    </row>
    <row r="85" spans="1:23" x14ac:dyDescent="0.25">
      <c r="A85" s="1">
        <v>45204</v>
      </c>
      <c r="B85" s="2">
        <v>1.1111111111111112E-2</v>
      </c>
      <c r="C85" t="s">
        <v>1195</v>
      </c>
      <c r="D85">
        <v>12</v>
      </c>
      <c r="E85" t="s">
        <v>808</v>
      </c>
      <c r="F85" t="s">
        <v>78</v>
      </c>
      <c r="G85">
        <v>-1.6488929999999999</v>
      </c>
      <c r="H85">
        <v>27.284617000000001</v>
      </c>
      <c r="I85" t="s">
        <v>1477</v>
      </c>
      <c r="J85" t="s">
        <v>1490</v>
      </c>
      <c r="K85" t="s">
        <v>77</v>
      </c>
      <c r="L85">
        <v>81</v>
      </c>
      <c r="M85" t="s">
        <v>14</v>
      </c>
      <c r="N85">
        <v>154</v>
      </c>
      <c r="O85">
        <v>19.47</v>
      </c>
      <c r="P85">
        <v>3</v>
      </c>
      <c r="Q85">
        <f>_26_03_2026_Log_Reseau_v15_7[[#This Row],[Durée cumulée_panne_minu]]/60</f>
        <v>2.5666666666666669</v>
      </c>
      <c r="R85">
        <f>ROUND(_26_03_2026_Log_Reseau_v15_7[[#This Row],[Durée_cumulée _ panne_en heure]],0)</f>
        <v>3</v>
      </c>
      <c r="S85">
        <f>_26_03_2026_Log_Reseau_v15_7[[#This Row],[Anciennété_mois]]/12</f>
        <v>6.75</v>
      </c>
      <c r="T85">
        <f>ROUND(_26_03_2026_Log_Reseau_v15_7[[#This Row],[anciennete_ en année]],0)</f>
        <v>7</v>
      </c>
      <c r="U8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85" s="3">
        <f>ROUND(_26_03_2026_Log_Reseau_v15_7[[#This Row],[remise 10%_70%_45%]],0)</f>
        <v>2</v>
      </c>
      <c r="W85" s="3">
        <f>_26_03_2026_Log_Reseau_v15_7[[#This Row],[Facture mensuelle]]*_26_03_2026_Log_Reseau_v15_7[[#This Row],[remise 10_70_45]]</f>
        <v>38.94</v>
      </c>
    </row>
    <row r="86" spans="1:23" x14ac:dyDescent="0.25">
      <c r="A86" s="1">
        <v>45204</v>
      </c>
      <c r="B86" s="2">
        <v>0.28333333333333333</v>
      </c>
      <c r="C86" t="s">
        <v>1236</v>
      </c>
      <c r="D86">
        <v>11</v>
      </c>
      <c r="E86" t="s">
        <v>812</v>
      </c>
      <c r="F86" t="s">
        <v>67</v>
      </c>
      <c r="G86">
        <v>-2.2371569999999998</v>
      </c>
      <c r="H86">
        <v>25.926188</v>
      </c>
      <c r="I86" t="s">
        <v>1482</v>
      </c>
      <c r="J86" t="s">
        <v>1490</v>
      </c>
      <c r="K86" t="s">
        <v>66</v>
      </c>
      <c r="L86">
        <v>101</v>
      </c>
      <c r="M86" t="s">
        <v>14</v>
      </c>
      <c r="N86">
        <v>176</v>
      </c>
      <c r="O86">
        <v>86</v>
      </c>
      <c r="P86">
        <v>3</v>
      </c>
      <c r="Q86">
        <f>_26_03_2026_Log_Reseau_v15_7[[#This Row],[Durée cumulée_panne_minu]]/60</f>
        <v>2.9333333333333331</v>
      </c>
      <c r="R86">
        <f>ROUND(_26_03_2026_Log_Reseau_v15_7[[#This Row],[Durée_cumulée _ panne_en heure]],0)</f>
        <v>3</v>
      </c>
      <c r="S86">
        <f>_26_03_2026_Log_Reseau_v15_7[[#This Row],[Anciennété_mois]]/12</f>
        <v>8.4166666666666661</v>
      </c>
      <c r="T86">
        <f>ROUND(_26_03_2026_Log_Reseau_v15_7[[#This Row],[anciennete_ en année]],0)</f>
        <v>8</v>
      </c>
      <c r="U8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86" s="3">
        <f>ROUND(_26_03_2026_Log_Reseau_v15_7[[#This Row],[remise 10%_70%_45%]],0)</f>
        <v>9</v>
      </c>
      <c r="W86" s="3">
        <f>_26_03_2026_Log_Reseau_v15_7[[#This Row],[Facture mensuelle]]*_26_03_2026_Log_Reseau_v15_7[[#This Row],[remise 10_70_45]]</f>
        <v>774</v>
      </c>
    </row>
    <row r="87" spans="1:23" x14ac:dyDescent="0.25">
      <c r="A87" s="1">
        <v>45204</v>
      </c>
      <c r="B87" s="2">
        <v>0.29722222222222222</v>
      </c>
      <c r="C87" t="s">
        <v>1249</v>
      </c>
      <c r="D87">
        <v>111</v>
      </c>
      <c r="E87" t="s">
        <v>808</v>
      </c>
      <c r="F87" t="s">
        <v>89</v>
      </c>
      <c r="G87">
        <v>-1.342476</v>
      </c>
      <c r="H87">
        <v>15.986086</v>
      </c>
      <c r="I87" t="s">
        <v>1480</v>
      </c>
      <c r="J87" t="s">
        <v>1478</v>
      </c>
      <c r="K87" t="s">
        <v>88</v>
      </c>
      <c r="L87">
        <v>98</v>
      </c>
      <c r="M87" t="s">
        <v>14</v>
      </c>
      <c r="N87">
        <v>482</v>
      </c>
      <c r="O87">
        <v>55.04</v>
      </c>
      <c r="P87">
        <v>5</v>
      </c>
      <c r="Q87">
        <f>_26_03_2026_Log_Reseau_v15_7[[#This Row],[Durée cumulée_panne_minu]]/60</f>
        <v>8.0333333333333332</v>
      </c>
      <c r="R87">
        <f>ROUND(_26_03_2026_Log_Reseau_v15_7[[#This Row],[Durée_cumulée _ panne_en heure]],0)</f>
        <v>8</v>
      </c>
      <c r="S87">
        <f>_26_03_2026_Log_Reseau_v15_7[[#This Row],[Anciennété_mois]]/12</f>
        <v>8.1666666666666661</v>
      </c>
      <c r="T87">
        <f>ROUND(_26_03_2026_Log_Reseau_v15_7[[#This Row],[anciennete_ en année]],0)</f>
        <v>8</v>
      </c>
      <c r="U8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87" s="3">
        <f>ROUND(_26_03_2026_Log_Reseau_v15_7[[#This Row],[remise 10%_70%_45%]],0)</f>
        <v>6</v>
      </c>
      <c r="W87" s="3">
        <f>_26_03_2026_Log_Reseau_v15_7[[#This Row],[Facture mensuelle]]*_26_03_2026_Log_Reseau_v15_7[[#This Row],[remise 10_70_45]]</f>
        <v>330.24</v>
      </c>
    </row>
    <row r="88" spans="1:23" x14ac:dyDescent="0.25">
      <c r="A88" s="1">
        <v>45204</v>
      </c>
      <c r="B88" s="2">
        <v>0.61597222222222225</v>
      </c>
      <c r="C88" t="s">
        <v>1267</v>
      </c>
      <c r="D88">
        <v>41</v>
      </c>
      <c r="E88" t="s">
        <v>812</v>
      </c>
      <c r="F88" t="s">
        <v>64</v>
      </c>
      <c r="G88">
        <v>1.3006180000000001</v>
      </c>
      <c r="H88">
        <v>29.060970999999999</v>
      </c>
      <c r="I88" t="s">
        <v>1482</v>
      </c>
      <c r="J88" t="s">
        <v>1483</v>
      </c>
      <c r="K88" t="s">
        <v>63</v>
      </c>
      <c r="L88">
        <v>79</v>
      </c>
      <c r="M88" t="s">
        <v>11</v>
      </c>
      <c r="N88">
        <v>226</v>
      </c>
      <c r="O88">
        <v>94.38</v>
      </c>
      <c r="P88">
        <v>3</v>
      </c>
      <c r="Q88">
        <f>_26_03_2026_Log_Reseau_v15_7[[#This Row],[Durée cumulée_panne_minu]]/60</f>
        <v>3.7666666666666666</v>
      </c>
      <c r="R88">
        <f>ROUND(_26_03_2026_Log_Reseau_v15_7[[#This Row],[Durée_cumulée _ panne_en heure]],0)</f>
        <v>4</v>
      </c>
      <c r="S88">
        <f>_26_03_2026_Log_Reseau_v15_7[[#This Row],[Anciennété_mois]]/12</f>
        <v>6.583333333333333</v>
      </c>
      <c r="T88">
        <f>ROUND(_26_03_2026_Log_Reseau_v15_7[[#This Row],[anciennete_ en année]],0)</f>
        <v>7</v>
      </c>
      <c r="U8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88" s="3">
        <f>ROUND(_26_03_2026_Log_Reseau_v15_7[[#This Row],[remise 10%_70%_45%]],0)</f>
        <v>0</v>
      </c>
      <c r="W88" s="3">
        <f>_26_03_2026_Log_Reseau_v15_7[[#This Row],[Facture mensuelle]]*_26_03_2026_Log_Reseau_v15_7[[#This Row],[remise 10_70_45]]</f>
        <v>0</v>
      </c>
    </row>
    <row r="89" spans="1:23" x14ac:dyDescent="0.25">
      <c r="A89" s="1">
        <v>45204</v>
      </c>
      <c r="B89" s="2">
        <v>0.98611111111111116</v>
      </c>
      <c r="C89" t="s">
        <v>1377</v>
      </c>
      <c r="D89">
        <v>76</v>
      </c>
      <c r="E89" t="s">
        <v>808</v>
      </c>
      <c r="F89" t="s">
        <v>127</v>
      </c>
      <c r="G89">
        <v>-4.869434</v>
      </c>
      <c r="H89">
        <v>22.326522000000001</v>
      </c>
      <c r="I89" t="s">
        <v>1477</v>
      </c>
      <c r="J89" t="s">
        <v>1478</v>
      </c>
      <c r="K89" t="s">
        <v>126</v>
      </c>
      <c r="L89">
        <v>40</v>
      </c>
      <c r="M89" t="s">
        <v>11</v>
      </c>
      <c r="N89">
        <v>345</v>
      </c>
      <c r="O89">
        <v>89.55</v>
      </c>
      <c r="P89">
        <v>3</v>
      </c>
      <c r="Q89">
        <f>_26_03_2026_Log_Reseau_v15_7[[#This Row],[Durée cumulée_panne_minu]]/60</f>
        <v>5.75</v>
      </c>
      <c r="R89">
        <f>ROUND(_26_03_2026_Log_Reseau_v15_7[[#This Row],[Durée_cumulée _ panne_en heure]],0)</f>
        <v>6</v>
      </c>
      <c r="S89">
        <f>_26_03_2026_Log_Reseau_v15_7[[#This Row],[Anciennété_mois]]/12</f>
        <v>3.3333333333333335</v>
      </c>
      <c r="T89">
        <f>ROUND(_26_03_2026_Log_Reseau_v15_7[[#This Row],[anciennete_ en année]],0)</f>
        <v>3</v>
      </c>
      <c r="U8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89" s="3">
        <f>ROUND(_26_03_2026_Log_Reseau_v15_7[[#This Row],[remise 10%_70%_45%]],0)</f>
        <v>0</v>
      </c>
      <c r="W89" s="3">
        <f>_26_03_2026_Log_Reseau_v15_7[[#This Row],[Facture mensuelle]]*_26_03_2026_Log_Reseau_v15_7[[#This Row],[remise 10_70_45]]</f>
        <v>0</v>
      </c>
    </row>
    <row r="90" spans="1:23" x14ac:dyDescent="0.25">
      <c r="A90" s="1">
        <v>45204</v>
      </c>
      <c r="B90" s="2">
        <v>0.47152777777777777</v>
      </c>
      <c r="C90" t="s">
        <v>1396</v>
      </c>
      <c r="D90">
        <v>10</v>
      </c>
      <c r="E90" t="s">
        <v>807</v>
      </c>
      <c r="F90" t="s">
        <v>131</v>
      </c>
      <c r="G90">
        <v>4.9455159999999996</v>
      </c>
      <c r="H90">
        <v>23.647746000000001</v>
      </c>
      <c r="I90" t="s">
        <v>1477</v>
      </c>
      <c r="J90" t="s">
        <v>1481</v>
      </c>
      <c r="K90" t="s">
        <v>130</v>
      </c>
      <c r="L90">
        <v>16</v>
      </c>
      <c r="M90" t="s">
        <v>19</v>
      </c>
      <c r="N90">
        <v>390</v>
      </c>
      <c r="O90">
        <v>98.17</v>
      </c>
      <c r="P90">
        <v>5</v>
      </c>
      <c r="Q90">
        <f>_26_03_2026_Log_Reseau_v15_7[[#This Row],[Durée cumulée_panne_minu]]/60</f>
        <v>6.5</v>
      </c>
      <c r="R90">
        <f>ROUND(_26_03_2026_Log_Reseau_v15_7[[#This Row],[Durée_cumulée _ panne_en heure]],0)</f>
        <v>7</v>
      </c>
      <c r="S90">
        <f>_26_03_2026_Log_Reseau_v15_7[[#This Row],[Anciennété_mois]]/12</f>
        <v>1.3333333333333333</v>
      </c>
      <c r="T90">
        <f>ROUND(_26_03_2026_Log_Reseau_v15_7[[#This Row],[anciennete_ en année]],0)</f>
        <v>1</v>
      </c>
      <c r="U9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90" s="3">
        <f>ROUND(_26_03_2026_Log_Reseau_v15_7[[#This Row],[remise 10%_70%_45%]],0)</f>
        <v>0</v>
      </c>
      <c r="W90" s="3">
        <f>_26_03_2026_Log_Reseau_v15_7[[#This Row],[Facture mensuelle]]*_26_03_2026_Log_Reseau_v15_7[[#This Row],[remise 10_70_45]]</f>
        <v>0</v>
      </c>
    </row>
    <row r="91" spans="1:23" x14ac:dyDescent="0.25">
      <c r="A91" s="1">
        <v>45204</v>
      </c>
      <c r="B91" s="2">
        <v>0.81527777777777777</v>
      </c>
      <c r="C91" t="s">
        <v>1402</v>
      </c>
      <c r="D91">
        <v>71</v>
      </c>
      <c r="E91" t="s">
        <v>812</v>
      </c>
      <c r="F91" t="s">
        <v>33</v>
      </c>
      <c r="G91">
        <v>-10.414493</v>
      </c>
      <c r="H91">
        <v>12.333356999999999</v>
      </c>
      <c r="I91" t="s">
        <v>1482</v>
      </c>
      <c r="J91" t="s">
        <v>1478</v>
      </c>
      <c r="K91" t="s">
        <v>32</v>
      </c>
      <c r="L91">
        <v>72</v>
      </c>
      <c r="M91" t="s">
        <v>14</v>
      </c>
      <c r="N91">
        <v>160</v>
      </c>
      <c r="O91">
        <v>90.13</v>
      </c>
      <c r="P91">
        <v>2</v>
      </c>
      <c r="Q91">
        <f>_26_03_2026_Log_Reseau_v15_7[[#This Row],[Durée cumulée_panne_minu]]/60</f>
        <v>2.6666666666666665</v>
      </c>
      <c r="R91">
        <f>ROUND(_26_03_2026_Log_Reseau_v15_7[[#This Row],[Durée_cumulée _ panne_en heure]],0)</f>
        <v>3</v>
      </c>
      <c r="S91">
        <f>_26_03_2026_Log_Reseau_v15_7[[#This Row],[Anciennété_mois]]/12</f>
        <v>6</v>
      </c>
      <c r="T91">
        <f>ROUND(_26_03_2026_Log_Reseau_v15_7[[#This Row],[anciennete_ en année]],0)</f>
        <v>6</v>
      </c>
      <c r="U9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91" s="3">
        <f>ROUND(_26_03_2026_Log_Reseau_v15_7[[#This Row],[remise 10%_70%_45%]],0)</f>
        <v>9</v>
      </c>
      <c r="W91" s="3">
        <f>_26_03_2026_Log_Reseau_v15_7[[#This Row],[Facture mensuelle]]*_26_03_2026_Log_Reseau_v15_7[[#This Row],[remise 10_70_45]]</f>
        <v>811.17</v>
      </c>
    </row>
    <row r="92" spans="1:23" x14ac:dyDescent="0.25">
      <c r="A92" s="1">
        <v>45205</v>
      </c>
      <c r="B92" s="2">
        <v>1.3888888888888888E-2</v>
      </c>
      <c r="C92" t="s">
        <v>806</v>
      </c>
      <c r="D92">
        <v>35</v>
      </c>
      <c r="E92" t="s">
        <v>808</v>
      </c>
      <c r="F92" t="s">
        <v>89</v>
      </c>
      <c r="G92">
        <v>-8.1437910000000002</v>
      </c>
      <c r="H92">
        <v>28.946161</v>
      </c>
      <c r="I92" t="s">
        <v>1480</v>
      </c>
      <c r="J92" t="s">
        <v>1483</v>
      </c>
      <c r="K92" t="s">
        <v>88</v>
      </c>
      <c r="L92">
        <v>98</v>
      </c>
      <c r="M92" t="s">
        <v>14</v>
      </c>
      <c r="N92">
        <v>482</v>
      </c>
      <c r="O92">
        <v>55.04</v>
      </c>
      <c r="P92">
        <v>5</v>
      </c>
      <c r="Q92">
        <f>_26_03_2026_Log_Reseau_v15_7[[#This Row],[Durée cumulée_panne_minu]]/60</f>
        <v>8.0333333333333332</v>
      </c>
      <c r="R92">
        <f>ROUND(_26_03_2026_Log_Reseau_v15_7[[#This Row],[Durée_cumulée _ panne_en heure]],0)</f>
        <v>8</v>
      </c>
      <c r="S92">
        <f>_26_03_2026_Log_Reseau_v15_7[[#This Row],[Anciennété_mois]]/12</f>
        <v>8.1666666666666661</v>
      </c>
      <c r="T92">
        <f>ROUND(_26_03_2026_Log_Reseau_v15_7[[#This Row],[anciennete_ en année]],0)</f>
        <v>8</v>
      </c>
      <c r="U9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92" s="3">
        <f>ROUND(_26_03_2026_Log_Reseau_v15_7[[#This Row],[remise 10%_70%_45%]],0)</f>
        <v>6</v>
      </c>
      <c r="W92" s="3">
        <f>_26_03_2026_Log_Reseau_v15_7[[#This Row],[Facture mensuelle]]*_26_03_2026_Log_Reseau_v15_7[[#This Row],[remise 10_70_45]]</f>
        <v>330.24</v>
      </c>
    </row>
    <row r="93" spans="1:23" x14ac:dyDescent="0.25">
      <c r="A93" s="1">
        <v>45205</v>
      </c>
      <c r="B93" s="2">
        <v>0.46388888888888891</v>
      </c>
      <c r="C93" t="s">
        <v>838</v>
      </c>
      <c r="D93">
        <v>103</v>
      </c>
      <c r="E93" t="s">
        <v>807</v>
      </c>
      <c r="F93" t="s">
        <v>131</v>
      </c>
      <c r="G93">
        <v>-0.17258100000000001</v>
      </c>
      <c r="H93">
        <v>23.775555000000001</v>
      </c>
      <c r="I93" t="s">
        <v>1477</v>
      </c>
      <c r="J93" t="s">
        <v>1490</v>
      </c>
      <c r="K93" t="s">
        <v>130</v>
      </c>
      <c r="L93">
        <v>16</v>
      </c>
      <c r="M93" t="s">
        <v>19</v>
      </c>
      <c r="N93">
        <v>390</v>
      </c>
      <c r="O93">
        <v>98.17</v>
      </c>
      <c r="P93">
        <v>5</v>
      </c>
      <c r="Q93">
        <f>_26_03_2026_Log_Reseau_v15_7[[#This Row],[Durée cumulée_panne_minu]]/60</f>
        <v>6.5</v>
      </c>
      <c r="R93">
        <f>ROUND(_26_03_2026_Log_Reseau_v15_7[[#This Row],[Durée_cumulée _ panne_en heure]],0)</f>
        <v>7</v>
      </c>
      <c r="S93">
        <f>_26_03_2026_Log_Reseau_v15_7[[#This Row],[Anciennété_mois]]/12</f>
        <v>1.3333333333333333</v>
      </c>
      <c r="T93">
        <f>ROUND(_26_03_2026_Log_Reseau_v15_7[[#This Row],[anciennete_ en année]],0)</f>
        <v>1</v>
      </c>
      <c r="U9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93" s="3">
        <f>ROUND(_26_03_2026_Log_Reseau_v15_7[[#This Row],[remise 10%_70%_45%]],0)</f>
        <v>0</v>
      </c>
      <c r="W93" s="3">
        <f>_26_03_2026_Log_Reseau_v15_7[[#This Row],[Facture mensuelle]]*_26_03_2026_Log_Reseau_v15_7[[#This Row],[remise 10_70_45]]</f>
        <v>0</v>
      </c>
    </row>
    <row r="94" spans="1:23" x14ac:dyDescent="0.25">
      <c r="A94" s="1">
        <v>45205</v>
      </c>
      <c r="B94" s="2">
        <v>0.19166666666666668</v>
      </c>
      <c r="C94" t="s">
        <v>870</v>
      </c>
      <c r="D94">
        <v>34</v>
      </c>
      <c r="E94" t="s">
        <v>807</v>
      </c>
      <c r="F94" t="s">
        <v>35</v>
      </c>
      <c r="G94">
        <v>-4.7886769999999999</v>
      </c>
      <c r="H94">
        <v>23.600221999999999</v>
      </c>
      <c r="I94" t="s">
        <v>1482</v>
      </c>
      <c r="J94" t="s">
        <v>1483</v>
      </c>
      <c r="K94" t="s">
        <v>34</v>
      </c>
      <c r="L94">
        <v>35</v>
      </c>
      <c r="M94" t="s">
        <v>14</v>
      </c>
      <c r="N94">
        <v>465</v>
      </c>
      <c r="O94">
        <v>58.59</v>
      </c>
      <c r="P94">
        <v>5</v>
      </c>
      <c r="Q94">
        <f>_26_03_2026_Log_Reseau_v15_7[[#This Row],[Durée cumulée_panne_minu]]/60</f>
        <v>7.75</v>
      </c>
      <c r="R94">
        <f>ROUND(_26_03_2026_Log_Reseau_v15_7[[#This Row],[Durée_cumulée _ panne_en heure]],0)</f>
        <v>8</v>
      </c>
      <c r="S94">
        <f>_26_03_2026_Log_Reseau_v15_7[[#This Row],[Anciennété_mois]]/12</f>
        <v>2.9166666666666665</v>
      </c>
      <c r="T94">
        <f>ROUND(_26_03_2026_Log_Reseau_v15_7[[#This Row],[anciennete_ en année]],0)</f>
        <v>3</v>
      </c>
      <c r="U9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94" s="3">
        <f>ROUND(_26_03_2026_Log_Reseau_v15_7[[#This Row],[remise 10%_70%_45%]],0)</f>
        <v>6</v>
      </c>
      <c r="W94" s="3">
        <f>_26_03_2026_Log_Reseau_v15_7[[#This Row],[Facture mensuelle]]*_26_03_2026_Log_Reseau_v15_7[[#This Row],[remise 10_70_45]]</f>
        <v>351.54</v>
      </c>
    </row>
    <row r="95" spans="1:23" x14ac:dyDescent="0.25">
      <c r="A95" s="1">
        <v>45205</v>
      </c>
      <c r="B95" s="2">
        <v>0.16944444444444445</v>
      </c>
      <c r="C95" t="s">
        <v>913</v>
      </c>
      <c r="D95">
        <v>18</v>
      </c>
      <c r="E95" t="s">
        <v>808</v>
      </c>
      <c r="F95" t="s">
        <v>29</v>
      </c>
      <c r="G95">
        <v>4.8689660000000003</v>
      </c>
      <c r="H95">
        <v>25.112373000000002</v>
      </c>
      <c r="I95" t="s">
        <v>1482</v>
      </c>
      <c r="J95" t="s">
        <v>1481</v>
      </c>
      <c r="K95" t="s">
        <v>28</v>
      </c>
      <c r="L95">
        <v>99</v>
      </c>
      <c r="M95" t="s">
        <v>19</v>
      </c>
      <c r="N95">
        <v>369</v>
      </c>
      <c r="O95">
        <v>67.209999999999994</v>
      </c>
      <c r="P95">
        <v>3</v>
      </c>
      <c r="Q95">
        <f>_26_03_2026_Log_Reseau_v15_7[[#This Row],[Durée cumulée_panne_minu]]/60</f>
        <v>6.15</v>
      </c>
      <c r="R95">
        <f>ROUND(_26_03_2026_Log_Reseau_v15_7[[#This Row],[Durée_cumulée _ panne_en heure]],0)</f>
        <v>6</v>
      </c>
      <c r="S95">
        <f>_26_03_2026_Log_Reseau_v15_7[[#This Row],[Anciennété_mois]]/12</f>
        <v>8.25</v>
      </c>
      <c r="T95">
        <f>ROUND(_26_03_2026_Log_Reseau_v15_7[[#This Row],[anciennete_ en année]],0)</f>
        <v>8</v>
      </c>
      <c r="U9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95" s="3">
        <f>ROUND(_26_03_2026_Log_Reseau_v15_7[[#This Row],[remise 10%_70%_45%]],0)</f>
        <v>0</v>
      </c>
      <c r="W95" s="3">
        <f>_26_03_2026_Log_Reseau_v15_7[[#This Row],[Facture mensuelle]]*_26_03_2026_Log_Reseau_v15_7[[#This Row],[remise 10_70_45]]</f>
        <v>0</v>
      </c>
    </row>
    <row r="96" spans="1:23" x14ac:dyDescent="0.25">
      <c r="A96" s="1">
        <v>45205</v>
      </c>
      <c r="B96" s="2">
        <v>0.65069444444444446</v>
      </c>
      <c r="C96" t="s">
        <v>916</v>
      </c>
      <c r="D96">
        <v>63</v>
      </c>
      <c r="E96" t="s">
        <v>807</v>
      </c>
      <c r="F96" t="s">
        <v>62</v>
      </c>
      <c r="G96">
        <v>-10.977309</v>
      </c>
      <c r="H96">
        <v>12.408281000000001</v>
      </c>
      <c r="I96" t="s">
        <v>1477</v>
      </c>
      <c r="J96" t="s">
        <v>1483</v>
      </c>
      <c r="K96" t="s">
        <v>61</v>
      </c>
      <c r="L96">
        <v>101</v>
      </c>
      <c r="M96" t="s">
        <v>14</v>
      </c>
      <c r="N96">
        <v>333</v>
      </c>
      <c r="O96">
        <v>74.319999999999993</v>
      </c>
      <c r="P96">
        <v>1</v>
      </c>
      <c r="Q96">
        <f>_26_03_2026_Log_Reseau_v15_7[[#This Row],[Durée cumulée_panne_minu]]/60</f>
        <v>5.55</v>
      </c>
      <c r="R96">
        <f>ROUND(_26_03_2026_Log_Reseau_v15_7[[#This Row],[Durée_cumulée _ panne_en heure]],0)</f>
        <v>6</v>
      </c>
      <c r="S96">
        <f>_26_03_2026_Log_Reseau_v15_7[[#This Row],[Anciennété_mois]]/12</f>
        <v>8.4166666666666661</v>
      </c>
      <c r="T96">
        <f>ROUND(_26_03_2026_Log_Reseau_v15_7[[#This Row],[anciennete_ en année]],0)</f>
        <v>8</v>
      </c>
      <c r="U9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96" s="3">
        <f>ROUND(_26_03_2026_Log_Reseau_v15_7[[#This Row],[remise 10%_70%_45%]],0)</f>
        <v>7</v>
      </c>
      <c r="W96" s="3">
        <f>_26_03_2026_Log_Reseau_v15_7[[#This Row],[Facture mensuelle]]*_26_03_2026_Log_Reseau_v15_7[[#This Row],[remise 10_70_45]]</f>
        <v>520.24</v>
      </c>
    </row>
    <row r="97" spans="1:23" x14ac:dyDescent="0.25">
      <c r="A97" s="1">
        <v>45205</v>
      </c>
      <c r="B97" s="2">
        <v>0.92986111111111114</v>
      </c>
      <c r="C97" t="s">
        <v>944</v>
      </c>
      <c r="D97">
        <v>82</v>
      </c>
      <c r="E97" t="s">
        <v>812</v>
      </c>
      <c r="F97" t="s">
        <v>137</v>
      </c>
      <c r="G97">
        <v>4.0157999999999996</v>
      </c>
      <c r="H97">
        <v>21.430246</v>
      </c>
      <c r="I97" t="s">
        <v>1477</v>
      </c>
      <c r="J97" t="s">
        <v>1490</v>
      </c>
      <c r="K97" t="s">
        <v>136</v>
      </c>
      <c r="L97">
        <v>80</v>
      </c>
      <c r="M97" t="s">
        <v>22</v>
      </c>
      <c r="N97">
        <v>155</v>
      </c>
      <c r="O97">
        <v>28.96</v>
      </c>
      <c r="P97">
        <v>2</v>
      </c>
      <c r="Q97">
        <f>_26_03_2026_Log_Reseau_v15_7[[#This Row],[Durée cumulée_panne_minu]]/60</f>
        <v>2.5833333333333335</v>
      </c>
      <c r="R97">
        <f>ROUND(_26_03_2026_Log_Reseau_v15_7[[#This Row],[Durée_cumulée _ panne_en heure]],0)</f>
        <v>3</v>
      </c>
      <c r="S97">
        <f>_26_03_2026_Log_Reseau_v15_7[[#This Row],[Anciennété_mois]]/12</f>
        <v>6.666666666666667</v>
      </c>
      <c r="T97">
        <f>ROUND(_26_03_2026_Log_Reseau_v15_7[[#This Row],[anciennete_ en année]],0)</f>
        <v>7</v>
      </c>
      <c r="U9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97" s="3">
        <f>ROUND(_26_03_2026_Log_Reseau_v15_7[[#This Row],[remise 10%_70%_45%]],0)</f>
        <v>0</v>
      </c>
      <c r="W97" s="3">
        <f>_26_03_2026_Log_Reseau_v15_7[[#This Row],[Facture mensuelle]]*_26_03_2026_Log_Reseau_v15_7[[#This Row],[remise 10_70_45]]</f>
        <v>0</v>
      </c>
    </row>
    <row r="98" spans="1:23" x14ac:dyDescent="0.25">
      <c r="A98" s="1">
        <v>45205</v>
      </c>
      <c r="B98" s="2">
        <v>0.52708333333333335</v>
      </c>
      <c r="C98" t="s">
        <v>960</v>
      </c>
      <c r="D98">
        <v>40</v>
      </c>
      <c r="E98" t="s">
        <v>812</v>
      </c>
      <c r="F98" t="s">
        <v>131</v>
      </c>
      <c r="G98">
        <v>-5.42171</v>
      </c>
      <c r="H98">
        <v>24.202960999999998</v>
      </c>
      <c r="I98" t="s">
        <v>1477</v>
      </c>
      <c r="J98" t="s">
        <v>1478</v>
      </c>
      <c r="K98" t="s">
        <v>130</v>
      </c>
      <c r="L98">
        <v>16</v>
      </c>
      <c r="M98" t="s">
        <v>19</v>
      </c>
      <c r="N98">
        <v>390</v>
      </c>
      <c r="O98">
        <v>98.17</v>
      </c>
      <c r="P98">
        <v>5</v>
      </c>
      <c r="Q98">
        <f>_26_03_2026_Log_Reseau_v15_7[[#This Row],[Durée cumulée_panne_minu]]/60</f>
        <v>6.5</v>
      </c>
      <c r="R98">
        <f>ROUND(_26_03_2026_Log_Reseau_v15_7[[#This Row],[Durée_cumulée _ panne_en heure]],0)</f>
        <v>7</v>
      </c>
      <c r="S98">
        <f>_26_03_2026_Log_Reseau_v15_7[[#This Row],[Anciennété_mois]]/12</f>
        <v>1.3333333333333333</v>
      </c>
      <c r="T98">
        <f>ROUND(_26_03_2026_Log_Reseau_v15_7[[#This Row],[anciennete_ en année]],0)</f>
        <v>1</v>
      </c>
      <c r="U9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98" s="3">
        <f>ROUND(_26_03_2026_Log_Reseau_v15_7[[#This Row],[remise 10%_70%_45%]],0)</f>
        <v>0</v>
      </c>
      <c r="W98" s="3">
        <f>_26_03_2026_Log_Reseau_v15_7[[#This Row],[Facture mensuelle]]*_26_03_2026_Log_Reseau_v15_7[[#This Row],[remise 10_70_45]]</f>
        <v>0</v>
      </c>
    </row>
    <row r="99" spans="1:23" x14ac:dyDescent="0.25">
      <c r="A99" s="1">
        <v>45205</v>
      </c>
      <c r="B99" s="2">
        <v>5.2777777777777778E-2</v>
      </c>
      <c r="C99" t="s">
        <v>1022</v>
      </c>
      <c r="D99">
        <v>102</v>
      </c>
      <c r="E99" t="s">
        <v>808</v>
      </c>
      <c r="F99" t="s">
        <v>29</v>
      </c>
      <c r="G99">
        <v>-4.9789079999999997</v>
      </c>
      <c r="H99">
        <v>28.506295000000001</v>
      </c>
      <c r="I99" t="s">
        <v>1480</v>
      </c>
      <c r="J99" t="s">
        <v>1481</v>
      </c>
      <c r="K99" t="s">
        <v>28</v>
      </c>
      <c r="L99">
        <v>99</v>
      </c>
      <c r="M99" t="s">
        <v>19</v>
      </c>
      <c r="N99">
        <v>369</v>
      </c>
      <c r="O99">
        <v>67.209999999999994</v>
      </c>
      <c r="P99">
        <v>3</v>
      </c>
      <c r="Q99">
        <f>_26_03_2026_Log_Reseau_v15_7[[#This Row],[Durée cumulée_panne_minu]]/60</f>
        <v>6.15</v>
      </c>
      <c r="R99">
        <f>ROUND(_26_03_2026_Log_Reseau_v15_7[[#This Row],[Durée_cumulée _ panne_en heure]],0)</f>
        <v>6</v>
      </c>
      <c r="S99">
        <f>_26_03_2026_Log_Reseau_v15_7[[#This Row],[Anciennété_mois]]/12</f>
        <v>8.25</v>
      </c>
      <c r="T99">
        <f>ROUND(_26_03_2026_Log_Reseau_v15_7[[#This Row],[anciennete_ en année]],0)</f>
        <v>8</v>
      </c>
      <c r="U9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99" s="3">
        <f>ROUND(_26_03_2026_Log_Reseau_v15_7[[#This Row],[remise 10%_70%_45%]],0)</f>
        <v>0</v>
      </c>
      <c r="W99" s="3">
        <f>_26_03_2026_Log_Reseau_v15_7[[#This Row],[Facture mensuelle]]*_26_03_2026_Log_Reseau_v15_7[[#This Row],[remise 10_70_45]]</f>
        <v>0</v>
      </c>
    </row>
    <row r="100" spans="1:23" x14ac:dyDescent="0.25">
      <c r="A100" s="1">
        <v>45205</v>
      </c>
      <c r="B100" s="2">
        <v>0.47430555555555554</v>
      </c>
      <c r="C100" t="s">
        <v>1062</v>
      </c>
      <c r="D100">
        <v>25</v>
      </c>
      <c r="E100" t="s">
        <v>807</v>
      </c>
      <c r="F100" t="s">
        <v>127</v>
      </c>
      <c r="G100">
        <v>-1.013558</v>
      </c>
      <c r="H100">
        <v>17.346937</v>
      </c>
      <c r="I100" t="s">
        <v>1477</v>
      </c>
      <c r="J100" t="s">
        <v>1481</v>
      </c>
      <c r="K100" t="s">
        <v>126</v>
      </c>
      <c r="L100">
        <v>40</v>
      </c>
      <c r="M100" t="s">
        <v>11</v>
      </c>
      <c r="N100">
        <v>345</v>
      </c>
      <c r="O100">
        <v>89.55</v>
      </c>
      <c r="P100">
        <v>3</v>
      </c>
      <c r="Q100">
        <f>_26_03_2026_Log_Reseau_v15_7[[#This Row],[Durée cumulée_panne_minu]]/60</f>
        <v>5.75</v>
      </c>
      <c r="R100">
        <f>ROUND(_26_03_2026_Log_Reseau_v15_7[[#This Row],[Durée_cumulée _ panne_en heure]],0)</f>
        <v>6</v>
      </c>
      <c r="S100">
        <f>_26_03_2026_Log_Reseau_v15_7[[#This Row],[Anciennété_mois]]/12</f>
        <v>3.3333333333333335</v>
      </c>
      <c r="T100">
        <f>ROUND(_26_03_2026_Log_Reseau_v15_7[[#This Row],[anciennete_ en année]],0)</f>
        <v>3</v>
      </c>
      <c r="U10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00" s="3">
        <f>ROUND(_26_03_2026_Log_Reseau_v15_7[[#This Row],[remise 10%_70%_45%]],0)</f>
        <v>0</v>
      </c>
      <c r="W100" s="3">
        <f>_26_03_2026_Log_Reseau_v15_7[[#This Row],[Facture mensuelle]]*_26_03_2026_Log_Reseau_v15_7[[#This Row],[remise 10_70_45]]</f>
        <v>0</v>
      </c>
    </row>
    <row r="101" spans="1:23" x14ac:dyDescent="0.25">
      <c r="A101" s="1">
        <v>45205</v>
      </c>
      <c r="B101" s="2">
        <v>0.17847222222222223</v>
      </c>
      <c r="C101" t="s">
        <v>1077</v>
      </c>
      <c r="D101">
        <v>42</v>
      </c>
      <c r="E101" t="s">
        <v>808</v>
      </c>
      <c r="F101" t="s">
        <v>31</v>
      </c>
      <c r="G101">
        <v>3.611561</v>
      </c>
      <c r="H101">
        <v>17.725974999999998</v>
      </c>
      <c r="I101" t="s">
        <v>1482</v>
      </c>
      <c r="J101" t="s">
        <v>1483</v>
      </c>
      <c r="K101" t="s">
        <v>30</v>
      </c>
      <c r="L101">
        <v>113</v>
      </c>
      <c r="M101" t="s">
        <v>22</v>
      </c>
      <c r="N101">
        <v>380</v>
      </c>
      <c r="O101">
        <v>12.11</v>
      </c>
      <c r="P101">
        <v>0</v>
      </c>
      <c r="Q101">
        <f>_26_03_2026_Log_Reseau_v15_7[[#This Row],[Durée cumulée_panne_minu]]/60</f>
        <v>6.333333333333333</v>
      </c>
      <c r="R101">
        <f>ROUND(_26_03_2026_Log_Reseau_v15_7[[#This Row],[Durée_cumulée _ panne_en heure]],0)</f>
        <v>6</v>
      </c>
      <c r="S101">
        <f>_26_03_2026_Log_Reseau_v15_7[[#This Row],[Anciennété_mois]]/12</f>
        <v>9.4166666666666661</v>
      </c>
      <c r="T101">
        <f>ROUND(_26_03_2026_Log_Reseau_v15_7[[#This Row],[anciennete_ en année]],0)</f>
        <v>9</v>
      </c>
      <c r="U10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01" s="3">
        <f>ROUND(_26_03_2026_Log_Reseau_v15_7[[#This Row],[remise 10%_70%_45%]],0)</f>
        <v>0</v>
      </c>
      <c r="W101" s="3">
        <f>_26_03_2026_Log_Reseau_v15_7[[#This Row],[Facture mensuelle]]*_26_03_2026_Log_Reseau_v15_7[[#This Row],[remise 10_70_45]]</f>
        <v>0</v>
      </c>
    </row>
    <row r="102" spans="1:23" x14ac:dyDescent="0.25">
      <c r="A102" s="1">
        <v>45205</v>
      </c>
      <c r="B102" s="2">
        <v>0.35347222222222224</v>
      </c>
      <c r="C102" t="s">
        <v>1087</v>
      </c>
      <c r="D102">
        <v>52</v>
      </c>
      <c r="E102" t="s">
        <v>808</v>
      </c>
      <c r="F102" t="s">
        <v>37</v>
      </c>
      <c r="G102">
        <v>3.1362930000000002</v>
      </c>
      <c r="H102">
        <v>16.190878000000001</v>
      </c>
      <c r="I102" t="s">
        <v>1482</v>
      </c>
      <c r="J102" t="s">
        <v>1490</v>
      </c>
      <c r="K102" t="s">
        <v>36</v>
      </c>
      <c r="L102">
        <v>115</v>
      </c>
      <c r="M102" t="s">
        <v>19</v>
      </c>
      <c r="N102">
        <v>176</v>
      </c>
      <c r="O102">
        <v>33.28</v>
      </c>
      <c r="P102">
        <v>4</v>
      </c>
      <c r="Q102">
        <f>_26_03_2026_Log_Reseau_v15_7[[#This Row],[Durée cumulée_panne_minu]]/60</f>
        <v>2.9333333333333331</v>
      </c>
      <c r="R102">
        <f>ROUND(_26_03_2026_Log_Reseau_v15_7[[#This Row],[Durée_cumulée _ panne_en heure]],0)</f>
        <v>3</v>
      </c>
      <c r="S102">
        <f>_26_03_2026_Log_Reseau_v15_7[[#This Row],[Anciennété_mois]]/12</f>
        <v>9.5833333333333339</v>
      </c>
      <c r="T102">
        <f>ROUND(_26_03_2026_Log_Reseau_v15_7[[#This Row],[anciennete_ en année]],0)</f>
        <v>10</v>
      </c>
      <c r="U10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02" s="3">
        <f>ROUND(_26_03_2026_Log_Reseau_v15_7[[#This Row],[remise 10%_70%_45%]],0)</f>
        <v>0</v>
      </c>
      <c r="W102" s="3">
        <f>_26_03_2026_Log_Reseau_v15_7[[#This Row],[Facture mensuelle]]*_26_03_2026_Log_Reseau_v15_7[[#This Row],[remise 10_70_45]]</f>
        <v>0</v>
      </c>
    </row>
    <row r="103" spans="1:23" x14ac:dyDescent="0.25">
      <c r="A103" s="1">
        <v>45205</v>
      </c>
      <c r="B103" s="2">
        <v>0.15416666666666667</v>
      </c>
      <c r="C103" t="s">
        <v>1093</v>
      </c>
      <c r="D103">
        <v>12</v>
      </c>
      <c r="E103" t="s">
        <v>807</v>
      </c>
      <c r="F103" t="s">
        <v>21</v>
      </c>
      <c r="G103">
        <v>-5.2526849999999996</v>
      </c>
      <c r="H103">
        <v>12.374528</v>
      </c>
      <c r="I103" t="s">
        <v>1482</v>
      </c>
      <c r="J103" t="s">
        <v>1490</v>
      </c>
      <c r="K103" t="s">
        <v>20</v>
      </c>
      <c r="L103">
        <v>101</v>
      </c>
      <c r="M103" t="s">
        <v>22</v>
      </c>
      <c r="N103">
        <v>358</v>
      </c>
      <c r="O103">
        <v>29.24</v>
      </c>
      <c r="P103">
        <v>3</v>
      </c>
      <c r="Q103">
        <f>_26_03_2026_Log_Reseau_v15_7[[#This Row],[Durée cumulée_panne_minu]]/60</f>
        <v>5.9666666666666668</v>
      </c>
      <c r="R103">
        <f>ROUND(_26_03_2026_Log_Reseau_v15_7[[#This Row],[Durée_cumulée _ panne_en heure]],0)</f>
        <v>6</v>
      </c>
      <c r="S103">
        <f>_26_03_2026_Log_Reseau_v15_7[[#This Row],[Anciennété_mois]]/12</f>
        <v>8.4166666666666661</v>
      </c>
      <c r="T103">
        <f>ROUND(_26_03_2026_Log_Reseau_v15_7[[#This Row],[anciennete_ en année]],0)</f>
        <v>8</v>
      </c>
      <c r="U10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03" s="3">
        <f>ROUND(_26_03_2026_Log_Reseau_v15_7[[#This Row],[remise 10%_70%_45%]],0)</f>
        <v>0</v>
      </c>
      <c r="W103" s="3">
        <f>_26_03_2026_Log_Reseau_v15_7[[#This Row],[Facture mensuelle]]*_26_03_2026_Log_Reseau_v15_7[[#This Row],[remise 10_70_45]]</f>
        <v>0</v>
      </c>
    </row>
    <row r="104" spans="1:23" x14ac:dyDescent="0.25">
      <c r="A104" s="1">
        <v>45205</v>
      </c>
      <c r="B104" s="2">
        <v>0.72916666666666663</v>
      </c>
      <c r="C104" t="s">
        <v>1165</v>
      </c>
      <c r="D104">
        <v>106</v>
      </c>
      <c r="E104" t="s">
        <v>812</v>
      </c>
      <c r="F104" t="s">
        <v>24</v>
      </c>
      <c r="G104">
        <v>-4.4958720000000003</v>
      </c>
      <c r="H104">
        <v>18.514112000000001</v>
      </c>
      <c r="I104" t="s">
        <v>1480</v>
      </c>
      <c r="J104" t="s">
        <v>1490</v>
      </c>
      <c r="K104" t="s">
        <v>23</v>
      </c>
      <c r="L104">
        <v>46</v>
      </c>
      <c r="M104" t="s">
        <v>11</v>
      </c>
      <c r="N104">
        <v>283</v>
      </c>
      <c r="O104">
        <v>56.05</v>
      </c>
      <c r="P104">
        <v>1</v>
      </c>
      <c r="Q104">
        <f>_26_03_2026_Log_Reseau_v15_7[[#This Row],[Durée cumulée_panne_minu]]/60</f>
        <v>4.7166666666666668</v>
      </c>
      <c r="R104">
        <f>ROUND(_26_03_2026_Log_Reseau_v15_7[[#This Row],[Durée_cumulée _ panne_en heure]],0)</f>
        <v>5</v>
      </c>
      <c r="S104">
        <f>_26_03_2026_Log_Reseau_v15_7[[#This Row],[Anciennété_mois]]/12</f>
        <v>3.8333333333333335</v>
      </c>
      <c r="T104">
        <f>ROUND(_26_03_2026_Log_Reseau_v15_7[[#This Row],[anciennete_ en année]],0)</f>
        <v>4</v>
      </c>
      <c r="U10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04" s="3">
        <f>ROUND(_26_03_2026_Log_Reseau_v15_7[[#This Row],[remise 10%_70%_45%]],0)</f>
        <v>0</v>
      </c>
      <c r="W104" s="3">
        <f>_26_03_2026_Log_Reseau_v15_7[[#This Row],[Facture mensuelle]]*_26_03_2026_Log_Reseau_v15_7[[#This Row],[remise 10_70_45]]</f>
        <v>0</v>
      </c>
    </row>
    <row r="105" spans="1:23" x14ac:dyDescent="0.25">
      <c r="A105" s="1">
        <v>45205</v>
      </c>
      <c r="B105" s="2">
        <v>0.44097222222222221</v>
      </c>
      <c r="C105" t="s">
        <v>1174</v>
      </c>
      <c r="D105">
        <v>115</v>
      </c>
      <c r="E105" t="s">
        <v>808</v>
      </c>
      <c r="F105" t="s">
        <v>21</v>
      </c>
      <c r="G105">
        <v>-1.3024210000000001</v>
      </c>
      <c r="H105">
        <v>13.601914000000001</v>
      </c>
      <c r="I105" t="s">
        <v>1482</v>
      </c>
      <c r="J105" t="s">
        <v>1481</v>
      </c>
      <c r="K105" t="s">
        <v>20</v>
      </c>
      <c r="L105">
        <v>101</v>
      </c>
      <c r="M105" t="s">
        <v>22</v>
      </c>
      <c r="N105">
        <v>358</v>
      </c>
      <c r="O105">
        <v>29.24</v>
      </c>
      <c r="P105">
        <v>3</v>
      </c>
      <c r="Q105">
        <f>_26_03_2026_Log_Reseau_v15_7[[#This Row],[Durée cumulée_panne_minu]]/60</f>
        <v>5.9666666666666668</v>
      </c>
      <c r="R105">
        <f>ROUND(_26_03_2026_Log_Reseau_v15_7[[#This Row],[Durée_cumulée _ panne_en heure]],0)</f>
        <v>6</v>
      </c>
      <c r="S105">
        <f>_26_03_2026_Log_Reseau_v15_7[[#This Row],[Anciennété_mois]]/12</f>
        <v>8.4166666666666661</v>
      </c>
      <c r="T105">
        <f>ROUND(_26_03_2026_Log_Reseau_v15_7[[#This Row],[anciennete_ en année]],0)</f>
        <v>8</v>
      </c>
      <c r="U10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05" s="3">
        <f>ROUND(_26_03_2026_Log_Reseau_v15_7[[#This Row],[remise 10%_70%_45%]],0)</f>
        <v>0</v>
      </c>
      <c r="W105" s="3">
        <f>_26_03_2026_Log_Reseau_v15_7[[#This Row],[Facture mensuelle]]*_26_03_2026_Log_Reseau_v15_7[[#This Row],[remise 10_70_45]]</f>
        <v>0</v>
      </c>
    </row>
    <row r="106" spans="1:23" x14ac:dyDescent="0.25">
      <c r="A106" s="1">
        <v>45205</v>
      </c>
      <c r="B106" s="2">
        <v>0.47152777777777777</v>
      </c>
      <c r="C106" t="s">
        <v>1211</v>
      </c>
      <c r="D106">
        <v>50</v>
      </c>
      <c r="E106" t="s">
        <v>808</v>
      </c>
      <c r="F106" t="s">
        <v>18</v>
      </c>
      <c r="G106">
        <v>2.628638</v>
      </c>
      <c r="H106">
        <v>28.420582</v>
      </c>
      <c r="I106" t="s">
        <v>1480</v>
      </c>
      <c r="J106" t="s">
        <v>1481</v>
      </c>
      <c r="K106" t="s">
        <v>17</v>
      </c>
      <c r="L106">
        <v>44</v>
      </c>
      <c r="M106" t="s">
        <v>19</v>
      </c>
      <c r="N106">
        <v>348</v>
      </c>
      <c r="O106">
        <v>58.67</v>
      </c>
      <c r="P106">
        <v>0</v>
      </c>
      <c r="Q106">
        <f>_26_03_2026_Log_Reseau_v15_7[[#This Row],[Durée cumulée_panne_minu]]/60</f>
        <v>5.8</v>
      </c>
      <c r="R106">
        <f>ROUND(_26_03_2026_Log_Reseau_v15_7[[#This Row],[Durée_cumulée _ panne_en heure]],0)</f>
        <v>6</v>
      </c>
      <c r="S106">
        <f>_26_03_2026_Log_Reseau_v15_7[[#This Row],[Anciennété_mois]]/12</f>
        <v>3.6666666666666665</v>
      </c>
      <c r="T106">
        <f>ROUND(_26_03_2026_Log_Reseau_v15_7[[#This Row],[anciennete_ en année]],0)</f>
        <v>4</v>
      </c>
      <c r="U10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06" s="3">
        <f>ROUND(_26_03_2026_Log_Reseau_v15_7[[#This Row],[remise 10%_70%_45%]],0)</f>
        <v>0</v>
      </c>
      <c r="W106" s="3">
        <f>_26_03_2026_Log_Reseau_v15_7[[#This Row],[Facture mensuelle]]*_26_03_2026_Log_Reseau_v15_7[[#This Row],[remise 10_70_45]]</f>
        <v>0</v>
      </c>
    </row>
    <row r="107" spans="1:23" x14ac:dyDescent="0.25">
      <c r="A107" s="1">
        <v>45205</v>
      </c>
      <c r="B107" s="2">
        <v>1.8055555555555554E-2</v>
      </c>
      <c r="C107" t="s">
        <v>1318</v>
      </c>
      <c r="D107">
        <v>67</v>
      </c>
      <c r="E107" t="s">
        <v>812</v>
      </c>
      <c r="F107" t="s">
        <v>26</v>
      </c>
      <c r="G107">
        <v>1.5278670000000001</v>
      </c>
      <c r="H107">
        <v>13.899388999999999</v>
      </c>
      <c r="I107" t="s">
        <v>1482</v>
      </c>
      <c r="J107" t="s">
        <v>1481</v>
      </c>
      <c r="K107" t="s">
        <v>25</v>
      </c>
      <c r="L107">
        <v>99</v>
      </c>
      <c r="M107" t="s">
        <v>11</v>
      </c>
      <c r="N107">
        <v>447</v>
      </c>
      <c r="O107">
        <v>38.1</v>
      </c>
      <c r="P107">
        <v>3</v>
      </c>
      <c r="Q107">
        <f>_26_03_2026_Log_Reseau_v15_7[[#This Row],[Durée cumulée_panne_minu]]/60</f>
        <v>7.45</v>
      </c>
      <c r="R107">
        <f>ROUND(_26_03_2026_Log_Reseau_v15_7[[#This Row],[Durée_cumulée _ panne_en heure]],0)</f>
        <v>7</v>
      </c>
      <c r="S107">
        <f>_26_03_2026_Log_Reseau_v15_7[[#This Row],[Anciennété_mois]]/12</f>
        <v>8.25</v>
      </c>
      <c r="T107">
        <f>ROUND(_26_03_2026_Log_Reseau_v15_7[[#This Row],[anciennete_ en année]],0)</f>
        <v>8</v>
      </c>
      <c r="U10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07" s="3">
        <f>ROUND(_26_03_2026_Log_Reseau_v15_7[[#This Row],[remise 10%_70%_45%]],0)</f>
        <v>0</v>
      </c>
      <c r="W107" s="3">
        <f>_26_03_2026_Log_Reseau_v15_7[[#This Row],[Facture mensuelle]]*_26_03_2026_Log_Reseau_v15_7[[#This Row],[remise 10_70_45]]</f>
        <v>0</v>
      </c>
    </row>
    <row r="108" spans="1:23" x14ac:dyDescent="0.25">
      <c r="A108" s="1">
        <v>45205</v>
      </c>
      <c r="B108" s="2">
        <v>5.2083333333333336E-2</v>
      </c>
      <c r="C108" t="s">
        <v>1327</v>
      </c>
      <c r="D108">
        <v>81</v>
      </c>
      <c r="E108" t="s">
        <v>812</v>
      </c>
      <c r="F108" t="s">
        <v>29</v>
      </c>
      <c r="G108">
        <v>1.5802860000000001</v>
      </c>
      <c r="H108">
        <v>20.99053</v>
      </c>
      <c r="I108" t="s">
        <v>1480</v>
      </c>
      <c r="J108" t="s">
        <v>1483</v>
      </c>
      <c r="K108" t="s">
        <v>28</v>
      </c>
      <c r="L108">
        <v>99</v>
      </c>
      <c r="M108" t="s">
        <v>19</v>
      </c>
      <c r="N108">
        <v>369</v>
      </c>
      <c r="O108">
        <v>67.209999999999994</v>
      </c>
      <c r="P108">
        <v>3</v>
      </c>
      <c r="Q108">
        <f>_26_03_2026_Log_Reseau_v15_7[[#This Row],[Durée cumulée_panne_minu]]/60</f>
        <v>6.15</v>
      </c>
      <c r="R108">
        <f>ROUND(_26_03_2026_Log_Reseau_v15_7[[#This Row],[Durée_cumulée _ panne_en heure]],0)</f>
        <v>6</v>
      </c>
      <c r="S108">
        <f>_26_03_2026_Log_Reseau_v15_7[[#This Row],[Anciennété_mois]]/12</f>
        <v>8.25</v>
      </c>
      <c r="T108">
        <f>ROUND(_26_03_2026_Log_Reseau_v15_7[[#This Row],[anciennete_ en année]],0)</f>
        <v>8</v>
      </c>
      <c r="U10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08" s="3">
        <f>ROUND(_26_03_2026_Log_Reseau_v15_7[[#This Row],[remise 10%_70%_45%]],0)</f>
        <v>0</v>
      </c>
      <c r="W108" s="3">
        <f>_26_03_2026_Log_Reseau_v15_7[[#This Row],[Facture mensuelle]]*_26_03_2026_Log_Reseau_v15_7[[#This Row],[remise 10_70_45]]</f>
        <v>0</v>
      </c>
    </row>
    <row r="109" spans="1:23" x14ac:dyDescent="0.25">
      <c r="A109" s="1">
        <v>45205</v>
      </c>
      <c r="B109" s="2">
        <v>0.52986111111111112</v>
      </c>
      <c r="C109" t="s">
        <v>1369</v>
      </c>
      <c r="D109">
        <v>74</v>
      </c>
      <c r="E109" t="s">
        <v>808</v>
      </c>
      <c r="F109" t="s">
        <v>16</v>
      </c>
      <c r="G109">
        <v>-11.514188000000001</v>
      </c>
      <c r="H109">
        <v>15.971181</v>
      </c>
      <c r="I109" t="s">
        <v>1477</v>
      </c>
      <c r="J109" t="s">
        <v>1478</v>
      </c>
      <c r="K109" t="s">
        <v>15</v>
      </c>
      <c r="L109">
        <v>34</v>
      </c>
      <c r="M109" t="s">
        <v>14</v>
      </c>
      <c r="N109">
        <v>453</v>
      </c>
      <c r="O109">
        <v>56.84</v>
      </c>
      <c r="P109">
        <v>0</v>
      </c>
      <c r="Q109">
        <f>_26_03_2026_Log_Reseau_v15_7[[#This Row],[Durée cumulée_panne_minu]]/60</f>
        <v>7.55</v>
      </c>
      <c r="R109">
        <f>ROUND(_26_03_2026_Log_Reseau_v15_7[[#This Row],[Durée_cumulée _ panne_en heure]],0)</f>
        <v>8</v>
      </c>
      <c r="S109">
        <f>_26_03_2026_Log_Reseau_v15_7[[#This Row],[Anciennété_mois]]/12</f>
        <v>2.8333333333333335</v>
      </c>
      <c r="T109">
        <f>ROUND(_26_03_2026_Log_Reseau_v15_7[[#This Row],[anciennete_ en année]],0)</f>
        <v>3</v>
      </c>
      <c r="U10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109" s="3">
        <f>ROUND(_26_03_2026_Log_Reseau_v15_7[[#This Row],[remise 10%_70%_45%]],0)</f>
        <v>6</v>
      </c>
      <c r="W109" s="3">
        <f>_26_03_2026_Log_Reseau_v15_7[[#This Row],[Facture mensuelle]]*_26_03_2026_Log_Reseau_v15_7[[#This Row],[remise 10_70_45]]</f>
        <v>341.04</v>
      </c>
    </row>
    <row r="110" spans="1:23" x14ac:dyDescent="0.25">
      <c r="A110" s="1">
        <v>45205</v>
      </c>
      <c r="B110" s="2">
        <v>0.8305555555555556</v>
      </c>
      <c r="C110" t="s">
        <v>1416</v>
      </c>
      <c r="D110">
        <v>52</v>
      </c>
      <c r="E110" t="s">
        <v>807</v>
      </c>
      <c r="F110" t="s">
        <v>127</v>
      </c>
      <c r="G110">
        <v>-2.2199559999999998</v>
      </c>
      <c r="H110">
        <v>22.614449</v>
      </c>
      <c r="I110" t="s">
        <v>1482</v>
      </c>
      <c r="J110" t="s">
        <v>1490</v>
      </c>
      <c r="K110" t="s">
        <v>126</v>
      </c>
      <c r="L110">
        <v>40</v>
      </c>
      <c r="M110" t="s">
        <v>11</v>
      </c>
      <c r="N110">
        <v>345</v>
      </c>
      <c r="O110">
        <v>89.55</v>
      </c>
      <c r="P110">
        <v>3</v>
      </c>
      <c r="Q110">
        <f>_26_03_2026_Log_Reseau_v15_7[[#This Row],[Durée cumulée_panne_minu]]/60</f>
        <v>5.75</v>
      </c>
      <c r="R110">
        <f>ROUND(_26_03_2026_Log_Reseau_v15_7[[#This Row],[Durée_cumulée _ panne_en heure]],0)</f>
        <v>6</v>
      </c>
      <c r="S110">
        <f>_26_03_2026_Log_Reseau_v15_7[[#This Row],[Anciennété_mois]]/12</f>
        <v>3.3333333333333335</v>
      </c>
      <c r="T110">
        <f>ROUND(_26_03_2026_Log_Reseau_v15_7[[#This Row],[anciennete_ en année]],0)</f>
        <v>3</v>
      </c>
      <c r="U11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10" s="3">
        <f>ROUND(_26_03_2026_Log_Reseau_v15_7[[#This Row],[remise 10%_70%_45%]],0)</f>
        <v>0</v>
      </c>
      <c r="W110" s="3">
        <f>_26_03_2026_Log_Reseau_v15_7[[#This Row],[Facture mensuelle]]*_26_03_2026_Log_Reseau_v15_7[[#This Row],[remise 10_70_45]]</f>
        <v>0</v>
      </c>
    </row>
    <row r="111" spans="1:23" x14ac:dyDescent="0.25">
      <c r="A111" s="1">
        <v>45205</v>
      </c>
      <c r="B111" s="2">
        <v>0.76875000000000004</v>
      </c>
      <c r="C111" t="s">
        <v>1446</v>
      </c>
      <c r="D111">
        <v>36</v>
      </c>
      <c r="E111" t="s">
        <v>807</v>
      </c>
      <c r="F111" t="s">
        <v>62</v>
      </c>
      <c r="G111">
        <v>-0.469945</v>
      </c>
      <c r="H111">
        <v>21.038527999999999</v>
      </c>
      <c r="I111" t="s">
        <v>1482</v>
      </c>
      <c r="J111" t="s">
        <v>1478</v>
      </c>
      <c r="K111" t="s">
        <v>61</v>
      </c>
      <c r="L111">
        <v>101</v>
      </c>
      <c r="M111" t="s">
        <v>14</v>
      </c>
      <c r="N111">
        <v>333</v>
      </c>
      <c r="O111">
        <v>74.319999999999993</v>
      </c>
      <c r="P111">
        <v>1</v>
      </c>
      <c r="Q111">
        <f>_26_03_2026_Log_Reseau_v15_7[[#This Row],[Durée cumulée_panne_minu]]/60</f>
        <v>5.55</v>
      </c>
      <c r="R111">
        <f>ROUND(_26_03_2026_Log_Reseau_v15_7[[#This Row],[Durée_cumulée _ panne_en heure]],0)</f>
        <v>6</v>
      </c>
      <c r="S111">
        <f>_26_03_2026_Log_Reseau_v15_7[[#This Row],[Anciennété_mois]]/12</f>
        <v>8.4166666666666661</v>
      </c>
      <c r="T111">
        <f>ROUND(_26_03_2026_Log_Reseau_v15_7[[#This Row],[anciennete_ en année]],0)</f>
        <v>8</v>
      </c>
      <c r="U11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111" s="3">
        <f>ROUND(_26_03_2026_Log_Reseau_v15_7[[#This Row],[remise 10%_70%_45%]],0)</f>
        <v>7</v>
      </c>
      <c r="W111" s="3">
        <f>_26_03_2026_Log_Reseau_v15_7[[#This Row],[Facture mensuelle]]*_26_03_2026_Log_Reseau_v15_7[[#This Row],[remise 10_70_45]]</f>
        <v>520.24</v>
      </c>
    </row>
    <row r="112" spans="1:23" x14ac:dyDescent="0.25">
      <c r="A112" s="1">
        <v>45205</v>
      </c>
      <c r="B112" s="2">
        <v>0.34513888888888888</v>
      </c>
      <c r="C112" t="s">
        <v>1462</v>
      </c>
      <c r="D112">
        <v>109</v>
      </c>
      <c r="E112" t="s">
        <v>808</v>
      </c>
      <c r="F112" t="s">
        <v>67</v>
      </c>
      <c r="G112">
        <v>-2.2681789999999999</v>
      </c>
      <c r="H112">
        <v>25.699068</v>
      </c>
      <c r="I112" t="s">
        <v>1482</v>
      </c>
      <c r="J112" t="s">
        <v>1483</v>
      </c>
      <c r="K112" t="s">
        <v>66</v>
      </c>
      <c r="L112">
        <v>101</v>
      </c>
      <c r="M112" t="s">
        <v>14</v>
      </c>
      <c r="N112">
        <v>176</v>
      </c>
      <c r="O112">
        <v>86</v>
      </c>
      <c r="P112">
        <v>3</v>
      </c>
      <c r="Q112">
        <f>_26_03_2026_Log_Reseau_v15_7[[#This Row],[Durée cumulée_panne_minu]]/60</f>
        <v>2.9333333333333331</v>
      </c>
      <c r="R112">
        <f>ROUND(_26_03_2026_Log_Reseau_v15_7[[#This Row],[Durée_cumulée _ panne_en heure]],0)</f>
        <v>3</v>
      </c>
      <c r="S112">
        <f>_26_03_2026_Log_Reseau_v15_7[[#This Row],[Anciennété_mois]]/12</f>
        <v>8.4166666666666661</v>
      </c>
      <c r="T112">
        <f>ROUND(_26_03_2026_Log_Reseau_v15_7[[#This Row],[anciennete_ en année]],0)</f>
        <v>8</v>
      </c>
      <c r="U11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112" s="3">
        <f>ROUND(_26_03_2026_Log_Reseau_v15_7[[#This Row],[remise 10%_70%_45%]],0)</f>
        <v>9</v>
      </c>
      <c r="W112" s="3">
        <f>_26_03_2026_Log_Reseau_v15_7[[#This Row],[Facture mensuelle]]*_26_03_2026_Log_Reseau_v15_7[[#This Row],[remise 10_70_45]]</f>
        <v>774</v>
      </c>
    </row>
    <row r="113" spans="1:23" x14ac:dyDescent="0.25">
      <c r="A113" s="1">
        <v>45206</v>
      </c>
      <c r="B113" s="2">
        <v>0.51597222222222228</v>
      </c>
      <c r="C113" t="s">
        <v>825</v>
      </c>
      <c r="D113">
        <v>108</v>
      </c>
      <c r="E113" t="s">
        <v>807</v>
      </c>
      <c r="F113" t="s">
        <v>64</v>
      </c>
      <c r="G113">
        <v>-10.227569000000001</v>
      </c>
      <c r="H113">
        <v>18.887930999999998</v>
      </c>
      <c r="I113" t="s">
        <v>1482</v>
      </c>
      <c r="J113" t="s">
        <v>1483</v>
      </c>
      <c r="K113" t="s">
        <v>63</v>
      </c>
      <c r="L113">
        <v>79</v>
      </c>
      <c r="M113" t="s">
        <v>11</v>
      </c>
      <c r="N113">
        <v>226</v>
      </c>
      <c r="O113">
        <v>94.38</v>
      </c>
      <c r="P113">
        <v>3</v>
      </c>
      <c r="Q113">
        <f>_26_03_2026_Log_Reseau_v15_7[[#This Row],[Durée cumulée_panne_minu]]/60</f>
        <v>3.7666666666666666</v>
      </c>
      <c r="R113">
        <f>ROUND(_26_03_2026_Log_Reseau_v15_7[[#This Row],[Durée_cumulée _ panne_en heure]],0)</f>
        <v>4</v>
      </c>
      <c r="S113">
        <f>_26_03_2026_Log_Reseau_v15_7[[#This Row],[Anciennété_mois]]/12</f>
        <v>6.583333333333333</v>
      </c>
      <c r="T113">
        <f>ROUND(_26_03_2026_Log_Reseau_v15_7[[#This Row],[anciennete_ en année]],0)</f>
        <v>7</v>
      </c>
      <c r="U11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13" s="3">
        <f>ROUND(_26_03_2026_Log_Reseau_v15_7[[#This Row],[remise 10%_70%_45%]],0)</f>
        <v>0</v>
      </c>
      <c r="W113" s="3">
        <f>_26_03_2026_Log_Reseau_v15_7[[#This Row],[Facture mensuelle]]*_26_03_2026_Log_Reseau_v15_7[[#This Row],[remise 10_70_45]]</f>
        <v>0</v>
      </c>
    </row>
    <row r="114" spans="1:23" x14ac:dyDescent="0.25">
      <c r="A114" s="1">
        <v>45206</v>
      </c>
      <c r="B114" s="2">
        <v>0.95694444444444449</v>
      </c>
      <c r="C114" t="s">
        <v>844</v>
      </c>
      <c r="D114">
        <v>32</v>
      </c>
      <c r="E114" t="s">
        <v>808</v>
      </c>
      <c r="F114" t="s">
        <v>44</v>
      </c>
      <c r="G114">
        <v>-9.3652280000000001</v>
      </c>
      <c r="H114">
        <v>18.674116000000001</v>
      </c>
      <c r="I114" t="s">
        <v>1480</v>
      </c>
      <c r="J114" t="s">
        <v>1481</v>
      </c>
      <c r="K114" t="s">
        <v>43</v>
      </c>
      <c r="L114">
        <v>66</v>
      </c>
      <c r="M114" t="s">
        <v>22</v>
      </c>
      <c r="N114">
        <v>270</v>
      </c>
      <c r="O114">
        <v>75.88</v>
      </c>
      <c r="P114">
        <v>3</v>
      </c>
      <c r="Q114">
        <f>_26_03_2026_Log_Reseau_v15_7[[#This Row],[Durée cumulée_panne_minu]]/60</f>
        <v>4.5</v>
      </c>
      <c r="R114">
        <f>ROUND(_26_03_2026_Log_Reseau_v15_7[[#This Row],[Durée_cumulée _ panne_en heure]],0)</f>
        <v>5</v>
      </c>
      <c r="S114">
        <f>_26_03_2026_Log_Reseau_v15_7[[#This Row],[Anciennété_mois]]/12</f>
        <v>5.5</v>
      </c>
      <c r="T114">
        <f>ROUND(_26_03_2026_Log_Reseau_v15_7[[#This Row],[anciennete_ en année]],0)</f>
        <v>6</v>
      </c>
      <c r="U11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14" s="3">
        <f>ROUND(_26_03_2026_Log_Reseau_v15_7[[#This Row],[remise 10%_70%_45%]],0)</f>
        <v>0</v>
      </c>
      <c r="W114" s="3">
        <f>_26_03_2026_Log_Reseau_v15_7[[#This Row],[Facture mensuelle]]*_26_03_2026_Log_Reseau_v15_7[[#This Row],[remise 10_70_45]]</f>
        <v>0</v>
      </c>
    </row>
    <row r="115" spans="1:23" x14ac:dyDescent="0.25">
      <c r="A115" s="1">
        <v>45206</v>
      </c>
      <c r="B115" s="2">
        <v>0.1673611111111111</v>
      </c>
      <c r="C115" t="s">
        <v>863</v>
      </c>
      <c r="D115">
        <v>64</v>
      </c>
      <c r="E115" t="s">
        <v>808</v>
      </c>
      <c r="F115" t="s">
        <v>10</v>
      </c>
      <c r="G115">
        <v>0.24202000000000001</v>
      </c>
      <c r="H115">
        <v>17.396256999999999</v>
      </c>
      <c r="I115" t="s">
        <v>1480</v>
      </c>
      <c r="J115" t="s">
        <v>1481</v>
      </c>
      <c r="K115" t="s">
        <v>9</v>
      </c>
      <c r="L115">
        <v>29</v>
      </c>
      <c r="M115" t="s">
        <v>11</v>
      </c>
      <c r="N115">
        <v>214</v>
      </c>
      <c r="O115">
        <v>74.7</v>
      </c>
      <c r="P115">
        <v>3</v>
      </c>
      <c r="Q115">
        <f>_26_03_2026_Log_Reseau_v15_7[[#This Row],[Durée cumulée_panne_minu]]/60</f>
        <v>3.5666666666666669</v>
      </c>
      <c r="R115">
        <f>ROUND(_26_03_2026_Log_Reseau_v15_7[[#This Row],[Durée_cumulée _ panne_en heure]],0)</f>
        <v>4</v>
      </c>
      <c r="S115">
        <f>_26_03_2026_Log_Reseau_v15_7[[#This Row],[Anciennété_mois]]/12</f>
        <v>2.4166666666666665</v>
      </c>
      <c r="T115">
        <f>ROUND(_26_03_2026_Log_Reseau_v15_7[[#This Row],[anciennete_ en année]],0)</f>
        <v>2</v>
      </c>
      <c r="U11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15" s="3">
        <f>ROUND(_26_03_2026_Log_Reseau_v15_7[[#This Row],[remise 10%_70%_45%]],0)</f>
        <v>0</v>
      </c>
      <c r="W115" s="3">
        <f>_26_03_2026_Log_Reseau_v15_7[[#This Row],[Facture mensuelle]]*_26_03_2026_Log_Reseau_v15_7[[#This Row],[remise 10_70_45]]</f>
        <v>0</v>
      </c>
    </row>
    <row r="116" spans="1:23" x14ac:dyDescent="0.25">
      <c r="A116" s="1">
        <v>45206</v>
      </c>
      <c r="B116" s="2">
        <v>0.5395833333333333</v>
      </c>
      <c r="C116" t="s">
        <v>904</v>
      </c>
      <c r="D116">
        <v>43</v>
      </c>
      <c r="E116" t="s">
        <v>807</v>
      </c>
      <c r="F116" t="s">
        <v>40</v>
      </c>
      <c r="G116">
        <v>-10.963041</v>
      </c>
      <c r="H116">
        <v>12.269857</v>
      </c>
      <c r="I116" t="s">
        <v>1480</v>
      </c>
      <c r="J116" t="s">
        <v>1481</v>
      </c>
      <c r="K116" t="s">
        <v>39</v>
      </c>
      <c r="L116">
        <v>110</v>
      </c>
      <c r="M116" t="s">
        <v>14</v>
      </c>
      <c r="N116">
        <v>423</v>
      </c>
      <c r="O116">
        <v>37.35</v>
      </c>
      <c r="P116">
        <v>4</v>
      </c>
      <c r="Q116">
        <f>_26_03_2026_Log_Reseau_v15_7[[#This Row],[Durée cumulée_panne_minu]]/60</f>
        <v>7.05</v>
      </c>
      <c r="R116">
        <f>ROUND(_26_03_2026_Log_Reseau_v15_7[[#This Row],[Durée_cumulée _ panne_en heure]],0)</f>
        <v>7</v>
      </c>
      <c r="S116">
        <f>_26_03_2026_Log_Reseau_v15_7[[#This Row],[Anciennété_mois]]/12</f>
        <v>9.1666666666666661</v>
      </c>
      <c r="T116">
        <f>ROUND(_26_03_2026_Log_Reseau_v15_7[[#This Row],[anciennete_ en année]],0)</f>
        <v>9</v>
      </c>
      <c r="U11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116" s="3">
        <f>ROUND(_26_03_2026_Log_Reseau_v15_7[[#This Row],[remise 10%_70%_45%]],0)</f>
        <v>4</v>
      </c>
      <c r="W116" s="3">
        <f>_26_03_2026_Log_Reseau_v15_7[[#This Row],[Facture mensuelle]]*_26_03_2026_Log_Reseau_v15_7[[#This Row],[remise 10_70_45]]</f>
        <v>149.4</v>
      </c>
    </row>
    <row r="117" spans="1:23" x14ac:dyDescent="0.25">
      <c r="A117" s="1">
        <v>45206</v>
      </c>
      <c r="B117" s="2">
        <v>0.9194444444444444</v>
      </c>
      <c r="C117" t="s">
        <v>925</v>
      </c>
      <c r="D117">
        <v>13</v>
      </c>
      <c r="E117" t="s">
        <v>808</v>
      </c>
      <c r="F117" t="s">
        <v>31</v>
      </c>
      <c r="G117">
        <v>-10.56448</v>
      </c>
      <c r="H117">
        <v>19.792876</v>
      </c>
      <c r="I117" t="s">
        <v>1477</v>
      </c>
      <c r="J117" t="s">
        <v>1478</v>
      </c>
      <c r="K117" t="s">
        <v>30</v>
      </c>
      <c r="L117">
        <v>113</v>
      </c>
      <c r="M117" t="s">
        <v>22</v>
      </c>
      <c r="N117">
        <v>380</v>
      </c>
      <c r="O117">
        <v>12.11</v>
      </c>
      <c r="P117">
        <v>0</v>
      </c>
      <c r="Q117">
        <f>_26_03_2026_Log_Reseau_v15_7[[#This Row],[Durée cumulée_panne_minu]]/60</f>
        <v>6.333333333333333</v>
      </c>
      <c r="R117">
        <f>ROUND(_26_03_2026_Log_Reseau_v15_7[[#This Row],[Durée_cumulée _ panne_en heure]],0)</f>
        <v>6</v>
      </c>
      <c r="S117">
        <f>_26_03_2026_Log_Reseau_v15_7[[#This Row],[Anciennété_mois]]/12</f>
        <v>9.4166666666666661</v>
      </c>
      <c r="T117">
        <f>ROUND(_26_03_2026_Log_Reseau_v15_7[[#This Row],[anciennete_ en année]],0)</f>
        <v>9</v>
      </c>
      <c r="U11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17" s="3">
        <f>ROUND(_26_03_2026_Log_Reseau_v15_7[[#This Row],[remise 10%_70%_45%]],0)</f>
        <v>0</v>
      </c>
      <c r="W117" s="3">
        <f>_26_03_2026_Log_Reseau_v15_7[[#This Row],[Facture mensuelle]]*_26_03_2026_Log_Reseau_v15_7[[#This Row],[remise 10_70_45]]</f>
        <v>0</v>
      </c>
    </row>
    <row r="118" spans="1:23" x14ac:dyDescent="0.25">
      <c r="A118" s="1">
        <v>45206</v>
      </c>
      <c r="B118" s="2">
        <v>0.63680555555555551</v>
      </c>
      <c r="C118" t="s">
        <v>946</v>
      </c>
      <c r="D118">
        <v>32</v>
      </c>
      <c r="E118" t="s">
        <v>812</v>
      </c>
      <c r="F118" t="s">
        <v>21</v>
      </c>
      <c r="G118">
        <v>-11.514817000000001</v>
      </c>
      <c r="H118">
        <v>24.891375</v>
      </c>
      <c r="I118" t="s">
        <v>1482</v>
      </c>
      <c r="J118" t="s">
        <v>1490</v>
      </c>
      <c r="K118" t="s">
        <v>20</v>
      </c>
      <c r="L118">
        <v>101</v>
      </c>
      <c r="M118" t="s">
        <v>22</v>
      </c>
      <c r="N118">
        <v>358</v>
      </c>
      <c r="O118">
        <v>29.24</v>
      </c>
      <c r="P118">
        <v>3</v>
      </c>
      <c r="Q118">
        <f>_26_03_2026_Log_Reseau_v15_7[[#This Row],[Durée cumulée_panne_minu]]/60</f>
        <v>5.9666666666666668</v>
      </c>
      <c r="R118">
        <f>ROUND(_26_03_2026_Log_Reseau_v15_7[[#This Row],[Durée_cumulée _ panne_en heure]],0)</f>
        <v>6</v>
      </c>
      <c r="S118">
        <f>_26_03_2026_Log_Reseau_v15_7[[#This Row],[Anciennété_mois]]/12</f>
        <v>8.4166666666666661</v>
      </c>
      <c r="T118">
        <f>ROUND(_26_03_2026_Log_Reseau_v15_7[[#This Row],[anciennete_ en année]],0)</f>
        <v>8</v>
      </c>
      <c r="U11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18" s="3">
        <f>ROUND(_26_03_2026_Log_Reseau_v15_7[[#This Row],[remise 10%_70%_45%]],0)</f>
        <v>0</v>
      </c>
      <c r="W118" s="3">
        <f>_26_03_2026_Log_Reseau_v15_7[[#This Row],[Facture mensuelle]]*_26_03_2026_Log_Reseau_v15_7[[#This Row],[remise 10_70_45]]</f>
        <v>0</v>
      </c>
    </row>
    <row r="119" spans="1:23" x14ac:dyDescent="0.25">
      <c r="A119" s="1">
        <v>45206</v>
      </c>
      <c r="B119" s="2">
        <v>0.28680555555555554</v>
      </c>
      <c r="C119" t="s">
        <v>989</v>
      </c>
      <c r="D119">
        <v>96</v>
      </c>
      <c r="E119" t="s">
        <v>808</v>
      </c>
      <c r="F119" t="s">
        <v>24</v>
      </c>
      <c r="G119">
        <v>-5.5445120000000001</v>
      </c>
      <c r="H119">
        <v>27.547335</v>
      </c>
      <c r="I119" t="s">
        <v>1480</v>
      </c>
      <c r="J119" t="s">
        <v>1478</v>
      </c>
      <c r="K119" t="s">
        <v>23</v>
      </c>
      <c r="L119">
        <v>46</v>
      </c>
      <c r="M119" t="s">
        <v>11</v>
      </c>
      <c r="N119">
        <v>283</v>
      </c>
      <c r="O119">
        <v>56.05</v>
      </c>
      <c r="P119">
        <v>1</v>
      </c>
      <c r="Q119">
        <f>_26_03_2026_Log_Reseau_v15_7[[#This Row],[Durée cumulée_panne_minu]]/60</f>
        <v>4.7166666666666668</v>
      </c>
      <c r="R119">
        <f>ROUND(_26_03_2026_Log_Reseau_v15_7[[#This Row],[Durée_cumulée _ panne_en heure]],0)</f>
        <v>5</v>
      </c>
      <c r="S119">
        <f>_26_03_2026_Log_Reseau_v15_7[[#This Row],[Anciennété_mois]]/12</f>
        <v>3.8333333333333335</v>
      </c>
      <c r="T119">
        <f>ROUND(_26_03_2026_Log_Reseau_v15_7[[#This Row],[anciennete_ en année]],0)</f>
        <v>4</v>
      </c>
      <c r="U11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19" s="3">
        <f>ROUND(_26_03_2026_Log_Reseau_v15_7[[#This Row],[remise 10%_70%_45%]],0)</f>
        <v>0</v>
      </c>
      <c r="W119" s="3">
        <f>_26_03_2026_Log_Reseau_v15_7[[#This Row],[Facture mensuelle]]*_26_03_2026_Log_Reseau_v15_7[[#This Row],[remise 10_70_45]]</f>
        <v>0</v>
      </c>
    </row>
    <row r="120" spans="1:23" x14ac:dyDescent="0.25">
      <c r="A120" s="1">
        <v>45206</v>
      </c>
      <c r="B120" s="2">
        <v>0.23333333333333334</v>
      </c>
      <c r="C120" t="s">
        <v>1086</v>
      </c>
      <c r="D120">
        <v>26</v>
      </c>
      <c r="E120" t="s">
        <v>812</v>
      </c>
      <c r="F120" t="s">
        <v>44</v>
      </c>
      <c r="G120">
        <v>-4.6311460000000002</v>
      </c>
      <c r="H120">
        <v>25.314723000000001</v>
      </c>
      <c r="I120" t="s">
        <v>1480</v>
      </c>
      <c r="J120" t="s">
        <v>1481</v>
      </c>
      <c r="K120" t="s">
        <v>43</v>
      </c>
      <c r="L120">
        <v>66</v>
      </c>
      <c r="M120" t="s">
        <v>22</v>
      </c>
      <c r="N120">
        <v>270</v>
      </c>
      <c r="O120">
        <v>75.88</v>
      </c>
      <c r="P120">
        <v>3</v>
      </c>
      <c r="Q120">
        <f>_26_03_2026_Log_Reseau_v15_7[[#This Row],[Durée cumulée_panne_minu]]/60</f>
        <v>4.5</v>
      </c>
      <c r="R120">
        <f>ROUND(_26_03_2026_Log_Reseau_v15_7[[#This Row],[Durée_cumulée _ panne_en heure]],0)</f>
        <v>5</v>
      </c>
      <c r="S120">
        <f>_26_03_2026_Log_Reseau_v15_7[[#This Row],[Anciennété_mois]]/12</f>
        <v>5.5</v>
      </c>
      <c r="T120">
        <f>ROUND(_26_03_2026_Log_Reseau_v15_7[[#This Row],[anciennete_ en année]],0)</f>
        <v>6</v>
      </c>
      <c r="U12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20" s="3">
        <f>ROUND(_26_03_2026_Log_Reseau_v15_7[[#This Row],[remise 10%_70%_45%]],0)</f>
        <v>0</v>
      </c>
      <c r="W120" s="3">
        <f>_26_03_2026_Log_Reseau_v15_7[[#This Row],[Facture mensuelle]]*_26_03_2026_Log_Reseau_v15_7[[#This Row],[remise 10_70_45]]</f>
        <v>0</v>
      </c>
    </row>
    <row r="121" spans="1:23" x14ac:dyDescent="0.25">
      <c r="A121" s="1">
        <v>45206</v>
      </c>
      <c r="B121" s="2">
        <v>2.7083333333333334E-2</v>
      </c>
      <c r="C121" t="s">
        <v>1125</v>
      </c>
      <c r="D121">
        <v>36</v>
      </c>
      <c r="E121" t="s">
        <v>812</v>
      </c>
      <c r="F121" t="s">
        <v>33</v>
      </c>
      <c r="G121">
        <v>-3.111418</v>
      </c>
      <c r="H121">
        <v>14.144854</v>
      </c>
      <c r="I121" t="s">
        <v>1480</v>
      </c>
      <c r="J121" t="s">
        <v>1483</v>
      </c>
      <c r="K121" t="s">
        <v>32</v>
      </c>
      <c r="L121">
        <v>72</v>
      </c>
      <c r="M121" t="s">
        <v>14</v>
      </c>
      <c r="N121">
        <v>160</v>
      </c>
      <c r="O121">
        <v>90.13</v>
      </c>
      <c r="P121">
        <v>2</v>
      </c>
      <c r="Q121">
        <f>_26_03_2026_Log_Reseau_v15_7[[#This Row],[Durée cumulée_panne_minu]]/60</f>
        <v>2.6666666666666665</v>
      </c>
      <c r="R121">
        <f>ROUND(_26_03_2026_Log_Reseau_v15_7[[#This Row],[Durée_cumulée _ panne_en heure]],0)</f>
        <v>3</v>
      </c>
      <c r="S121">
        <f>_26_03_2026_Log_Reseau_v15_7[[#This Row],[Anciennété_mois]]/12</f>
        <v>6</v>
      </c>
      <c r="T121">
        <f>ROUND(_26_03_2026_Log_Reseau_v15_7[[#This Row],[anciennete_ en année]],0)</f>
        <v>6</v>
      </c>
      <c r="U12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121" s="3">
        <f>ROUND(_26_03_2026_Log_Reseau_v15_7[[#This Row],[remise 10%_70%_45%]],0)</f>
        <v>9</v>
      </c>
      <c r="W121" s="3">
        <f>_26_03_2026_Log_Reseau_v15_7[[#This Row],[Facture mensuelle]]*_26_03_2026_Log_Reseau_v15_7[[#This Row],[remise 10_70_45]]</f>
        <v>811.17</v>
      </c>
    </row>
    <row r="122" spans="1:23" x14ac:dyDescent="0.25">
      <c r="A122" s="1">
        <v>45206</v>
      </c>
      <c r="B122" s="2">
        <v>0.56388888888888888</v>
      </c>
      <c r="C122" t="s">
        <v>1126</v>
      </c>
      <c r="D122">
        <v>37</v>
      </c>
      <c r="E122" t="s">
        <v>807</v>
      </c>
      <c r="F122" t="s">
        <v>127</v>
      </c>
      <c r="G122">
        <v>0.20866199999999999</v>
      </c>
      <c r="H122">
        <v>18.556439000000001</v>
      </c>
      <c r="I122" t="s">
        <v>1480</v>
      </c>
      <c r="J122" t="s">
        <v>1490</v>
      </c>
      <c r="K122" t="s">
        <v>126</v>
      </c>
      <c r="L122">
        <v>40</v>
      </c>
      <c r="M122" t="s">
        <v>11</v>
      </c>
      <c r="N122">
        <v>345</v>
      </c>
      <c r="O122">
        <v>89.55</v>
      </c>
      <c r="P122">
        <v>3</v>
      </c>
      <c r="Q122">
        <f>_26_03_2026_Log_Reseau_v15_7[[#This Row],[Durée cumulée_panne_minu]]/60</f>
        <v>5.75</v>
      </c>
      <c r="R122">
        <f>ROUND(_26_03_2026_Log_Reseau_v15_7[[#This Row],[Durée_cumulée _ panne_en heure]],0)</f>
        <v>6</v>
      </c>
      <c r="S122">
        <f>_26_03_2026_Log_Reseau_v15_7[[#This Row],[Anciennété_mois]]/12</f>
        <v>3.3333333333333335</v>
      </c>
      <c r="T122">
        <f>ROUND(_26_03_2026_Log_Reseau_v15_7[[#This Row],[anciennete_ en année]],0)</f>
        <v>3</v>
      </c>
      <c r="U12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22" s="3">
        <f>ROUND(_26_03_2026_Log_Reseau_v15_7[[#This Row],[remise 10%_70%_45%]],0)</f>
        <v>0</v>
      </c>
      <c r="W122" s="3">
        <f>_26_03_2026_Log_Reseau_v15_7[[#This Row],[Facture mensuelle]]*_26_03_2026_Log_Reseau_v15_7[[#This Row],[remise 10_70_45]]</f>
        <v>0</v>
      </c>
    </row>
    <row r="123" spans="1:23" x14ac:dyDescent="0.25">
      <c r="A123" s="1">
        <v>45206</v>
      </c>
      <c r="B123" s="2">
        <v>0.85763888888888884</v>
      </c>
      <c r="C123" t="s">
        <v>1139</v>
      </c>
      <c r="D123">
        <v>45</v>
      </c>
      <c r="E123" t="s">
        <v>812</v>
      </c>
      <c r="F123" t="s">
        <v>18</v>
      </c>
      <c r="G123">
        <v>1.210869</v>
      </c>
      <c r="H123">
        <v>25.598741</v>
      </c>
      <c r="I123" t="s">
        <v>1480</v>
      </c>
      <c r="J123" t="s">
        <v>1478</v>
      </c>
      <c r="K123" t="s">
        <v>17</v>
      </c>
      <c r="L123">
        <v>44</v>
      </c>
      <c r="M123" t="s">
        <v>19</v>
      </c>
      <c r="N123">
        <v>348</v>
      </c>
      <c r="O123">
        <v>58.67</v>
      </c>
      <c r="P123">
        <v>0</v>
      </c>
      <c r="Q123">
        <f>_26_03_2026_Log_Reseau_v15_7[[#This Row],[Durée cumulée_panne_minu]]/60</f>
        <v>5.8</v>
      </c>
      <c r="R123">
        <f>ROUND(_26_03_2026_Log_Reseau_v15_7[[#This Row],[Durée_cumulée _ panne_en heure]],0)</f>
        <v>6</v>
      </c>
      <c r="S123">
        <f>_26_03_2026_Log_Reseau_v15_7[[#This Row],[Anciennété_mois]]/12</f>
        <v>3.6666666666666665</v>
      </c>
      <c r="T123">
        <f>ROUND(_26_03_2026_Log_Reseau_v15_7[[#This Row],[anciennete_ en année]],0)</f>
        <v>4</v>
      </c>
      <c r="U12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23" s="3">
        <f>ROUND(_26_03_2026_Log_Reseau_v15_7[[#This Row],[remise 10%_70%_45%]],0)</f>
        <v>0</v>
      </c>
      <c r="W123" s="3">
        <f>_26_03_2026_Log_Reseau_v15_7[[#This Row],[Facture mensuelle]]*_26_03_2026_Log_Reseau_v15_7[[#This Row],[remise 10_70_45]]</f>
        <v>0</v>
      </c>
    </row>
    <row r="124" spans="1:23" x14ac:dyDescent="0.25">
      <c r="A124" s="1">
        <v>45206</v>
      </c>
      <c r="B124" s="2">
        <v>0.36249999999999999</v>
      </c>
      <c r="C124" t="s">
        <v>1156</v>
      </c>
      <c r="D124">
        <v>60</v>
      </c>
      <c r="E124" t="s">
        <v>812</v>
      </c>
      <c r="F124" t="s">
        <v>78</v>
      </c>
      <c r="G124">
        <v>-4.2645619999999997</v>
      </c>
      <c r="H124">
        <v>18.960726000000001</v>
      </c>
      <c r="I124" t="s">
        <v>1480</v>
      </c>
      <c r="J124" t="s">
        <v>1481</v>
      </c>
      <c r="K124" t="s">
        <v>77</v>
      </c>
      <c r="L124">
        <v>81</v>
      </c>
      <c r="M124" t="s">
        <v>14</v>
      </c>
      <c r="N124">
        <v>154</v>
      </c>
      <c r="O124">
        <v>19.47</v>
      </c>
      <c r="P124">
        <v>3</v>
      </c>
      <c r="Q124">
        <f>_26_03_2026_Log_Reseau_v15_7[[#This Row],[Durée cumulée_panne_minu]]/60</f>
        <v>2.5666666666666669</v>
      </c>
      <c r="R124">
        <f>ROUND(_26_03_2026_Log_Reseau_v15_7[[#This Row],[Durée_cumulée _ panne_en heure]],0)</f>
        <v>3</v>
      </c>
      <c r="S124">
        <f>_26_03_2026_Log_Reseau_v15_7[[#This Row],[Anciennété_mois]]/12</f>
        <v>6.75</v>
      </c>
      <c r="T124">
        <f>ROUND(_26_03_2026_Log_Reseau_v15_7[[#This Row],[anciennete_ en année]],0)</f>
        <v>7</v>
      </c>
      <c r="U12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124" s="3">
        <f>ROUND(_26_03_2026_Log_Reseau_v15_7[[#This Row],[remise 10%_70%_45%]],0)</f>
        <v>2</v>
      </c>
      <c r="W124" s="3">
        <f>_26_03_2026_Log_Reseau_v15_7[[#This Row],[Facture mensuelle]]*_26_03_2026_Log_Reseau_v15_7[[#This Row],[remise 10_70_45]]</f>
        <v>38.94</v>
      </c>
    </row>
    <row r="125" spans="1:23" x14ac:dyDescent="0.25">
      <c r="A125" s="1">
        <v>45206</v>
      </c>
      <c r="B125" s="2">
        <v>0.97430555555555554</v>
      </c>
      <c r="C125" t="s">
        <v>1223</v>
      </c>
      <c r="D125">
        <v>53</v>
      </c>
      <c r="E125" t="s">
        <v>808</v>
      </c>
      <c r="F125" t="s">
        <v>24</v>
      </c>
      <c r="G125">
        <v>-2.926736</v>
      </c>
      <c r="H125">
        <v>18.170461</v>
      </c>
      <c r="I125" t="s">
        <v>1477</v>
      </c>
      <c r="J125" t="s">
        <v>1478</v>
      </c>
      <c r="K125" t="s">
        <v>23</v>
      </c>
      <c r="L125">
        <v>46</v>
      </c>
      <c r="M125" t="s">
        <v>11</v>
      </c>
      <c r="N125">
        <v>283</v>
      </c>
      <c r="O125">
        <v>56.05</v>
      </c>
      <c r="P125">
        <v>1</v>
      </c>
      <c r="Q125">
        <f>_26_03_2026_Log_Reseau_v15_7[[#This Row],[Durée cumulée_panne_minu]]/60</f>
        <v>4.7166666666666668</v>
      </c>
      <c r="R125">
        <f>ROUND(_26_03_2026_Log_Reseau_v15_7[[#This Row],[Durée_cumulée _ panne_en heure]],0)</f>
        <v>5</v>
      </c>
      <c r="S125">
        <f>_26_03_2026_Log_Reseau_v15_7[[#This Row],[Anciennété_mois]]/12</f>
        <v>3.8333333333333335</v>
      </c>
      <c r="T125">
        <f>ROUND(_26_03_2026_Log_Reseau_v15_7[[#This Row],[anciennete_ en année]],0)</f>
        <v>4</v>
      </c>
      <c r="U12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25" s="3">
        <f>ROUND(_26_03_2026_Log_Reseau_v15_7[[#This Row],[remise 10%_70%_45%]],0)</f>
        <v>0</v>
      </c>
      <c r="W125" s="3">
        <f>_26_03_2026_Log_Reseau_v15_7[[#This Row],[Facture mensuelle]]*_26_03_2026_Log_Reseau_v15_7[[#This Row],[remise 10_70_45]]</f>
        <v>0</v>
      </c>
    </row>
    <row r="126" spans="1:23" x14ac:dyDescent="0.25">
      <c r="A126" s="1">
        <v>45206</v>
      </c>
      <c r="B126" s="2">
        <v>0.44305555555555554</v>
      </c>
      <c r="C126" t="s">
        <v>1269</v>
      </c>
      <c r="D126">
        <v>48</v>
      </c>
      <c r="E126" t="s">
        <v>812</v>
      </c>
      <c r="F126" t="s">
        <v>18</v>
      </c>
      <c r="G126">
        <v>0.16327700000000001</v>
      </c>
      <c r="H126">
        <v>14.871577</v>
      </c>
      <c r="I126" t="s">
        <v>1480</v>
      </c>
      <c r="J126" t="s">
        <v>1481</v>
      </c>
      <c r="K126" t="s">
        <v>17</v>
      </c>
      <c r="L126">
        <v>44</v>
      </c>
      <c r="M126" t="s">
        <v>19</v>
      </c>
      <c r="N126">
        <v>348</v>
      </c>
      <c r="O126">
        <v>58.67</v>
      </c>
      <c r="P126">
        <v>0</v>
      </c>
      <c r="Q126">
        <f>_26_03_2026_Log_Reseau_v15_7[[#This Row],[Durée cumulée_panne_minu]]/60</f>
        <v>5.8</v>
      </c>
      <c r="R126">
        <f>ROUND(_26_03_2026_Log_Reseau_v15_7[[#This Row],[Durée_cumulée _ panne_en heure]],0)</f>
        <v>6</v>
      </c>
      <c r="S126">
        <f>_26_03_2026_Log_Reseau_v15_7[[#This Row],[Anciennété_mois]]/12</f>
        <v>3.6666666666666665</v>
      </c>
      <c r="T126">
        <f>ROUND(_26_03_2026_Log_Reseau_v15_7[[#This Row],[anciennete_ en année]],0)</f>
        <v>4</v>
      </c>
      <c r="U12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26" s="3">
        <f>ROUND(_26_03_2026_Log_Reseau_v15_7[[#This Row],[remise 10%_70%_45%]],0)</f>
        <v>0</v>
      </c>
      <c r="W126" s="3">
        <f>_26_03_2026_Log_Reseau_v15_7[[#This Row],[Facture mensuelle]]*_26_03_2026_Log_Reseau_v15_7[[#This Row],[remise 10_70_45]]</f>
        <v>0</v>
      </c>
    </row>
    <row r="127" spans="1:23" x14ac:dyDescent="0.25">
      <c r="A127" s="1">
        <v>45206</v>
      </c>
      <c r="B127" s="2">
        <v>0.6875</v>
      </c>
      <c r="C127" t="s">
        <v>1332</v>
      </c>
      <c r="D127">
        <v>76</v>
      </c>
      <c r="E127" t="s">
        <v>812</v>
      </c>
      <c r="F127" t="s">
        <v>127</v>
      </c>
      <c r="G127">
        <v>-12.100756000000001</v>
      </c>
      <c r="H127">
        <v>21.938649999999999</v>
      </c>
      <c r="I127" t="s">
        <v>1480</v>
      </c>
      <c r="J127" t="s">
        <v>1481</v>
      </c>
      <c r="K127" t="s">
        <v>126</v>
      </c>
      <c r="L127">
        <v>40</v>
      </c>
      <c r="M127" t="s">
        <v>11</v>
      </c>
      <c r="N127">
        <v>345</v>
      </c>
      <c r="O127">
        <v>89.55</v>
      </c>
      <c r="P127">
        <v>3</v>
      </c>
      <c r="Q127">
        <f>_26_03_2026_Log_Reseau_v15_7[[#This Row],[Durée cumulée_panne_minu]]/60</f>
        <v>5.75</v>
      </c>
      <c r="R127">
        <f>ROUND(_26_03_2026_Log_Reseau_v15_7[[#This Row],[Durée_cumulée _ panne_en heure]],0)</f>
        <v>6</v>
      </c>
      <c r="S127">
        <f>_26_03_2026_Log_Reseau_v15_7[[#This Row],[Anciennété_mois]]/12</f>
        <v>3.3333333333333335</v>
      </c>
      <c r="T127">
        <f>ROUND(_26_03_2026_Log_Reseau_v15_7[[#This Row],[anciennete_ en année]],0)</f>
        <v>3</v>
      </c>
      <c r="U12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27" s="3">
        <f>ROUND(_26_03_2026_Log_Reseau_v15_7[[#This Row],[remise 10%_70%_45%]],0)</f>
        <v>0</v>
      </c>
      <c r="W127" s="3">
        <f>_26_03_2026_Log_Reseau_v15_7[[#This Row],[Facture mensuelle]]*_26_03_2026_Log_Reseau_v15_7[[#This Row],[remise 10_70_45]]</f>
        <v>0</v>
      </c>
    </row>
    <row r="128" spans="1:23" x14ac:dyDescent="0.25">
      <c r="A128" s="1">
        <v>45207</v>
      </c>
      <c r="B128" s="2">
        <v>0.70138888888888884</v>
      </c>
      <c r="C128" t="s">
        <v>855</v>
      </c>
      <c r="D128">
        <v>27</v>
      </c>
      <c r="E128" t="s">
        <v>812</v>
      </c>
      <c r="F128" t="s">
        <v>35</v>
      </c>
      <c r="G128">
        <v>-10.764815</v>
      </c>
      <c r="H128">
        <v>14.602039</v>
      </c>
      <c r="I128" t="s">
        <v>1480</v>
      </c>
      <c r="J128" t="s">
        <v>1490</v>
      </c>
      <c r="K128" t="s">
        <v>34</v>
      </c>
      <c r="L128">
        <v>35</v>
      </c>
      <c r="M128" t="s">
        <v>14</v>
      </c>
      <c r="N128">
        <v>465</v>
      </c>
      <c r="O128">
        <v>58.59</v>
      </c>
      <c r="P128">
        <v>5</v>
      </c>
      <c r="Q128">
        <f>_26_03_2026_Log_Reseau_v15_7[[#This Row],[Durée cumulée_panne_minu]]/60</f>
        <v>7.75</v>
      </c>
      <c r="R128">
        <f>ROUND(_26_03_2026_Log_Reseau_v15_7[[#This Row],[Durée_cumulée _ panne_en heure]],0)</f>
        <v>8</v>
      </c>
      <c r="S128">
        <f>_26_03_2026_Log_Reseau_v15_7[[#This Row],[Anciennété_mois]]/12</f>
        <v>2.9166666666666665</v>
      </c>
      <c r="T128">
        <f>ROUND(_26_03_2026_Log_Reseau_v15_7[[#This Row],[anciennete_ en année]],0)</f>
        <v>3</v>
      </c>
      <c r="U12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128" s="3">
        <f>ROUND(_26_03_2026_Log_Reseau_v15_7[[#This Row],[remise 10%_70%_45%]],0)</f>
        <v>6</v>
      </c>
      <c r="W128" s="3">
        <f>_26_03_2026_Log_Reseau_v15_7[[#This Row],[Facture mensuelle]]*_26_03_2026_Log_Reseau_v15_7[[#This Row],[remise 10_70_45]]</f>
        <v>351.54</v>
      </c>
    </row>
    <row r="129" spans="1:23" x14ac:dyDescent="0.25">
      <c r="A129" s="1">
        <v>45207</v>
      </c>
      <c r="B129" s="2">
        <v>1.1111111111111112E-2</v>
      </c>
      <c r="C129" t="s">
        <v>895</v>
      </c>
      <c r="D129">
        <v>32</v>
      </c>
      <c r="E129" t="s">
        <v>807</v>
      </c>
      <c r="F129" t="s">
        <v>33</v>
      </c>
      <c r="G129">
        <v>1.897178</v>
      </c>
      <c r="H129">
        <v>23.902604</v>
      </c>
      <c r="I129" t="s">
        <v>1482</v>
      </c>
      <c r="J129" t="s">
        <v>1490</v>
      </c>
      <c r="K129" t="s">
        <v>32</v>
      </c>
      <c r="L129">
        <v>72</v>
      </c>
      <c r="M129" t="s">
        <v>14</v>
      </c>
      <c r="N129">
        <v>160</v>
      </c>
      <c r="O129">
        <v>90.13</v>
      </c>
      <c r="P129">
        <v>2</v>
      </c>
      <c r="Q129">
        <f>_26_03_2026_Log_Reseau_v15_7[[#This Row],[Durée cumulée_panne_minu]]/60</f>
        <v>2.6666666666666665</v>
      </c>
      <c r="R129">
        <f>ROUND(_26_03_2026_Log_Reseau_v15_7[[#This Row],[Durée_cumulée _ panne_en heure]],0)</f>
        <v>3</v>
      </c>
      <c r="S129">
        <f>_26_03_2026_Log_Reseau_v15_7[[#This Row],[Anciennété_mois]]/12</f>
        <v>6</v>
      </c>
      <c r="T129">
        <f>ROUND(_26_03_2026_Log_Reseau_v15_7[[#This Row],[anciennete_ en année]],0)</f>
        <v>6</v>
      </c>
      <c r="U12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129" s="3">
        <f>ROUND(_26_03_2026_Log_Reseau_v15_7[[#This Row],[remise 10%_70%_45%]],0)</f>
        <v>9</v>
      </c>
      <c r="W129" s="3">
        <f>_26_03_2026_Log_Reseau_v15_7[[#This Row],[Facture mensuelle]]*_26_03_2026_Log_Reseau_v15_7[[#This Row],[remise 10_70_45]]</f>
        <v>811.17</v>
      </c>
    </row>
    <row r="130" spans="1:23" x14ac:dyDescent="0.25">
      <c r="A130" s="1">
        <v>45207</v>
      </c>
      <c r="B130" s="2">
        <v>0.36805555555555558</v>
      </c>
      <c r="C130" t="s">
        <v>945</v>
      </c>
      <c r="D130">
        <v>46</v>
      </c>
      <c r="E130" t="s">
        <v>807</v>
      </c>
      <c r="F130" t="s">
        <v>37</v>
      </c>
      <c r="G130">
        <v>-10.481026999999999</v>
      </c>
      <c r="H130">
        <v>18.160464000000001</v>
      </c>
      <c r="I130" t="s">
        <v>1477</v>
      </c>
      <c r="J130" t="s">
        <v>1481</v>
      </c>
      <c r="K130" t="s">
        <v>36</v>
      </c>
      <c r="L130">
        <v>115</v>
      </c>
      <c r="M130" t="s">
        <v>19</v>
      </c>
      <c r="N130">
        <v>176</v>
      </c>
      <c r="O130">
        <v>33.28</v>
      </c>
      <c r="P130">
        <v>4</v>
      </c>
      <c r="Q130">
        <f>_26_03_2026_Log_Reseau_v15_7[[#This Row],[Durée cumulée_panne_minu]]/60</f>
        <v>2.9333333333333331</v>
      </c>
      <c r="R130">
        <f>ROUND(_26_03_2026_Log_Reseau_v15_7[[#This Row],[Durée_cumulée _ panne_en heure]],0)</f>
        <v>3</v>
      </c>
      <c r="S130">
        <f>_26_03_2026_Log_Reseau_v15_7[[#This Row],[Anciennété_mois]]/12</f>
        <v>9.5833333333333339</v>
      </c>
      <c r="T130">
        <f>ROUND(_26_03_2026_Log_Reseau_v15_7[[#This Row],[anciennete_ en année]],0)</f>
        <v>10</v>
      </c>
      <c r="U13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30" s="3">
        <f>ROUND(_26_03_2026_Log_Reseau_v15_7[[#This Row],[remise 10%_70%_45%]],0)</f>
        <v>0</v>
      </c>
      <c r="W130" s="3">
        <f>_26_03_2026_Log_Reseau_v15_7[[#This Row],[Facture mensuelle]]*_26_03_2026_Log_Reseau_v15_7[[#This Row],[remise 10_70_45]]</f>
        <v>0</v>
      </c>
    </row>
    <row r="131" spans="1:23" x14ac:dyDescent="0.25">
      <c r="A131" s="1">
        <v>45207</v>
      </c>
      <c r="B131" s="2">
        <v>0.59930555555555554</v>
      </c>
      <c r="C131" t="s">
        <v>987</v>
      </c>
      <c r="D131">
        <v>59</v>
      </c>
      <c r="E131" t="s">
        <v>807</v>
      </c>
      <c r="F131" t="s">
        <v>131</v>
      </c>
      <c r="G131">
        <v>-10.25074</v>
      </c>
      <c r="H131">
        <v>26.099086</v>
      </c>
      <c r="I131" t="s">
        <v>1480</v>
      </c>
      <c r="J131" t="s">
        <v>1481</v>
      </c>
      <c r="K131" t="s">
        <v>130</v>
      </c>
      <c r="L131">
        <v>16</v>
      </c>
      <c r="M131" t="s">
        <v>19</v>
      </c>
      <c r="N131">
        <v>390</v>
      </c>
      <c r="O131">
        <v>98.17</v>
      </c>
      <c r="P131">
        <v>5</v>
      </c>
      <c r="Q131">
        <f>_26_03_2026_Log_Reseau_v15_7[[#This Row],[Durée cumulée_panne_minu]]/60</f>
        <v>6.5</v>
      </c>
      <c r="R131">
        <f>ROUND(_26_03_2026_Log_Reseau_v15_7[[#This Row],[Durée_cumulée _ panne_en heure]],0)</f>
        <v>7</v>
      </c>
      <c r="S131">
        <f>_26_03_2026_Log_Reseau_v15_7[[#This Row],[Anciennété_mois]]/12</f>
        <v>1.3333333333333333</v>
      </c>
      <c r="T131">
        <f>ROUND(_26_03_2026_Log_Reseau_v15_7[[#This Row],[anciennete_ en année]],0)</f>
        <v>1</v>
      </c>
      <c r="U13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31" s="3">
        <f>ROUND(_26_03_2026_Log_Reseau_v15_7[[#This Row],[remise 10%_70%_45%]],0)</f>
        <v>0</v>
      </c>
      <c r="W131" s="3">
        <f>_26_03_2026_Log_Reseau_v15_7[[#This Row],[Facture mensuelle]]*_26_03_2026_Log_Reseau_v15_7[[#This Row],[remise 10_70_45]]</f>
        <v>0</v>
      </c>
    </row>
    <row r="132" spans="1:23" x14ac:dyDescent="0.25">
      <c r="A132" s="1">
        <v>45207</v>
      </c>
      <c r="B132" s="2">
        <v>0.13333333333333333</v>
      </c>
      <c r="C132" t="s">
        <v>1000</v>
      </c>
      <c r="D132">
        <v>66</v>
      </c>
      <c r="E132" t="s">
        <v>808</v>
      </c>
      <c r="F132" t="s">
        <v>57</v>
      </c>
      <c r="G132">
        <v>-5.4073029999999997</v>
      </c>
      <c r="H132">
        <v>29.762294000000001</v>
      </c>
      <c r="I132" t="s">
        <v>1482</v>
      </c>
      <c r="J132" t="s">
        <v>1478</v>
      </c>
      <c r="K132" t="s">
        <v>56</v>
      </c>
      <c r="L132">
        <v>97</v>
      </c>
      <c r="M132" t="s">
        <v>14</v>
      </c>
      <c r="N132">
        <v>319</v>
      </c>
      <c r="O132">
        <v>31.25</v>
      </c>
      <c r="P132">
        <v>1</v>
      </c>
      <c r="Q132">
        <f>_26_03_2026_Log_Reseau_v15_7[[#This Row],[Durée cumulée_panne_minu]]/60</f>
        <v>5.3166666666666664</v>
      </c>
      <c r="R132">
        <f>ROUND(_26_03_2026_Log_Reseau_v15_7[[#This Row],[Durée_cumulée _ panne_en heure]],0)</f>
        <v>5</v>
      </c>
      <c r="S132">
        <f>_26_03_2026_Log_Reseau_v15_7[[#This Row],[Anciennété_mois]]/12</f>
        <v>8.0833333333333339</v>
      </c>
      <c r="T132">
        <f>ROUND(_26_03_2026_Log_Reseau_v15_7[[#This Row],[anciennete_ en année]],0)</f>
        <v>8</v>
      </c>
      <c r="U13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3.125</v>
      </c>
      <c r="V132" s="3">
        <f>ROUND(_26_03_2026_Log_Reseau_v15_7[[#This Row],[remise 10%_70%_45%]],0)</f>
        <v>3</v>
      </c>
      <c r="W132" s="3">
        <f>_26_03_2026_Log_Reseau_v15_7[[#This Row],[Facture mensuelle]]*_26_03_2026_Log_Reseau_v15_7[[#This Row],[remise 10_70_45]]</f>
        <v>93.75</v>
      </c>
    </row>
    <row r="133" spans="1:23" x14ac:dyDescent="0.25">
      <c r="A133" s="1">
        <v>45207</v>
      </c>
      <c r="B133" s="2">
        <v>0.98750000000000004</v>
      </c>
      <c r="C133" t="s">
        <v>1046</v>
      </c>
      <c r="D133">
        <v>15</v>
      </c>
      <c r="E133" t="s">
        <v>808</v>
      </c>
      <c r="F133" t="s">
        <v>40</v>
      </c>
      <c r="G133">
        <v>-9.0798120000000004</v>
      </c>
      <c r="H133">
        <v>14.945484</v>
      </c>
      <c r="I133" t="s">
        <v>1477</v>
      </c>
      <c r="J133" t="s">
        <v>1478</v>
      </c>
      <c r="K133" t="s">
        <v>39</v>
      </c>
      <c r="L133">
        <v>110</v>
      </c>
      <c r="M133" t="s">
        <v>14</v>
      </c>
      <c r="N133">
        <v>423</v>
      </c>
      <c r="O133">
        <v>37.35</v>
      </c>
      <c r="P133">
        <v>4</v>
      </c>
      <c r="Q133">
        <f>_26_03_2026_Log_Reseau_v15_7[[#This Row],[Durée cumulée_panne_minu]]/60</f>
        <v>7.05</v>
      </c>
      <c r="R133">
        <f>ROUND(_26_03_2026_Log_Reseau_v15_7[[#This Row],[Durée_cumulée _ panne_en heure]],0)</f>
        <v>7</v>
      </c>
      <c r="S133">
        <f>_26_03_2026_Log_Reseau_v15_7[[#This Row],[Anciennété_mois]]/12</f>
        <v>9.1666666666666661</v>
      </c>
      <c r="T133">
        <f>ROUND(_26_03_2026_Log_Reseau_v15_7[[#This Row],[anciennete_ en année]],0)</f>
        <v>9</v>
      </c>
      <c r="U13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133" s="3">
        <f>ROUND(_26_03_2026_Log_Reseau_v15_7[[#This Row],[remise 10%_70%_45%]],0)</f>
        <v>4</v>
      </c>
      <c r="W133" s="3">
        <f>_26_03_2026_Log_Reseau_v15_7[[#This Row],[Facture mensuelle]]*_26_03_2026_Log_Reseau_v15_7[[#This Row],[remise 10_70_45]]</f>
        <v>149.4</v>
      </c>
    </row>
    <row r="134" spans="1:23" x14ac:dyDescent="0.25">
      <c r="A134" s="1">
        <v>45207</v>
      </c>
      <c r="B134" s="2">
        <v>0.52638888888888891</v>
      </c>
      <c r="C134" t="s">
        <v>1149</v>
      </c>
      <c r="D134">
        <v>78</v>
      </c>
      <c r="E134" t="s">
        <v>812</v>
      </c>
      <c r="F134" t="s">
        <v>24</v>
      </c>
      <c r="G134">
        <v>-9.4229749999999992</v>
      </c>
      <c r="H134">
        <v>29.375005999999999</v>
      </c>
      <c r="I134" t="s">
        <v>1482</v>
      </c>
      <c r="J134" t="s">
        <v>1478</v>
      </c>
      <c r="K134" t="s">
        <v>23</v>
      </c>
      <c r="L134">
        <v>46</v>
      </c>
      <c r="M134" t="s">
        <v>11</v>
      </c>
      <c r="N134">
        <v>283</v>
      </c>
      <c r="O134">
        <v>56.05</v>
      </c>
      <c r="P134">
        <v>1</v>
      </c>
      <c r="Q134">
        <f>_26_03_2026_Log_Reseau_v15_7[[#This Row],[Durée cumulée_panne_minu]]/60</f>
        <v>4.7166666666666668</v>
      </c>
      <c r="R134">
        <f>ROUND(_26_03_2026_Log_Reseau_v15_7[[#This Row],[Durée_cumulée _ panne_en heure]],0)</f>
        <v>5</v>
      </c>
      <c r="S134">
        <f>_26_03_2026_Log_Reseau_v15_7[[#This Row],[Anciennété_mois]]/12</f>
        <v>3.8333333333333335</v>
      </c>
      <c r="T134">
        <f>ROUND(_26_03_2026_Log_Reseau_v15_7[[#This Row],[anciennete_ en année]],0)</f>
        <v>4</v>
      </c>
      <c r="U13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34" s="3">
        <f>ROUND(_26_03_2026_Log_Reseau_v15_7[[#This Row],[remise 10%_70%_45%]],0)</f>
        <v>0</v>
      </c>
      <c r="W134" s="3">
        <f>_26_03_2026_Log_Reseau_v15_7[[#This Row],[Facture mensuelle]]*_26_03_2026_Log_Reseau_v15_7[[#This Row],[remise 10_70_45]]</f>
        <v>0</v>
      </c>
    </row>
    <row r="135" spans="1:23" x14ac:dyDescent="0.25">
      <c r="A135" s="1">
        <v>45207</v>
      </c>
      <c r="B135" s="2">
        <v>0.12708333333333333</v>
      </c>
      <c r="C135" t="s">
        <v>1155</v>
      </c>
      <c r="D135">
        <v>38</v>
      </c>
      <c r="E135" t="s">
        <v>807</v>
      </c>
      <c r="F135" t="s">
        <v>51</v>
      </c>
      <c r="G135">
        <v>-8.5675749999999997</v>
      </c>
      <c r="H135">
        <v>26.994581</v>
      </c>
      <c r="I135" t="s">
        <v>1482</v>
      </c>
      <c r="J135" t="s">
        <v>1490</v>
      </c>
      <c r="K135" t="s">
        <v>50</v>
      </c>
      <c r="L135">
        <v>119</v>
      </c>
      <c r="M135" t="s">
        <v>22</v>
      </c>
      <c r="N135">
        <v>228</v>
      </c>
      <c r="O135">
        <v>94.72</v>
      </c>
      <c r="P135">
        <v>3</v>
      </c>
      <c r="Q135">
        <f>_26_03_2026_Log_Reseau_v15_7[[#This Row],[Durée cumulée_panne_minu]]/60</f>
        <v>3.8</v>
      </c>
      <c r="R135">
        <f>ROUND(_26_03_2026_Log_Reseau_v15_7[[#This Row],[Durée_cumulée _ panne_en heure]],0)</f>
        <v>4</v>
      </c>
      <c r="S135">
        <f>_26_03_2026_Log_Reseau_v15_7[[#This Row],[Anciennété_mois]]/12</f>
        <v>9.9166666666666661</v>
      </c>
      <c r="T135">
        <f>ROUND(_26_03_2026_Log_Reseau_v15_7[[#This Row],[anciennete_ en année]],0)</f>
        <v>10</v>
      </c>
      <c r="U13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35" s="3">
        <f>ROUND(_26_03_2026_Log_Reseau_v15_7[[#This Row],[remise 10%_70%_45%]],0)</f>
        <v>0</v>
      </c>
      <c r="W135" s="3">
        <f>_26_03_2026_Log_Reseau_v15_7[[#This Row],[Facture mensuelle]]*_26_03_2026_Log_Reseau_v15_7[[#This Row],[remise 10_70_45]]</f>
        <v>0</v>
      </c>
    </row>
    <row r="136" spans="1:23" x14ac:dyDescent="0.25">
      <c r="A136" s="1">
        <v>45207</v>
      </c>
      <c r="B136" s="2">
        <v>0.9604166666666667</v>
      </c>
      <c r="C136" t="s">
        <v>1181</v>
      </c>
      <c r="D136">
        <v>23</v>
      </c>
      <c r="E136" t="s">
        <v>812</v>
      </c>
      <c r="F136" t="s">
        <v>131</v>
      </c>
      <c r="G136">
        <v>-12.336202</v>
      </c>
      <c r="H136">
        <v>13.693683999999999</v>
      </c>
      <c r="I136" t="s">
        <v>1477</v>
      </c>
      <c r="J136" t="s">
        <v>1481</v>
      </c>
      <c r="K136" t="s">
        <v>130</v>
      </c>
      <c r="L136">
        <v>16</v>
      </c>
      <c r="M136" t="s">
        <v>19</v>
      </c>
      <c r="N136">
        <v>390</v>
      </c>
      <c r="O136">
        <v>98.17</v>
      </c>
      <c r="P136">
        <v>5</v>
      </c>
      <c r="Q136">
        <f>_26_03_2026_Log_Reseau_v15_7[[#This Row],[Durée cumulée_panne_minu]]/60</f>
        <v>6.5</v>
      </c>
      <c r="R136">
        <f>ROUND(_26_03_2026_Log_Reseau_v15_7[[#This Row],[Durée_cumulée _ panne_en heure]],0)</f>
        <v>7</v>
      </c>
      <c r="S136">
        <f>_26_03_2026_Log_Reseau_v15_7[[#This Row],[Anciennété_mois]]/12</f>
        <v>1.3333333333333333</v>
      </c>
      <c r="T136">
        <f>ROUND(_26_03_2026_Log_Reseau_v15_7[[#This Row],[anciennete_ en année]],0)</f>
        <v>1</v>
      </c>
      <c r="U13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36" s="3">
        <f>ROUND(_26_03_2026_Log_Reseau_v15_7[[#This Row],[remise 10%_70%_45%]],0)</f>
        <v>0</v>
      </c>
      <c r="W136" s="3">
        <f>_26_03_2026_Log_Reseau_v15_7[[#This Row],[Facture mensuelle]]*_26_03_2026_Log_Reseau_v15_7[[#This Row],[remise 10_70_45]]</f>
        <v>0</v>
      </c>
    </row>
    <row r="137" spans="1:23" x14ac:dyDescent="0.25">
      <c r="A137" s="1">
        <v>45207</v>
      </c>
      <c r="B137" s="2">
        <v>7.4305555555555555E-2</v>
      </c>
      <c r="C137" t="s">
        <v>1261</v>
      </c>
      <c r="D137">
        <v>57</v>
      </c>
      <c r="E137" t="s">
        <v>807</v>
      </c>
      <c r="F137" t="s">
        <v>62</v>
      </c>
      <c r="G137">
        <v>-7.1587569999999996</v>
      </c>
      <c r="H137">
        <v>18.975141000000001</v>
      </c>
      <c r="I137" t="s">
        <v>1477</v>
      </c>
      <c r="J137" t="s">
        <v>1478</v>
      </c>
      <c r="K137" t="s">
        <v>61</v>
      </c>
      <c r="L137">
        <v>101</v>
      </c>
      <c r="M137" t="s">
        <v>14</v>
      </c>
      <c r="N137">
        <v>333</v>
      </c>
      <c r="O137">
        <v>74.319999999999993</v>
      </c>
      <c r="P137">
        <v>1</v>
      </c>
      <c r="Q137">
        <f>_26_03_2026_Log_Reseau_v15_7[[#This Row],[Durée cumulée_panne_minu]]/60</f>
        <v>5.55</v>
      </c>
      <c r="R137">
        <f>ROUND(_26_03_2026_Log_Reseau_v15_7[[#This Row],[Durée_cumulée _ panne_en heure]],0)</f>
        <v>6</v>
      </c>
      <c r="S137">
        <f>_26_03_2026_Log_Reseau_v15_7[[#This Row],[Anciennété_mois]]/12</f>
        <v>8.4166666666666661</v>
      </c>
      <c r="T137">
        <f>ROUND(_26_03_2026_Log_Reseau_v15_7[[#This Row],[anciennete_ en année]],0)</f>
        <v>8</v>
      </c>
      <c r="U13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137" s="3">
        <f>ROUND(_26_03_2026_Log_Reseau_v15_7[[#This Row],[remise 10%_70%_45%]],0)</f>
        <v>7</v>
      </c>
      <c r="W137" s="3">
        <f>_26_03_2026_Log_Reseau_v15_7[[#This Row],[Facture mensuelle]]*_26_03_2026_Log_Reseau_v15_7[[#This Row],[remise 10_70_45]]</f>
        <v>520.24</v>
      </c>
    </row>
    <row r="138" spans="1:23" x14ac:dyDescent="0.25">
      <c r="A138" s="1">
        <v>45207</v>
      </c>
      <c r="B138" s="2">
        <v>0.66805555555555551</v>
      </c>
      <c r="C138" t="s">
        <v>1261</v>
      </c>
      <c r="D138">
        <v>113</v>
      </c>
      <c r="E138" t="s">
        <v>807</v>
      </c>
      <c r="F138" t="s">
        <v>62</v>
      </c>
      <c r="G138">
        <v>-7.1587569999999996</v>
      </c>
      <c r="H138">
        <v>18.975141000000001</v>
      </c>
      <c r="I138" t="s">
        <v>1477</v>
      </c>
      <c r="J138" t="s">
        <v>1478</v>
      </c>
      <c r="K138" t="s">
        <v>61</v>
      </c>
      <c r="L138">
        <v>101</v>
      </c>
      <c r="M138" t="s">
        <v>14</v>
      </c>
      <c r="N138">
        <v>333</v>
      </c>
      <c r="O138">
        <v>74.319999999999993</v>
      </c>
      <c r="P138">
        <v>1</v>
      </c>
      <c r="Q138">
        <f>_26_03_2026_Log_Reseau_v15_7[[#This Row],[Durée cumulée_panne_minu]]/60</f>
        <v>5.55</v>
      </c>
      <c r="R138">
        <f>ROUND(_26_03_2026_Log_Reseau_v15_7[[#This Row],[Durée_cumulée _ panne_en heure]],0)</f>
        <v>6</v>
      </c>
      <c r="S138">
        <f>_26_03_2026_Log_Reseau_v15_7[[#This Row],[Anciennété_mois]]/12</f>
        <v>8.4166666666666661</v>
      </c>
      <c r="T138">
        <f>ROUND(_26_03_2026_Log_Reseau_v15_7[[#This Row],[anciennete_ en année]],0)</f>
        <v>8</v>
      </c>
      <c r="U13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138" s="3">
        <f>ROUND(_26_03_2026_Log_Reseau_v15_7[[#This Row],[remise 10%_70%_45%]],0)</f>
        <v>7</v>
      </c>
      <c r="W138" s="3">
        <f>_26_03_2026_Log_Reseau_v15_7[[#This Row],[Facture mensuelle]]*_26_03_2026_Log_Reseau_v15_7[[#This Row],[remise 10_70_45]]</f>
        <v>520.24</v>
      </c>
    </row>
    <row r="139" spans="1:23" x14ac:dyDescent="0.25">
      <c r="A139" s="1">
        <v>45207</v>
      </c>
      <c r="B139" s="2">
        <v>7.0833333333333331E-2</v>
      </c>
      <c r="C139" t="s">
        <v>1303</v>
      </c>
      <c r="D139">
        <v>94</v>
      </c>
      <c r="E139" t="s">
        <v>808</v>
      </c>
      <c r="F139" t="s">
        <v>60</v>
      </c>
      <c r="G139">
        <v>-1.1284540000000001</v>
      </c>
      <c r="H139">
        <v>23.000360000000001</v>
      </c>
      <c r="I139" t="s">
        <v>1477</v>
      </c>
      <c r="J139" t="s">
        <v>1478</v>
      </c>
      <c r="K139" t="s">
        <v>59</v>
      </c>
      <c r="L139">
        <v>14</v>
      </c>
      <c r="M139" t="s">
        <v>14</v>
      </c>
      <c r="N139">
        <v>316</v>
      </c>
      <c r="O139">
        <v>62.34</v>
      </c>
      <c r="P139">
        <v>4</v>
      </c>
      <c r="Q139">
        <f>_26_03_2026_Log_Reseau_v15_7[[#This Row],[Durée cumulée_panne_minu]]/60</f>
        <v>5.2666666666666666</v>
      </c>
      <c r="R139">
        <f>ROUND(_26_03_2026_Log_Reseau_v15_7[[#This Row],[Durée_cumulée _ panne_en heure]],0)</f>
        <v>5</v>
      </c>
      <c r="S139">
        <f>_26_03_2026_Log_Reseau_v15_7[[#This Row],[Anciennété_mois]]/12</f>
        <v>1.1666666666666667</v>
      </c>
      <c r="T139">
        <f>ROUND(_26_03_2026_Log_Reseau_v15_7[[#This Row],[anciennete_ en année]],0)</f>
        <v>1</v>
      </c>
      <c r="U13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139" s="3">
        <f>ROUND(_26_03_2026_Log_Reseau_v15_7[[#This Row],[remise 10%_70%_45%]],0)</f>
        <v>6</v>
      </c>
      <c r="W139" s="3">
        <f>_26_03_2026_Log_Reseau_v15_7[[#This Row],[Facture mensuelle]]*_26_03_2026_Log_Reseau_v15_7[[#This Row],[remise 10_70_45]]</f>
        <v>374.04</v>
      </c>
    </row>
    <row r="140" spans="1:23" x14ac:dyDescent="0.25">
      <c r="A140" s="1">
        <v>45207</v>
      </c>
      <c r="B140" s="2">
        <v>0.57916666666666672</v>
      </c>
      <c r="C140" t="s">
        <v>1349</v>
      </c>
      <c r="D140">
        <v>68</v>
      </c>
      <c r="E140" t="s">
        <v>807</v>
      </c>
      <c r="F140" t="s">
        <v>10</v>
      </c>
      <c r="G140">
        <v>-3.7720639999999999</v>
      </c>
      <c r="H140">
        <v>16.006277999999998</v>
      </c>
      <c r="I140" t="s">
        <v>1477</v>
      </c>
      <c r="J140" t="s">
        <v>1483</v>
      </c>
      <c r="K140" t="s">
        <v>9</v>
      </c>
      <c r="L140">
        <v>29</v>
      </c>
      <c r="M140" t="s">
        <v>11</v>
      </c>
      <c r="N140">
        <v>214</v>
      </c>
      <c r="O140">
        <v>74.7</v>
      </c>
      <c r="P140">
        <v>3</v>
      </c>
      <c r="Q140">
        <f>_26_03_2026_Log_Reseau_v15_7[[#This Row],[Durée cumulée_panne_minu]]/60</f>
        <v>3.5666666666666669</v>
      </c>
      <c r="R140">
        <f>ROUND(_26_03_2026_Log_Reseau_v15_7[[#This Row],[Durée_cumulée _ panne_en heure]],0)</f>
        <v>4</v>
      </c>
      <c r="S140">
        <f>_26_03_2026_Log_Reseau_v15_7[[#This Row],[Anciennété_mois]]/12</f>
        <v>2.4166666666666665</v>
      </c>
      <c r="T140">
        <f>ROUND(_26_03_2026_Log_Reseau_v15_7[[#This Row],[anciennete_ en année]],0)</f>
        <v>2</v>
      </c>
      <c r="U14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40" s="3">
        <f>ROUND(_26_03_2026_Log_Reseau_v15_7[[#This Row],[remise 10%_70%_45%]],0)</f>
        <v>0</v>
      </c>
      <c r="W140" s="3">
        <f>_26_03_2026_Log_Reseau_v15_7[[#This Row],[Facture mensuelle]]*_26_03_2026_Log_Reseau_v15_7[[#This Row],[remise 10_70_45]]</f>
        <v>0</v>
      </c>
    </row>
    <row r="141" spans="1:23" x14ac:dyDescent="0.25">
      <c r="A141" s="1">
        <v>45207</v>
      </c>
      <c r="B141" s="2">
        <v>0.34236111111111112</v>
      </c>
      <c r="C141" t="s">
        <v>1355</v>
      </c>
      <c r="D141">
        <v>28</v>
      </c>
      <c r="E141" t="s">
        <v>807</v>
      </c>
      <c r="F141" t="s">
        <v>26</v>
      </c>
      <c r="G141">
        <v>0.40267799999999998</v>
      </c>
      <c r="H141">
        <v>16.000858000000001</v>
      </c>
      <c r="I141" t="s">
        <v>1482</v>
      </c>
      <c r="J141" t="s">
        <v>1490</v>
      </c>
      <c r="K141" t="s">
        <v>25</v>
      </c>
      <c r="L141">
        <v>99</v>
      </c>
      <c r="M141" t="s">
        <v>11</v>
      </c>
      <c r="N141">
        <v>447</v>
      </c>
      <c r="O141">
        <v>38.1</v>
      </c>
      <c r="P141">
        <v>3</v>
      </c>
      <c r="Q141">
        <f>_26_03_2026_Log_Reseau_v15_7[[#This Row],[Durée cumulée_panne_minu]]/60</f>
        <v>7.45</v>
      </c>
      <c r="R141">
        <f>ROUND(_26_03_2026_Log_Reseau_v15_7[[#This Row],[Durée_cumulée _ panne_en heure]],0)</f>
        <v>7</v>
      </c>
      <c r="S141">
        <f>_26_03_2026_Log_Reseau_v15_7[[#This Row],[Anciennété_mois]]/12</f>
        <v>8.25</v>
      </c>
      <c r="T141">
        <f>ROUND(_26_03_2026_Log_Reseau_v15_7[[#This Row],[anciennete_ en année]],0)</f>
        <v>8</v>
      </c>
      <c r="U14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41" s="3">
        <f>ROUND(_26_03_2026_Log_Reseau_v15_7[[#This Row],[remise 10%_70%_45%]],0)</f>
        <v>0</v>
      </c>
      <c r="W141" s="3">
        <f>_26_03_2026_Log_Reseau_v15_7[[#This Row],[Facture mensuelle]]*_26_03_2026_Log_Reseau_v15_7[[#This Row],[remise 10_70_45]]</f>
        <v>0</v>
      </c>
    </row>
    <row r="142" spans="1:23" x14ac:dyDescent="0.25">
      <c r="A142" s="1">
        <v>45207</v>
      </c>
      <c r="B142" s="2">
        <v>0.14930555555555555</v>
      </c>
      <c r="C142" t="s">
        <v>1363</v>
      </c>
      <c r="D142">
        <v>101</v>
      </c>
      <c r="E142" t="s">
        <v>812</v>
      </c>
      <c r="F142" t="s">
        <v>137</v>
      </c>
      <c r="G142">
        <v>-10.872631999999999</v>
      </c>
      <c r="H142">
        <v>12.773279</v>
      </c>
      <c r="I142" t="s">
        <v>1482</v>
      </c>
      <c r="J142" t="s">
        <v>1483</v>
      </c>
      <c r="K142" t="s">
        <v>136</v>
      </c>
      <c r="L142">
        <v>80</v>
      </c>
      <c r="M142" t="s">
        <v>22</v>
      </c>
      <c r="N142">
        <v>155</v>
      </c>
      <c r="O142">
        <v>28.96</v>
      </c>
      <c r="P142">
        <v>2</v>
      </c>
      <c r="Q142">
        <f>_26_03_2026_Log_Reseau_v15_7[[#This Row],[Durée cumulée_panne_minu]]/60</f>
        <v>2.5833333333333335</v>
      </c>
      <c r="R142">
        <f>ROUND(_26_03_2026_Log_Reseau_v15_7[[#This Row],[Durée_cumulée _ panne_en heure]],0)</f>
        <v>3</v>
      </c>
      <c r="S142">
        <f>_26_03_2026_Log_Reseau_v15_7[[#This Row],[Anciennété_mois]]/12</f>
        <v>6.666666666666667</v>
      </c>
      <c r="T142">
        <f>ROUND(_26_03_2026_Log_Reseau_v15_7[[#This Row],[anciennete_ en année]],0)</f>
        <v>7</v>
      </c>
      <c r="U14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42" s="3">
        <f>ROUND(_26_03_2026_Log_Reseau_v15_7[[#This Row],[remise 10%_70%_45%]],0)</f>
        <v>0</v>
      </c>
      <c r="W142" s="3">
        <f>_26_03_2026_Log_Reseau_v15_7[[#This Row],[Facture mensuelle]]*_26_03_2026_Log_Reseau_v15_7[[#This Row],[remise 10_70_45]]</f>
        <v>0</v>
      </c>
    </row>
    <row r="143" spans="1:23" x14ac:dyDescent="0.25">
      <c r="A143" s="1">
        <v>45207</v>
      </c>
      <c r="B143" s="2">
        <v>0.10277777777777777</v>
      </c>
      <c r="C143" t="s">
        <v>1366</v>
      </c>
      <c r="D143">
        <v>41</v>
      </c>
      <c r="E143" t="s">
        <v>807</v>
      </c>
      <c r="F143" t="s">
        <v>51</v>
      </c>
      <c r="G143">
        <v>-5.9021970000000001</v>
      </c>
      <c r="H143">
        <v>20.551169999999999</v>
      </c>
      <c r="I143" t="s">
        <v>1482</v>
      </c>
      <c r="J143" t="s">
        <v>1481</v>
      </c>
      <c r="K143" t="s">
        <v>50</v>
      </c>
      <c r="L143">
        <v>119</v>
      </c>
      <c r="M143" t="s">
        <v>22</v>
      </c>
      <c r="N143">
        <v>228</v>
      </c>
      <c r="O143">
        <v>94.72</v>
      </c>
      <c r="P143">
        <v>3</v>
      </c>
      <c r="Q143">
        <f>_26_03_2026_Log_Reseau_v15_7[[#This Row],[Durée cumulée_panne_minu]]/60</f>
        <v>3.8</v>
      </c>
      <c r="R143">
        <f>ROUND(_26_03_2026_Log_Reseau_v15_7[[#This Row],[Durée_cumulée _ panne_en heure]],0)</f>
        <v>4</v>
      </c>
      <c r="S143">
        <f>_26_03_2026_Log_Reseau_v15_7[[#This Row],[Anciennété_mois]]/12</f>
        <v>9.9166666666666661</v>
      </c>
      <c r="T143">
        <f>ROUND(_26_03_2026_Log_Reseau_v15_7[[#This Row],[anciennete_ en année]],0)</f>
        <v>10</v>
      </c>
      <c r="U14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43" s="3">
        <f>ROUND(_26_03_2026_Log_Reseau_v15_7[[#This Row],[remise 10%_70%_45%]],0)</f>
        <v>0</v>
      </c>
      <c r="W143" s="3">
        <f>_26_03_2026_Log_Reseau_v15_7[[#This Row],[Facture mensuelle]]*_26_03_2026_Log_Reseau_v15_7[[#This Row],[remise 10_70_45]]</f>
        <v>0</v>
      </c>
    </row>
    <row r="144" spans="1:23" x14ac:dyDescent="0.25">
      <c r="A144" s="1">
        <v>45207</v>
      </c>
      <c r="B144" s="2">
        <v>0.9555555555555556</v>
      </c>
      <c r="C144" t="s">
        <v>1412</v>
      </c>
      <c r="D144">
        <v>73</v>
      </c>
      <c r="E144" t="s">
        <v>808</v>
      </c>
      <c r="F144" t="s">
        <v>24</v>
      </c>
      <c r="G144">
        <v>2.016505</v>
      </c>
      <c r="H144">
        <v>14.294164</v>
      </c>
      <c r="I144" t="s">
        <v>1477</v>
      </c>
      <c r="J144" t="s">
        <v>1481</v>
      </c>
      <c r="K144" t="s">
        <v>23</v>
      </c>
      <c r="L144">
        <v>46</v>
      </c>
      <c r="M144" t="s">
        <v>11</v>
      </c>
      <c r="N144">
        <v>283</v>
      </c>
      <c r="O144">
        <v>56.05</v>
      </c>
      <c r="P144">
        <v>1</v>
      </c>
      <c r="Q144">
        <f>_26_03_2026_Log_Reseau_v15_7[[#This Row],[Durée cumulée_panne_minu]]/60</f>
        <v>4.7166666666666668</v>
      </c>
      <c r="R144">
        <f>ROUND(_26_03_2026_Log_Reseau_v15_7[[#This Row],[Durée_cumulée _ panne_en heure]],0)</f>
        <v>5</v>
      </c>
      <c r="S144">
        <f>_26_03_2026_Log_Reseau_v15_7[[#This Row],[Anciennété_mois]]/12</f>
        <v>3.8333333333333335</v>
      </c>
      <c r="T144">
        <f>ROUND(_26_03_2026_Log_Reseau_v15_7[[#This Row],[anciennete_ en année]],0)</f>
        <v>4</v>
      </c>
      <c r="U14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44" s="3">
        <f>ROUND(_26_03_2026_Log_Reseau_v15_7[[#This Row],[remise 10%_70%_45%]],0)</f>
        <v>0</v>
      </c>
      <c r="W144" s="3">
        <f>_26_03_2026_Log_Reseau_v15_7[[#This Row],[Facture mensuelle]]*_26_03_2026_Log_Reseau_v15_7[[#This Row],[remise 10_70_45]]</f>
        <v>0</v>
      </c>
    </row>
    <row r="145" spans="1:23" x14ac:dyDescent="0.25">
      <c r="A145" s="1">
        <v>45207</v>
      </c>
      <c r="B145" s="2">
        <v>0.98263888888888884</v>
      </c>
      <c r="C145" t="s">
        <v>1444</v>
      </c>
      <c r="D145">
        <v>25</v>
      </c>
      <c r="E145" t="s">
        <v>812</v>
      </c>
      <c r="F145" t="s">
        <v>131</v>
      </c>
      <c r="G145">
        <v>-11.866133</v>
      </c>
      <c r="H145">
        <v>27.068932</v>
      </c>
      <c r="I145" t="s">
        <v>1482</v>
      </c>
      <c r="J145" t="s">
        <v>1481</v>
      </c>
      <c r="K145" t="s">
        <v>130</v>
      </c>
      <c r="L145">
        <v>16</v>
      </c>
      <c r="M145" t="s">
        <v>19</v>
      </c>
      <c r="N145">
        <v>390</v>
      </c>
      <c r="O145">
        <v>98.17</v>
      </c>
      <c r="P145">
        <v>5</v>
      </c>
      <c r="Q145">
        <f>_26_03_2026_Log_Reseau_v15_7[[#This Row],[Durée cumulée_panne_minu]]/60</f>
        <v>6.5</v>
      </c>
      <c r="R145">
        <f>ROUND(_26_03_2026_Log_Reseau_v15_7[[#This Row],[Durée_cumulée _ panne_en heure]],0)</f>
        <v>7</v>
      </c>
      <c r="S145">
        <f>_26_03_2026_Log_Reseau_v15_7[[#This Row],[Anciennété_mois]]/12</f>
        <v>1.3333333333333333</v>
      </c>
      <c r="T145">
        <f>ROUND(_26_03_2026_Log_Reseau_v15_7[[#This Row],[anciennete_ en année]],0)</f>
        <v>1</v>
      </c>
      <c r="U14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45" s="3">
        <f>ROUND(_26_03_2026_Log_Reseau_v15_7[[#This Row],[remise 10%_70%_45%]],0)</f>
        <v>0</v>
      </c>
      <c r="W145" s="3">
        <f>_26_03_2026_Log_Reseau_v15_7[[#This Row],[Facture mensuelle]]*_26_03_2026_Log_Reseau_v15_7[[#This Row],[remise 10_70_45]]</f>
        <v>0</v>
      </c>
    </row>
    <row r="146" spans="1:23" x14ac:dyDescent="0.25">
      <c r="A146" s="1">
        <v>45207</v>
      </c>
      <c r="B146" s="2">
        <v>0.14027777777777778</v>
      </c>
      <c r="C146" t="s">
        <v>1460</v>
      </c>
      <c r="D146">
        <v>46</v>
      </c>
      <c r="E146" t="s">
        <v>808</v>
      </c>
      <c r="F146" t="s">
        <v>62</v>
      </c>
      <c r="G146">
        <v>-12.112399999999999</v>
      </c>
      <c r="H146">
        <v>15.872226</v>
      </c>
      <c r="I146" t="s">
        <v>1480</v>
      </c>
      <c r="J146" t="s">
        <v>1490</v>
      </c>
      <c r="K146" t="s">
        <v>61</v>
      </c>
      <c r="L146">
        <v>101</v>
      </c>
      <c r="M146" t="s">
        <v>14</v>
      </c>
      <c r="N146">
        <v>333</v>
      </c>
      <c r="O146">
        <v>74.319999999999993</v>
      </c>
      <c r="P146">
        <v>1</v>
      </c>
      <c r="Q146">
        <f>_26_03_2026_Log_Reseau_v15_7[[#This Row],[Durée cumulée_panne_minu]]/60</f>
        <v>5.55</v>
      </c>
      <c r="R146">
        <f>ROUND(_26_03_2026_Log_Reseau_v15_7[[#This Row],[Durée_cumulée _ panne_en heure]],0)</f>
        <v>6</v>
      </c>
      <c r="S146">
        <f>_26_03_2026_Log_Reseau_v15_7[[#This Row],[Anciennété_mois]]/12</f>
        <v>8.4166666666666661</v>
      </c>
      <c r="T146">
        <f>ROUND(_26_03_2026_Log_Reseau_v15_7[[#This Row],[anciennete_ en année]],0)</f>
        <v>8</v>
      </c>
      <c r="U14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146" s="3">
        <f>ROUND(_26_03_2026_Log_Reseau_v15_7[[#This Row],[remise 10%_70%_45%]],0)</f>
        <v>7</v>
      </c>
      <c r="W146" s="3">
        <f>_26_03_2026_Log_Reseau_v15_7[[#This Row],[Facture mensuelle]]*_26_03_2026_Log_Reseau_v15_7[[#This Row],[remise 10_70_45]]</f>
        <v>520.24</v>
      </c>
    </row>
    <row r="147" spans="1:23" x14ac:dyDescent="0.25">
      <c r="A147" s="1">
        <v>45208</v>
      </c>
      <c r="B147" s="2">
        <v>0.44374999999999998</v>
      </c>
      <c r="C147" t="s">
        <v>830</v>
      </c>
      <c r="D147">
        <v>7</v>
      </c>
      <c r="E147" t="s">
        <v>812</v>
      </c>
      <c r="F147" t="s">
        <v>18</v>
      </c>
      <c r="G147">
        <v>-6.3324319999999998</v>
      </c>
      <c r="H147">
        <v>24.887858000000001</v>
      </c>
      <c r="I147" t="s">
        <v>1480</v>
      </c>
      <c r="J147" t="s">
        <v>1483</v>
      </c>
      <c r="K147" t="s">
        <v>17</v>
      </c>
      <c r="L147">
        <v>44</v>
      </c>
      <c r="M147" t="s">
        <v>19</v>
      </c>
      <c r="N147">
        <v>348</v>
      </c>
      <c r="O147">
        <v>58.67</v>
      </c>
      <c r="P147">
        <v>0</v>
      </c>
      <c r="Q147">
        <f>_26_03_2026_Log_Reseau_v15_7[[#This Row],[Durée cumulée_panne_minu]]/60</f>
        <v>5.8</v>
      </c>
      <c r="R147">
        <f>ROUND(_26_03_2026_Log_Reseau_v15_7[[#This Row],[Durée_cumulée _ panne_en heure]],0)</f>
        <v>6</v>
      </c>
      <c r="S147">
        <f>_26_03_2026_Log_Reseau_v15_7[[#This Row],[Anciennété_mois]]/12</f>
        <v>3.6666666666666665</v>
      </c>
      <c r="T147">
        <f>ROUND(_26_03_2026_Log_Reseau_v15_7[[#This Row],[anciennete_ en année]],0)</f>
        <v>4</v>
      </c>
      <c r="U14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47" s="3">
        <f>ROUND(_26_03_2026_Log_Reseau_v15_7[[#This Row],[remise 10%_70%_45%]],0)</f>
        <v>0</v>
      </c>
      <c r="W147" s="3">
        <f>_26_03_2026_Log_Reseau_v15_7[[#This Row],[Facture mensuelle]]*_26_03_2026_Log_Reseau_v15_7[[#This Row],[remise 10_70_45]]</f>
        <v>0</v>
      </c>
    </row>
    <row r="148" spans="1:23" x14ac:dyDescent="0.25">
      <c r="A148" s="1">
        <v>45208</v>
      </c>
      <c r="B148" s="2">
        <v>0.55833333333333335</v>
      </c>
      <c r="C148" t="s">
        <v>858</v>
      </c>
      <c r="D148">
        <v>44</v>
      </c>
      <c r="E148" t="s">
        <v>812</v>
      </c>
      <c r="F148" t="s">
        <v>33</v>
      </c>
      <c r="G148">
        <v>-8.0800809999999998</v>
      </c>
      <c r="H148">
        <v>30.147970999999998</v>
      </c>
      <c r="I148" t="s">
        <v>1477</v>
      </c>
      <c r="J148" t="s">
        <v>1481</v>
      </c>
      <c r="K148" t="s">
        <v>32</v>
      </c>
      <c r="L148">
        <v>72</v>
      </c>
      <c r="M148" t="s">
        <v>14</v>
      </c>
      <c r="N148">
        <v>160</v>
      </c>
      <c r="O148">
        <v>90.13</v>
      </c>
      <c r="P148">
        <v>2</v>
      </c>
      <c r="Q148">
        <f>_26_03_2026_Log_Reseau_v15_7[[#This Row],[Durée cumulée_panne_minu]]/60</f>
        <v>2.6666666666666665</v>
      </c>
      <c r="R148">
        <f>ROUND(_26_03_2026_Log_Reseau_v15_7[[#This Row],[Durée_cumulée _ panne_en heure]],0)</f>
        <v>3</v>
      </c>
      <c r="S148">
        <f>_26_03_2026_Log_Reseau_v15_7[[#This Row],[Anciennété_mois]]/12</f>
        <v>6</v>
      </c>
      <c r="T148">
        <f>ROUND(_26_03_2026_Log_Reseau_v15_7[[#This Row],[anciennete_ en année]],0)</f>
        <v>6</v>
      </c>
      <c r="U14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148" s="3">
        <f>ROUND(_26_03_2026_Log_Reseau_v15_7[[#This Row],[remise 10%_70%_45%]],0)</f>
        <v>9</v>
      </c>
      <c r="W148" s="3">
        <f>_26_03_2026_Log_Reseau_v15_7[[#This Row],[Facture mensuelle]]*_26_03_2026_Log_Reseau_v15_7[[#This Row],[remise 10_70_45]]</f>
        <v>811.17</v>
      </c>
    </row>
    <row r="149" spans="1:23" x14ac:dyDescent="0.25">
      <c r="A149" s="1">
        <v>45208</v>
      </c>
      <c r="B149" s="2">
        <v>0.16944444444444445</v>
      </c>
      <c r="C149" t="s">
        <v>998</v>
      </c>
      <c r="D149">
        <v>47</v>
      </c>
      <c r="E149" t="s">
        <v>807</v>
      </c>
      <c r="F149" t="s">
        <v>29</v>
      </c>
      <c r="G149">
        <v>-4.351254</v>
      </c>
      <c r="H149">
        <v>30.097408999999999</v>
      </c>
      <c r="I149" t="s">
        <v>1477</v>
      </c>
      <c r="J149" t="s">
        <v>1490</v>
      </c>
      <c r="K149" t="s">
        <v>28</v>
      </c>
      <c r="L149">
        <v>99</v>
      </c>
      <c r="M149" t="s">
        <v>19</v>
      </c>
      <c r="N149">
        <v>369</v>
      </c>
      <c r="O149">
        <v>67.209999999999994</v>
      </c>
      <c r="P149">
        <v>3</v>
      </c>
      <c r="Q149">
        <f>_26_03_2026_Log_Reseau_v15_7[[#This Row],[Durée cumulée_panne_minu]]/60</f>
        <v>6.15</v>
      </c>
      <c r="R149">
        <f>ROUND(_26_03_2026_Log_Reseau_v15_7[[#This Row],[Durée_cumulée _ panne_en heure]],0)</f>
        <v>6</v>
      </c>
      <c r="S149">
        <f>_26_03_2026_Log_Reseau_v15_7[[#This Row],[Anciennété_mois]]/12</f>
        <v>8.25</v>
      </c>
      <c r="T149">
        <f>ROUND(_26_03_2026_Log_Reseau_v15_7[[#This Row],[anciennete_ en année]],0)</f>
        <v>8</v>
      </c>
      <c r="U14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49" s="3">
        <f>ROUND(_26_03_2026_Log_Reseau_v15_7[[#This Row],[remise 10%_70%_45%]],0)</f>
        <v>0</v>
      </c>
      <c r="W149" s="3">
        <f>_26_03_2026_Log_Reseau_v15_7[[#This Row],[Facture mensuelle]]*_26_03_2026_Log_Reseau_v15_7[[#This Row],[remise 10_70_45]]</f>
        <v>0</v>
      </c>
    </row>
    <row r="150" spans="1:23" x14ac:dyDescent="0.25">
      <c r="A150" s="1">
        <v>45208</v>
      </c>
      <c r="B150" s="2">
        <v>7.3611111111111113E-2</v>
      </c>
      <c r="C150" t="s">
        <v>1146</v>
      </c>
      <c r="D150">
        <v>85</v>
      </c>
      <c r="E150" t="s">
        <v>808</v>
      </c>
      <c r="F150" t="s">
        <v>67</v>
      </c>
      <c r="G150">
        <v>-8.4227860000000003</v>
      </c>
      <c r="H150">
        <v>16.781293000000002</v>
      </c>
      <c r="I150" t="s">
        <v>1480</v>
      </c>
      <c r="J150" t="s">
        <v>1481</v>
      </c>
      <c r="K150" t="s">
        <v>66</v>
      </c>
      <c r="L150">
        <v>101</v>
      </c>
      <c r="M150" t="s">
        <v>14</v>
      </c>
      <c r="N150">
        <v>176</v>
      </c>
      <c r="O150">
        <v>86</v>
      </c>
      <c r="P150">
        <v>3</v>
      </c>
      <c r="Q150">
        <f>_26_03_2026_Log_Reseau_v15_7[[#This Row],[Durée cumulée_panne_minu]]/60</f>
        <v>2.9333333333333331</v>
      </c>
      <c r="R150">
        <f>ROUND(_26_03_2026_Log_Reseau_v15_7[[#This Row],[Durée_cumulée _ panne_en heure]],0)</f>
        <v>3</v>
      </c>
      <c r="S150">
        <f>_26_03_2026_Log_Reseau_v15_7[[#This Row],[Anciennété_mois]]/12</f>
        <v>8.4166666666666661</v>
      </c>
      <c r="T150">
        <f>ROUND(_26_03_2026_Log_Reseau_v15_7[[#This Row],[anciennete_ en année]],0)</f>
        <v>8</v>
      </c>
      <c r="U15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150" s="3">
        <f>ROUND(_26_03_2026_Log_Reseau_v15_7[[#This Row],[remise 10%_70%_45%]],0)</f>
        <v>9</v>
      </c>
      <c r="W150" s="3">
        <f>_26_03_2026_Log_Reseau_v15_7[[#This Row],[Facture mensuelle]]*_26_03_2026_Log_Reseau_v15_7[[#This Row],[remise 10_70_45]]</f>
        <v>774</v>
      </c>
    </row>
    <row r="151" spans="1:23" x14ac:dyDescent="0.25">
      <c r="A151" s="1">
        <v>45208</v>
      </c>
      <c r="B151" s="2">
        <v>0.96180555555555558</v>
      </c>
      <c r="C151" t="s">
        <v>1188</v>
      </c>
      <c r="D151">
        <v>68</v>
      </c>
      <c r="E151" t="s">
        <v>807</v>
      </c>
      <c r="F151" t="s">
        <v>26</v>
      </c>
      <c r="G151">
        <v>-2.3269820000000001</v>
      </c>
      <c r="H151">
        <v>14.609259</v>
      </c>
      <c r="I151" t="s">
        <v>1482</v>
      </c>
      <c r="J151" t="s">
        <v>1490</v>
      </c>
      <c r="K151" t="s">
        <v>25</v>
      </c>
      <c r="L151">
        <v>99</v>
      </c>
      <c r="M151" t="s">
        <v>11</v>
      </c>
      <c r="N151">
        <v>447</v>
      </c>
      <c r="O151">
        <v>38.1</v>
      </c>
      <c r="P151">
        <v>3</v>
      </c>
      <c r="Q151">
        <f>_26_03_2026_Log_Reseau_v15_7[[#This Row],[Durée cumulée_panne_minu]]/60</f>
        <v>7.45</v>
      </c>
      <c r="R151">
        <f>ROUND(_26_03_2026_Log_Reseau_v15_7[[#This Row],[Durée_cumulée _ panne_en heure]],0)</f>
        <v>7</v>
      </c>
      <c r="S151">
        <f>_26_03_2026_Log_Reseau_v15_7[[#This Row],[Anciennété_mois]]/12</f>
        <v>8.25</v>
      </c>
      <c r="T151">
        <f>ROUND(_26_03_2026_Log_Reseau_v15_7[[#This Row],[anciennete_ en année]],0)</f>
        <v>8</v>
      </c>
      <c r="U15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51" s="3">
        <f>ROUND(_26_03_2026_Log_Reseau_v15_7[[#This Row],[remise 10%_70%_45%]],0)</f>
        <v>0</v>
      </c>
      <c r="W151" s="3">
        <f>_26_03_2026_Log_Reseau_v15_7[[#This Row],[Facture mensuelle]]*_26_03_2026_Log_Reseau_v15_7[[#This Row],[remise 10_70_45]]</f>
        <v>0</v>
      </c>
    </row>
    <row r="152" spans="1:23" x14ac:dyDescent="0.25">
      <c r="A152" s="1">
        <v>45208</v>
      </c>
      <c r="B152" s="2">
        <v>0.10833333333333334</v>
      </c>
      <c r="C152" t="s">
        <v>1198</v>
      </c>
      <c r="D152">
        <v>102</v>
      </c>
      <c r="E152" t="s">
        <v>808</v>
      </c>
      <c r="F152" t="s">
        <v>21</v>
      </c>
      <c r="G152">
        <v>-1.4700059999999999</v>
      </c>
      <c r="H152">
        <v>18.680958</v>
      </c>
      <c r="I152" t="s">
        <v>1482</v>
      </c>
      <c r="J152" t="s">
        <v>1481</v>
      </c>
      <c r="K152" t="s">
        <v>20</v>
      </c>
      <c r="L152">
        <v>101</v>
      </c>
      <c r="M152" t="s">
        <v>22</v>
      </c>
      <c r="N152">
        <v>358</v>
      </c>
      <c r="O152">
        <v>29.24</v>
      </c>
      <c r="P152">
        <v>3</v>
      </c>
      <c r="Q152">
        <f>_26_03_2026_Log_Reseau_v15_7[[#This Row],[Durée cumulée_panne_minu]]/60</f>
        <v>5.9666666666666668</v>
      </c>
      <c r="R152">
        <f>ROUND(_26_03_2026_Log_Reseau_v15_7[[#This Row],[Durée_cumulée _ panne_en heure]],0)</f>
        <v>6</v>
      </c>
      <c r="S152">
        <f>_26_03_2026_Log_Reseau_v15_7[[#This Row],[Anciennété_mois]]/12</f>
        <v>8.4166666666666661</v>
      </c>
      <c r="T152">
        <f>ROUND(_26_03_2026_Log_Reseau_v15_7[[#This Row],[anciennete_ en année]],0)</f>
        <v>8</v>
      </c>
      <c r="U15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52" s="3">
        <f>ROUND(_26_03_2026_Log_Reseau_v15_7[[#This Row],[remise 10%_70%_45%]],0)</f>
        <v>0</v>
      </c>
      <c r="W152" s="3">
        <f>_26_03_2026_Log_Reseau_v15_7[[#This Row],[Facture mensuelle]]*_26_03_2026_Log_Reseau_v15_7[[#This Row],[remise 10_70_45]]</f>
        <v>0</v>
      </c>
    </row>
    <row r="153" spans="1:23" x14ac:dyDescent="0.25">
      <c r="A153" s="1">
        <v>45208</v>
      </c>
      <c r="B153" s="2">
        <v>0.27916666666666667</v>
      </c>
      <c r="C153" t="s">
        <v>1207</v>
      </c>
      <c r="D153">
        <v>41</v>
      </c>
      <c r="E153" t="s">
        <v>808</v>
      </c>
      <c r="F153" t="s">
        <v>89</v>
      </c>
      <c r="G153">
        <v>-9.3066320000000005</v>
      </c>
      <c r="H153">
        <v>20.470889</v>
      </c>
      <c r="I153" t="s">
        <v>1477</v>
      </c>
      <c r="J153" t="s">
        <v>1483</v>
      </c>
      <c r="K153" t="s">
        <v>88</v>
      </c>
      <c r="L153">
        <v>98</v>
      </c>
      <c r="M153" t="s">
        <v>14</v>
      </c>
      <c r="N153">
        <v>482</v>
      </c>
      <c r="O153">
        <v>55.04</v>
      </c>
      <c r="P153">
        <v>5</v>
      </c>
      <c r="Q153">
        <f>_26_03_2026_Log_Reseau_v15_7[[#This Row],[Durée cumulée_panne_minu]]/60</f>
        <v>8.0333333333333332</v>
      </c>
      <c r="R153">
        <f>ROUND(_26_03_2026_Log_Reseau_v15_7[[#This Row],[Durée_cumulée _ panne_en heure]],0)</f>
        <v>8</v>
      </c>
      <c r="S153">
        <f>_26_03_2026_Log_Reseau_v15_7[[#This Row],[Anciennété_mois]]/12</f>
        <v>8.1666666666666661</v>
      </c>
      <c r="T153">
        <f>ROUND(_26_03_2026_Log_Reseau_v15_7[[#This Row],[anciennete_ en année]],0)</f>
        <v>8</v>
      </c>
      <c r="U15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153" s="3">
        <f>ROUND(_26_03_2026_Log_Reseau_v15_7[[#This Row],[remise 10%_70%_45%]],0)</f>
        <v>6</v>
      </c>
      <c r="W153" s="3">
        <f>_26_03_2026_Log_Reseau_v15_7[[#This Row],[Facture mensuelle]]*_26_03_2026_Log_Reseau_v15_7[[#This Row],[remise 10_70_45]]</f>
        <v>330.24</v>
      </c>
    </row>
    <row r="154" spans="1:23" x14ac:dyDescent="0.25">
      <c r="A154" s="1">
        <v>45208</v>
      </c>
      <c r="B154" s="2">
        <v>0.95763888888888893</v>
      </c>
      <c r="C154" t="s">
        <v>1218</v>
      </c>
      <c r="D154">
        <v>115</v>
      </c>
      <c r="E154" t="s">
        <v>807</v>
      </c>
      <c r="F154" t="s">
        <v>73</v>
      </c>
      <c r="G154">
        <v>-6.1837850000000003</v>
      </c>
      <c r="H154">
        <v>25.138759</v>
      </c>
      <c r="I154" t="s">
        <v>1482</v>
      </c>
      <c r="J154" t="s">
        <v>1478</v>
      </c>
      <c r="K154" t="s">
        <v>72</v>
      </c>
      <c r="L154">
        <v>6</v>
      </c>
      <c r="M154" t="s">
        <v>11</v>
      </c>
      <c r="N154">
        <v>207</v>
      </c>
      <c r="O154">
        <v>61.55</v>
      </c>
      <c r="P154">
        <v>0</v>
      </c>
      <c r="Q154">
        <f>_26_03_2026_Log_Reseau_v15_7[[#This Row],[Durée cumulée_panne_minu]]/60</f>
        <v>3.45</v>
      </c>
      <c r="R154">
        <f>ROUND(_26_03_2026_Log_Reseau_v15_7[[#This Row],[Durée_cumulée _ panne_en heure]],0)</f>
        <v>3</v>
      </c>
      <c r="S154">
        <f>_26_03_2026_Log_Reseau_v15_7[[#This Row],[Anciennété_mois]]/12</f>
        <v>0.5</v>
      </c>
      <c r="T154">
        <f>ROUND(_26_03_2026_Log_Reseau_v15_7[[#This Row],[anciennete_ en année]],0)</f>
        <v>1</v>
      </c>
      <c r="U15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54" s="3">
        <f>ROUND(_26_03_2026_Log_Reseau_v15_7[[#This Row],[remise 10%_70%_45%]],0)</f>
        <v>0</v>
      </c>
      <c r="W154" s="3">
        <f>_26_03_2026_Log_Reseau_v15_7[[#This Row],[Facture mensuelle]]*_26_03_2026_Log_Reseau_v15_7[[#This Row],[remise 10_70_45]]</f>
        <v>0</v>
      </c>
    </row>
    <row r="155" spans="1:23" x14ac:dyDescent="0.25">
      <c r="A155" s="1">
        <v>45208</v>
      </c>
      <c r="B155" s="2">
        <v>0.95902777777777781</v>
      </c>
      <c r="C155" t="s">
        <v>1243</v>
      </c>
      <c r="D155">
        <v>98</v>
      </c>
      <c r="E155" t="s">
        <v>812</v>
      </c>
      <c r="F155" t="s">
        <v>131</v>
      </c>
      <c r="G155">
        <v>0.82868600000000003</v>
      </c>
      <c r="H155">
        <v>26.958843999999999</v>
      </c>
      <c r="I155" t="s">
        <v>1477</v>
      </c>
      <c r="J155" t="s">
        <v>1483</v>
      </c>
      <c r="K155" t="s">
        <v>130</v>
      </c>
      <c r="L155">
        <v>16</v>
      </c>
      <c r="M155" t="s">
        <v>19</v>
      </c>
      <c r="N155">
        <v>390</v>
      </c>
      <c r="O155">
        <v>98.17</v>
      </c>
      <c r="P155">
        <v>5</v>
      </c>
      <c r="Q155">
        <f>_26_03_2026_Log_Reseau_v15_7[[#This Row],[Durée cumulée_panne_minu]]/60</f>
        <v>6.5</v>
      </c>
      <c r="R155">
        <f>ROUND(_26_03_2026_Log_Reseau_v15_7[[#This Row],[Durée_cumulée _ panne_en heure]],0)</f>
        <v>7</v>
      </c>
      <c r="S155">
        <f>_26_03_2026_Log_Reseau_v15_7[[#This Row],[Anciennété_mois]]/12</f>
        <v>1.3333333333333333</v>
      </c>
      <c r="T155">
        <f>ROUND(_26_03_2026_Log_Reseau_v15_7[[#This Row],[anciennete_ en année]],0)</f>
        <v>1</v>
      </c>
      <c r="U15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55" s="3">
        <f>ROUND(_26_03_2026_Log_Reseau_v15_7[[#This Row],[remise 10%_70%_45%]],0)</f>
        <v>0</v>
      </c>
      <c r="W155" s="3">
        <f>_26_03_2026_Log_Reseau_v15_7[[#This Row],[Facture mensuelle]]*_26_03_2026_Log_Reseau_v15_7[[#This Row],[remise 10_70_45]]</f>
        <v>0</v>
      </c>
    </row>
    <row r="156" spans="1:23" x14ac:dyDescent="0.25">
      <c r="A156" s="1">
        <v>45208</v>
      </c>
      <c r="B156" s="2">
        <v>7.2916666666666671E-2</v>
      </c>
      <c r="C156" t="s">
        <v>1357</v>
      </c>
      <c r="D156">
        <v>68</v>
      </c>
      <c r="E156" t="s">
        <v>807</v>
      </c>
      <c r="F156" t="s">
        <v>131</v>
      </c>
      <c r="G156">
        <v>1.017161</v>
      </c>
      <c r="H156">
        <v>16.519689</v>
      </c>
      <c r="I156" t="s">
        <v>1482</v>
      </c>
      <c r="J156" t="s">
        <v>1490</v>
      </c>
      <c r="K156" t="s">
        <v>130</v>
      </c>
      <c r="L156">
        <v>16</v>
      </c>
      <c r="M156" t="s">
        <v>19</v>
      </c>
      <c r="N156">
        <v>390</v>
      </c>
      <c r="O156">
        <v>98.17</v>
      </c>
      <c r="P156">
        <v>5</v>
      </c>
      <c r="Q156">
        <f>_26_03_2026_Log_Reseau_v15_7[[#This Row],[Durée cumulée_panne_minu]]/60</f>
        <v>6.5</v>
      </c>
      <c r="R156">
        <f>ROUND(_26_03_2026_Log_Reseau_v15_7[[#This Row],[Durée_cumulée _ panne_en heure]],0)</f>
        <v>7</v>
      </c>
      <c r="S156">
        <f>_26_03_2026_Log_Reseau_v15_7[[#This Row],[Anciennété_mois]]/12</f>
        <v>1.3333333333333333</v>
      </c>
      <c r="T156">
        <f>ROUND(_26_03_2026_Log_Reseau_v15_7[[#This Row],[anciennete_ en année]],0)</f>
        <v>1</v>
      </c>
      <c r="U15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56" s="3">
        <f>ROUND(_26_03_2026_Log_Reseau_v15_7[[#This Row],[remise 10%_70%_45%]],0)</f>
        <v>0</v>
      </c>
      <c r="W156" s="3">
        <f>_26_03_2026_Log_Reseau_v15_7[[#This Row],[Facture mensuelle]]*_26_03_2026_Log_Reseau_v15_7[[#This Row],[remise 10_70_45]]</f>
        <v>0</v>
      </c>
    </row>
    <row r="157" spans="1:23" x14ac:dyDescent="0.25">
      <c r="A157" s="1">
        <v>45208</v>
      </c>
      <c r="B157" s="2">
        <v>0.52847222222222223</v>
      </c>
      <c r="C157" t="s">
        <v>1363</v>
      </c>
      <c r="D157">
        <v>33</v>
      </c>
      <c r="E157" t="s">
        <v>808</v>
      </c>
      <c r="F157" t="s">
        <v>137</v>
      </c>
      <c r="G157">
        <v>-10.872631999999999</v>
      </c>
      <c r="H157">
        <v>12.773279</v>
      </c>
      <c r="I157" t="s">
        <v>1482</v>
      </c>
      <c r="J157" t="s">
        <v>1483</v>
      </c>
      <c r="K157" t="s">
        <v>136</v>
      </c>
      <c r="L157">
        <v>80</v>
      </c>
      <c r="M157" t="s">
        <v>22</v>
      </c>
      <c r="N157">
        <v>155</v>
      </c>
      <c r="O157">
        <v>28.96</v>
      </c>
      <c r="P157">
        <v>2</v>
      </c>
      <c r="Q157">
        <f>_26_03_2026_Log_Reseau_v15_7[[#This Row],[Durée cumulée_panne_minu]]/60</f>
        <v>2.5833333333333335</v>
      </c>
      <c r="R157">
        <f>ROUND(_26_03_2026_Log_Reseau_v15_7[[#This Row],[Durée_cumulée _ panne_en heure]],0)</f>
        <v>3</v>
      </c>
      <c r="S157">
        <f>_26_03_2026_Log_Reseau_v15_7[[#This Row],[Anciennété_mois]]/12</f>
        <v>6.666666666666667</v>
      </c>
      <c r="T157">
        <f>ROUND(_26_03_2026_Log_Reseau_v15_7[[#This Row],[anciennete_ en année]],0)</f>
        <v>7</v>
      </c>
      <c r="U15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57" s="3">
        <f>ROUND(_26_03_2026_Log_Reseau_v15_7[[#This Row],[remise 10%_70%_45%]],0)</f>
        <v>0</v>
      </c>
      <c r="W157" s="3">
        <f>_26_03_2026_Log_Reseau_v15_7[[#This Row],[Facture mensuelle]]*_26_03_2026_Log_Reseau_v15_7[[#This Row],[remise 10_70_45]]</f>
        <v>0</v>
      </c>
    </row>
    <row r="158" spans="1:23" x14ac:dyDescent="0.25">
      <c r="A158" s="1">
        <v>45208</v>
      </c>
      <c r="B158" s="2">
        <v>0.86388888888888893</v>
      </c>
      <c r="C158" t="s">
        <v>1432</v>
      </c>
      <c r="D158">
        <v>92</v>
      </c>
      <c r="E158" t="s">
        <v>807</v>
      </c>
      <c r="F158" t="s">
        <v>51</v>
      </c>
      <c r="G158">
        <v>-0.77432100000000004</v>
      </c>
      <c r="H158">
        <v>18.628658999999999</v>
      </c>
      <c r="I158" t="s">
        <v>1480</v>
      </c>
      <c r="J158" t="s">
        <v>1481</v>
      </c>
      <c r="K158" t="s">
        <v>50</v>
      </c>
      <c r="L158">
        <v>119</v>
      </c>
      <c r="M158" t="s">
        <v>22</v>
      </c>
      <c r="N158">
        <v>228</v>
      </c>
      <c r="O158">
        <v>94.72</v>
      </c>
      <c r="P158">
        <v>3</v>
      </c>
      <c r="Q158">
        <f>_26_03_2026_Log_Reseau_v15_7[[#This Row],[Durée cumulée_panne_minu]]/60</f>
        <v>3.8</v>
      </c>
      <c r="R158">
        <f>ROUND(_26_03_2026_Log_Reseau_v15_7[[#This Row],[Durée_cumulée _ panne_en heure]],0)</f>
        <v>4</v>
      </c>
      <c r="S158">
        <f>_26_03_2026_Log_Reseau_v15_7[[#This Row],[Anciennété_mois]]/12</f>
        <v>9.9166666666666661</v>
      </c>
      <c r="T158">
        <f>ROUND(_26_03_2026_Log_Reseau_v15_7[[#This Row],[anciennete_ en année]],0)</f>
        <v>10</v>
      </c>
      <c r="U15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58" s="3">
        <f>ROUND(_26_03_2026_Log_Reseau_v15_7[[#This Row],[remise 10%_70%_45%]],0)</f>
        <v>0</v>
      </c>
      <c r="W158" s="3">
        <f>_26_03_2026_Log_Reseau_v15_7[[#This Row],[Facture mensuelle]]*_26_03_2026_Log_Reseau_v15_7[[#This Row],[remise 10_70_45]]</f>
        <v>0</v>
      </c>
    </row>
    <row r="159" spans="1:23" x14ac:dyDescent="0.25">
      <c r="A159" s="1">
        <v>45209</v>
      </c>
      <c r="B159" s="2">
        <v>0.55833333333333335</v>
      </c>
      <c r="C159" t="s">
        <v>856</v>
      </c>
      <c r="D159">
        <v>66</v>
      </c>
      <c r="E159" t="s">
        <v>808</v>
      </c>
      <c r="F159" t="s">
        <v>10</v>
      </c>
      <c r="G159">
        <v>-12.595355</v>
      </c>
      <c r="H159">
        <v>17.897442000000002</v>
      </c>
      <c r="I159" t="s">
        <v>1480</v>
      </c>
      <c r="J159" t="s">
        <v>1481</v>
      </c>
      <c r="K159" t="s">
        <v>9</v>
      </c>
      <c r="L159">
        <v>29</v>
      </c>
      <c r="M159" t="s">
        <v>11</v>
      </c>
      <c r="N159">
        <v>214</v>
      </c>
      <c r="O159">
        <v>74.7</v>
      </c>
      <c r="P159">
        <v>3</v>
      </c>
      <c r="Q159">
        <f>_26_03_2026_Log_Reseau_v15_7[[#This Row],[Durée cumulée_panne_minu]]/60</f>
        <v>3.5666666666666669</v>
      </c>
      <c r="R159">
        <f>ROUND(_26_03_2026_Log_Reseau_v15_7[[#This Row],[Durée_cumulée _ panne_en heure]],0)</f>
        <v>4</v>
      </c>
      <c r="S159">
        <f>_26_03_2026_Log_Reseau_v15_7[[#This Row],[Anciennété_mois]]/12</f>
        <v>2.4166666666666665</v>
      </c>
      <c r="T159">
        <f>ROUND(_26_03_2026_Log_Reseau_v15_7[[#This Row],[anciennete_ en année]],0)</f>
        <v>2</v>
      </c>
      <c r="U15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59" s="3">
        <f>ROUND(_26_03_2026_Log_Reseau_v15_7[[#This Row],[remise 10%_70%_45%]],0)</f>
        <v>0</v>
      </c>
      <c r="W159" s="3">
        <f>_26_03_2026_Log_Reseau_v15_7[[#This Row],[Facture mensuelle]]*_26_03_2026_Log_Reseau_v15_7[[#This Row],[remise 10_70_45]]</f>
        <v>0</v>
      </c>
    </row>
    <row r="160" spans="1:23" x14ac:dyDescent="0.25">
      <c r="A160" s="1">
        <v>45209</v>
      </c>
      <c r="B160" s="2">
        <v>0.21527777777777779</v>
      </c>
      <c r="C160" t="s">
        <v>923</v>
      </c>
      <c r="D160">
        <v>23</v>
      </c>
      <c r="E160" t="s">
        <v>812</v>
      </c>
      <c r="F160" t="s">
        <v>64</v>
      </c>
      <c r="G160">
        <v>-11.389362</v>
      </c>
      <c r="H160">
        <v>22.240174</v>
      </c>
      <c r="I160" t="s">
        <v>1477</v>
      </c>
      <c r="J160" t="s">
        <v>1483</v>
      </c>
      <c r="K160" t="s">
        <v>63</v>
      </c>
      <c r="L160">
        <v>79</v>
      </c>
      <c r="M160" t="s">
        <v>11</v>
      </c>
      <c r="N160">
        <v>226</v>
      </c>
      <c r="O160">
        <v>94.38</v>
      </c>
      <c r="P160">
        <v>3</v>
      </c>
      <c r="Q160">
        <f>_26_03_2026_Log_Reseau_v15_7[[#This Row],[Durée cumulée_panne_minu]]/60</f>
        <v>3.7666666666666666</v>
      </c>
      <c r="R160">
        <f>ROUND(_26_03_2026_Log_Reseau_v15_7[[#This Row],[Durée_cumulée _ panne_en heure]],0)</f>
        <v>4</v>
      </c>
      <c r="S160">
        <f>_26_03_2026_Log_Reseau_v15_7[[#This Row],[Anciennété_mois]]/12</f>
        <v>6.583333333333333</v>
      </c>
      <c r="T160">
        <f>ROUND(_26_03_2026_Log_Reseau_v15_7[[#This Row],[anciennete_ en année]],0)</f>
        <v>7</v>
      </c>
      <c r="U16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60" s="3">
        <f>ROUND(_26_03_2026_Log_Reseau_v15_7[[#This Row],[remise 10%_70%_45%]],0)</f>
        <v>0</v>
      </c>
      <c r="W160" s="3">
        <f>_26_03_2026_Log_Reseau_v15_7[[#This Row],[Facture mensuelle]]*_26_03_2026_Log_Reseau_v15_7[[#This Row],[remise 10_70_45]]</f>
        <v>0</v>
      </c>
    </row>
    <row r="161" spans="1:23" x14ac:dyDescent="0.25">
      <c r="A161" s="1">
        <v>45209</v>
      </c>
      <c r="B161" s="2">
        <v>0.36527777777777776</v>
      </c>
      <c r="C161" t="s">
        <v>943</v>
      </c>
      <c r="D161">
        <v>120</v>
      </c>
      <c r="E161" t="s">
        <v>807</v>
      </c>
      <c r="F161" t="s">
        <v>35</v>
      </c>
      <c r="G161">
        <v>-1.4110389999999999</v>
      </c>
      <c r="H161">
        <v>21.261644</v>
      </c>
      <c r="I161" t="s">
        <v>1480</v>
      </c>
      <c r="J161" t="s">
        <v>1483</v>
      </c>
      <c r="K161" t="s">
        <v>34</v>
      </c>
      <c r="L161">
        <v>35</v>
      </c>
      <c r="M161" t="s">
        <v>14</v>
      </c>
      <c r="N161">
        <v>465</v>
      </c>
      <c r="O161">
        <v>58.59</v>
      </c>
      <c r="P161">
        <v>5</v>
      </c>
      <c r="Q161">
        <f>_26_03_2026_Log_Reseau_v15_7[[#This Row],[Durée cumulée_panne_minu]]/60</f>
        <v>7.75</v>
      </c>
      <c r="R161">
        <f>ROUND(_26_03_2026_Log_Reseau_v15_7[[#This Row],[Durée_cumulée _ panne_en heure]],0)</f>
        <v>8</v>
      </c>
      <c r="S161">
        <f>_26_03_2026_Log_Reseau_v15_7[[#This Row],[Anciennété_mois]]/12</f>
        <v>2.9166666666666665</v>
      </c>
      <c r="T161">
        <f>ROUND(_26_03_2026_Log_Reseau_v15_7[[#This Row],[anciennete_ en année]],0)</f>
        <v>3</v>
      </c>
      <c r="U16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161" s="3">
        <f>ROUND(_26_03_2026_Log_Reseau_v15_7[[#This Row],[remise 10%_70%_45%]],0)</f>
        <v>6</v>
      </c>
      <c r="W161" s="3">
        <f>_26_03_2026_Log_Reseau_v15_7[[#This Row],[Facture mensuelle]]*_26_03_2026_Log_Reseau_v15_7[[#This Row],[remise 10_70_45]]</f>
        <v>351.54</v>
      </c>
    </row>
    <row r="162" spans="1:23" x14ac:dyDescent="0.25">
      <c r="A162" s="1">
        <v>45209</v>
      </c>
      <c r="B162" s="2">
        <v>0.93888888888888888</v>
      </c>
      <c r="C162" t="s">
        <v>989</v>
      </c>
      <c r="D162">
        <v>37</v>
      </c>
      <c r="E162" t="s">
        <v>808</v>
      </c>
      <c r="F162" t="s">
        <v>24</v>
      </c>
      <c r="G162">
        <v>-5.5445120000000001</v>
      </c>
      <c r="H162">
        <v>27.547335</v>
      </c>
      <c r="I162" t="s">
        <v>1480</v>
      </c>
      <c r="J162" t="s">
        <v>1478</v>
      </c>
      <c r="K162" t="s">
        <v>23</v>
      </c>
      <c r="L162">
        <v>46</v>
      </c>
      <c r="M162" t="s">
        <v>11</v>
      </c>
      <c r="N162">
        <v>283</v>
      </c>
      <c r="O162">
        <v>56.05</v>
      </c>
      <c r="P162">
        <v>1</v>
      </c>
      <c r="Q162">
        <f>_26_03_2026_Log_Reseau_v15_7[[#This Row],[Durée cumulée_panne_minu]]/60</f>
        <v>4.7166666666666668</v>
      </c>
      <c r="R162">
        <f>ROUND(_26_03_2026_Log_Reseau_v15_7[[#This Row],[Durée_cumulée _ panne_en heure]],0)</f>
        <v>5</v>
      </c>
      <c r="S162">
        <f>_26_03_2026_Log_Reseau_v15_7[[#This Row],[Anciennété_mois]]/12</f>
        <v>3.8333333333333335</v>
      </c>
      <c r="T162">
        <f>ROUND(_26_03_2026_Log_Reseau_v15_7[[#This Row],[anciennete_ en année]],0)</f>
        <v>4</v>
      </c>
      <c r="U16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62" s="3">
        <f>ROUND(_26_03_2026_Log_Reseau_v15_7[[#This Row],[remise 10%_70%_45%]],0)</f>
        <v>0</v>
      </c>
      <c r="W162" s="3">
        <f>_26_03_2026_Log_Reseau_v15_7[[#This Row],[Facture mensuelle]]*_26_03_2026_Log_Reseau_v15_7[[#This Row],[remise 10_70_45]]</f>
        <v>0</v>
      </c>
    </row>
    <row r="163" spans="1:23" x14ac:dyDescent="0.25">
      <c r="A163" s="1">
        <v>45209</v>
      </c>
      <c r="B163" s="2">
        <v>0.91388888888888886</v>
      </c>
      <c r="C163" t="s">
        <v>995</v>
      </c>
      <c r="D163">
        <v>111</v>
      </c>
      <c r="E163" t="s">
        <v>812</v>
      </c>
      <c r="F163" t="s">
        <v>26</v>
      </c>
      <c r="G163">
        <v>-6.4197189999999997</v>
      </c>
      <c r="H163">
        <v>22.287264</v>
      </c>
      <c r="I163" t="s">
        <v>1482</v>
      </c>
      <c r="J163" t="s">
        <v>1478</v>
      </c>
      <c r="K163" t="s">
        <v>25</v>
      </c>
      <c r="L163">
        <v>99</v>
      </c>
      <c r="M163" t="s">
        <v>11</v>
      </c>
      <c r="N163">
        <v>447</v>
      </c>
      <c r="O163">
        <v>38.1</v>
      </c>
      <c r="P163">
        <v>3</v>
      </c>
      <c r="Q163">
        <f>_26_03_2026_Log_Reseau_v15_7[[#This Row],[Durée cumulée_panne_minu]]/60</f>
        <v>7.45</v>
      </c>
      <c r="R163">
        <f>ROUND(_26_03_2026_Log_Reseau_v15_7[[#This Row],[Durée_cumulée _ panne_en heure]],0)</f>
        <v>7</v>
      </c>
      <c r="S163">
        <f>_26_03_2026_Log_Reseau_v15_7[[#This Row],[Anciennété_mois]]/12</f>
        <v>8.25</v>
      </c>
      <c r="T163">
        <f>ROUND(_26_03_2026_Log_Reseau_v15_7[[#This Row],[anciennete_ en année]],0)</f>
        <v>8</v>
      </c>
      <c r="U16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63" s="3">
        <f>ROUND(_26_03_2026_Log_Reseau_v15_7[[#This Row],[remise 10%_70%_45%]],0)</f>
        <v>0</v>
      </c>
      <c r="W163" s="3">
        <f>_26_03_2026_Log_Reseau_v15_7[[#This Row],[Facture mensuelle]]*_26_03_2026_Log_Reseau_v15_7[[#This Row],[remise 10_70_45]]</f>
        <v>0</v>
      </c>
    </row>
    <row r="164" spans="1:23" x14ac:dyDescent="0.25">
      <c r="A164" s="1">
        <v>45209</v>
      </c>
      <c r="B164" s="2">
        <v>0.77708333333333335</v>
      </c>
      <c r="C164" t="s">
        <v>1080</v>
      </c>
      <c r="D164">
        <v>40</v>
      </c>
      <c r="E164" t="s">
        <v>812</v>
      </c>
      <c r="F164" t="s">
        <v>137</v>
      </c>
      <c r="G164">
        <v>-9.5243310000000001</v>
      </c>
      <c r="H164">
        <v>30.541212000000002</v>
      </c>
      <c r="I164" t="s">
        <v>1482</v>
      </c>
      <c r="J164" t="s">
        <v>1478</v>
      </c>
      <c r="K164" t="s">
        <v>136</v>
      </c>
      <c r="L164">
        <v>80</v>
      </c>
      <c r="M164" t="s">
        <v>22</v>
      </c>
      <c r="N164">
        <v>155</v>
      </c>
      <c r="O164">
        <v>28.96</v>
      </c>
      <c r="P164">
        <v>2</v>
      </c>
      <c r="Q164">
        <f>_26_03_2026_Log_Reseau_v15_7[[#This Row],[Durée cumulée_panne_minu]]/60</f>
        <v>2.5833333333333335</v>
      </c>
      <c r="R164">
        <f>ROUND(_26_03_2026_Log_Reseau_v15_7[[#This Row],[Durée_cumulée _ panne_en heure]],0)</f>
        <v>3</v>
      </c>
      <c r="S164">
        <f>_26_03_2026_Log_Reseau_v15_7[[#This Row],[Anciennété_mois]]/12</f>
        <v>6.666666666666667</v>
      </c>
      <c r="T164">
        <f>ROUND(_26_03_2026_Log_Reseau_v15_7[[#This Row],[anciennete_ en année]],0)</f>
        <v>7</v>
      </c>
      <c r="U16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64" s="3">
        <f>ROUND(_26_03_2026_Log_Reseau_v15_7[[#This Row],[remise 10%_70%_45%]],0)</f>
        <v>0</v>
      </c>
      <c r="W164" s="3">
        <f>_26_03_2026_Log_Reseau_v15_7[[#This Row],[Facture mensuelle]]*_26_03_2026_Log_Reseau_v15_7[[#This Row],[remise 10_70_45]]</f>
        <v>0</v>
      </c>
    </row>
    <row r="165" spans="1:23" x14ac:dyDescent="0.25">
      <c r="A165" s="1">
        <v>45209</v>
      </c>
      <c r="B165" s="2">
        <v>0.32708333333333334</v>
      </c>
      <c r="C165" t="s">
        <v>1099</v>
      </c>
      <c r="D165">
        <v>107</v>
      </c>
      <c r="E165" t="s">
        <v>808</v>
      </c>
      <c r="F165" t="s">
        <v>60</v>
      </c>
      <c r="G165">
        <v>-5.0402180000000003</v>
      </c>
      <c r="H165">
        <v>13.892471</v>
      </c>
      <c r="I165" t="s">
        <v>1482</v>
      </c>
      <c r="J165" t="s">
        <v>1483</v>
      </c>
      <c r="K165" t="s">
        <v>59</v>
      </c>
      <c r="L165">
        <v>14</v>
      </c>
      <c r="M165" t="s">
        <v>14</v>
      </c>
      <c r="N165">
        <v>316</v>
      </c>
      <c r="O165">
        <v>62.34</v>
      </c>
      <c r="P165">
        <v>4</v>
      </c>
      <c r="Q165">
        <f>_26_03_2026_Log_Reseau_v15_7[[#This Row],[Durée cumulée_panne_minu]]/60</f>
        <v>5.2666666666666666</v>
      </c>
      <c r="R165">
        <f>ROUND(_26_03_2026_Log_Reseau_v15_7[[#This Row],[Durée_cumulée _ panne_en heure]],0)</f>
        <v>5</v>
      </c>
      <c r="S165">
        <f>_26_03_2026_Log_Reseau_v15_7[[#This Row],[Anciennété_mois]]/12</f>
        <v>1.1666666666666667</v>
      </c>
      <c r="T165">
        <f>ROUND(_26_03_2026_Log_Reseau_v15_7[[#This Row],[anciennete_ en année]],0)</f>
        <v>1</v>
      </c>
      <c r="U16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165" s="3">
        <f>ROUND(_26_03_2026_Log_Reseau_v15_7[[#This Row],[remise 10%_70%_45%]],0)</f>
        <v>6</v>
      </c>
      <c r="W165" s="3">
        <f>_26_03_2026_Log_Reseau_v15_7[[#This Row],[Facture mensuelle]]*_26_03_2026_Log_Reseau_v15_7[[#This Row],[remise 10_70_45]]</f>
        <v>374.04</v>
      </c>
    </row>
    <row r="166" spans="1:23" x14ac:dyDescent="0.25">
      <c r="A166" s="1">
        <v>45209</v>
      </c>
      <c r="B166" s="2">
        <v>0.98888888888888893</v>
      </c>
      <c r="C166" t="s">
        <v>1194</v>
      </c>
      <c r="D166">
        <v>51</v>
      </c>
      <c r="E166" t="s">
        <v>808</v>
      </c>
      <c r="F166" t="s">
        <v>60</v>
      </c>
      <c r="G166">
        <v>-6.1490739999999997</v>
      </c>
      <c r="H166">
        <v>23.304411000000002</v>
      </c>
      <c r="I166" t="s">
        <v>1477</v>
      </c>
      <c r="J166" t="s">
        <v>1483</v>
      </c>
      <c r="K166" t="s">
        <v>59</v>
      </c>
      <c r="L166">
        <v>14</v>
      </c>
      <c r="M166" t="s">
        <v>14</v>
      </c>
      <c r="N166">
        <v>316</v>
      </c>
      <c r="O166">
        <v>62.34</v>
      </c>
      <c r="P166">
        <v>4</v>
      </c>
      <c r="Q166">
        <f>_26_03_2026_Log_Reseau_v15_7[[#This Row],[Durée cumulée_panne_minu]]/60</f>
        <v>5.2666666666666666</v>
      </c>
      <c r="R166">
        <f>ROUND(_26_03_2026_Log_Reseau_v15_7[[#This Row],[Durée_cumulée _ panne_en heure]],0)</f>
        <v>5</v>
      </c>
      <c r="S166">
        <f>_26_03_2026_Log_Reseau_v15_7[[#This Row],[Anciennété_mois]]/12</f>
        <v>1.1666666666666667</v>
      </c>
      <c r="T166">
        <f>ROUND(_26_03_2026_Log_Reseau_v15_7[[#This Row],[anciennete_ en année]],0)</f>
        <v>1</v>
      </c>
      <c r="U16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166" s="3">
        <f>ROUND(_26_03_2026_Log_Reseau_v15_7[[#This Row],[remise 10%_70%_45%]],0)</f>
        <v>6</v>
      </c>
      <c r="W166" s="3">
        <f>_26_03_2026_Log_Reseau_v15_7[[#This Row],[Facture mensuelle]]*_26_03_2026_Log_Reseau_v15_7[[#This Row],[remise 10_70_45]]</f>
        <v>374.04</v>
      </c>
    </row>
    <row r="167" spans="1:23" x14ac:dyDescent="0.25">
      <c r="A167" s="1">
        <v>45209</v>
      </c>
      <c r="B167" s="2">
        <v>0.90138888888888891</v>
      </c>
      <c r="C167" t="s">
        <v>1206</v>
      </c>
      <c r="D167">
        <v>68</v>
      </c>
      <c r="E167" t="s">
        <v>808</v>
      </c>
      <c r="F167" t="s">
        <v>31</v>
      </c>
      <c r="G167">
        <v>-8.3241560000000003</v>
      </c>
      <c r="H167">
        <v>19.543866000000001</v>
      </c>
      <c r="I167" t="s">
        <v>1480</v>
      </c>
      <c r="J167" t="s">
        <v>1483</v>
      </c>
      <c r="K167" t="s">
        <v>30</v>
      </c>
      <c r="L167">
        <v>113</v>
      </c>
      <c r="M167" t="s">
        <v>22</v>
      </c>
      <c r="N167">
        <v>380</v>
      </c>
      <c r="O167">
        <v>12.11</v>
      </c>
      <c r="P167">
        <v>0</v>
      </c>
      <c r="Q167">
        <f>_26_03_2026_Log_Reseau_v15_7[[#This Row],[Durée cumulée_panne_minu]]/60</f>
        <v>6.333333333333333</v>
      </c>
      <c r="R167">
        <f>ROUND(_26_03_2026_Log_Reseau_v15_7[[#This Row],[Durée_cumulée _ panne_en heure]],0)</f>
        <v>6</v>
      </c>
      <c r="S167">
        <f>_26_03_2026_Log_Reseau_v15_7[[#This Row],[Anciennété_mois]]/12</f>
        <v>9.4166666666666661</v>
      </c>
      <c r="T167">
        <f>ROUND(_26_03_2026_Log_Reseau_v15_7[[#This Row],[anciennete_ en année]],0)</f>
        <v>9</v>
      </c>
      <c r="U16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67" s="3">
        <f>ROUND(_26_03_2026_Log_Reseau_v15_7[[#This Row],[remise 10%_70%_45%]],0)</f>
        <v>0</v>
      </c>
      <c r="W167" s="3">
        <f>_26_03_2026_Log_Reseau_v15_7[[#This Row],[Facture mensuelle]]*_26_03_2026_Log_Reseau_v15_7[[#This Row],[remise 10_70_45]]</f>
        <v>0</v>
      </c>
    </row>
    <row r="168" spans="1:23" x14ac:dyDescent="0.25">
      <c r="A168" s="1">
        <v>45209</v>
      </c>
      <c r="B168" s="2">
        <v>0.65972222222222221</v>
      </c>
      <c r="C168" t="s">
        <v>1241</v>
      </c>
      <c r="D168">
        <v>67</v>
      </c>
      <c r="E168" t="s">
        <v>812</v>
      </c>
      <c r="F168" t="s">
        <v>89</v>
      </c>
      <c r="G168">
        <v>-7.7839049999999999</v>
      </c>
      <c r="H168">
        <v>14.114281999999999</v>
      </c>
      <c r="I168" t="s">
        <v>1482</v>
      </c>
      <c r="J168" t="s">
        <v>1483</v>
      </c>
      <c r="K168" t="s">
        <v>88</v>
      </c>
      <c r="L168">
        <v>98</v>
      </c>
      <c r="M168" t="s">
        <v>14</v>
      </c>
      <c r="N168">
        <v>482</v>
      </c>
      <c r="O168">
        <v>55.04</v>
      </c>
      <c r="P168">
        <v>5</v>
      </c>
      <c r="Q168">
        <f>_26_03_2026_Log_Reseau_v15_7[[#This Row],[Durée cumulée_panne_minu]]/60</f>
        <v>8.0333333333333332</v>
      </c>
      <c r="R168">
        <f>ROUND(_26_03_2026_Log_Reseau_v15_7[[#This Row],[Durée_cumulée _ panne_en heure]],0)</f>
        <v>8</v>
      </c>
      <c r="S168">
        <f>_26_03_2026_Log_Reseau_v15_7[[#This Row],[Anciennété_mois]]/12</f>
        <v>8.1666666666666661</v>
      </c>
      <c r="T168">
        <f>ROUND(_26_03_2026_Log_Reseau_v15_7[[#This Row],[anciennete_ en année]],0)</f>
        <v>8</v>
      </c>
      <c r="U16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168" s="3">
        <f>ROUND(_26_03_2026_Log_Reseau_v15_7[[#This Row],[remise 10%_70%_45%]],0)</f>
        <v>6</v>
      </c>
      <c r="W168" s="3">
        <f>_26_03_2026_Log_Reseau_v15_7[[#This Row],[Facture mensuelle]]*_26_03_2026_Log_Reseau_v15_7[[#This Row],[remise 10_70_45]]</f>
        <v>330.24</v>
      </c>
    </row>
    <row r="169" spans="1:23" x14ac:dyDescent="0.25">
      <c r="A169" s="1">
        <v>45209</v>
      </c>
      <c r="B169" s="2">
        <v>0.35486111111111113</v>
      </c>
      <c r="C169" t="s">
        <v>1267</v>
      </c>
      <c r="D169">
        <v>99</v>
      </c>
      <c r="E169" t="s">
        <v>808</v>
      </c>
      <c r="F169" t="s">
        <v>64</v>
      </c>
      <c r="G169">
        <v>1.3006180000000001</v>
      </c>
      <c r="H169">
        <v>29.060970999999999</v>
      </c>
      <c r="I169" t="s">
        <v>1482</v>
      </c>
      <c r="J169" t="s">
        <v>1483</v>
      </c>
      <c r="K169" t="s">
        <v>63</v>
      </c>
      <c r="L169">
        <v>79</v>
      </c>
      <c r="M169" t="s">
        <v>11</v>
      </c>
      <c r="N169">
        <v>226</v>
      </c>
      <c r="O169">
        <v>94.38</v>
      </c>
      <c r="P169">
        <v>3</v>
      </c>
      <c r="Q169">
        <f>_26_03_2026_Log_Reseau_v15_7[[#This Row],[Durée cumulée_panne_minu]]/60</f>
        <v>3.7666666666666666</v>
      </c>
      <c r="R169">
        <f>ROUND(_26_03_2026_Log_Reseau_v15_7[[#This Row],[Durée_cumulée _ panne_en heure]],0)</f>
        <v>4</v>
      </c>
      <c r="S169">
        <f>_26_03_2026_Log_Reseau_v15_7[[#This Row],[Anciennété_mois]]/12</f>
        <v>6.583333333333333</v>
      </c>
      <c r="T169">
        <f>ROUND(_26_03_2026_Log_Reseau_v15_7[[#This Row],[anciennete_ en année]],0)</f>
        <v>7</v>
      </c>
      <c r="U16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69" s="3">
        <f>ROUND(_26_03_2026_Log_Reseau_v15_7[[#This Row],[remise 10%_70%_45%]],0)</f>
        <v>0</v>
      </c>
      <c r="W169" s="3">
        <f>_26_03_2026_Log_Reseau_v15_7[[#This Row],[Facture mensuelle]]*_26_03_2026_Log_Reseau_v15_7[[#This Row],[remise 10_70_45]]</f>
        <v>0</v>
      </c>
    </row>
    <row r="170" spans="1:23" x14ac:dyDescent="0.25">
      <c r="A170" s="1">
        <v>45209</v>
      </c>
      <c r="B170" s="2">
        <v>0.52430555555555558</v>
      </c>
      <c r="C170" t="s">
        <v>1315</v>
      </c>
      <c r="D170">
        <v>27</v>
      </c>
      <c r="E170" t="s">
        <v>812</v>
      </c>
      <c r="F170" t="s">
        <v>51</v>
      </c>
      <c r="G170">
        <v>2.4741019999999998</v>
      </c>
      <c r="H170">
        <v>29.297391000000001</v>
      </c>
      <c r="I170" t="s">
        <v>1480</v>
      </c>
      <c r="J170" t="s">
        <v>1478</v>
      </c>
      <c r="K170" t="s">
        <v>50</v>
      </c>
      <c r="L170">
        <v>119</v>
      </c>
      <c r="M170" t="s">
        <v>22</v>
      </c>
      <c r="N170">
        <v>228</v>
      </c>
      <c r="O170">
        <v>94.72</v>
      </c>
      <c r="P170">
        <v>3</v>
      </c>
      <c r="Q170">
        <f>_26_03_2026_Log_Reseau_v15_7[[#This Row],[Durée cumulée_panne_minu]]/60</f>
        <v>3.8</v>
      </c>
      <c r="R170">
        <f>ROUND(_26_03_2026_Log_Reseau_v15_7[[#This Row],[Durée_cumulée _ panne_en heure]],0)</f>
        <v>4</v>
      </c>
      <c r="S170">
        <f>_26_03_2026_Log_Reseau_v15_7[[#This Row],[Anciennété_mois]]/12</f>
        <v>9.9166666666666661</v>
      </c>
      <c r="T170">
        <f>ROUND(_26_03_2026_Log_Reseau_v15_7[[#This Row],[anciennete_ en année]],0)</f>
        <v>10</v>
      </c>
      <c r="U17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70" s="3">
        <f>ROUND(_26_03_2026_Log_Reseau_v15_7[[#This Row],[remise 10%_70%_45%]],0)</f>
        <v>0</v>
      </c>
      <c r="W170" s="3">
        <f>_26_03_2026_Log_Reseau_v15_7[[#This Row],[Facture mensuelle]]*_26_03_2026_Log_Reseau_v15_7[[#This Row],[remise 10_70_45]]</f>
        <v>0</v>
      </c>
    </row>
    <row r="171" spans="1:23" x14ac:dyDescent="0.25">
      <c r="A171" s="1">
        <v>45209</v>
      </c>
      <c r="B171" s="2">
        <v>0.92152777777777772</v>
      </c>
      <c r="C171" t="s">
        <v>1318</v>
      </c>
      <c r="D171">
        <v>119</v>
      </c>
      <c r="E171" t="s">
        <v>807</v>
      </c>
      <c r="F171" t="s">
        <v>26</v>
      </c>
      <c r="G171">
        <v>1.5278670000000001</v>
      </c>
      <c r="H171">
        <v>13.899388999999999</v>
      </c>
      <c r="I171" t="s">
        <v>1482</v>
      </c>
      <c r="J171" t="s">
        <v>1481</v>
      </c>
      <c r="K171" t="s">
        <v>25</v>
      </c>
      <c r="L171">
        <v>99</v>
      </c>
      <c r="M171" t="s">
        <v>11</v>
      </c>
      <c r="N171">
        <v>447</v>
      </c>
      <c r="O171">
        <v>38.1</v>
      </c>
      <c r="P171">
        <v>3</v>
      </c>
      <c r="Q171">
        <f>_26_03_2026_Log_Reseau_v15_7[[#This Row],[Durée cumulée_panne_minu]]/60</f>
        <v>7.45</v>
      </c>
      <c r="R171">
        <f>ROUND(_26_03_2026_Log_Reseau_v15_7[[#This Row],[Durée_cumulée _ panne_en heure]],0)</f>
        <v>7</v>
      </c>
      <c r="S171">
        <f>_26_03_2026_Log_Reseau_v15_7[[#This Row],[Anciennété_mois]]/12</f>
        <v>8.25</v>
      </c>
      <c r="T171">
        <f>ROUND(_26_03_2026_Log_Reseau_v15_7[[#This Row],[anciennete_ en année]],0)</f>
        <v>8</v>
      </c>
      <c r="U17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71" s="3">
        <f>ROUND(_26_03_2026_Log_Reseau_v15_7[[#This Row],[remise 10%_70%_45%]],0)</f>
        <v>0</v>
      </c>
      <c r="W171" s="3">
        <f>_26_03_2026_Log_Reseau_v15_7[[#This Row],[Facture mensuelle]]*_26_03_2026_Log_Reseau_v15_7[[#This Row],[remise 10_70_45]]</f>
        <v>0</v>
      </c>
    </row>
    <row r="172" spans="1:23" x14ac:dyDescent="0.25">
      <c r="A172" s="1">
        <v>45209</v>
      </c>
      <c r="B172" s="2">
        <v>0.89861111111111114</v>
      </c>
      <c r="C172" t="s">
        <v>1363</v>
      </c>
      <c r="D172">
        <v>29</v>
      </c>
      <c r="E172" t="s">
        <v>808</v>
      </c>
      <c r="F172" t="s">
        <v>137</v>
      </c>
      <c r="G172">
        <v>-10.872631999999999</v>
      </c>
      <c r="H172">
        <v>12.773279</v>
      </c>
      <c r="I172" t="s">
        <v>1482</v>
      </c>
      <c r="J172" t="s">
        <v>1483</v>
      </c>
      <c r="K172" t="s">
        <v>136</v>
      </c>
      <c r="L172">
        <v>80</v>
      </c>
      <c r="M172" t="s">
        <v>22</v>
      </c>
      <c r="N172">
        <v>155</v>
      </c>
      <c r="O172">
        <v>28.96</v>
      </c>
      <c r="P172">
        <v>2</v>
      </c>
      <c r="Q172">
        <f>_26_03_2026_Log_Reseau_v15_7[[#This Row],[Durée cumulée_panne_minu]]/60</f>
        <v>2.5833333333333335</v>
      </c>
      <c r="R172">
        <f>ROUND(_26_03_2026_Log_Reseau_v15_7[[#This Row],[Durée_cumulée _ panne_en heure]],0)</f>
        <v>3</v>
      </c>
      <c r="S172">
        <f>_26_03_2026_Log_Reseau_v15_7[[#This Row],[Anciennété_mois]]/12</f>
        <v>6.666666666666667</v>
      </c>
      <c r="T172">
        <f>ROUND(_26_03_2026_Log_Reseau_v15_7[[#This Row],[anciennete_ en année]],0)</f>
        <v>7</v>
      </c>
      <c r="U17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72" s="3">
        <f>ROUND(_26_03_2026_Log_Reseau_v15_7[[#This Row],[remise 10%_70%_45%]],0)</f>
        <v>0</v>
      </c>
      <c r="W172" s="3">
        <f>_26_03_2026_Log_Reseau_v15_7[[#This Row],[Facture mensuelle]]*_26_03_2026_Log_Reseau_v15_7[[#This Row],[remise 10_70_45]]</f>
        <v>0</v>
      </c>
    </row>
    <row r="173" spans="1:23" x14ac:dyDescent="0.25">
      <c r="A173" s="1">
        <v>45209</v>
      </c>
      <c r="B173" s="2">
        <v>0.82430555555555551</v>
      </c>
      <c r="C173" t="s">
        <v>1402</v>
      </c>
      <c r="D173">
        <v>93</v>
      </c>
      <c r="E173" t="s">
        <v>812</v>
      </c>
      <c r="F173" t="s">
        <v>33</v>
      </c>
      <c r="G173">
        <v>-10.414493</v>
      </c>
      <c r="H173">
        <v>12.333356999999999</v>
      </c>
      <c r="I173" t="s">
        <v>1482</v>
      </c>
      <c r="J173" t="s">
        <v>1478</v>
      </c>
      <c r="K173" t="s">
        <v>32</v>
      </c>
      <c r="L173">
        <v>72</v>
      </c>
      <c r="M173" t="s">
        <v>14</v>
      </c>
      <c r="N173">
        <v>160</v>
      </c>
      <c r="O173">
        <v>90.13</v>
      </c>
      <c r="P173">
        <v>2</v>
      </c>
      <c r="Q173">
        <f>_26_03_2026_Log_Reseau_v15_7[[#This Row],[Durée cumulée_panne_minu]]/60</f>
        <v>2.6666666666666665</v>
      </c>
      <c r="R173">
        <f>ROUND(_26_03_2026_Log_Reseau_v15_7[[#This Row],[Durée_cumulée _ panne_en heure]],0)</f>
        <v>3</v>
      </c>
      <c r="S173">
        <f>_26_03_2026_Log_Reseau_v15_7[[#This Row],[Anciennété_mois]]/12</f>
        <v>6</v>
      </c>
      <c r="T173">
        <f>ROUND(_26_03_2026_Log_Reseau_v15_7[[#This Row],[anciennete_ en année]],0)</f>
        <v>6</v>
      </c>
      <c r="U17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173" s="3">
        <f>ROUND(_26_03_2026_Log_Reseau_v15_7[[#This Row],[remise 10%_70%_45%]],0)</f>
        <v>9</v>
      </c>
      <c r="W173" s="3">
        <f>_26_03_2026_Log_Reseau_v15_7[[#This Row],[Facture mensuelle]]*_26_03_2026_Log_Reseau_v15_7[[#This Row],[remise 10_70_45]]</f>
        <v>811.17</v>
      </c>
    </row>
    <row r="174" spans="1:23" x14ac:dyDescent="0.25">
      <c r="A174" s="1">
        <v>45209</v>
      </c>
      <c r="B174" s="2">
        <v>0.90763888888888888</v>
      </c>
      <c r="C174" t="s">
        <v>1455</v>
      </c>
      <c r="D174">
        <v>99</v>
      </c>
      <c r="E174" t="s">
        <v>812</v>
      </c>
      <c r="F174" t="s">
        <v>29</v>
      </c>
      <c r="G174">
        <v>-7.6757720000000003</v>
      </c>
      <c r="H174">
        <v>30.222971000000001</v>
      </c>
      <c r="I174" t="s">
        <v>1477</v>
      </c>
      <c r="J174" t="s">
        <v>1478</v>
      </c>
      <c r="K174" t="s">
        <v>28</v>
      </c>
      <c r="L174">
        <v>99</v>
      </c>
      <c r="M174" t="s">
        <v>19</v>
      </c>
      <c r="N174">
        <v>369</v>
      </c>
      <c r="O174">
        <v>67.209999999999994</v>
      </c>
      <c r="P174">
        <v>3</v>
      </c>
      <c r="Q174">
        <f>_26_03_2026_Log_Reseau_v15_7[[#This Row],[Durée cumulée_panne_minu]]/60</f>
        <v>6.15</v>
      </c>
      <c r="R174">
        <f>ROUND(_26_03_2026_Log_Reseau_v15_7[[#This Row],[Durée_cumulée _ panne_en heure]],0)</f>
        <v>6</v>
      </c>
      <c r="S174">
        <f>_26_03_2026_Log_Reseau_v15_7[[#This Row],[Anciennété_mois]]/12</f>
        <v>8.25</v>
      </c>
      <c r="T174">
        <f>ROUND(_26_03_2026_Log_Reseau_v15_7[[#This Row],[anciennete_ en année]],0)</f>
        <v>8</v>
      </c>
      <c r="U17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74" s="3">
        <f>ROUND(_26_03_2026_Log_Reseau_v15_7[[#This Row],[remise 10%_70%_45%]],0)</f>
        <v>0</v>
      </c>
      <c r="W174" s="3">
        <f>_26_03_2026_Log_Reseau_v15_7[[#This Row],[Facture mensuelle]]*_26_03_2026_Log_Reseau_v15_7[[#This Row],[remise 10_70_45]]</f>
        <v>0</v>
      </c>
    </row>
    <row r="175" spans="1:23" x14ac:dyDescent="0.25">
      <c r="A175" s="1">
        <v>45209</v>
      </c>
      <c r="B175" s="2">
        <v>0.53125</v>
      </c>
      <c r="C175" t="s">
        <v>1456</v>
      </c>
      <c r="D175">
        <v>63</v>
      </c>
      <c r="E175" t="s">
        <v>807</v>
      </c>
      <c r="F175" t="s">
        <v>78</v>
      </c>
      <c r="G175">
        <v>1.727095</v>
      </c>
      <c r="H175">
        <v>22.099651999999999</v>
      </c>
      <c r="I175" t="s">
        <v>1480</v>
      </c>
      <c r="J175" t="s">
        <v>1481</v>
      </c>
      <c r="K175" t="s">
        <v>77</v>
      </c>
      <c r="L175">
        <v>81</v>
      </c>
      <c r="M175" t="s">
        <v>14</v>
      </c>
      <c r="N175">
        <v>154</v>
      </c>
      <c r="O175">
        <v>19.47</v>
      </c>
      <c r="P175">
        <v>3</v>
      </c>
      <c r="Q175">
        <f>_26_03_2026_Log_Reseau_v15_7[[#This Row],[Durée cumulée_panne_minu]]/60</f>
        <v>2.5666666666666669</v>
      </c>
      <c r="R175">
        <f>ROUND(_26_03_2026_Log_Reseau_v15_7[[#This Row],[Durée_cumulée _ panne_en heure]],0)</f>
        <v>3</v>
      </c>
      <c r="S175">
        <f>_26_03_2026_Log_Reseau_v15_7[[#This Row],[Anciennété_mois]]/12</f>
        <v>6.75</v>
      </c>
      <c r="T175">
        <f>ROUND(_26_03_2026_Log_Reseau_v15_7[[#This Row],[anciennete_ en année]],0)</f>
        <v>7</v>
      </c>
      <c r="U17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175" s="3">
        <f>ROUND(_26_03_2026_Log_Reseau_v15_7[[#This Row],[remise 10%_70%_45%]],0)</f>
        <v>2</v>
      </c>
      <c r="W175" s="3">
        <f>_26_03_2026_Log_Reseau_v15_7[[#This Row],[Facture mensuelle]]*_26_03_2026_Log_Reseau_v15_7[[#This Row],[remise 10_70_45]]</f>
        <v>38.94</v>
      </c>
    </row>
    <row r="176" spans="1:23" x14ac:dyDescent="0.25">
      <c r="A176" s="1">
        <v>45209</v>
      </c>
      <c r="B176" s="2">
        <v>0.8520833333333333</v>
      </c>
      <c r="C176" t="s">
        <v>1461</v>
      </c>
      <c r="D176">
        <v>91</v>
      </c>
      <c r="E176" t="s">
        <v>812</v>
      </c>
      <c r="F176" t="s">
        <v>40</v>
      </c>
      <c r="G176">
        <v>-12.431227</v>
      </c>
      <c r="H176">
        <v>18.414290999999999</v>
      </c>
      <c r="I176" t="s">
        <v>1477</v>
      </c>
      <c r="J176" t="s">
        <v>1481</v>
      </c>
      <c r="K176" t="s">
        <v>39</v>
      </c>
      <c r="L176">
        <v>110</v>
      </c>
      <c r="M176" t="s">
        <v>14</v>
      </c>
      <c r="N176">
        <v>423</v>
      </c>
      <c r="O176">
        <v>37.35</v>
      </c>
      <c r="P176">
        <v>4</v>
      </c>
      <c r="Q176">
        <f>_26_03_2026_Log_Reseau_v15_7[[#This Row],[Durée cumulée_panne_minu]]/60</f>
        <v>7.05</v>
      </c>
      <c r="R176">
        <f>ROUND(_26_03_2026_Log_Reseau_v15_7[[#This Row],[Durée_cumulée _ panne_en heure]],0)</f>
        <v>7</v>
      </c>
      <c r="S176">
        <f>_26_03_2026_Log_Reseau_v15_7[[#This Row],[Anciennété_mois]]/12</f>
        <v>9.1666666666666661</v>
      </c>
      <c r="T176">
        <f>ROUND(_26_03_2026_Log_Reseau_v15_7[[#This Row],[anciennete_ en année]],0)</f>
        <v>9</v>
      </c>
      <c r="U17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176" s="3">
        <f>ROUND(_26_03_2026_Log_Reseau_v15_7[[#This Row],[remise 10%_70%_45%]],0)</f>
        <v>4</v>
      </c>
      <c r="W176" s="3">
        <f>_26_03_2026_Log_Reseau_v15_7[[#This Row],[Facture mensuelle]]*_26_03_2026_Log_Reseau_v15_7[[#This Row],[remise 10_70_45]]</f>
        <v>149.4</v>
      </c>
    </row>
    <row r="177" spans="1:23" x14ac:dyDescent="0.25">
      <c r="A177" s="1">
        <v>45210</v>
      </c>
      <c r="B177" s="2">
        <v>0.8354166666666667</v>
      </c>
      <c r="C177" t="s">
        <v>815</v>
      </c>
      <c r="D177">
        <v>80</v>
      </c>
      <c r="E177" t="s">
        <v>808</v>
      </c>
      <c r="F177" t="s">
        <v>24</v>
      </c>
      <c r="G177">
        <v>4.4712560000000003</v>
      </c>
      <c r="H177">
        <v>27.107028</v>
      </c>
      <c r="I177" t="s">
        <v>1482</v>
      </c>
      <c r="J177" t="s">
        <v>1478</v>
      </c>
      <c r="K177" t="s">
        <v>23</v>
      </c>
      <c r="L177">
        <v>46</v>
      </c>
      <c r="M177" t="s">
        <v>11</v>
      </c>
      <c r="N177">
        <v>283</v>
      </c>
      <c r="O177">
        <v>56.05</v>
      </c>
      <c r="P177">
        <v>1</v>
      </c>
      <c r="Q177">
        <f>_26_03_2026_Log_Reseau_v15_7[[#This Row],[Durée cumulée_panne_minu]]/60</f>
        <v>4.7166666666666668</v>
      </c>
      <c r="R177">
        <f>ROUND(_26_03_2026_Log_Reseau_v15_7[[#This Row],[Durée_cumulée _ panne_en heure]],0)</f>
        <v>5</v>
      </c>
      <c r="S177">
        <f>_26_03_2026_Log_Reseau_v15_7[[#This Row],[Anciennété_mois]]/12</f>
        <v>3.8333333333333335</v>
      </c>
      <c r="T177">
        <f>ROUND(_26_03_2026_Log_Reseau_v15_7[[#This Row],[anciennete_ en année]],0)</f>
        <v>4</v>
      </c>
      <c r="U17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77" s="3">
        <f>ROUND(_26_03_2026_Log_Reseau_v15_7[[#This Row],[remise 10%_70%_45%]],0)</f>
        <v>0</v>
      </c>
      <c r="W177" s="3">
        <f>_26_03_2026_Log_Reseau_v15_7[[#This Row],[Facture mensuelle]]*_26_03_2026_Log_Reseau_v15_7[[#This Row],[remise 10_70_45]]</f>
        <v>0</v>
      </c>
    </row>
    <row r="178" spans="1:23" x14ac:dyDescent="0.25">
      <c r="A178" s="1">
        <v>45210</v>
      </c>
      <c r="B178" s="2">
        <v>0.45</v>
      </c>
      <c r="C178" t="s">
        <v>868</v>
      </c>
      <c r="D178">
        <v>66</v>
      </c>
      <c r="E178" t="s">
        <v>807</v>
      </c>
      <c r="F178" t="s">
        <v>137</v>
      </c>
      <c r="G178">
        <v>-9.7803979999999999</v>
      </c>
      <c r="H178">
        <v>17.686595000000001</v>
      </c>
      <c r="I178" t="s">
        <v>1480</v>
      </c>
      <c r="J178" t="s">
        <v>1478</v>
      </c>
      <c r="K178" t="s">
        <v>136</v>
      </c>
      <c r="L178">
        <v>80</v>
      </c>
      <c r="M178" t="s">
        <v>22</v>
      </c>
      <c r="N178">
        <v>155</v>
      </c>
      <c r="O178">
        <v>28.96</v>
      </c>
      <c r="P178">
        <v>2</v>
      </c>
      <c r="Q178">
        <f>_26_03_2026_Log_Reseau_v15_7[[#This Row],[Durée cumulée_panne_minu]]/60</f>
        <v>2.5833333333333335</v>
      </c>
      <c r="R178">
        <f>ROUND(_26_03_2026_Log_Reseau_v15_7[[#This Row],[Durée_cumulée _ panne_en heure]],0)</f>
        <v>3</v>
      </c>
      <c r="S178">
        <f>_26_03_2026_Log_Reseau_v15_7[[#This Row],[Anciennété_mois]]/12</f>
        <v>6.666666666666667</v>
      </c>
      <c r="T178">
        <f>ROUND(_26_03_2026_Log_Reseau_v15_7[[#This Row],[anciennete_ en année]],0)</f>
        <v>7</v>
      </c>
      <c r="U17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78" s="3">
        <f>ROUND(_26_03_2026_Log_Reseau_v15_7[[#This Row],[remise 10%_70%_45%]],0)</f>
        <v>0</v>
      </c>
      <c r="W178" s="3">
        <f>_26_03_2026_Log_Reseau_v15_7[[#This Row],[Facture mensuelle]]*_26_03_2026_Log_Reseau_v15_7[[#This Row],[remise 10_70_45]]</f>
        <v>0</v>
      </c>
    </row>
    <row r="179" spans="1:23" x14ac:dyDescent="0.25">
      <c r="A179" s="1">
        <v>45210</v>
      </c>
      <c r="B179" s="2">
        <v>0.70347222222222228</v>
      </c>
      <c r="C179" t="s">
        <v>881</v>
      </c>
      <c r="D179">
        <v>20</v>
      </c>
      <c r="E179" t="s">
        <v>807</v>
      </c>
      <c r="F179" t="s">
        <v>60</v>
      </c>
      <c r="G179">
        <v>-0.79459900000000006</v>
      </c>
      <c r="H179">
        <v>26.775570999999999</v>
      </c>
      <c r="I179" t="s">
        <v>1477</v>
      </c>
      <c r="J179" t="s">
        <v>1481</v>
      </c>
      <c r="K179" t="s">
        <v>59</v>
      </c>
      <c r="L179">
        <v>14</v>
      </c>
      <c r="M179" t="s">
        <v>14</v>
      </c>
      <c r="N179">
        <v>316</v>
      </c>
      <c r="O179">
        <v>62.34</v>
      </c>
      <c r="P179">
        <v>4</v>
      </c>
      <c r="Q179">
        <f>_26_03_2026_Log_Reseau_v15_7[[#This Row],[Durée cumulée_panne_minu]]/60</f>
        <v>5.2666666666666666</v>
      </c>
      <c r="R179">
        <f>ROUND(_26_03_2026_Log_Reseau_v15_7[[#This Row],[Durée_cumulée _ panne_en heure]],0)</f>
        <v>5</v>
      </c>
      <c r="S179">
        <f>_26_03_2026_Log_Reseau_v15_7[[#This Row],[Anciennété_mois]]/12</f>
        <v>1.1666666666666667</v>
      </c>
      <c r="T179">
        <f>ROUND(_26_03_2026_Log_Reseau_v15_7[[#This Row],[anciennete_ en année]],0)</f>
        <v>1</v>
      </c>
      <c r="U17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179" s="3">
        <f>ROUND(_26_03_2026_Log_Reseau_v15_7[[#This Row],[remise 10%_70%_45%]],0)</f>
        <v>6</v>
      </c>
      <c r="W179" s="3">
        <f>_26_03_2026_Log_Reseau_v15_7[[#This Row],[Facture mensuelle]]*_26_03_2026_Log_Reseau_v15_7[[#This Row],[remise 10_70_45]]</f>
        <v>374.04</v>
      </c>
    </row>
    <row r="180" spans="1:23" x14ac:dyDescent="0.25">
      <c r="A180" s="1">
        <v>45210</v>
      </c>
      <c r="B180" s="2">
        <v>0.49722222222222223</v>
      </c>
      <c r="C180" t="s">
        <v>906</v>
      </c>
      <c r="D180">
        <v>75</v>
      </c>
      <c r="E180" t="s">
        <v>812</v>
      </c>
      <c r="F180" t="s">
        <v>21</v>
      </c>
      <c r="G180">
        <v>-9.3900009999999998</v>
      </c>
      <c r="H180">
        <v>30.001517</v>
      </c>
      <c r="I180" t="s">
        <v>1482</v>
      </c>
      <c r="J180" t="s">
        <v>1490</v>
      </c>
      <c r="K180" t="s">
        <v>20</v>
      </c>
      <c r="L180">
        <v>101</v>
      </c>
      <c r="M180" t="s">
        <v>22</v>
      </c>
      <c r="N180">
        <v>358</v>
      </c>
      <c r="O180">
        <v>29.24</v>
      </c>
      <c r="P180">
        <v>3</v>
      </c>
      <c r="Q180">
        <f>_26_03_2026_Log_Reseau_v15_7[[#This Row],[Durée cumulée_panne_minu]]/60</f>
        <v>5.9666666666666668</v>
      </c>
      <c r="R180">
        <f>ROUND(_26_03_2026_Log_Reseau_v15_7[[#This Row],[Durée_cumulée _ panne_en heure]],0)</f>
        <v>6</v>
      </c>
      <c r="S180">
        <f>_26_03_2026_Log_Reseau_v15_7[[#This Row],[Anciennété_mois]]/12</f>
        <v>8.4166666666666661</v>
      </c>
      <c r="T180">
        <f>ROUND(_26_03_2026_Log_Reseau_v15_7[[#This Row],[anciennete_ en année]],0)</f>
        <v>8</v>
      </c>
      <c r="U18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80" s="3">
        <f>ROUND(_26_03_2026_Log_Reseau_v15_7[[#This Row],[remise 10%_70%_45%]],0)</f>
        <v>0</v>
      </c>
      <c r="W180" s="3">
        <f>_26_03_2026_Log_Reseau_v15_7[[#This Row],[Facture mensuelle]]*_26_03_2026_Log_Reseau_v15_7[[#This Row],[remise 10_70_45]]</f>
        <v>0</v>
      </c>
    </row>
    <row r="181" spans="1:23" x14ac:dyDescent="0.25">
      <c r="A181" s="1">
        <v>45210</v>
      </c>
      <c r="B181" s="2">
        <v>0.90833333333333333</v>
      </c>
      <c r="C181" t="s">
        <v>936</v>
      </c>
      <c r="D181">
        <v>57</v>
      </c>
      <c r="E181" t="s">
        <v>812</v>
      </c>
      <c r="F181" t="s">
        <v>89</v>
      </c>
      <c r="G181">
        <v>8.5490999999999998E-2</v>
      </c>
      <c r="H181">
        <v>26.296129000000001</v>
      </c>
      <c r="I181" t="s">
        <v>1482</v>
      </c>
      <c r="J181" t="s">
        <v>1483</v>
      </c>
      <c r="K181" t="s">
        <v>88</v>
      </c>
      <c r="L181">
        <v>98</v>
      </c>
      <c r="M181" t="s">
        <v>14</v>
      </c>
      <c r="N181">
        <v>482</v>
      </c>
      <c r="O181">
        <v>55.04</v>
      </c>
      <c r="P181">
        <v>5</v>
      </c>
      <c r="Q181">
        <f>_26_03_2026_Log_Reseau_v15_7[[#This Row],[Durée cumulée_panne_minu]]/60</f>
        <v>8.0333333333333332</v>
      </c>
      <c r="R181">
        <f>ROUND(_26_03_2026_Log_Reseau_v15_7[[#This Row],[Durée_cumulée _ panne_en heure]],0)</f>
        <v>8</v>
      </c>
      <c r="S181">
        <f>_26_03_2026_Log_Reseau_v15_7[[#This Row],[Anciennété_mois]]/12</f>
        <v>8.1666666666666661</v>
      </c>
      <c r="T181">
        <f>ROUND(_26_03_2026_Log_Reseau_v15_7[[#This Row],[anciennete_ en année]],0)</f>
        <v>8</v>
      </c>
      <c r="U18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181" s="3">
        <f>ROUND(_26_03_2026_Log_Reseau_v15_7[[#This Row],[remise 10%_70%_45%]],0)</f>
        <v>6</v>
      </c>
      <c r="W181" s="3">
        <f>_26_03_2026_Log_Reseau_v15_7[[#This Row],[Facture mensuelle]]*_26_03_2026_Log_Reseau_v15_7[[#This Row],[remise 10_70_45]]</f>
        <v>330.24</v>
      </c>
    </row>
    <row r="182" spans="1:23" x14ac:dyDescent="0.25">
      <c r="A182" s="1">
        <v>45210</v>
      </c>
      <c r="B182" s="2">
        <v>0.68611111111111112</v>
      </c>
      <c r="C182" t="s">
        <v>936</v>
      </c>
      <c r="D182">
        <v>62</v>
      </c>
      <c r="E182" t="s">
        <v>808</v>
      </c>
      <c r="F182" t="s">
        <v>89</v>
      </c>
      <c r="G182">
        <v>8.5490999999999998E-2</v>
      </c>
      <c r="H182">
        <v>26.296129000000001</v>
      </c>
      <c r="I182" t="s">
        <v>1482</v>
      </c>
      <c r="J182" t="s">
        <v>1483</v>
      </c>
      <c r="K182" t="s">
        <v>88</v>
      </c>
      <c r="L182">
        <v>98</v>
      </c>
      <c r="M182" t="s">
        <v>14</v>
      </c>
      <c r="N182">
        <v>482</v>
      </c>
      <c r="O182">
        <v>55.04</v>
      </c>
      <c r="P182">
        <v>5</v>
      </c>
      <c r="Q182">
        <f>_26_03_2026_Log_Reseau_v15_7[[#This Row],[Durée cumulée_panne_minu]]/60</f>
        <v>8.0333333333333332</v>
      </c>
      <c r="R182">
        <f>ROUND(_26_03_2026_Log_Reseau_v15_7[[#This Row],[Durée_cumulée _ panne_en heure]],0)</f>
        <v>8</v>
      </c>
      <c r="S182">
        <f>_26_03_2026_Log_Reseau_v15_7[[#This Row],[Anciennété_mois]]/12</f>
        <v>8.1666666666666661</v>
      </c>
      <c r="T182">
        <f>ROUND(_26_03_2026_Log_Reseau_v15_7[[#This Row],[anciennete_ en année]],0)</f>
        <v>8</v>
      </c>
      <c r="U18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182" s="3">
        <f>ROUND(_26_03_2026_Log_Reseau_v15_7[[#This Row],[remise 10%_70%_45%]],0)</f>
        <v>6</v>
      </c>
      <c r="W182" s="3">
        <f>_26_03_2026_Log_Reseau_v15_7[[#This Row],[Facture mensuelle]]*_26_03_2026_Log_Reseau_v15_7[[#This Row],[remise 10_70_45]]</f>
        <v>330.24</v>
      </c>
    </row>
    <row r="183" spans="1:23" x14ac:dyDescent="0.25">
      <c r="A183" s="1">
        <v>45210</v>
      </c>
      <c r="B183" s="2">
        <v>0.89583333333333337</v>
      </c>
      <c r="C183" t="s">
        <v>998</v>
      </c>
      <c r="D183">
        <v>110</v>
      </c>
      <c r="E183" t="s">
        <v>812</v>
      </c>
      <c r="F183" t="s">
        <v>29</v>
      </c>
      <c r="G183">
        <v>-4.351254</v>
      </c>
      <c r="H183">
        <v>30.097408999999999</v>
      </c>
      <c r="I183" t="s">
        <v>1477</v>
      </c>
      <c r="J183" t="s">
        <v>1490</v>
      </c>
      <c r="K183" t="s">
        <v>28</v>
      </c>
      <c r="L183">
        <v>99</v>
      </c>
      <c r="M183" t="s">
        <v>19</v>
      </c>
      <c r="N183">
        <v>369</v>
      </c>
      <c r="O183">
        <v>67.209999999999994</v>
      </c>
      <c r="P183">
        <v>3</v>
      </c>
      <c r="Q183">
        <f>_26_03_2026_Log_Reseau_v15_7[[#This Row],[Durée cumulée_panne_minu]]/60</f>
        <v>6.15</v>
      </c>
      <c r="R183">
        <f>ROUND(_26_03_2026_Log_Reseau_v15_7[[#This Row],[Durée_cumulée _ panne_en heure]],0)</f>
        <v>6</v>
      </c>
      <c r="S183">
        <f>_26_03_2026_Log_Reseau_v15_7[[#This Row],[Anciennété_mois]]/12</f>
        <v>8.25</v>
      </c>
      <c r="T183">
        <f>ROUND(_26_03_2026_Log_Reseau_v15_7[[#This Row],[anciennete_ en année]],0)</f>
        <v>8</v>
      </c>
      <c r="U18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83" s="3">
        <f>ROUND(_26_03_2026_Log_Reseau_v15_7[[#This Row],[remise 10%_70%_45%]],0)</f>
        <v>0</v>
      </c>
      <c r="W183" s="3">
        <f>_26_03_2026_Log_Reseau_v15_7[[#This Row],[Facture mensuelle]]*_26_03_2026_Log_Reseau_v15_7[[#This Row],[remise 10_70_45]]</f>
        <v>0</v>
      </c>
    </row>
    <row r="184" spans="1:23" x14ac:dyDescent="0.25">
      <c r="A184" s="1">
        <v>45210</v>
      </c>
      <c r="B184" s="2">
        <v>0.96111111111111114</v>
      </c>
      <c r="C184" t="s">
        <v>1033</v>
      </c>
      <c r="D184">
        <v>66</v>
      </c>
      <c r="E184" t="s">
        <v>807</v>
      </c>
      <c r="F184" t="s">
        <v>64</v>
      </c>
      <c r="G184">
        <v>-11.991020000000001</v>
      </c>
      <c r="H184">
        <v>22.514747</v>
      </c>
      <c r="I184" t="s">
        <v>1477</v>
      </c>
      <c r="J184" t="s">
        <v>1483</v>
      </c>
      <c r="K184" t="s">
        <v>63</v>
      </c>
      <c r="L184">
        <v>79</v>
      </c>
      <c r="M184" t="s">
        <v>11</v>
      </c>
      <c r="N184">
        <v>226</v>
      </c>
      <c r="O184">
        <v>94.38</v>
      </c>
      <c r="P184">
        <v>3</v>
      </c>
      <c r="Q184">
        <f>_26_03_2026_Log_Reseau_v15_7[[#This Row],[Durée cumulée_panne_minu]]/60</f>
        <v>3.7666666666666666</v>
      </c>
      <c r="R184">
        <f>ROUND(_26_03_2026_Log_Reseau_v15_7[[#This Row],[Durée_cumulée _ panne_en heure]],0)</f>
        <v>4</v>
      </c>
      <c r="S184">
        <f>_26_03_2026_Log_Reseau_v15_7[[#This Row],[Anciennété_mois]]/12</f>
        <v>6.583333333333333</v>
      </c>
      <c r="T184">
        <f>ROUND(_26_03_2026_Log_Reseau_v15_7[[#This Row],[anciennete_ en année]],0)</f>
        <v>7</v>
      </c>
      <c r="U18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84" s="3">
        <f>ROUND(_26_03_2026_Log_Reseau_v15_7[[#This Row],[remise 10%_70%_45%]],0)</f>
        <v>0</v>
      </c>
      <c r="W184" s="3">
        <f>_26_03_2026_Log_Reseau_v15_7[[#This Row],[Facture mensuelle]]*_26_03_2026_Log_Reseau_v15_7[[#This Row],[remise 10_70_45]]</f>
        <v>0</v>
      </c>
    </row>
    <row r="185" spans="1:23" x14ac:dyDescent="0.25">
      <c r="A185" s="1">
        <v>45210</v>
      </c>
      <c r="B185" s="2">
        <v>0.45833333333333331</v>
      </c>
      <c r="C185" t="s">
        <v>1044</v>
      </c>
      <c r="D185">
        <v>95</v>
      </c>
      <c r="E185" t="s">
        <v>808</v>
      </c>
      <c r="F185" t="s">
        <v>18</v>
      </c>
      <c r="G185">
        <v>-12.112682</v>
      </c>
      <c r="H185">
        <v>19.972052000000001</v>
      </c>
      <c r="I185" t="s">
        <v>1480</v>
      </c>
      <c r="J185" t="s">
        <v>1481</v>
      </c>
      <c r="K185" t="s">
        <v>17</v>
      </c>
      <c r="L185">
        <v>44</v>
      </c>
      <c r="M185" t="s">
        <v>19</v>
      </c>
      <c r="N185">
        <v>348</v>
      </c>
      <c r="O185">
        <v>58.67</v>
      </c>
      <c r="P185">
        <v>0</v>
      </c>
      <c r="Q185">
        <f>_26_03_2026_Log_Reseau_v15_7[[#This Row],[Durée cumulée_panne_minu]]/60</f>
        <v>5.8</v>
      </c>
      <c r="R185">
        <f>ROUND(_26_03_2026_Log_Reseau_v15_7[[#This Row],[Durée_cumulée _ panne_en heure]],0)</f>
        <v>6</v>
      </c>
      <c r="S185">
        <f>_26_03_2026_Log_Reseau_v15_7[[#This Row],[Anciennété_mois]]/12</f>
        <v>3.6666666666666665</v>
      </c>
      <c r="T185">
        <f>ROUND(_26_03_2026_Log_Reseau_v15_7[[#This Row],[anciennete_ en année]],0)</f>
        <v>4</v>
      </c>
      <c r="U18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85" s="3">
        <f>ROUND(_26_03_2026_Log_Reseau_v15_7[[#This Row],[remise 10%_70%_45%]],0)</f>
        <v>0</v>
      </c>
      <c r="W185" s="3">
        <f>_26_03_2026_Log_Reseau_v15_7[[#This Row],[Facture mensuelle]]*_26_03_2026_Log_Reseau_v15_7[[#This Row],[remise 10_70_45]]</f>
        <v>0</v>
      </c>
    </row>
    <row r="186" spans="1:23" x14ac:dyDescent="0.25">
      <c r="A186" s="1">
        <v>45210</v>
      </c>
      <c r="B186" s="2">
        <v>3.125E-2</v>
      </c>
      <c r="C186" t="s">
        <v>1046</v>
      </c>
      <c r="D186">
        <v>63</v>
      </c>
      <c r="E186" t="s">
        <v>812</v>
      </c>
      <c r="F186" t="s">
        <v>40</v>
      </c>
      <c r="G186">
        <v>-9.0798120000000004</v>
      </c>
      <c r="H186">
        <v>14.945484</v>
      </c>
      <c r="I186" t="s">
        <v>1477</v>
      </c>
      <c r="J186" t="s">
        <v>1478</v>
      </c>
      <c r="K186" t="s">
        <v>39</v>
      </c>
      <c r="L186">
        <v>110</v>
      </c>
      <c r="M186" t="s">
        <v>14</v>
      </c>
      <c r="N186">
        <v>423</v>
      </c>
      <c r="O186">
        <v>37.35</v>
      </c>
      <c r="P186">
        <v>4</v>
      </c>
      <c r="Q186">
        <f>_26_03_2026_Log_Reseau_v15_7[[#This Row],[Durée cumulée_panne_minu]]/60</f>
        <v>7.05</v>
      </c>
      <c r="R186">
        <f>ROUND(_26_03_2026_Log_Reseau_v15_7[[#This Row],[Durée_cumulée _ panne_en heure]],0)</f>
        <v>7</v>
      </c>
      <c r="S186">
        <f>_26_03_2026_Log_Reseau_v15_7[[#This Row],[Anciennété_mois]]/12</f>
        <v>9.1666666666666661</v>
      </c>
      <c r="T186">
        <f>ROUND(_26_03_2026_Log_Reseau_v15_7[[#This Row],[anciennete_ en année]],0)</f>
        <v>9</v>
      </c>
      <c r="U18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186" s="3">
        <f>ROUND(_26_03_2026_Log_Reseau_v15_7[[#This Row],[remise 10%_70%_45%]],0)</f>
        <v>4</v>
      </c>
      <c r="W186" s="3">
        <f>_26_03_2026_Log_Reseau_v15_7[[#This Row],[Facture mensuelle]]*_26_03_2026_Log_Reseau_v15_7[[#This Row],[remise 10_70_45]]</f>
        <v>149.4</v>
      </c>
    </row>
    <row r="187" spans="1:23" x14ac:dyDescent="0.25">
      <c r="A187" s="1">
        <v>45210</v>
      </c>
      <c r="B187" s="2">
        <v>0.87986111111111109</v>
      </c>
      <c r="C187" t="s">
        <v>1121</v>
      </c>
      <c r="D187">
        <v>53</v>
      </c>
      <c r="E187" t="s">
        <v>807</v>
      </c>
      <c r="F187" t="s">
        <v>67</v>
      </c>
      <c r="G187">
        <v>-7.8770429999999996</v>
      </c>
      <c r="H187">
        <v>16.357762999999998</v>
      </c>
      <c r="I187" t="s">
        <v>1480</v>
      </c>
      <c r="J187" t="s">
        <v>1478</v>
      </c>
      <c r="K187" t="s">
        <v>66</v>
      </c>
      <c r="L187">
        <v>101</v>
      </c>
      <c r="M187" t="s">
        <v>14</v>
      </c>
      <c r="N187">
        <v>176</v>
      </c>
      <c r="O187">
        <v>86</v>
      </c>
      <c r="P187">
        <v>3</v>
      </c>
      <c r="Q187">
        <f>_26_03_2026_Log_Reseau_v15_7[[#This Row],[Durée cumulée_panne_minu]]/60</f>
        <v>2.9333333333333331</v>
      </c>
      <c r="R187">
        <f>ROUND(_26_03_2026_Log_Reseau_v15_7[[#This Row],[Durée_cumulée _ panne_en heure]],0)</f>
        <v>3</v>
      </c>
      <c r="S187">
        <f>_26_03_2026_Log_Reseau_v15_7[[#This Row],[Anciennété_mois]]/12</f>
        <v>8.4166666666666661</v>
      </c>
      <c r="T187">
        <f>ROUND(_26_03_2026_Log_Reseau_v15_7[[#This Row],[anciennete_ en année]],0)</f>
        <v>8</v>
      </c>
      <c r="U18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187" s="3">
        <f>ROUND(_26_03_2026_Log_Reseau_v15_7[[#This Row],[remise 10%_70%_45%]],0)</f>
        <v>9</v>
      </c>
      <c r="W187" s="3">
        <f>_26_03_2026_Log_Reseau_v15_7[[#This Row],[Facture mensuelle]]*_26_03_2026_Log_Reseau_v15_7[[#This Row],[remise 10_70_45]]</f>
        <v>774</v>
      </c>
    </row>
    <row r="188" spans="1:23" x14ac:dyDescent="0.25">
      <c r="A188" s="1">
        <v>45210</v>
      </c>
      <c r="B188" s="2">
        <v>0.92638888888888893</v>
      </c>
      <c r="C188" t="s">
        <v>1139</v>
      </c>
      <c r="D188">
        <v>45</v>
      </c>
      <c r="E188" t="s">
        <v>808</v>
      </c>
      <c r="F188" t="s">
        <v>18</v>
      </c>
      <c r="G188">
        <v>1.210869</v>
      </c>
      <c r="H188">
        <v>25.598741</v>
      </c>
      <c r="I188" t="s">
        <v>1480</v>
      </c>
      <c r="J188" t="s">
        <v>1478</v>
      </c>
      <c r="K188" t="s">
        <v>17</v>
      </c>
      <c r="L188">
        <v>44</v>
      </c>
      <c r="M188" t="s">
        <v>19</v>
      </c>
      <c r="N188">
        <v>348</v>
      </c>
      <c r="O188">
        <v>58.67</v>
      </c>
      <c r="P188">
        <v>0</v>
      </c>
      <c r="Q188">
        <f>_26_03_2026_Log_Reseau_v15_7[[#This Row],[Durée cumulée_panne_minu]]/60</f>
        <v>5.8</v>
      </c>
      <c r="R188">
        <f>ROUND(_26_03_2026_Log_Reseau_v15_7[[#This Row],[Durée_cumulée _ panne_en heure]],0)</f>
        <v>6</v>
      </c>
      <c r="S188">
        <f>_26_03_2026_Log_Reseau_v15_7[[#This Row],[Anciennété_mois]]/12</f>
        <v>3.6666666666666665</v>
      </c>
      <c r="T188">
        <f>ROUND(_26_03_2026_Log_Reseau_v15_7[[#This Row],[anciennete_ en année]],0)</f>
        <v>4</v>
      </c>
      <c r="U18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88" s="3">
        <f>ROUND(_26_03_2026_Log_Reseau_v15_7[[#This Row],[remise 10%_70%_45%]],0)</f>
        <v>0</v>
      </c>
      <c r="W188" s="3">
        <f>_26_03_2026_Log_Reseau_v15_7[[#This Row],[Facture mensuelle]]*_26_03_2026_Log_Reseau_v15_7[[#This Row],[remise 10_70_45]]</f>
        <v>0</v>
      </c>
    </row>
    <row r="189" spans="1:23" x14ac:dyDescent="0.25">
      <c r="A189" s="1">
        <v>45210</v>
      </c>
      <c r="B189" s="2">
        <v>0.38958333333333334</v>
      </c>
      <c r="C189" t="s">
        <v>1156</v>
      </c>
      <c r="D189">
        <v>85</v>
      </c>
      <c r="E189" t="s">
        <v>807</v>
      </c>
      <c r="F189" t="s">
        <v>78</v>
      </c>
      <c r="G189">
        <v>-4.2645619999999997</v>
      </c>
      <c r="H189">
        <v>18.960726000000001</v>
      </c>
      <c r="I189" t="s">
        <v>1480</v>
      </c>
      <c r="J189" t="s">
        <v>1481</v>
      </c>
      <c r="K189" t="s">
        <v>77</v>
      </c>
      <c r="L189">
        <v>81</v>
      </c>
      <c r="M189" t="s">
        <v>14</v>
      </c>
      <c r="N189">
        <v>154</v>
      </c>
      <c r="O189">
        <v>19.47</v>
      </c>
      <c r="P189">
        <v>3</v>
      </c>
      <c r="Q189">
        <f>_26_03_2026_Log_Reseau_v15_7[[#This Row],[Durée cumulée_panne_minu]]/60</f>
        <v>2.5666666666666669</v>
      </c>
      <c r="R189">
        <f>ROUND(_26_03_2026_Log_Reseau_v15_7[[#This Row],[Durée_cumulée _ panne_en heure]],0)</f>
        <v>3</v>
      </c>
      <c r="S189">
        <f>_26_03_2026_Log_Reseau_v15_7[[#This Row],[Anciennété_mois]]/12</f>
        <v>6.75</v>
      </c>
      <c r="T189">
        <f>ROUND(_26_03_2026_Log_Reseau_v15_7[[#This Row],[anciennete_ en année]],0)</f>
        <v>7</v>
      </c>
      <c r="U18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189" s="3">
        <f>ROUND(_26_03_2026_Log_Reseau_v15_7[[#This Row],[remise 10%_70%_45%]],0)</f>
        <v>2</v>
      </c>
      <c r="W189" s="3">
        <f>_26_03_2026_Log_Reseau_v15_7[[#This Row],[Facture mensuelle]]*_26_03_2026_Log_Reseau_v15_7[[#This Row],[remise 10_70_45]]</f>
        <v>38.94</v>
      </c>
    </row>
    <row r="190" spans="1:23" x14ac:dyDescent="0.25">
      <c r="A190" s="1">
        <v>45210</v>
      </c>
      <c r="B190" s="2">
        <v>0.83680555555555558</v>
      </c>
      <c r="C190" t="s">
        <v>1282</v>
      </c>
      <c r="D190">
        <v>118</v>
      </c>
      <c r="E190" t="s">
        <v>807</v>
      </c>
      <c r="F190" t="s">
        <v>16</v>
      </c>
      <c r="G190">
        <v>-11.407966</v>
      </c>
      <c r="H190">
        <v>28.378274000000001</v>
      </c>
      <c r="I190" t="s">
        <v>1480</v>
      </c>
      <c r="J190" t="s">
        <v>1483</v>
      </c>
      <c r="K190" t="s">
        <v>15</v>
      </c>
      <c r="L190">
        <v>34</v>
      </c>
      <c r="M190" t="s">
        <v>14</v>
      </c>
      <c r="N190">
        <v>453</v>
      </c>
      <c r="O190">
        <v>56.84</v>
      </c>
      <c r="P190">
        <v>0</v>
      </c>
      <c r="Q190">
        <f>_26_03_2026_Log_Reseau_v15_7[[#This Row],[Durée cumulée_panne_minu]]/60</f>
        <v>7.55</v>
      </c>
      <c r="R190">
        <f>ROUND(_26_03_2026_Log_Reseau_v15_7[[#This Row],[Durée_cumulée _ panne_en heure]],0)</f>
        <v>8</v>
      </c>
      <c r="S190">
        <f>_26_03_2026_Log_Reseau_v15_7[[#This Row],[Anciennété_mois]]/12</f>
        <v>2.8333333333333335</v>
      </c>
      <c r="T190">
        <f>ROUND(_26_03_2026_Log_Reseau_v15_7[[#This Row],[anciennete_ en année]],0)</f>
        <v>3</v>
      </c>
      <c r="U19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190" s="3">
        <f>ROUND(_26_03_2026_Log_Reseau_v15_7[[#This Row],[remise 10%_70%_45%]],0)</f>
        <v>6</v>
      </c>
      <c r="W190" s="3">
        <f>_26_03_2026_Log_Reseau_v15_7[[#This Row],[Facture mensuelle]]*_26_03_2026_Log_Reseau_v15_7[[#This Row],[remise 10_70_45]]</f>
        <v>341.04</v>
      </c>
    </row>
    <row r="191" spans="1:23" x14ac:dyDescent="0.25">
      <c r="A191" s="1">
        <v>45210</v>
      </c>
      <c r="B191" s="2">
        <v>0.16805555555555557</v>
      </c>
      <c r="C191" t="s">
        <v>1314</v>
      </c>
      <c r="D191">
        <v>110</v>
      </c>
      <c r="E191" t="s">
        <v>807</v>
      </c>
      <c r="F191" t="s">
        <v>37</v>
      </c>
      <c r="G191">
        <v>-9.9565739999999998</v>
      </c>
      <c r="H191">
        <v>21.017202000000001</v>
      </c>
      <c r="I191" t="s">
        <v>1480</v>
      </c>
      <c r="J191" t="s">
        <v>1481</v>
      </c>
      <c r="K191" t="s">
        <v>36</v>
      </c>
      <c r="L191">
        <v>115</v>
      </c>
      <c r="M191" t="s">
        <v>19</v>
      </c>
      <c r="N191">
        <v>176</v>
      </c>
      <c r="O191">
        <v>33.28</v>
      </c>
      <c r="P191">
        <v>4</v>
      </c>
      <c r="Q191">
        <f>_26_03_2026_Log_Reseau_v15_7[[#This Row],[Durée cumulée_panne_minu]]/60</f>
        <v>2.9333333333333331</v>
      </c>
      <c r="R191">
        <f>ROUND(_26_03_2026_Log_Reseau_v15_7[[#This Row],[Durée_cumulée _ panne_en heure]],0)</f>
        <v>3</v>
      </c>
      <c r="S191">
        <f>_26_03_2026_Log_Reseau_v15_7[[#This Row],[Anciennété_mois]]/12</f>
        <v>9.5833333333333339</v>
      </c>
      <c r="T191">
        <f>ROUND(_26_03_2026_Log_Reseau_v15_7[[#This Row],[anciennete_ en année]],0)</f>
        <v>10</v>
      </c>
      <c r="U19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91" s="3">
        <f>ROUND(_26_03_2026_Log_Reseau_v15_7[[#This Row],[remise 10%_70%_45%]],0)</f>
        <v>0</v>
      </c>
      <c r="W191" s="3">
        <f>_26_03_2026_Log_Reseau_v15_7[[#This Row],[Facture mensuelle]]*_26_03_2026_Log_Reseau_v15_7[[#This Row],[remise 10_70_45]]</f>
        <v>0</v>
      </c>
    </row>
    <row r="192" spans="1:23" x14ac:dyDescent="0.25">
      <c r="A192" s="1">
        <v>45210</v>
      </c>
      <c r="B192" s="2">
        <v>0.28055555555555556</v>
      </c>
      <c r="C192" t="s">
        <v>1325</v>
      </c>
      <c r="D192">
        <v>43</v>
      </c>
      <c r="E192" t="s">
        <v>808</v>
      </c>
      <c r="F192" t="s">
        <v>31</v>
      </c>
      <c r="G192">
        <v>-12.342053999999999</v>
      </c>
      <c r="H192">
        <v>18.756862000000002</v>
      </c>
      <c r="I192" t="s">
        <v>1482</v>
      </c>
      <c r="J192" t="s">
        <v>1478</v>
      </c>
      <c r="K192" t="s">
        <v>30</v>
      </c>
      <c r="L192">
        <v>113</v>
      </c>
      <c r="M192" t="s">
        <v>22</v>
      </c>
      <c r="N192">
        <v>380</v>
      </c>
      <c r="O192">
        <v>12.11</v>
      </c>
      <c r="P192">
        <v>0</v>
      </c>
      <c r="Q192">
        <f>_26_03_2026_Log_Reseau_v15_7[[#This Row],[Durée cumulée_panne_minu]]/60</f>
        <v>6.333333333333333</v>
      </c>
      <c r="R192">
        <f>ROUND(_26_03_2026_Log_Reseau_v15_7[[#This Row],[Durée_cumulée _ panne_en heure]],0)</f>
        <v>6</v>
      </c>
      <c r="S192">
        <f>_26_03_2026_Log_Reseau_v15_7[[#This Row],[Anciennété_mois]]/12</f>
        <v>9.4166666666666661</v>
      </c>
      <c r="T192">
        <f>ROUND(_26_03_2026_Log_Reseau_v15_7[[#This Row],[anciennete_ en année]],0)</f>
        <v>9</v>
      </c>
      <c r="U19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92" s="3">
        <f>ROUND(_26_03_2026_Log_Reseau_v15_7[[#This Row],[remise 10%_70%_45%]],0)</f>
        <v>0</v>
      </c>
      <c r="W192" s="3">
        <f>_26_03_2026_Log_Reseau_v15_7[[#This Row],[Facture mensuelle]]*_26_03_2026_Log_Reseau_v15_7[[#This Row],[remise 10_70_45]]</f>
        <v>0</v>
      </c>
    </row>
    <row r="193" spans="1:23" x14ac:dyDescent="0.25">
      <c r="A193" s="1">
        <v>45210</v>
      </c>
      <c r="B193" s="2">
        <v>0.39166666666666666</v>
      </c>
      <c r="C193" t="s">
        <v>1357</v>
      </c>
      <c r="D193">
        <v>85</v>
      </c>
      <c r="E193" t="s">
        <v>808</v>
      </c>
      <c r="F193" t="s">
        <v>131</v>
      </c>
      <c r="G193">
        <v>1.017161</v>
      </c>
      <c r="H193">
        <v>16.519689</v>
      </c>
      <c r="I193" t="s">
        <v>1482</v>
      </c>
      <c r="J193" t="s">
        <v>1490</v>
      </c>
      <c r="K193" t="s">
        <v>130</v>
      </c>
      <c r="L193">
        <v>16</v>
      </c>
      <c r="M193" t="s">
        <v>19</v>
      </c>
      <c r="N193">
        <v>390</v>
      </c>
      <c r="O193">
        <v>98.17</v>
      </c>
      <c r="P193">
        <v>5</v>
      </c>
      <c r="Q193">
        <f>_26_03_2026_Log_Reseau_v15_7[[#This Row],[Durée cumulée_panne_minu]]/60</f>
        <v>6.5</v>
      </c>
      <c r="R193">
        <f>ROUND(_26_03_2026_Log_Reseau_v15_7[[#This Row],[Durée_cumulée _ panne_en heure]],0)</f>
        <v>7</v>
      </c>
      <c r="S193">
        <f>_26_03_2026_Log_Reseau_v15_7[[#This Row],[Anciennété_mois]]/12</f>
        <v>1.3333333333333333</v>
      </c>
      <c r="T193">
        <f>ROUND(_26_03_2026_Log_Reseau_v15_7[[#This Row],[anciennete_ en année]],0)</f>
        <v>1</v>
      </c>
      <c r="U19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93" s="3">
        <f>ROUND(_26_03_2026_Log_Reseau_v15_7[[#This Row],[remise 10%_70%_45%]],0)</f>
        <v>0</v>
      </c>
      <c r="W193" s="3">
        <f>_26_03_2026_Log_Reseau_v15_7[[#This Row],[Facture mensuelle]]*_26_03_2026_Log_Reseau_v15_7[[#This Row],[remise 10_70_45]]</f>
        <v>0</v>
      </c>
    </row>
    <row r="194" spans="1:23" x14ac:dyDescent="0.25">
      <c r="A194" s="1">
        <v>45210</v>
      </c>
      <c r="B194" s="2">
        <v>0.68958333333333333</v>
      </c>
      <c r="C194" t="s">
        <v>1377</v>
      </c>
      <c r="D194">
        <v>16</v>
      </c>
      <c r="E194" t="s">
        <v>807</v>
      </c>
      <c r="F194" t="s">
        <v>127</v>
      </c>
      <c r="G194">
        <v>-4.869434</v>
      </c>
      <c r="H194">
        <v>22.326522000000001</v>
      </c>
      <c r="I194" t="s">
        <v>1477</v>
      </c>
      <c r="J194" t="s">
        <v>1478</v>
      </c>
      <c r="K194" t="s">
        <v>126</v>
      </c>
      <c r="L194">
        <v>40</v>
      </c>
      <c r="M194" t="s">
        <v>11</v>
      </c>
      <c r="N194">
        <v>345</v>
      </c>
      <c r="O194">
        <v>89.55</v>
      </c>
      <c r="P194">
        <v>3</v>
      </c>
      <c r="Q194">
        <f>_26_03_2026_Log_Reseau_v15_7[[#This Row],[Durée cumulée_panne_minu]]/60</f>
        <v>5.75</v>
      </c>
      <c r="R194">
        <f>ROUND(_26_03_2026_Log_Reseau_v15_7[[#This Row],[Durée_cumulée _ panne_en heure]],0)</f>
        <v>6</v>
      </c>
      <c r="S194">
        <f>_26_03_2026_Log_Reseau_v15_7[[#This Row],[Anciennété_mois]]/12</f>
        <v>3.3333333333333335</v>
      </c>
      <c r="T194">
        <f>ROUND(_26_03_2026_Log_Reseau_v15_7[[#This Row],[anciennete_ en année]],0)</f>
        <v>3</v>
      </c>
      <c r="U19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94" s="3">
        <f>ROUND(_26_03_2026_Log_Reseau_v15_7[[#This Row],[remise 10%_70%_45%]],0)</f>
        <v>0</v>
      </c>
      <c r="W194" s="3">
        <f>_26_03_2026_Log_Reseau_v15_7[[#This Row],[Facture mensuelle]]*_26_03_2026_Log_Reseau_v15_7[[#This Row],[remise 10_70_45]]</f>
        <v>0</v>
      </c>
    </row>
    <row r="195" spans="1:23" x14ac:dyDescent="0.25">
      <c r="A195" s="1">
        <v>45210</v>
      </c>
      <c r="B195" s="2">
        <v>0.36666666666666664</v>
      </c>
      <c r="C195" t="s">
        <v>1381</v>
      </c>
      <c r="D195">
        <v>67</v>
      </c>
      <c r="E195" t="s">
        <v>808</v>
      </c>
      <c r="F195" t="s">
        <v>137</v>
      </c>
      <c r="G195">
        <v>-8.0301989999999996</v>
      </c>
      <c r="H195">
        <v>24.122495000000001</v>
      </c>
      <c r="I195" t="s">
        <v>1477</v>
      </c>
      <c r="J195" t="s">
        <v>1483</v>
      </c>
      <c r="K195" t="s">
        <v>136</v>
      </c>
      <c r="L195">
        <v>80</v>
      </c>
      <c r="M195" t="s">
        <v>22</v>
      </c>
      <c r="N195">
        <v>155</v>
      </c>
      <c r="O195">
        <v>28.96</v>
      </c>
      <c r="P195">
        <v>2</v>
      </c>
      <c r="Q195">
        <f>_26_03_2026_Log_Reseau_v15_7[[#This Row],[Durée cumulée_panne_minu]]/60</f>
        <v>2.5833333333333335</v>
      </c>
      <c r="R195">
        <f>ROUND(_26_03_2026_Log_Reseau_v15_7[[#This Row],[Durée_cumulée _ panne_en heure]],0)</f>
        <v>3</v>
      </c>
      <c r="S195">
        <f>_26_03_2026_Log_Reseau_v15_7[[#This Row],[Anciennété_mois]]/12</f>
        <v>6.666666666666667</v>
      </c>
      <c r="T195">
        <f>ROUND(_26_03_2026_Log_Reseau_v15_7[[#This Row],[anciennete_ en année]],0)</f>
        <v>7</v>
      </c>
      <c r="U19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95" s="3">
        <f>ROUND(_26_03_2026_Log_Reseau_v15_7[[#This Row],[remise 10%_70%_45%]],0)</f>
        <v>0</v>
      </c>
      <c r="W195" s="3">
        <f>_26_03_2026_Log_Reseau_v15_7[[#This Row],[Facture mensuelle]]*_26_03_2026_Log_Reseau_v15_7[[#This Row],[remise 10_70_45]]</f>
        <v>0</v>
      </c>
    </row>
    <row r="196" spans="1:23" x14ac:dyDescent="0.25">
      <c r="A196" s="1">
        <v>45210</v>
      </c>
      <c r="B196" s="2">
        <v>5.1388888888888887E-2</v>
      </c>
      <c r="C196" t="s">
        <v>1400</v>
      </c>
      <c r="D196">
        <v>73</v>
      </c>
      <c r="E196" t="s">
        <v>807</v>
      </c>
      <c r="F196" t="s">
        <v>37</v>
      </c>
      <c r="G196">
        <v>-10.776204</v>
      </c>
      <c r="H196">
        <v>24.672934000000001</v>
      </c>
      <c r="I196" t="s">
        <v>1480</v>
      </c>
      <c r="J196" t="s">
        <v>1478</v>
      </c>
      <c r="K196" t="s">
        <v>36</v>
      </c>
      <c r="L196">
        <v>115</v>
      </c>
      <c r="M196" t="s">
        <v>19</v>
      </c>
      <c r="N196">
        <v>176</v>
      </c>
      <c r="O196">
        <v>33.28</v>
      </c>
      <c r="P196">
        <v>4</v>
      </c>
      <c r="Q196">
        <f>_26_03_2026_Log_Reseau_v15_7[[#This Row],[Durée cumulée_panne_minu]]/60</f>
        <v>2.9333333333333331</v>
      </c>
      <c r="R196">
        <f>ROUND(_26_03_2026_Log_Reseau_v15_7[[#This Row],[Durée_cumulée _ panne_en heure]],0)</f>
        <v>3</v>
      </c>
      <c r="S196">
        <f>_26_03_2026_Log_Reseau_v15_7[[#This Row],[Anciennété_mois]]/12</f>
        <v>9.5833333333333339</v>
      </c>
      <c r="T196">
        <f>ROUND(_26_03_2026_Log_Reseau_v15_7[[#This Row],[anciennete_ en année]],0)</f>
        <v>10</v>
      </c>
      <c r="U19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96" s="3">
        <f>ROUND(_26_03_2026_Log_Reseau_v15_7[[#This Row],[remise 10%_70%_45%]],0)</f>
        <v>0</v>
      </c>
      <c r="W196" s="3">
        <f>_26_03_2026_Log_Reseau_v15_7[[#This Row],[Facture mensuelle]]*_26_03_2026_Log_Reseau_v15_7[[#This Row],[remise 10_70_45]]</f>
        <v>0</v>
      </c>
    </row>
    <row r="197" spans="1:23" x14ac:dyDescent="0.25">
      <c r="A197" s="1">
        <v>45210</v>
      </c>
      <c r="B197" s="2">
        <v>0.56805555555555554</v>
      </c>
      <c r="C197" t="s">
        <v>1407</v>
      </c>
      <c r="D197">
        <v>96</v>
      </c>
      <c r="E197" t="s">
        <v>807</v>
      </c>
      <c r="F197" t="s">
        <v>64</v>
      </c>
      <c r="G197">
        <v>-5.4126279999999998</v>
      </c>
      <c r="H197">
        <v>25.498235999999999</v>
      </c>
      <c r="I197" t="s">
        <v>1477</v>
      </c>
      <c r="J197" t="s">
        <v>1483</v>
      </c>
      <c r="K197" t="s">
        <v>63</v>
      </c>
      <c r="L197">
        <v>79</v>
      </c>
      <c r="M197" t="s">
        <v>11</v>
      </c>
      <c r="N197">
        <v>226</v>
      </c>
      <c r="O197">
        <v>94.38</v>
      </c>
      <c r="P197">
        <v>3</v>
      </c>
      <c r="Q197">
        <f>_26_03_2026_Log_Reseau_v15_7[[#This Row],[Durée cumulée_panne_minu]]/60</f>
        <v>3.7666666666666666</v>
      </c>
      <c r="R197">
        <f>ROUND(_26_03_2026_Log_Reseau_v15_7[[#This Row],[Durée_cumulée _ panne_en heure]],0)</f>
        <v>4</v>
      </c>
      <c r="S197">
        <f>_26_03_2026_Log_Reseau_v15_7[[#This Row],[Anciennété_mois]]/12</f>
        <v>6.583333333333333</v>
      </c>
      <c r="T197">
        <f>ROUND(_26_03_2026_Log_Reseau_v15_7[[#This Row],[anciennete_ en année]],0)</f>
        <v>7</v>
      </c>
      <c r="U19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97" s="3">
        <f>ROUND(_26_03_2026_Log_Reseau_v15_7[[#This Row],[remise 10%_70%_45%]],0)</f>
        <v>0</v>
      </c>
      <c r="W197" s="3">
        <f>_26_03_2026_Log_Reseau_v15_7[[#This Row],[Facture mensuelle]]*_26_03_2026_Log_Reseau_v15_7[[#This Row],[remise 10_70_45]]</f>
        <v>0</v>
      </c>
    </row>
    <row r="198" spans="1:23" x14ac:dyDescent="0.25">
      <c r="A198" s="1">
        <v>45211</v>
      </c>
      <c r="B198" s="2">
        <v>0.27916666666666667</v>
      </c>
      <c r="C198" t="s">
        <v>806</v>
      </c>
      <c r="D198">
        <v>75</v>
      </c>
      <c r="E198" t="s">
        <v>807</v>
      </c>
      <c r="F198" t="s">
        <v>89</v>
      </c>
      <c r="G198">
        <v>-8.1437910000000002</v>
      </c>
      <c r="H198">
        <v>28.946161</v>
      </c>
      <c r="I198" t="s">
        <v>1480</v>
      </c>
      <c r="J198" t="s">
        <v>1483</v>
      </c>
      <c r="K198" t="s">
        <v>88</v>
      </c>
      <c r="L198">
        <v>98</v>
      </c>
      <c r="M198" t="s">
        <v>14</v>
      </c>
      <c r="N198">
        <v>482</v>
      </c>
      <c r="O198">
        <v>55.04</v>
      </c>
      <c r="P198">
        <v>5</v>
      </c>
      <c r="Q198">
        <f>_26_03_2026_Log_Reseau_v15_7[[#This Row],[Durée cumulée_panne_minu]]/60</f>
        <v>8.0333333333333332</v>
      </c>
      <c r="R198">
        <f>ROUND(_26_03_2026_Log_Reseau_v15_7[[#This Row],[Durée_cumulée _ panne_en heure]],0)</f>
        <v>8</v>
      </c>
      <c r="S198">
        <f>_26_03_2026_Log_Reseau_v15_7[[#This Row],[Anciennété_mois]]/12</f>
        <v>8.1666666666666661</v>
      </c>
      <c r="T198">
        <f>ROUND(_26_03_2026_Log_Reseau_v15_7[[#This Row],[anciennete_ en année]],0)</f>
        <v>8</v>
      </c>
      <c r="U19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198" s="3">
        <f>ROUND(_26_03_2026_Log_Reseau_v15_7[[#This Row],[remise 10%_70%_45%]],0)</f>
        <v>6</v>
      </c>
      <c r="W198" s="3">
        <f>_26_03_2026_Log_Reseau_v15_7[[#This Row],[Facture mensuelle]]*_26_03_2026_Log_Reseau_v15_7[[#This Row],[remise 10_70_45]]</f>
        <v>330.24</v>
      </c>
    </row>
    <row r="199" spans="1:23" x14ac:dyDescent="0.25">
      <c r="A199" s="1">
        <v>45211</v>
      </c>
      <c r="B199" s="2">
        <v>0.61041666666666672</v>
      </c>
      <c r="C199" t="s">
        <v>832</v>
      </c>
      <c r="D199">
        <v>114</v>
      </c>
      <c r="E199" t="s">
        <v>807</v>
      </c>
      <c r="F199" t="s">
        <v>10</v>
      </c>
      <c r="G199">
        <v>-7.0076900000000002</v>
      </c>
      <c r="H199">
        <v>27.367121999999998</v>
      </c>
      <c r="I199" t="s">
        <v>1482</v>
      </c>
      <c r="J199" t="s">
        <v>1490</v>
      </c>
      <c r="K199" t="s">
        <v>9</v>
      </c>
      <c r="L199">
        <v>29</v>
      </c>
      <c r="M199" t="s">
        <v>11</v>
      </c>
      <c r="N199">
        <v>214</v>
      </c>
      <c r="O199">
        <v>74.7</v>
      </c>
      <c r="P199">
        <v>3</v>
      </c>
      <c r="Q199">
        <f>_26_03_2026_Log_Reseau_v15_7[[#This Row],[Durée cumulée_panne_minu]]/60</f>
        <v>3.5666666666666669</v>
      </c>
      <c r="R199">
        <f>ROUND(_26_03_2026_Log_Reseau_v15_7[[#This Row],[Durée_cumulée _ panne_en heure]],0)</f>
        <v>4</v>
      </c>
      <c r="S199">
        <f>_26_03_2026_Log_Reseau_v15_7[[#This Row],[Anciennété_mois]]/12</f>
        <v>2.4166666666666665</v>
      </c>
      <c r="T199">
        <f>ROUND(_26_03_2026_Log_Reseau_v15_7[[#This Row],[anciennete_ en année]],0)</f>
        <v>2</v>
      </c>
      <c r="U19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199" s="3">
        <f>ROUND(_26_03_2026_Log_Reseau_v15_7[[#This Row],[remise 10%_70%_45%]],0)</f>
        <v>0</v>
      </c>
      <c r="W199" s="3">
        <f>_26_03_2026_Log_Reseau_v15_7[[#This Row],[Facture mensuelle]]*_26_03_2026_Log_Reseau_v15_7[[#This Row],[remise 10_70_45]]</f>
        <v>0</v>
      </c>
    </row>
    <row r="200" spans="1:23" x14ac:dyDescent="0.25">
      <c r="A200" s="1">
        <v>45211</v>
      </c>
      <c r="B200" s="2">
        <v>6.3888888888888884E-2</v>
      </c>
      <c r="C200" t="s">
        <v>852</v>
      </c>
      <c r="D200">
        <v>6</v>
      </c>
      <c r="E200" t="s">
        <v>812</v>
      </c>
      <c r="F200" t="s">
        <v>57</v>
      </c>
      <c r="G200">
        <v>1.7832440000000001</v>
      </c>
      <c r="H200">
        <v>25.477405999999998</v>
      </c>
      <c r="I200" t="s">
        <v>1477</v>
      </c>
      <c r="J200" t="s">
        <v>1481</v>
      </c>
      <c r="K200" t="s">
        <v>56</v>
      </c>
      <c r="L200">
        <v>97</v>
      </c>
      <c r="M200" t="s">
        <v>14</v>
      </c>
      <c r="N200">
        <v>319</v>
      </c>
      <c r="O200">
        <v>31.25</v>
      </c>
      <c r="P200">
        <v>1</v>
      </c>
      <c r="Q200">
        <f>_26_03_2026_Log_Reseau_v15_7[[#This Row],[Durée cumulée_panne_minu]]/60</f>
        <v>5.3166666666666664</v>
      </c>
      <c r="R200">
        <f>ROUND(_26_03_2026_Log_Reseau_v15_7[[#This Row],[Durée_cumulée _ panne_en heure]],0)</f>
        <v>5</v>
      </c>
      <c r="S200">
        <f>_26_03_2026_Log_Reseau_v15_7[[#This Row],[Anciennété_mois]]/12</f>
        <v>8.0833333333333339</v>
      </c>
      <c r="T200">
        <f>ROUND(_26_03_2026_Log_Reseau_v15_7[[#This Row],[anciennete_ en année]],0)</f>
        <v>8</v>
      </c>
      <c r="U20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3.125</v>
      </c>
      <c r="V200" s="3">
        <f>ROUND(_26_03_2026_Log_Reseau_v15_7[[#This Row],[remise 10%_70%_45%]],0)</f>
        <v>3</v>
      </c>
      <c r="W200" s="3">
        <f>_26_03_2026_Log_Reseau_v15_7[[#This Row],[Facture mensuelle]]*_26_03_2026_Log_Reseau_v15_7[[#This Row],[remise 10_70_45]]</f>
        <v>93.75</v>
      </c>
    </row>
    <row r="201" spans="1:23" x14ac:dyDescent="0.25">
      <c r="A201" s="1">
        <v>45211</v>
      </c>
      <c r="B201" s="2">
        <v>0.72499999999999998</v>
      </c>
      <c r="C201" t="s">
        <v>943</v>
      </c>
      <c r="D201">
        <v>84</v>
      </c>
      <c r="E201" t="s">
        <v>812</v>
      </c>
      <c r="F201" t="s">
        <v>35</v>
      </c>
      <c r="G201">
        <v>-1.4110389999999999</v>
      </c>
      <c r="H201">
        <v>21.261644</v>
      </c>
      <c r="I201" t="s">
        <v>1480</v>
      </c>
      <c r="J201" t="s">
        <v>1483</v>
      </c>
      <c r="K201" t="s">
        <v>34</v>
      </c>
      <c r="L201">
        <v>35</v>
      </c>
      <c r="M201" t="s">
        <v>14</v>
      </c>
      <c r="N201">
        <v>465</v>
      </c>
      <c r="O201">
        <v>58.59</v>
      </c>
      <c r="P201">
        <v>5</v>
      </c>
      <c r="Q201">
        <f>_26_03_2026_Log_Reseau_v15_7[[#This Row],[Durée cumulée_panne_minu]]/60</f>
        <v>7.75</v>
      </c>
      <c r="R201">
        <f>ROUND(_26_03_2026_Log_Reseau_v15_7[[#This Row],[Durée_cumulée _ panne_en heure]],0)</f>
        <v>8</v>
      </c>
      <c r="S201">
        <f>_26_03_2026_Log_Reseau_v15_7[[#This Row],[Anciennété_mois]]/12</f>
        <v>2.9166666666666665</v>
      </c>
      <c r="T201">
        <f>ROUND(_26_03_2026_Log_Reseau_v15_7[[#This Row],[anciennete_ en année]],0)</f>
        <v>3</v>
      </c>
      <c r="U20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201" s="3">
        <f>ROUND(_26_03_2026_Log_Reseau_v15_7[[#This Row],[remise 10%_70%_45%]],0)</f>
        <v>6</v>
      </c>
      <c r="W201" s="3">
        <f>_26_03_2026_Log_Reseau_v15_7[[#This Row],[Facture mensuelle]]*_26_03_2026_Log_Reseau_v15_7[[#This Row],[remise 10_70_45]]</f>
        <v>351.54</v>
      </c>
    </row>
    <row r="202" spans="1:23" x14ac:dyDescent="0.25">
      <c r="A202" s="1">
        <v>45211</v>
      </c>
      <c r="B202" s="2">
        <v>0.58750000000000002</v>
      </c>
      <c r="C202" t="s">
        <v>952</v>
      </c>
      <c r="D202">
        <v>27</v>
      </c>
      <c r="E202" t="s">
        <v>812</v>
      </c>
      <c r="F202" t="s">
        <v>60</v>
      </c>
      <c r="G202">
        <v>-7.8215969999999997</v>
      </c>
      <c r="H202">
        <v>26.797349000000001</v>
      </c>
      <c r="I202" t="s">
        <v>1482</v>
      </c>
      <c r="J202" t="s">
        <v>1478</v>
      </c>
      <c r="K202" t="s">
        <v>59</v>
      </c>
      <c r="L202">
        <v>14</v>
      </c>
      <c r="M202" t="s">
        <v>14</v>
      </c>
      <c r="N202">
        <v>316</v>
      </c>
      <c r="O202">
        <v>62.34</v>
      </c>
      <c r="P202">
        <v>4</v>
      </c>
      <c r="Q202">
        <f>_26_03_2026_Log_Reseau_v15_7[[#This Row],[Durée cumulée_panne_minu]]/60</f>
        <v>5.2666666666666666</v>
      </c>
      <c r="R202">
        <f>ROUND(_26_03_2026_Log_Reseau_v15_7[[#This Row],[Durée_cumulée _ panne_en heure]],0)</f>
        <v>5</v>
      </c>
      <c r="S202">
        <f>_26_03_2026_Log_Reseau_v15_7[[#This Row],[Anciennété_mois]]/12</f>
        <v>1.1666666666666667</v>
      </c>
      <c r="T202">
        <f>ROUND(_26_03_2026_Log_Reseau_v15_7[[#This Row],[anciennete_ en année]],0)</f>
        <v>1</v>
      </c>
      <c r="U20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202" s="3">
        <f>ROUND(_26_03_2026_Log_Reseau_v15_7[[#This Row],[remise 10%_70%_45%]],0)</f>
        <v>6</v>
      </c>
      <c r="W202" s="3">
        <f>_26_03_2026_Log_Reseau_v15_7[[#This Row],[Facture mensuelle]]*_26_03_2026_Log_Reseau_v15_7[[#This Row],[remise 10_70_45]]</f>
        <v>374.04</v>
      </c>
    </row>
    <row r="203" spans="1:23" x14ac:dyDescent="0.25">
      <c r="A203" s="1">
        <v>45211</v>
      </c>
      <c r="B203" s="2">
        <v>9.8611111111111108E-2</v>
      </c>
      <c r="C203" t="s">
        <v>1075</v>
      </c>
      <c r="D203">
        <v>59</v>
      </c>
      <c r="E203" t="s">
        <v>812</v>
      </c>
      <c r="F203" t="s">
        <v>31</v>
      </c>
      <c r="G203">
        <v>-11.387295999999999</v>
      </c>
      <c r="H203">
        <v>19.384257999999999</v>
      </c>
      <c r="I203" t="s">
        <v>1482</v>
      </c>
      <c r="J203" t="s">
        <v>1481</v>
      </c>
      <c r="K203" t="s">
        <v>30</v>
      </c>
      <c r="L203">
        <v>113</v>
      </c>
      <c r="M203" t="s">
        <v>22</v>
      </c>
      <c r="N203">
        <v>380</v>
      </c>
      <c r="O203">
        <v>12.11</v>
      </c>
      <c r="P203">
        <v>0</v>
      </c>
      <c r="Q203">
        <f>_26_03_2026_Log_Reseau_v15_7[[#This Row],[Durée cumulée_panne_minu]]/60</f>
        <v>6.333333333333333</v>
      </c>
      <c r="R203">
        <f>ROUND(_26_03_2026_Log_Reseau_v15_7[[#This Row],[Durée_cumulée _ panne_en heure]],0)</f>
        <v>6</v>
      </c>
      <c r="S203">
        <f>_26_03_2026_Log_Reseau_v15_7[[#This Row],[Anciennété_mois]]/12</f>
        <v>9.4166666666666661</v>
      </c>
      <c r="T203">
        <f>ROUND(_26_03_2026_Log_Reseau_v15_7[[#This Row],[anciennete_ en année]],0)</f>
        <v>9</v>
      </c>
      <c r="U20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03" s="3">
        <f>ROUND(_26_03_2026_Log_Reseau_v15_7[[#This Row],[remise 10%_70%_45%]],0)</f>
        <v>0</v>
      </c>
      <c r="W203" s="3">
        <f>_26_03_2026_Log_Reseau_v15_7[[#This Row],[Facture mensuelle]]*_26_03_2026_Log_Reseau_v15_7[[#This Row],[remise 10_70_45]]</f>
        <v>0</v>
      </c>
    </row>
    <row r="204" spans="1:23" x14ac:dyDescent="0.25">
      <c r="A204" s="1">
        <v>45211</v>
      </c>
      <c r="B204" s="2">
        <v>0.42499999999999999</v>
      </c>
      <c r="C204" t="s">
        <v>1089</v>
      </c>
      <c r="D204">
        <v>57</v>
      </c>
      <c r="E204" t="s">
        <v>808</v>
      </c>
      <c r="F204" t="s">
        <v>73</v>
      </c>
      <c r="G204">
        <v>-4.5603610000000003</v>
      </c>
      <c r="H204">
        <v>24.113918999999999</v>
      </c>
      <c r="I204" t="s">
        <v>1477</v>
      </c>
      <c r="J204" t="s">
        <v>1483</v>
      </c>
      <c r="K204" t="s">
        <v>72</v>
      </c>
      <c r="L204">
        <v>6</v>
      </c>
      <c r="M204" t="s">
        <v>11</v>
      </c>
      <c r="N204">
        <v>207</v>
      </c>
      <c r="O204">
        <v>61.55</v>
      </c>
      <c r="P204">
        <v>0</v>
      </c>
      <c r="Q204">
        <f>_26_03_2026_Log_Reseau_v15_7[[#This Row],[Durée cumulée_panne_minu]]/60</f>
        <v>3.45</v>
      </c>
      <c r="R204">
        <f>ROUND(_26_03_2026_Log_Reseau_v15_7[[#This Row],[Durée_cumulée _ panne_en heure]],0)</f>
        <v>3</v>
      </c>
      <c r="S204">
        <f>_26_03_2026_Log_Reseau_v15_7[[#This Row],[Anciennété_mois]]/12</f>
        <v>0.5</v>
      </c>
      <c r="T204">
        <f>ROUND(_26_03_2026_Log_Reseau_v15_7[[#This Row],[anciennete_ en année]],0)</f>
        <v>1</v>
      </c>
      <c r="U20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04" s="3">
        <f>ROUND(_26_03_2026_Log_Reseau_v15_7[[#This Row],[remise 10%_70%_45%]],0)</f>
        <v>0</v>
      </c>
      <c r="W204" s="3">
        <f>_26_03_2026_Log_Reseau_v15_7[[#This Row],[Facture mensuelle]]*_26_03_2026_Log_Reseau_v15_7[[#This Row],[remise 10_70_45]]</f>
        <v>0</v>
      </c>
    </row>
    <row r="205" spans="1:23" x14ac:dyDescent="0.25">
      <c r="A205" s="1">
        <v>45211</v>
      </c>
      <c r="B205" s="2">
        <v>0.10694444444444444</v>
      </c>
      <c r="C205" t="s">
        <v>1093</v>
      </c>
      <c r="D205">
        <v>87</v>
      </c>
      <c r="E205" t="s">
        <v>812</v>
      </c>
      <c r="F205" t="s">
        <v>21</v>
      </c>
      <c r="G205">
        <v>-5.2526849999999996</v>
      </c>
      <c r="H205">
        <v>12.374528</v>
      </c>
      <c r="I205" t="s">
        <v>1482</v>
      </c>
      <c r="J205" t="s">
        <v>1490</v>
      </c>
      <c r="K205" t="s">
        <v>20</v>
      </c>
      <c r="L205">
        <v>101</v>
      </c>
      <c r="M205" t="s">
        <v>22</v>
      </c>
      <c r="N205">
        <v>358</v>
      </c>
      <c r="O205">
        <v>29.24</v>
      </c>
      <c r="P205">
        <v>3</v>
      </c>
      <c r="Q205">
        <f>_26_03_2026_Log_Reseau_v15_7[[#This Row],[Durée cumulée_panne_minu]]/60</f>
        <v>5.9666666666666668</v>
      </c>
      <c r="R205">
        <f>ROUND(_26_03_2026_Log_Reseau_v15_7[[#This Row],[Durée_cumulée _ panne_en heure]],0)</f>
        <v>6</v>
      </c>
      <c r="S205">
        <f>_26_03_2026_Log_Reseau_v15_7[[#This Row],[Anciennété_mois]]/12</f>
        <v>8.4166666666666661</v>
      </c>
      <c r="T205">
        <f>ROUND(_26_03_2026_Log_Reseau_v15_7[[#This Row],[anciennete_ en année]],0)</f>
        <v>8</v>
      </c>
      <c r="U20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05" s="3">
        <f>ROUND(_26_03_2026_Log_Reseau_v15_7[[#This Row],[remise 10%_70%_45%]],0)</f>
        <v>0</v>
      </c>
      <c r="W205" s="3">
        <f>_26_03_2026_Log_Reseau_v15_7[[#This Row],[Facture mensuelle]]*_26_03_2026_Log_Reseau_v15_7[[#This Row],[remise 10_70_45]]</f>
        <v>0</v>
      </c>
    </row>
    <row r="206" spans="1:23" x14ac:dyDescent="0.25">
      <c r="A206" s="1">
        <v>45211</v>
      </c>
      <c r="B206" s="2">
        <v>0.31666666666666665</v>
      </c>
      <c r="C206" t="s">
        <v>1094</v>
      </c>
      <c r="D206">
        <v>93</v>
      </c>
      <c r="E206" t="s">
        <v>812</v>
      </c>
      <c r="F206" t="s">
        <v>137</v>
      </c>
      <c r="G206">
        <v>1.286548</v>
      </c>
      <c r="H206">
        <v>29.823702999999998</v>
      </c>
      <c r="I206" t="s">
        <v>1480</v>
      </c>
      <c r="J206" t="s">
        <v>1483</v>
      </c>
      <c r="K206" t="s">
        <v>136</v>
      </c>
      <c r="L206">
        <v>80</v>
      </c>
      <c r="M206" t="s">
        <v>22</v>
      </c>
      <c r="N206">
        <v>155</v>
      </c>
      <c r="O206">
        <v>28.96</v>
      </c>
      <c r="P206">
        <v>2</v>
      </c>
      <c r="Q206">
        <f>_26_03_2026_Log_Reseau_v15_7[[#This Row],[Durée cumulée_panne_minu]]/60</f>
        <v>2.5833333333333335</v>
      </c>
      <c r="R206">
        <f>ROUND(_26_03_2026_Log_Reseau_v15_7[[#This Row],[Durée_cumulée _ panne_en heure]],0)</f>
        <v>3</v>
      </c>
      <c r="S206">
        <f>_26_03_2026_Log_Reseau_v15_7[[#This Row],[Anciennété_mois]]/12</f>
        <v>6.666666666666667</v>
      </c>
      <c r="T206">
        <f>ROUND(_26_03_2026_Log_Reseau_v15_7[[#This Row],[anciennete_ en année]],0)</f>
        <v>7</v>
      </c>
      <c r="U20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06" s="3">
        <f>ROUND(_26_03_2026_Log_Reseau_v15_7[[#This Row],[remise 10%_70%_45%]],0)</f>
        <v>0</v>
      </c>
      <c r="W206" s="3">
        <f>_26_03_2026_Log_Reseau_v15_7[[#This Row],[Facture mensuelle]]*_26_03_2026_Log_Reseau_v15_7[[#This Row],[remise 10_70_45]]</f>
        <v>0</v>
      </c>
    </row>
    <row r="207" spans="1:23" x14ac:dyDescent="0.25">
      <c r="A207" s="1">
        <v>45211</v>
      </c>
      <c r="B207" s="2">
        <v>0.21944444444444444</v>
      </c>
      <c r="C207" t="s">
        <v>1112</v>
      </c>
      <c r="D207">
        <v>5</v>
      </c>
      <c r="E207" t="s">
        <v>807</v>
      </c>
      <c r="F207" t="s">
        <v>131</v>
      </c>
      <c r="G207">
        <v>-8.9586360000000003</v>
      </c>
      <c r="H207">
        <v>17.157720000000001</v>
      </c>
      <c r="I207" t="s">
        <v>1482</v>
      </c>
      <c r="J207" t="s">
        <v>1490</v>
      </c>
      <c r="K207" t="s">
        <v>130</v>
      </c>
      <c r="L207">
        <v>16</v>
      </c>
      <c r="M207" t="s">
        <v>19</v>
      </c>
      <c r="N207">
        <v>390</v>
      </c>
      <c r="O207">
        <v>98.17</v>
      </c>
      <c r="P207">
        <v>5</v>
      </c>
      <c r="Q207">
        <f>_26_03_2026_Log_Reseau_v15_7[[#This Row],[Durée cumulée_panne_minu]]/60</f>
        <v>6.5</v>
      </c>
      <c r="R207">
        <f>ROUND(_26_03_2026_Log_Reseau_v15_7[[#This Row],[Durée_cumulée _ panne_en heure]],0)</f>
        <v>7</v>
      </c>
      <c r="S207">
        <f>_26_03_2026_Log_Reseau_v15_7[[#This Row],[Anciennété_mois]]/12</f>
        <v>1.3333333333333333</v>
      </c>
      <c r="T207">
        <f>ROUND(_26_03_2026_Log_Reseau_v15_7[[#This Row],[anciennete_ en année]],0)</f>
        <v>1</v>
      </c>
      <c r="U20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07" s="3">
        <f>ROUND(_26_03_2026_Log_Reseau_v15_7[[#This Row],[remise 10%_70%_45%]],0)</f>
        <v>0</v>
      </c>
      <c r="W207" s="3">
        <f>_26_03_2026_Log_Reseau_v15_7[[#This Row],[Facture mensuelle]]*_26_03_2026_Log_Reseau_v15_7[[#This Row],[remise 10_70_45]]</f>
        <v>0</v>
      </c>
    </row>
    <row r="208" spans="1:23" x14ac:dyDescent="0.25">
      <c r="A208" s="1">
        <v>45211</v>
      </c>
      <c r="B208" s="2">
        <v>0.47708333333333336</v>
      </c>
      <c r="C208" t="s">
        <v>1171</v>
      </c>
      <c r="D208">
        <v>111</v>
      </c>
      <c r="E208" t="s">
        <v>807</v>
      </c>
      <c r="F208" t="s">
        <v>131</v>
      </c>
      <c r="G208">
        <v>4.6287159999999998</v>
      </c>
      <c r="H208">
        <v>19.407077999999998</v>
      </c>
      <c r="I208" t="s">
        <v>1480</v>
      </c>
      <c r="J208" t="s">
        <v>1478</v>
      </c>
      <c r="K208" t="s">
        <v>130</v>
      </c>
      <c r="L208">
        <v>16</v>
      </c>
      <c r="M208" t="s">
        <v>19</v>
      </c>
      <c r="N208">
        <v>390</v>
      </c>
      <c r="O208">
        <v>98.17</v>
      </c>
      <c r="P208">
        <v>5</v>
      </c>
      <c r="Q208">
        <f>_26_03_2026_Log_Reseau_v15_7[[#This Row],[Durée cumulée_panne_minu]]/60</f>
        <v>6.5</v>
      </c>
      <c r="R208">
        <f>ROUND(_26_03_2026_Log_Reseau_v15_7[[#This Row],[Durée_cumulée _ panne_en heure]],0)</f>
        <v>7</v>
      </c>
      <c r="S208">
        <f>_26_03_2026_Log_Reseau_v15_7[[#This Row],[Anciennété_mois]]/12</f>
        <v>1.3333333333333333</v>
      </c>
      <c r="T208">
        <f>ROUND(_26_03_2026_Log_Reseau_v15_7[[#This Row],[anciennete_ en année]],0)</f>
        <v>1</v>
      </c>
      <c r="U20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08" s="3">
        <f>ROUND(_26_03_2026_Log_Reseau_v15_7[[#This Row],[remise 10%_70%_45%]],0)</f>
        <v>0</v>
      </c>
      <c r="W208" s="3">
        <f>_26_03_2026_Log_Reseau_v15_7[[#This Row],[Facture mensuelle]]*_26_03_2026_Log_Reseau_v15_7[[#This Row],[remise 10_70_45]]</f>
        <v>0</v>
      </c>
    </row>
    <row r="209" spans="1:23" x14ac:dyDescent="0.25">
      <c r="A209" s="1">
        <v>45211</v>
      </c>
      <c r="B209" s="2">
        <v>0.42430555555555555</v>
      </c>
      <c r="C209" t="s">
        <v>1180</v>
      </c>
      <c r="D209">
        <v>116</v>
      </c>
      <c r="E209" t="s">
        <v>808</v>
      </c>
      <c r="F209" t="s">
        <v>131</v>
      </c>
      <c r="G209">
        <v>-1.8555980000000001</v>
      </c>
      <c r="H209">
        <v>30.421918000000002</v>
      </c>
      <c r="I209" t="s">
        <v>1482</v>
      </c>
      <c r="J209" t="s">
        <v>1483</v>
      </c>
      <c r="K209" t="s">
        <v>130</v>
      </c>
      <c r="L209">
        <v>16</v>
      </c>
      <c r="M209" t="s">
        <v>19</v>
      </c>
      <c r="N209">
        <v>390</v>
      </c>
      <c r="O209">
        <v>98.17</v>
      </c>
      <c r="P209">
        <v>5</v>
      </c>
      <c r="Q209">
        <f>_26_03_2026_Log_Reseau_v15_7[[#This Row],[Durée cumulée_panne_minu]]/60</f>
        <v>6.5</v>
      </c>
      <c r="R209">
        <f>ROUND(_26_03_2026_Log_Reseau_v15_7[[#This Row],[Durée_cumulée _ panne_en heure]],0)</f>
        <v>7</v>
      </c>
      <c r="S209">
        <f>_26_03_2026_Log_Reseau_v15_7[[#This Row],[Anciennété_mois]]/12</f>
        <v>1.3333333333333333</v>
      </c>
      <c r="T209">
        <f>ROUND(_26_03_2026_Log_Reseau_v15_7[[#This Row],[anciennete_ en année]],0)</f>
        <v>1</v>
      </c>
      <c r="U20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09" s="3">
        <f>ROUND(_26_03_2026_Log_Reseau_v15_7[[#This Row],[remise 10%_70%_45%]],0)</f>
        <v>0</v>
      </c>
      <c r="W209" s="3">
        <f>_26_03_2026_Log_Reseau_v15_7[[#This Row],[Facture mensuelle]]*_26_03_2026_Log_Reseau_v15_7[[#This Row],[remise 10_70_45]]</f>
        <v>0</v>
      </c>
    </row>
    <row r="210" spans="1:23" x14ac:dyDescent="0.25">
      <c r="A210" s="1">
        <v>45211</v>
      </c>
      <c r="B210" s="2">
        <v>0.61875000000000002</v>
      </c>
      <c r="C210" t="s">
        <v>1229</v>
      </c>
      <c r="D210">
        <v>92</v>
      </c>
      <c r="E210" t="s">
        <v>807</v>
      </c>
      <c r="F210" t="s">
        <v>73</v>
      </c>
      <c r="G210">
        <v>-0.85624699999999998</v>
      </c>
      <c r="H210">
        <v>28.624870000000001</v>
      </c>
      <c r="I210" t="s">
        <v>1482</v>
      </c>
      <c r="J210" t="s">
        <v>1478</v>
      </c>
      <c r="K210" t="s">
        <v>72</v>
      </c>
      <c r="L210">
        <v>6</v>
      </c>
      <c r="M210" t="s">
        <v>11</v>
      </c>
      <c r="N210">
        <v>207</v>
      </c>
      <c r="O210">
        <v>61.55</v>
      </c>
      <c r="P210">
        <v>0</v>
      </c>
      <c r="Q210">
        <f>_26_03_2026_Log_Reseau_v15_7[[#This Row],[Durée cumulée_panne_minu]]/60</f>
        <v>3.45</v>
      </c>
      <c r="R210">
        <f>ROUND(_26_03_2026_Log_Reseau_v15_7[[#This Row],[Durée_cumulée _ panne_en heure]],0)</f>
        <v>3</v>
      </c>
      <c r="S210">
        <f>_26_03_2026_Log_Reseau_v15_7[[#This Row],[Anciennété_mois]]/12</f>
        <v>0.5</v>
      </c>
      <c r="T210">
        <f>ROUND(_26_03_2026_Log_Reseau_v15_7[[#This Row],[anciennete_ en année]],0)</f>
        <v>1</v>
      </c>
      <c r="U21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10" s="3">
        <f>ROUND(_26_03_2026_Log_Reseau_v15_7[[#This Row],[remise 10%_70%_45%]],0)</f>
        <v>0</v>
      </c>
      <c r="W210" s="3">
        <f>_26_03_2026_Log_Reseau_v15_7[[#This Row],[Facture mensuelle]]*_26_03_2026_Log_Reseau_v15_7[[#This Row],[remise 10_70_45]]</f>
        <v>0</v>
      </c>
    </row>
    <row r="211" spans="1:23" x14ac:dyDescent="0.25">
      <c r="A211" s="1">
        <v>45211</v>
      </c>
      <c r="B211" s="2">
        <v>0.88888888888888884</v>
      </c>
      <c r="C211" t="s">
        <v>1254</v>
      </c>
      <c r="D211">
        <v>87</v>
      </c>
      <c r="E211" t="s">
        <v>808</v>
      </c>
      <c r="F211" t="s">
        <v>127</v>
      </c>
      <c r="G211">
        <v>-7.1483749999999997</v>
      </c>
      <c r="H211">
        <v>26.014271000000001</v>
      </c>
      <c r="I211" t="s">
        <v>1477</v>
      </c>
      <c r="J211" t="s">
        <v>1481</v>
      </c>
      <c r="K211" t="s">
        <v>126</v>
      </c>
      <c r="L211">
        <v>40</v>
      </c>
      <c r="M211" t="s">
        <v>11</v>
      </c>
      <c r="N211">
        <v>345</v>
      </c>
      <c r="O211">
        <v>89.55</v>
      </c>
      <c r="P211">
        <v>3</v>
      </c>
      <c r="Q211">
        <f>_26_03_2026_Log_Reseau_v15_7[[#This Row],[Durée cumulée_panne_minu]]/60</f>
        <v>5.75</v>
      </c>
      <c r="R211">
        <f>ROUND(_26_03_2026_Log_Reseau_v15_7[[#This Row],[Durée_cumulée _ panne_en heure]],0)</f>
        <v>6</v>
      </c>
      <c r="S211">
        <f>_26_03_2026_Log_Reseau_v15_7[[#This Row],[Anciennété_mois]]/12</f>
        <v>3.3333333333333335</v>
      </c>
      <c r="T211">
        <f>ROUND(_26_03_2026_Log_Reseau_v15_7[[#This Row],[anciennete_ en année]],0)</f>
        <v>3</v>
      </c>
      <c r="U21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11" s="3">
        <f>ROUND(_26_03_2026_Log_Reseau_v15_7[[#This Row],[remise 10%_70%_45%]],0)</f>
        <v>0</v>
      </c>
      <c r="W211" s="3">
        <f>_26_03_2026_Log_Reseau_v15_7[[#This Row],[Facture mensuelle]]*_26_03_2026_Log_Reseau_v15_7[[#This Row],[remise 10_70_45]]</f>
        <v>0</v>
      </c>
    </row>
    <row r="212" spans="1:23" x14ac:dyDescent="0.25">
      <c r="A212" s="1">
        <v>45211</v>
      </c>
      <c r="B212" s="2">
        <v>0.72291666666666665</v>
      </c>
      <c r="C212" t="s">
        <v>1270</v>
      </c>
      <c r="D212">
        <v>28</v>
      </c>
      <c r="E212" t="s">
        <v>807</v>
      </c>
      <c r="F212" t="s">
        <v>127</v>
      </c>
      <c r="G212">
        <v>-6.9624990000000002</v>
      </c>
      <c r="H212">
        <v>20.759834999999999</v>
      </c>
      <c r="I212" t="s">
        <v>1480</v>
      </c>
      <c r="J212" t="s">
        <v>1481</v>
      </c>
      <c r="K212" t="s">
        <v>126</v>
      </c>
      <c r="L212">
        <v>40</v>
      </c>
      <c r="M212" t="s">
        <v>11</v>
      </c>
      <c r="N212">
        <v>345</v>
      </c>
      <c r="O212">
        <v>89.55</v>
      </c>
      <c r="P212">
        <v>3</v>
      </c>
      <c r="Q212">
        <f>_26_03_2026_Log_Reseau_v15_7[[#This Row],[Durée cumulée_panne_minu]]/60</f>
        <v>5.75</v>
      </c>
      <c r="R212">
        <f>ROUND(_26_03_2026_Log_Reseau_v15_7[[#This Row],[Durée_cumulée _ panne_en heure]],0)</f>
        <v>6</v>
      </c>
      <c r="S212">
        <f>_26_03_2026_Log_Reseau_v15_7[[#This Row],[Anciennété_mois]]/12</f>
        <v>3.3333333333333335</v>
      </c>
      <c r="T212">
        <f>ROUND(_26_03_2026_Log_Reseau_v15_7[[#This Row],[anciennete_ en année]],0)</f>
        <v>3</v>
      </c>
      <c r="U21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12" s="3">
        <f>ROUND(_26_03_2026_Log_Reseau_v15_7[[#This Row],[remise 10%_70%_45%]],0)</f>
        <v>0</v>
      </c>
      <c r="W212" s="3">
        <f>_26_03_2026_Log_Reseau_v15_7[[#This Row],[Facture mensuelle]]*_26_03_2026_Log_Reseau_v15_7[[#This Row],[remise 10_70_45]]</f>
        <v>0</v>
      </c>
    </row>
    <row r="213" spans="1:23" x14ac:dyDescent="0.25">
      <c r="A213" s="1">
        <v>45211</v>
      </c>
      <c r="B213" s="2">
        <v>0.12847222222222221</v>
      </c>
      <c r="C213" t="s">
        <v>1302</v>
      </c>
      <c r="D213">
        <v>110</v>
      </c>
      <c r="E213" t="s">
        <v>808</v>
      </c>
      <c r="F213" t="s">
        <v>21</v>
      </c>
      <c r="G213">
        <v>2.453036</v>
      </c>
      <c r="H213">
        <v>20.555484</v>
      </c>
      <c r="I213" t="s">
        <v>1477</v>
      </c>
      <c r="J213" t="s">
        <v>1478</v>
      </c>
      <c r="K213" t="s">
        <v>20</v>
      </c>
      <c r="L213">
        <v>101</v>
      </c>
      <c r="M213" t="s">
        <v>22</v>
      </c>
      <c r="N213">
        <v>358</v>
      </c>
      <c r="O213">
        <v>29.24</v>
      </c>
      <c r="P213">
        <v>3</v>
      </c>
      <c r="Q213">
        <f>_26_03_2026_Log_Reseau_v15_7[[#This Row],[Durée cumulée_panne_minu]]/60</f>
        <v>5.9666666666666668</v>
      </c>
      <c r="R213">
        <f>ROUND(_26_03_2026_Log_Reseau_v15_7[[#This Row],[Durée_cumulée _ panne_en heure]],0)</f>
        <v>6</v>
      </c>
      <c r="S213">
        <f>_26_03_2026_Log_Reseau_v15_7[[#This Row],[Anciennété_mois]]/12</f>
        <v>8.4166666666666661</v>
      </c>
      <c r="T213">
        <f>ROUND(_26_03_2026_Log_Reseau_v15_7[[#This Row],[anciennete_ en année]],0)</f>
        <v>8</v>
      </c>
      <c r="U21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13" s="3">
        <f>ROUND(_26_03_2026_Log_Reseau_v15_7[[#This Row],[remise 10%_70%_45%]],0)</f>
        <v>0</v>
      </c>
      <c r="W213" s="3">
        <f>_26_03_2026_Log_Reseau_v15_7[[#This Row],[Facture mensuelle]]*_26_03_2026_Log_Reseau_v15_7[[#This Row],[remise 10_70_45]]</f>
        <v>0</v>
      </c>
    </row>
    <row r="214" spans="1:23" x14ac:dyDescent="0.25">
      <c r="A214" s="1">
        <v>45211</v>
      </c>
      <c r="B214" s="2">
        <v>0.90486111111111112</v>
      </c>
      <c r="C214" t="s">
        <v>1325</v>
      </c>
      <c r="D214">
        <v>45</v>
      </c>
      <c r="E214" t="s">
        <v>812</v>
      </c>
      <c r="F214" t="s">
        <v>31</v>
      </c>
      <c r="G214">
        <v>-12.342053999999999</v>
      </c>
      <c r="H214">
        <v>18.756862000000002</v>
      </c>
      <c r="I214" t="s">
        <v>1482</v>
      </c>
      <c r="J214" t="s">
        <v>1478</v>
      </c>
      <c r="K214" t="s">
        <v>30</v>
      </c>
      <c r="L214">
        <v>113</v>
      </c>
      <c r="M214" t="s">
        <v>22</v>
      </c>
      <c r="N214">
        <v>380</v>
      </c>
      <c r="O214">
        <v>12.11</v>
      </c>
      <c r="P214">
        <v>0</v>
      </c>
      <c r="Q214">
        <f>_26_03_2026_Log_Reseau_v15_7[[#This Row],[Durée cumulée_panne_minu]]/60</f>
        <v>6.333333333333333</v>
      </c>
      <c r="R214">
        <f>ROUND(_26_03_2026_Log_Reseau_v15_7[[#This Row],[Durée_cumulée _ panne_en heure]],0)</f>
        <v>6</v>
      </c>
      <c r="S214">
        <f>_26_03_2026_Log_Reseau_v15_7[[#This Row],[Anciennété_mois]]/12</f>
        <v>9.4166666666666661</v>
      </c>
      <c r="T214">
        <f>ROUND(_26_03_2026_Log_Reseau_v15_7[[#This Row],[anciennete_ en année]],0)</f>
        <v>9</v>
      </c>
      <c r="U21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14" s="3">
        <f>ROUND(_26_03_2026_Log_Reseau_v15_7[[#This Row],[remise 10%_70%_45%]],0)</f>
        <v>0</v>
      </c>
      <c r="W214" s="3">
        <f>_26_03_2026_Log_Reseau_v15_7[[#This Row],[Facture mensuelle]]*_26_03_2026_Log_Reseau_v15_7[[#This Row],[remise 10_70_45]]</f>
        <v>0</v>
      </c>
    </row>
    <row r="215" spans="1:23" x14ac:dyDescent="0.25">
      <c r="A215" s="1">
        <v>45211</v>
      </c>
      <c r="B215" s="2">
        <v>0.10625</v>
      </c>
      <c r="C215" t="s">
        <v>1342</v>
      </c>
      <c r="D215">
        <v>107</v>
      </c>
      <c r="E215" t="s">
        <v>807</v>
      </c>
      <c r="F215" t="s">
        <v>29</v>
      </c>
      <c r="G215">
        <v>-5.125</v>
      </c>
      <c r="H215">
        <v>23.513119</v>
      </c>
      <c r="I215" t="s">
        <v>1477</v>
      </c>
      <c r="J215" t="s">
        <v>1481</v>
      </c>
      <c r="K215" t="s">
        <v>28</v>
      </c>
      <c r="L215">
        <v>99</v>
      </c>
      <c r="M215" t="s">
        <v>19</v>
      </c>
      <c r="N215">
        <v>369</v>
      </c>
      <c r="O215">
        <v>67.209999999999994</v>
      </c>
      <c r="P215">
        <v>3</v>
      </c>
      <c r="Q215">
        <f>_26_03_2026_Log_Reseau_v15_7[[#This Row],[Durée cumulée_panne_minu]]/60</f>
        <v>6.15</v>
      </c>
      <c r="R215">
        <f>ROUND(_26_03_2026_Log_Reseau_v15_7[[#This Row],[Durée_cumulée _ panne_en heure]],0)</f>
        <v>6</v>
      </c>
      <c r="S215">
        <f>_26_03_2026_Log_Reseau_v15_7[[#This Row],[Anciennété_mois]]/12</f>
        <v>8.25</v>
      </c>
      <c r="T215">
        <f>ROUND(_26_03_2026_Log_Reseau_v15_7[[#This Row],[anciennete_ en année]],0)</f>
        <v>8</v>
      </c>
      <c r="U21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15" s="3">
        <f>ROUND(_26_03_2026_Log_Reseau_v15_7[[#This Row],[remise 10%_70%_45%]],0)</f>
        <v>0</v>
      </c>
      <c r="W215" s="3">
        <f>_26_03_2026_Log_Reseau_v15_7[[#This Row],[Facture mensuelle]]*_26_03_2026_Log_Reseau_v15_7[[#This Row],[remise 10_70_45]]</f>
        <v>0</v>
      </c>
    </row>
    <row r="216" spans="1:23" x14ac:dyDescent="0.25">
      <c r="A216" s="1">
        <v>45211</v>
      </c>
      <c r="B216" s="2">
        <v>0.23472222222222222</v>
      </c>
      <c r="C216" t="s">
        <v>1343</v>
      </c>
      <c r="D216">
        <v>62</v>
      </c>
      <c r="E216" t="s">
        <v>812</v>
      </c>
      <c r="F216" t="s">
        <v>131</v>
      </c>
      <c r="G216">
        <v>-2.3102109999999998</v>
      </c>
      <c r="H216">
        <v>12.362488000000001</v>
      </c>
      <c r="I216" t="s">
        <v>1477</v>
      </c>
      <c r="J216" t="s">
        <v>1490</v>
      </c>
      <c r="K216" t="s">
        <v>130</v>
      </c>
      <c r="L216">
        <v>16</v>
      </c>
      <c r="M216" t="s">
        <v>19</v>
      </c>
      <c r="N216">
        <v>390</v>
      </c>
      <c r="O216">
        <v>98.17</v>
      </c>
      <c r="P216">
        <v>5</v>
      </c>
      <c r="Q216">
        <f>_26_03_2026_Log_Reseau_v15_7[[#This Row],[Durée cumulée_panne_minu]]/60</f>
        <v>6.5</v>
      </c>
      <c r="R216">
        <f>ROUND(_26_03_2026_Log_Reseau_v15_7[[#This Row],[Durée_cumulée _ panne_en heure]],0)</f>
        <v>7</v>
      </c>
      <c r="S216">
        <f>_26_03_2026_Log_Reseau_v15_7[[#This Row],[Anciennété_mois]]/12</f>
        <v>1.3333333333333333</v>
      </c>
      <c r="T216">
        <f>ROUND(_26_03_2026_Log_Reseau_v15_7[[#This Row],[anciennete_ en année]],0)</f>
        <v>1</v>
      </c>
      <c r="U21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16" s="3">
        <f>ROUND(_26_03_2026_Log_Reseau_v15_7[[#This Row],[remise 10%_70%_45%]],0)</f>
        <v>0</v>
      </c>
      <c r="W216" s="3">
        <f>_26_03_2026_Log_Reseau_v15_7[[#This Row],[Facture mensuelle]]*_26_03_2026_Log_Reseau_v15_7[[#This Row],[remise 10_70_45]]</f>
        <v>0</v>
      </c>
    </row>
    <row r="217" spans="1:23" x14ac:dyDescent="0.25">
      <c r="A217" s="1">
        <v>45211</v>
      </c>
      <c r="B217" s="2">
        <v>4.583333333333333E-2</v>
      </c>
      <c r="C217" t="s">
        <v>1358</v>
      </c>
      <c r="D217">
        <v>18</v>
      </c>
      <c r="E217" t="s">
        <v>812</v>
      </c>
      <c r="F217" t="s">
        <v>16</v>
      </c>
      <c r="G217">
        <v>-5.3762689999999997</v>
      </c>
      <c r="H217">
        <v>28.189575999999999</v>
      </c>
      <c r="I217" t="s">
        <v>1477</v>
      </c>
      <c r="J217" t="s">
        <v>1481</v>
      </c>
      <c r="K217" t="s">
        <v>15</v>
      </c>
      <c r="L217">
        <v>34</v>
      </c>
      <c r="M217" t="s">
        <v>14</v>
      </c>
      <c r="N217">
        <v>453</v>
      </c>
      <c r="O217">
        <v>56.84</v>
      </c>
      <c r="P217">
        <v>0</v>
      </c>
      <c r="Q217">
        <f>_26_03_2026_Log_Reseau_v15_7[[#This Row],[Durée cumulée_panne_minu]]/60</f>
        <v>7.55</v>
      </c>
      <c r="R217">
        <f>ROUND(_26_03_2026_Log_Reseau_v15_7[[#This Row],[Durée_cumulée _ panne_en heure]],0)</f>
        <v>8</v>
      </c>
      <c r="S217">
        <f>_26_03_2026_Log_Reseau_v15_7[[#This Row],[Anciennété_mois]]/12</f>
        <v>2.8333333333333335</v>
      </c>
      <c r="T217">
        <f>ROUND(_26_03_2026_Log_Reseau_v15_7[[#This Row],[anciennete_ en année]],0)</f>
        <v>3</v>
      </c>
      <c r="U21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217" s="3">
        <f>ROUND(_26_03_2026_Log_Reseau_v15_7[[#This Row],[remise 10%_70%_45%]],0)</f>
        <v>6</v>
      </c>
      <c r="W217" s="3">
        <f>_26_03_2026_Log_Reseau_v15_7[[#This Row],[Facture mensuelle]]*_26_03_2026_Log_Reseau_v15_7[[#This Row],[remise 10_70_45]]</f>
        <v>341.04</v>
      </c>
    </row>
    <row r="218" spans="1:23" x14ac:dyDescent="0.25">
      <c r="A218" s="1">
        <v>45211</v>
      </c>
      <c r="B218" s="2">
        <v>0.22430555555555556</v>
      </c>
      <c r="C218" t="s">
        <v>1426</v>
      </c>
      <c r="D218">
        <v>37</v>
      </c>
      <c r="E218" t="s">
        <v>807</v>
      </c>
      <c r="F218" t="s">
        <v>37</v>
      </c>
      <c r="G218">
        <v>-2.4662510000000002</v>
      </c>
      <c r="H218">
        <v>18.007998000000001</v>
      </c>
      <c r="I218" t="s">
        <v>1477</v>
      </c>
      <c r="J218" t="s">
        <v>1478</v>
      </c>
      <c r="K218" t="s">
        <v>36</v>
      </c>
      <c r="L218">
        <v>115</v>
      </c>
      <c r="M218" t="s">
        <v>19</v>
      </c>
      <c r="N218">
        <v>176</v>
      </c>
      <c r="O218">
        <v>33.28</v>
      </c>
      <c r="P218">
        <v>4</v>
      </c>
      <c r="Q218">
        <f>_26_03_2026_Log_Reseau_v15_7[[#This Row],[Durée cumulée_panne_minu]]/60</f>
        <v>2.9333333333333331</v>
      </c>
      <c r="R218">
        <f>ROUND(_26_03_2026_Log_Reseau_v15_7[[#This Row],[Durée_cumulée _ panne_en heure]],0)</f>
        <v>3</v>
      </c>
      <c r="S218">
        <f>_26_03_2026_Log_Reseau_v15_7[[#This Row],[Anciennété_mois]]/12</f>
        <v>9.5833333333333339</v>
      </c>
      <c r="T218">
        <f>ROUND(_26_03_2026_Log_Reseau_v15_7[[#This Row],[anciennete_ en année]],0)</f>
        <v>10</v>
      </c>
      <c r="U21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18" s="3">
        <f>ROUND(_26_03_2026_Log_Reseau_v15_7[[#This Row],[remise 10%_70%_45%]],0)</f>
        <v>0</v>
      </c>
      <c r="W218" s="3">
        <f>_26_03_2026_Log_Reseau_v15_7[[#This Row],[Facture mensuelle]]*_26_03_2026_Log_Reseau_v15_7[[#This Row],[remise 10_70_45]]</f>
        <v>0</v>
      </c>
    </row>
    <row r="219" spans="1:23" x14ac:dyDescent="0.25">
      <c r="A219" s="1">
        <v>45211</v>
      </c>
      <c r="B219" s="2">
        <v>0.33750000000000002</v>
      </c>
      <c r="C219" t="s">
        <v>1440</v>
      </c>
      <c r="D219">
        <v>88</v>
      </c>
      <c r="E219" t="s">
        <v>808</v>
      </c>
      <c r="F219" t="s">
        <v>10</v>
      </c>
      <c r="G219">
        <v>-12.364127999999999</v>
      </c>
      <c r="H219">
        <v>19.576150999999999</v>
      </c>
      <c r="I219" t="s">
        <v>1482</v>
      </c>
      <c r="J219" t="s">
        <v>1490</v>
      </c>
      <c r="K219" t="s">
        <v>9</v>
      </c>
      <c r="L219">
        <v>29</v>
      </c>
      <c r="M219" t="s">
        <v>11</v>
      </c>
      <c r="N219">
        <v>214</v>
      </c>
      <c r="O219">
        <v>74.7</v>
      </c>
      <c r="P219">
        <v>3</v>
      </c>
      <c r="Q219">
        <f>_26_03_2026_Log_Reseau_v15_7[[#This Row],[Durée cumulée_panne_minu]]/60</f>
        <v>3.5666666666666669</v>
      </c>
      <c r="R219">
        <f>ROUND(_26_03_2026_Log_Reseau_v15_7[[#This Row],[Durée_cumulée _ panne_en heure]],0)</f>
        <v>4</v>
      </c>
      <c r="S219">
        <f>_26_03_2026_Log_Reseau_v15_7[[#This Row],[Anciennété_mois]]/12</f>
        <v>2.4166666666666665</v>
      </c>
      <c r="T219">
        <f>ROUND(_26_03_2026_Log_Reseau_v15_7[[#This Row],[anciennete_ en année]],0)</f>
        <v>2</v>
      </c>
      <c r="U21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19" s="3">
        <f>ROUND(_26_03_2026_Log_Reseau_v15_7[[#This Row],[remise 10%_70%_45%]],0)</f>
        <v>0</v>
      </c>
      <c r="W219" s="3">
        <f>_26_03_2026_Log_Reseau_v15_7[[#This Row],[Facture mensuelle]]*_26_03_2026_Log_Reseau_v15_7[[#This Row],[remise 10_70_45]]</f>
        <v>0</v>
      </c>
    </row>
    <row r="220" spans="1:23" x14ac:dyDescent="0.25">
      <c r="A220" s="1">
        <v>45212</v>
      </c>
      <c r="B220" s="2">
        <v>0.56805555555555554</v>
      </c>
      <c r="C220" t="s">
        <v>869</v>
      </c>
      <c r="D220">
        <v>42</v>
      </c>
      <c r="E220" t="s">
        <v>808</v>
      </c>
      <c r="F220" t="s">
        <v>33</v>
      </c>
      <c r="G220">
        <v>-7.3379339999999997</v>
      </c>
      <c r="H220">
        <v>28.404001999999998</v>
      </c>
      <c r="I220" t="s">
        <v>1482</v>
      </c>
      <c r="J220" t="s">
        <v>1490</v>
      </c>
      <c r="K220" t="s">
        <v>32</v>
      </c>
      <c r="L220">
        <v>72</v>
      </c>
      <c r="M220" t="s">
        <v>14</v>
      </c>
      <c r="N220">
        <v>160</v>
      </c>
      <c r="O220">
        <v>90.13</v>
      </c>
      <c r="P220">
        <v>2</v>
      </c>
      <c r="Q220">
        <f>_26_03_2026_Log_Reseau_v15_7[[#This Row],[Durée cumulée_panne_minu]]/60</f>
        <v>2.6666666666666665</v>
      </c>
      <c r="R220">
        <f>ROUND(_26_03_2026_Log_Reseau_v15_7[[#This Row],[Durée_cumulée _ panne_en heure]],0)</f>
        <v>3</v>
      </c>
      <c r="S220">
        <f>_26_03_2026_Log_Reseau_v15_7[[#This Row],[Anciennété_mois]]/12</f>
        <v>6</v>
      </c>
      <c r="T220">
        <f>ROUND(_26_03_2026_Log_Reseau_v15_7[[#This Row],[anciennete_ en année]],0)</f>
        <v>6</v>
      </c>
      <c r="U22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220" s="3">
        <f>ROUND(_26_03_2026_Log_Reseau_v15_7[[#This Row],[remise 10%_70%_45%]],0)</f>
        <v>9</v>
      </c>
      <c r="W220" s="3">
        <f>_26_03_2026_Log_Reseau_v15_7[[#This Row],[Facture mensuelle]]*_26_03_2026_Log_Reseau_v15_7[[#This Row],[remise 10_70_45]]</f>
        <v>811.17</v>
      </c>
    </row>
    <row r="221" spans="1:23" x14ac:dyDescent="0.25">
      <c r="A221" s="1">
        <v>45212</v>
      </c>
      <c r="B221" s="2">
        <v>0.41736111111111113</v>
      </c>
      <c r="C221" t="s">
        <v>891</v>
      </c>
      <c r="D221">
        <v>55</v>
      </c>
      <c r="E221" t="s">
        <v>808</v>
      </c>
      <c r="F221" t="s">
        <v>78</v>
      </c>
      <c r="G221">
        <v>1.938083</v>
      </c>
      <c r="H221">
        <v>28.25281</v>
      </c>
      <c r="I221" t="s">
        <v>1480</v>
      </c>
      <c r="J221" t="s">
        <v>1490</v>
      </c>
      <c r="K221" t="s">
        <v>77</v>
      </c>
      <c r="L221">
        <v>81</v>
      </c>
      <c r="M221" t="s">
        <v>14</v>
      </c>
      <c r="N221">
        <v>154</v>
      </c>
      <c r="O221">
        <v>19.47</v>
      </c>
      <c r="P221">
        <v>3</v>
      </c>
      <c r="Q221">
        <f>_26_03_2026_Log_Reseau_v15_7[[#This Row],[Durée cumulée_panne_minu]]/60</f>
        <v>2.5666666666666669</v>
      </c>
      <c r="R221">
        <f>ROUND(_26_03_2026_Log_Reseau_v15_7[[#This Row],[Durée_cumulée _ panne_en heure]],0)</f>
        <v>3</v>
      </c>
      <c r="S221">
        <f>_26_03_2026_Log_Reseau_v15_7[[#This Row],[Anciennété_mois]]/12</f>
        <v>6.75</v>
      </c>
      <c r="T221">
        <f>ROUND(_26_03_2026_Log_Reseau_v15_7[[#This Row],[anciennete_ en année]],0)</f>
        <v>7</v>
      </c>
      <c r="U22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221" s="3">
        <f>ROUND(_26_03_2026_Log_Reseau_v15_7[[#This Row],[remise 10%_70%_45%]],0)</f>
        <v>2</v>
      </c>
      <c r="W221" s="3">
        <f>_26_03_2026_Log_Reseau_v15_7[[#This Row],[Facture mensuelle]]*_26_03_2026_Log_Reseau_v15_7[[#This Row],[remise 10_70_45]]</f>
        <v>38.94</v>
      </c>
    </row>
    <row r="222" spans="1:23" x14ac:dyDescent="0.25">
      <c r="A222" s="1">
        <v>45212</v>
      </c>
      <c r="B222" s="2">
        <v>0.87569444444444444</v>
      </c>
      <c r="C222" t="s">
        <v>903</v>
      </c>
      <c r="D222">
        <v>23</v>
      </c>
      <c r="E222" t="s">
        <v>807</v>
      </c>
      <c r="F222" t="s">
        <v>51</v>
      </c>
      <c r="G222">
        <v>1.2691650000000001</v>
      </c>
      <c r="H222">
        <v>18.789956</v>
      </c>
      <c r="I222" t="s">
        <v>1482</v>
      </c>
      <c r="J222" t="s">
        <v>1490</v>
      </c>
      <c r="K222" t="s">
        <v>50</v>
      </c>
      <c r="L222">
        <v>119</v>
      </c>
      <c r="M222" t="s">
        <v>22</v>
      </c>
      <c r="N222">
        <v>228</v>
      </c>
      <c r="O222">
        <v>94.72</v>
      </c>
      <c r="P222">
        <v>3</v>
      </c>
      <c r="Q222">
        <f>_26_03_2026_Log_Reseau_v15_7[[#This Row],[Durée cumulée_panne_minu]]/60</f>
        <v>3.8</v>
      </c>
      <c r="R222">
        <f>ROUND(_26_03_2026_Log_Reseau_v15_7[[#This Row],[Durée_cumulée _ panne_en heure]],0)</f>
        <v>4</v>
      </c>
      <c r="S222">
        <f>_26_03_2026_Log_Reseau_v15_7[[#This Row],[Anciennété_mois]]/12</f>
        <v>9.9166666666666661</v>
      </c>
      <c r="T222">
        <f>ROUND(_26_03_2026_Log_Reseau_v15_7[[#This Row],[anciennete_ en année]],0)</f>
        <v>10</v>
      </c>
      <c r="U22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22" s="3">
        <f>ROUND(_26_03_2026_Log_Reseau_v15_7[[#This Row],[remise 10%_70%_45%]],0)</f>
        <v>0</v>
      </c>
      <c r="W222" s="3">
        <f>_26_03_2026_Log_Reseau_v15_7[[#This Row],[Facture mensuelle]]*_26_03_2026_Log_Reseau_v15_7[[#This Row],[remise 10_70_45]]</f>
        <v>0</v>
      </c>
    </row>
    <row r="223" spans="1:23" x14ac:dyDescent="0.25">
      <c r="A223" s="1">
        <v>45212</v>
      </c>
      <c r="B223" s="2">
        <v>0.90138888888888891</v>
      </c>
      <c r="C223" t="s">
        <v>904</v>
      </c>
      <c r="D223">
        <v>58</v>
      </c>
      <c r="E223" t="s">
        <v>807</v>
      </c>
      <c r="F223" t="s">
        <v>40</v>
      </c>
      <c r="G223">
        <v>-10.963041</v>
      </c>
      <c r="H223">
        <v>12.269857</v>
      </c>
      <c r="I223" t="s">
        <v>1480</v>
      </c>
      <c r="J223" t="s">
        <v>1481</v>
      </c>
      <c r="K223" t="s">
        <v>39</v>
      </c>
      <c r="L223">
        <v>110</v>
      </c>
      <c r="M223" t="s">
        <v>14</v>
      </c>
      <c r="N223">
        <v>423</v>
      </c>
      <c r="O223">
        <v>37.35</v>
      </c>
      <c r="P223">
        <v>4</v>
      </c>
      <c r="Q223">
        <f>_26_03_2026_Log_Reseau_v15_7[[#This Row],[Durée cumulée_panne_minu]]/60</f>
        <v>7.05</v>
      </c>
      <c r="R223">
        <f>ROUND(_26_03_2026_Log_Reseau_v15_7[[#This Row],[Durée_cumulée _ panne_en heure]],0)</f>
        <v>7</v>
      </c>
      <c r="S223">
        <f>_26_03_2026_Log_Reseau_v15_7[[#This Row],[Anciennété_mois]]/12</f>
        <v>9.1666666666666661</v>
      </c>
      <c r="T223">
        <f>ROUND(_26_03_2026_Log_Reseau_v15_7[[#This Row],[anciennete_ en année]],0)</f>
        <v>9</v>
      </c>
      <c r="U22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223" s="3">
        <f>ROUND(_26_03_2026_Log_Reseau_v15_7[[#This Row],[remise 10%_70%_45%]],0)</f>
        <v>4</v>
      </c>
      <c r="W223" s="3">
        <f>_26_03_2026_Log_Reseau_v15_7[[#This Row],[Facture mensuelle]]*_26_03_2026_Log_Reseau_v15_7[[#This Row],[remise 10_70_45]]</f>
        <v>149.4</v>
      </c>
    </row>
    <row r="224" spans="1:23" x14ac:dyDescent="0.25">
      <c r="A224" s="1">
        <v>45212</v>
      </c>
      <c r="B224" s="2">
        <v>0.31111111111111112</v>
      </c>
      <c r="C224" t="s">
        <v>930</v>
      </c>
      <c r="D224">
        <v>79</v>
      </c>
      <c r="E224" t="s">
        <v>807</v>
      </c>
      <c r="F224" t="s">
        <v>40</v>
      </c>
      <c r="G224">
        <v>4.8319039999999998</v>
      </c>
      <c r="H224">
        <v>20.733468999999999</v>
      </c>
      <c r="I224" t="s">
        <v>1477</v>
      </c>
      <c r="J224" t="s">
        <v>1478</v>
      </c>
      <c r="K224" t="s">
        <v>39</v>
      </c>
      <c r="L224">
        <v>110</v>
      </c>
      <c r="M224" t="s">
        <v>14</v>
      </c>
      <c r="N224">
        <v>423</v>
      </c>
      <c r="O224">
        <v>37.35</v>
      </c>
      <c r="P224">
        <v>4</v>
      </c>
      <c r="Q224">
        <f>_26_03_2026_Log_Reseau_v15_7[[#This Row],[Durée cumulée_panne_minu]]/60</f>
        <v>7.05</v>
      </c>
      <c r="R224">
        <f>ROUND(_26_03_2026_Log_Reseau_v15_7[[#This Row],[Durée_cumulée _ panne_en heure]],0)</f>
        <v>7</v>
      </c>
      <c r="S224">
        <f>_26_03_2026_Log_Reseau_v15_7[[#This Row],[Anciennété_mois]]/12</f>
        <v>9.1666666666666661</v>
      </c>
      <c r="T224">
        <f>ROUND(_26_03_2026_Log_Reseau_v15_7[[#This Row],[anciennete_ en année]],0)</f>
        <v>9</v>
      </c>
      <c r="U22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224" s="3">
        <f>ROUND(_26_03_2026_Log_Reseau_v15_7[[#This Row],[remise 10%_70%_45%]],0)</f>
        <v>4</v>
      </c>
      <c r="W224" s="3">
        <f>_26_03_2026_Log_Reseau_v15_7[[#This Row],[Facture mensuelle]]*_26_03_2026_Log_Reseau_v15_7[[#This Row],[remise 10_70_45]]</f>
        <v>149.4</v>
      </c>
    </row>
    <row r="225" spans="1:23" x14ac:dyDescent="0.25">
      <c r="A225" s="1">
        <v>45212</v>
      </c>
      <c r="B225" s="2">
        <v>0.72083333333333333</v>
      </c>
      <c r="C225" t="s">
        <v>961</v>
      </c>
      <c r="D225">
        <v>33</v>
      </c>
      <c r="E225" t="s">
        <v>812</v>
      </c>
      <c r="F225" t="s">
        <v>13</v>
      </c>
      <c r="G225">
        <v>-5.7957599999999996</v>
      </c>
      <c r="H225">
        <v>14.078258</v>
      </c>
      <c r="I225" t="s">
        <v>1477</v>
      </c>
      <c r="J225" t="s">
        <v>1478</v>
      </c>
      <c r="K225" t="s">
        <v>12</v>
      </c>
      <c r="L225">
        <v>63</v>
      </c>
      <c r="M225" t="s">
        <v>14</v>
      </c>
      <c r="N225">
        <v>205</v>
      </c>
      <c r="O225">
        <v>89.19</v>
      </c>
      <c r="P225">
        <v>0</v>
      </c>
      <c r="Q225">
        <f>_26_03_2026_Log_Reseau_v15_7[[#This Row],[Durée cumulée_panne_minu]]/60</f>
        <v>3.4166666666666665</v>
      </c>
      <c r="R225">
        <f>ROUND(_26_03_2026_Log_Reseau_v15_7[[#This Row],[Durée_cumulée _ panne_en heure]],0)</f>
        <v>3</v>
      </c>
      <c r="S225">
        <f>_26_03_2026_Log_Reseau_v15_7[[#This Row],[Anciennété_mois]]/12</f>
        <v>5.25</v>
      </c>
      <c r="T225">
        <f>ROUND(_26_03_2026_Log_Reseau_v15_7[[#This Row],[anciennete_ en année]],0)</f>
        <v>5</v>
      </c>
      <c r="U22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225" s="3">
        <f>ROUND(_26_03_2026_Log_Reseau_v15_7[[#This Row],[remise 10%_70%_45%]],0)</f>
        <v>9</v>
      </c>
      <c r="W225" s="3">
        <f>_26_03_2026_Log_Reseau_v15_7[[#This Row],[Facture mensuelle]]*_26_03_2026_Log_Reseau_v15_7[[#This Row],[remise 10_70_45]]</f>
        <v>802.71</v>
      </c>
    </row>
    <row r="226" spans="1:23" x14ac:dyDescent="0.25">
      <c r="A226" s="1">
        <v>45212</v>
      </c>
      <c r="B226" s="2">
        <v>0.59930555555555554</v>
      </c>
      <c r="C226" t="s">
        <v>1133</v>
      </c>
      <c r="D226">
        <v>58</v>
      </c>
      <c r="E226" t="s">
        <v>808</v>
      </c>
      <c r="F226" t="s">
        <v>127</v>
      </c>
      <c r="G226">
        <v>-1.8045979999999999</v>
      </c>
      <c r="H226">
        <v>12.511096999999999</v>
      </c>
      <c r="I226" t="s">
        <v>1482</v>
      </c>
      <c r="J226" t="s">
        <v>1481</v>
      </c>
      <c r="K226" t="s">
        <v>126</v>
      </c>
      <c r="L226">
        <v>40</v>
      </c>
      <c r="M226" t="s">
        <v>11</v>
      </c>
      <c r="N226">
        <v>345</v>
      </c>
      <c r="O226">
        <v>89.55</v>
      </c>
      <c r="P226">
        <v>3</v>
      </c>
      <c r="Q226">
        <f>_26_03_2026_Log_Reseau_v15_7[[#This Row],[Durée cumulée_panne_minu]]/60</f>
        <v>5.75</v>
      </c>
      <c r="R226">
        <f>ROUND(_26_03_2026_Log_Reseau_v15_7[[#This Row],[Durée_cumulée _ panne_en heure]],0)</f>
        <v>6</v>
      </c>
      <c r="S226">
        <f>_26_03_2026_Log_Reseau_v15_7[[#This Row],[Anciennété_mois]]/12</f>
        <v>3.3333333333333335</v>
      </c>
      <c r="T226">
        <f>ROUND(_26_03_2026_Log_Reseau_v15_7[[#This Row],[anciennete_ en année]],0)</f>
        <v>3</v>
      </c>
      <c r="U22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26" s="3">
        <f>ROUND(_26_03_2026_Log_Reseau_v15_7[[#This Row],[remise 10%_70%_45%]],0)</f>
        <v>0</v>
      </c>
      <c r="W226" s="3">
        <f>_26_03_2026_Log_Reseau_v15_7[[#This Row],[Facture mensuelle]]*_26_03_2026_Log_Reseau_v15_7[[#This Row],[remise 10_70_45]]</f>
        <v>0</v>
      </c>
    </row>
    <row r="227" spans="1:23" x14ac:dyDescent="0.25">
      <c r="A227" s="1">
        <v>45212</v>
      </c>
      <c r="B227" s="2">
        <v>0.44722222222222224</v>
      </c>
      <c r="C227" t="s">
        <v>1150</v>
      </c>
      <c r="D227">
        <v>88</v>
      </c>
      <c r="E227" t="s">
        <v>808</v>
      </c>
      <c r="F227" t="s">
        <v>51</v>
      </c>
      <c r="G227">
        <v>-7.402336</v>
      </c>
      <c r="H227">
        <v>27.376697</v>
      </c>
      <c r="I227" t="s">
        <v>1480</v>
      </c>
      <c r="J227" t="s">
        <v>1481</v>
      </c>
      <c r="K227" t="s">
        <v>50</v>
      </c>
      <c r="L227">
        <v>119</v>
      </c>
      <c r="M227" t="s">
        <v>22</v>
      </c>
      <c r="N227">
        <v>228</v>
      </c>
      <c r="O227">
        <v>94.72</v>
      </c>
      <c r="P227">
        <v>3</v>
      </c>
      <c r="Q227">
        <f>_26_03_2026_Log_Reseau_v15_7[[#This Row],[Durée cumulée_panne_minu]]/60</f>
        <v>3.8</v>
      </c>
      <c r="R227">
        <f>ROUND(_26_03_2026_Log_Reseau_v15_7[[#This Row],[Durée_cumulée _ panne_en heure]],0)</f>
        <v>4</v>
      </c>
      <c r="S227">
        <f>_26_03_2026_Log_Reseau_v15_7[[#This Row],[Anciennété_mois]]/12</f>
        <v>9.9166666666666661</v>
      </c>
      <c r="T227">
        <f>ROUND(_26_03_2026_Log_Reseau_v15_7[[#This Row],[anciennete_ en année]],0)</f>
        <v>10</v>
      </c>
      <c r="U22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27" s="3">
        <f>ROUND(_26_03_2026_Log_Reseau_v15_7[[#This Row],[remise 10%_70%_45%]],0)</f>
        <v>0</v>
      </c>
      <c r="W227" s="3">
        <f>_26_03_2026_Log_Reseau_v15_7[[#This Row],[Facture mensuelle]]*_26_03_2026_Log_Reseau_v15_7[[#This Row],[remise 10_70_45]]</f>
        <v>0</v>
      </c>
    </row>
    <row r="228" spans="1:23" x14ac:dyDescent="0.25">
      <c r="A228" s="1">
        <v>45212</v>
      </c>
      <c r="B228" s="2">
        <v>0.96527777777777779</v>
      </c>
      <c r="C228" t="s">
        <v>1216</v>
      </c>
      <c r="D228">
        <v>27</v>
      </c>
      <c r="E228" t="s">
        <v>812</v>
      </c>
      <c r="F228" t="s">
        <v>62</v>
      </c>
      <c r="G228">
        <v>0.79124300000000003</v>
      </c>
      <c r="H228">
        <v>25.273389000000002</v>
      </c>
      <c r="I228" t="s">
        <v>1480</v>
      </c>
      <c r="J228" t="s">
        <v>1490</v>
      </c>
      <c r="K228" t="s">
        <v>61</v>
      </c>
      <c r="L228">
        <v>101</v>
      </c>
      <c r="M228" t="s">
        <v>14</v>
      </c>
      <c r="N228">
        <v>333</v>
      </c>
      <c r="O228">
        <v>74.319999999999993</v>
      </c>
      <c r="P228">
        <v>1</v>
      </c>
      <c r="Q228">
        <f>_26_03_2026_Log_Reseau_v15_7[[#This Row],[Durée cumulée_panne_minu]]/60</f>
        <v>5.55</v>
      </c>
      <c r="R228">
        <f>ROUND(_26_03_2026_Log_Reseau_v15_7[[#This Row],[Durée_cumulée _ panne_en heure]],0)</f>
        <v>6</v>
      </c>
      <c r="S228">
        <f>_26_03_2026_Log_Reseau_v15_7[[#This Row],[Anciennété_mois]]/12</f>
        <v>8.4166666666666661</v>
      </c>
      <c r="T228">
        <f>ROUND(_26_03_2026_Log_Reseau_v15_7[[#This Row],[anciennete_ en année]],0)</f>
        <v>8</v>
      </c>
      <c r="U22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228" s="3">
        <f>ROUND(_26_03_2026_Log_Reseau_v15_7[[#This Row],[remise 10%_70%_45%]],0)</f>
        <v>7</v>
      </c>
      <c r="W228" s="3">
        <f>_26_03_2026_Log_Reseau_v15_7[[#This Row],[Facture mensuelle]]*_26_03_2026_Log_Reseau_v15_7[[#This Row],[remise 10_70_45]]</f>
        <v>520.24</v>
      </c>
    </row>
    <row r="229" spans="1:23" x14ac:dyDescent="0.25">
      <c r="A229" s="1">
        <v>45212</v>
      </c>
      <c r="B229" s="2">
        <v>0.75486111111111109</v>
      </c>
      <c r="C229" t="s">
        <v>1315</v>
      </c>
      <c r="D229">
        <v>112</v>
      </c>
      <c r="E229" t="s">
        <v>812</v>
      </c>
      <c r="F229" t="s">
        <v>51</v>
      </c>
      <c r="G229">
        <v>2.4741019999999998</v>
      </c>
      <c r="H229">
        <v>29.297391000000001</v>
      </c>
      <c r="I229" t="s">
        <v>1480</v>
      </c>
      <c r="J229" t="s">
        <v>1478</v>
      </c>
      <c r="K229" t="s">
        <v>50</v>
      </c>
      <c r="L229">
        <v>119</v>
      </c>
      <c r="M229" t="s">
        <v>22</v>
      </c>
      <c r="N229">
        <v>228</v>
      </c>
      <c r="O229">
        <v>94.72</v>
      </c>
      <c r="P229">
        <v>3</v>
      </c>
      <c r="Q229">
        <f>_26_03_2026_Log_Reseau_v15_7[[#This Row],[Durée cumulée_panne_minu]]/60</f>
        <v>3.8</v>
      </c>
      <c r="R229">
        <f>ROUND(_26_03_2026_Log_Reseau_v15_7[[#This Row],[Durée_cumulée _ panne_en heure]],0)</f>
        <v>4</v>
      </c>
      <c r="S229">
        <f>_26_03_2026_Log_Reseau_v15_7[[#This Row],[Anciennété_mois]]/12</f>
        <v>9.9166666666666661</v>
      </c>
      <c r="T229">
        <f>ROUND(_26_03_2026_Log_Reseau_v15_7[[#This Row],[anciennete_ en année]],0)</f>
        <v>10</v>
      </c>
      <c r="U22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29" s="3">
        <f>ROUND(_26_03_2026_Log_Reseau_v15_7[[#This Row],[remise 10%_70%_45%]],0)</f>
        <v>0</v>
      </c>
      <c r="W229" s="3">
        <f>_26_03_2026_Log_Reseau_v15_7[[#This Row],[Facture mensuelle]]*_26_03_2026_Log_Reseau_v15_7[[#This Row],[remise 10_70_45]]</f>
        <v>0</v>
      </c>
    </row>
    <row r="230" spans="1:23" x14ac:dyDescent="0.25">
      <c r="A230" s="1">
        <v>45212</v>
      </c>
      <c r="B230" s="2">
        <v>0.14027777777777778</v>
      </c>
      <c r="C230" t="s">
        <v>1375</v>
      </c>
      <c r="D230">
        <v>19</v>
      </c>
      <c r="E230" t="s">
        <v>808</v>
      </c>
      <c r="F230" t="s">
        <v>37</v>
      </c>
      <c r="G230">
        <v>-9.4708620000000003</v>
      </c>
      <c r="H230">
        <v>29.234387999999999</v>
      </c>
      <c r="I230" t="s">
        <v>1482</v>
      </c>
      <c r="J230" t="s">
        <v>1483</v>
      </c>
      <c r="K230" t="s">
        <v>36</v>
      </c>
      <c r="L230">
        <v>115</v>
      </c>
      <c r="M230" t="s">
        <v>19</v>
      </c>
      <c r="N230">
        <v>176</v>
      </c>
      <c r="O230">
        <v>33.28</v>
      </c>
      <c r="P230">
        <v>4</v>
      </c>
      <c r="Q230">
        <f>_26_03_2026_Log_Reseau_v15_7[[#This Row],[Durée cumulée_panne_minu]]/60</f>
        <v>2.9333333333333331</v>
      </c>
      <c r="R230">
        <f>ROUND(_26_03_2026_Log_Reseau_v15_7[[#This Row],[Durée_cumulée _ panne_en heure]],0)</f>
        <v>3</v>
      </c>
      <c r="S230">
        <f>_26_03_2026_Log_Reseau_v15_7[[#This Row],[Anciennété_mois]]/12</f>
        <v>9.5833333333333339</v>
      </c>
      <c r="T230">
        <f>ROUND(_26_03_2026_Log_Reseau_v15_7[[#This Row],[anciennete_ en année]],0)</f>
        <v>10</v>
      </c>
      <c r="U23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30" s="3">
        <f>ROUND(_26_03_2026_Log_Reseau_v15_7[[#This Row],[remise 10%_70%_45%]],0)</f>
        <v>0</v>
      </c>
      <c r="W230" s="3">
        <f>_26_03_2026_Log_Reseau_v15_7[[#This Row],[Facture mensuelle]]*_26_03_2026_Log_Reseau_v15_7[[#This Row],[remise 10_70_45]]</f>
        <v>0</v>
      </c>
    </row>
    <row r="231" spans="1:23" x14ac:dyDescent="0.25">
      <c r="A231" s="1">
        <v>45212</v>
      </c>
      <c r="B231" s="2">
        <v>0.11527777777777778</v>
      </c>
      <c r="C231" t="s">
        <v>1434</v>
      </c>
      <c r="D231">
        <v>15</v>
      </c>
      <c r="E231" t="s">
        <v>808</v>
      </c>
      <c r="F231" t="s">
        <v>18</v>
      </c>
      <c r="G231">
        <v>-7.1785899999999998</v>
      </c>
      <c r="H231">
        <v>24.4404</v>
      </c>
      <c r="I231" t="s">
        <v>1480</v>
      </c>
      <c r="J231" t="s">
        <v>1490</v>
      </c>
      <c r="K231" t="s">
        <v>17</v>
      </c>
      <c r="L231">
        <v>44</v>
      </c>
      <c r="M231" t="s">
        <v>19</v>
      </c>
      <c r="N231">
        <v>348</v>
      </c>
      <c r="O231">
        <v>58.67</v>
      </c>
      <c r="P231">
        <v>0</v>
      </c>
      <c r="Q231">
        <f>_26_03_2026_Log_Reseau_v15_7[[#This Row],[Durée cumulée_panne_minu]]/60</f>
        <v>5.8</v>
      </c>
      <c r="R231">
        <f>ROUND(_26_03_2026_Log_Reseau_v15_7[[#This Row],[Durée_cumulée _ panne_en heure]],0)</f>
        <v>6</v>
      </c>
      <c r="S231">
        <f>_26_03_2026_Log_Reseau_v15_7[[#This Row],[Anciennété_mois]]/12</f>
        <v>3.6666666666666665</v>
      </c>
      <c r="T231">
        <f>ROUND(_26_03_2026_Log_Reseau_v15_7[[#This Row],[anciennete_ en année]],0)</f>
        <v>4</v>
      </c>
      <c r="U23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31" s="3">
        <f>ROUND(_26_03_2026_Log_Reseau_v15_7[[#This Row],[remise 10%_70%_45%]],0)</f>
        <v>0</v>
      </c>
      <c r="W231" s="3">
        <f>_26_03_2026_Log_Reseau_v15_7[[#This Row],[Facture mensuelle]]*_26_03_2026_Log_Reseau_v15_7[[#This Row],[remise 10_70_45]]</f>
        <v>0</v>
      </c>
    </row>
    <row r="232" spans="1:23" x14ac:dyDescent="0.25">
      <c r="A232" s="1">
        <v>45213</v>
      </c>
      <c r="B232" s="2">
        <v>0.7631944444444444</v>
      </c>
      <c r="C232" t="s">
        <v>881</v>
      </c>
      <c r="D232">
        <v>119</v>
      </c>
      <c r="E232" t="s">
        <v>812</v>
      </c>
      <c r="F232" t="s">
        <v>60</v>
      </c>
      <c r="G232">
        <v>-0.79459900000000006</v>
      </c>
      <c r="H232">
        <v>26.775570999999999</v>
      </c>
      <c r="I232" t="s">
        <v>1477</v>
      </c>
      <c r="J232" t="s">
        <v>1481</v>
      </c>
      <c r="K232" t="s">
        <v>59</v>
      </c>
      <c r="L232">
        <v>14</v>
      </c>
      <c r="M232" t="s">
        <v>14</v>
      </c>
      <c r="N232">
        <v>316</v>
      </c>
      <c r="O232">
        <v>62.34</v>
      </c>
      <c r="P232">
        <v>4</v>
      </c>
      <c r="Q232">
        <f>_26_03_2026_Log_Reseau_v15_7[[#This Row],[Durée cumulée_panne_minu]]/60</f>
        <v>5.2666666666666666</v>
      </c>
      <c r="R232">
        <f>ROUND(_26_03_2026_Log_Reseau_v15_7[[#This Row],[Durée_cumulée _ panne_en heure]],0)</f>
        <v>5</v>
      </c>
      <c r="S232">
        <f>_26_03_2026_Log_Reseau_v15_7[[#This Row],[Anciennété_mois]]/12</f>
        <v>1.1666666666666667</v>
      </c>
      <c r="T232">
        <f>ROUND(_26_03_2026_Log_Reseau_v15_7[[#This Row],[anciennete_ en année]],0)</f>
        <v>1</v>
      </c>
      <c r="U23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232" s="3">
        <f>ROUND(_26_03_2026_Log_Reseau_v15_7[[#This Row],[remise 10%_70%_45%]],0)</f>
        <v>6</v>
      </c>
      <c r="W232" s="3">
        <f>_26_03_2026_Log_Reseau_v15_7[[#This Row],[Facture mensuelle]]*_26_03_2026_Log_Reseau_v15_7[[#This Row],[remise 10_70_45]]</f>
        <v>374.04</v>
      </c>
    </row>
    <row r="233" spans="1:23" x14ac:dyDescent="0.25">
      <c r="A233" s="1">
        <v>45213</v>
      </c>
      <c r="B233" s="2">
        <v>0.35138888888888886</v>
      </c>
      <c r="C233" t="s">
        <v>910</v>
      </c>
      <c r="D233">
        <v>86</v>
      </c>
      <c r="E233" t="s">
        <v>812</v>
      </c>
      <c r="F233" t="s">
        <v>78</v>
      </c>
      <c r="G233">
        <v>4.8228650000000002</v>
      </c>
      <c r="H233">
        <v>30.555627000000001</v>
      </c>
      <c r="I233" t="s">
        <v>1480</v>
      </c>
      <c r="J233" t="s">
        <v>1481</v>
      </c>
      <c r="K233" t="s">
        <v>77</v>
      </c>
      <c r="L233">
        <v>81</v>
      </c>
      <c r="M233" t="s">
        <v>14</v>
      </c>
      <c r="N233">
        <v>154</v>
      </c>
      <c r="O233">
        <v>19.47</v>
      </c>
      <c r="P233">
        <v>3</v>
      </c>
      <c r="Q233">
        <f>_26_03_2026_Log_Reseau_v15_7[[#This Row],[Durée cumulée_panne_minu]]/60</f>
        <v>2.5666666666666669</v>
      </c>
      <c r="R233">
        <f>ROUND(_26_03_2026_Log_Reseau_v15_7[[#This Row],[Durée_cumulée _ panne_en heure]],0)</f>
        <v>3</v>
      </c>
      <c r="S233">
        <f>_26_03_2026_Log_Reseau_v15_7[[#This Row],[Anciennété_mois]]/12</f>
        <v>6.75</v>
      </c>
      <c r="T233">
        <f>ROUND(_26_03_2026_Log_Reseau_v15_7[[#This Row],[anciennete_ en année]],0)</f>
        <v>7</v>
      </c>
      <c r="U23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233" s="3">
        <f>ROUND(_26_03_2026_Log_Reseau_v15_7[[#This Row],[remise 10%_70%_45%]],0)</f>
        <v>2</v>
      </c>
      <c r="W233" s="3">
        <f>_26_03_2026_Log_Reseau_v15_7[[#This Row],[Facture mensuelle]]*_26_03_2026_Log_Reseau_v15_7[[#This Row],[remise 10_70_45]]</f>
        <v>38.94</v>
      </c>
    </row>
    <row r="234" spans="1:23" x14ac:dyDescent="0.25">
      <c r="A234" s="1">
        <v>45213</v>
      </c>
      <c r="B234" s="2">
        <v>0.31111111111111112</v>
      </c>
      <c r="C234" t="s">
        <v>930</v>
      </c>
      <c r="D234">
        <v>22</v>
      </c>
      <c r="E234" t="s">
        <v>808</v>
      </c>
      <c r="F234" t="s">
        <v>40</v>
      </c>
      <c r="G234">
        <v>4.8319039999999998</v>
      </c>
      <c r="H234">
        <v>20.733468999999999</v>
      </c>
      <c r="I234" t="s">
        <v>1477</v>
      </c>
      <c r="J234" t="s">
        <v>1478</v>
      </c>
      <c r="K234" t="s">
        <v>39</v>
      </c>
      <c r="L234">
        <v>110</v>
      </c>
      <c r="M234" t="s">
        <v>14</v>
      </c>
      <c r="N234">
        <v>423</v>
      </c>
      <c r="O234">
        <v>37.35</v>
      </c>
      <c r="P234">
        <v>4</v>
      </c>
      <c r="Q234">
        <f>_26_03_2026_Log_Reseau_v15_7[[#This Row],[Durée cumulée_panne_minu]]/60</f>
        <v>7.05</v>
      </c>
      <c r="R234">
        <f>ROUND(_26_03_2026_Log_Reseau_v15_7[[#This Row],[Durée_cumulée _ panne_en heure]],0)</f>
        <v>7</v>
      </c>
      <c r="S234">
        <f>_26_03_2026_Log_Reseau_v15_7[[#This Row],[Anciennété_mois]]/12</f>
        <v>9.1666666666666661</v>
      </c>
      <c r="T234">
        <f>ROUND(_26_03_2026_Log_Reseau_v15_7[[#This Row],[anciennete_ en année]],0)</f>
        <v>9</v>
      </c>
      <c r="U23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234" s="3">
        <f>ROUND(_26_03_2026_Log_Reseau_v15_7[[#This Row],[remise 10%_70%_45%]],0)</f>
        <v>4</v>
      </c>
      <c r="W234" s="3">
        <f>_26_03_2026_Log_Reseau_v15_7[[#This Row],[Facture mensuelle]]*_26_03_2026_Log_Reseau_v15_7[[#This Row],[remise 10_70_45]]</f>
        <v>149.4</v>
      </c>
    </row>
    <row r="235" spans="1:23" x14ac:dyDescent="0.25">
      <c r="A235" s="1">
        <v>45213</v>
      </c>
      <c r="B235" s="2">
        <v>0.25416666666666665</v>
      </c>
      <c r="C235" t="s">
        <v>981</v>
      </c>
      <c r="D235">
        <v>73</v>
      </c>
      <c r="E235" t="s">
        <v>812</v>
      </c>
      <c r="F235" t="s">
        <v>13</v>
      </c>
      <c r="G235">
        <v>-5.1030600000000002</v>
      </c>
      <c r="H235">
        <v>22.849231</v>
      </c>
      <c r="I235" t="s">
        <v>1477</v>
      </c>
      <c r="J235" t="s">
        <v>1483</v>
      </c>
      <c r="K235" t="s">
        <v>12</v>
      </c>
      <c r="L235">
        <v>63</v>
      </c>
      <c r="M235" t="s">
        <v>14</v>
      </c>
      <c r="N235">
        <v>205</v>
      </c>
      <c r="O235">
        <v>89.19</v>
      </c>
      <c r="P235">
        <v>0</v>
      </c>
      <c r="Q235">
        <f>_26_03_2026_Log_Reseau_v15_7[[#This Row],[Durée cumulée_panne_minu]]/60</f>
        <v>3.4166666666666665</v>
      </c>
      <c r="R235">
        <f>ROUND(_26_03_2026_Log_Reseau_v15_7[[#This Row],[Durée_cumulée _ panne_en heure]],0)</f>
        <v>3</v>
      </c>
      <c r="S235">
        <f>_26_03_2026_Log_Reseau_v15_7[[#This Row],[Anciennété_mois]]/12</f>
        <v>5.25</v>
      </c>
      <c r="T235">
        <f>ROUND(_26_03_2026_Log_Reseau_v15_7[[#This Row],[anciennete_ en année]],0)</f>
        <v>5</v>
      </c>
      <c r="U23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235" s="3">
        <f>ROUND(_26_03_2026_Log_Reseau_v15_7[[#This Row],[remise 10%_70%_45%]],0)</f>
        <v>9</v>
      </c>
      <c r="W235" s="3">
        <f>_26_03_2026_Log_Reseau_v15_7[[#This Row],[Facture mensuelle]]*_26_03_2026_Log_Reseau_v15_7[[#This Row],[remise 10_70_45]]</f>
        <v>802.71</v>
      </c>
    </row>
    <row r="236" spans="1:23" x14ac:dyDescent="0.25">
      <c r="A236" s="1">
        <v>45213</v>
      </c>
      <c r="B236" s="2">
        <v>0.23749999999999999</v>
      </c>
      <c r="C236" t="s">
        <v>987</v>
      </c>
      <c r="D236">
        <v>68</v>
      </c>
      <c r="E236" t="s">
        <v>812</v>
      </c>
      <c r="F236" t="s">
        <v>131</v>
      </c>
      <c r="G236">
        <v>-10.25074</v>
      </c>
      <c r="H236">
        <v>26.099086</v>
      </c>
      <c r="I236" t="s">
        <v>1480</v>
      </c>
      <c r="J236" t="s">
        <v>1481</v>
      </c>
      <c r="K236" t="s">
        <v>130</v>
      </c>
      <c r="L236">
        <v>16</v>
      </c>
      <c r="M236" t="s">
        <v>19</v>
      </c>
      <c r="N236">
        <v>390</v>
      </c>
      <c r="O236">
        <v>98.17</v>
      </c>
      <c r="P236">
        <v>5</v>
      </c>
      <c r="Q236">
        <f>_26_03_2026_Log_Reseau_v15_7[[#This Row],[Durée cumulée_panne_minu]]/60</f>
        <v>6.5</v>
      </c>
      <c r="R236">
        <f>ROUND(_26_03_2026_Log_Reseau_v15_7[[#This Row],[Durée_cumulée _ panne_en heure]],0)</f>
        <v>7</v>
      </c>
      <c r="S236">
        <f>_26_03_2026_Log_Reseau_v15_7[[#This Row],[Anciennété_mois]]/12</f>
        <v>1.3333333333333333</v>
      </c>
      <c r="T236">
        <f>ROUND(_26_03_2026_Log_Reseau_v15_7[[#This Row],[anciennete_ en année]],0)</f>
        <v>1</v>
      </c>
      <c r="U23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36" s="3">
        <f>ROUND(_26_03_2026_Log_Reseau_v15_7[[#This Row],[remise 10%_70%_45%]],0)</f>
        <v>0</v>
      </c>
      <c r="W236" s="3">
        <f>_26_03_2026_Log_Reseau_v15_7[[#This Row],[Facture mensuelle]]*_26_03_2026_Log_Reseau_v15_7[[#This Row],[remise 10_70_45]]</f>
        <v>0</v>
      </c>
    </row>
    <row r="237" spans="1:23" x14ac:dyDescent="0.25">
      <c r="A237" s="1">
        <v>45213</v>
      </c>
      <c r="B237" s="2">
        <v>0.34236111111111112</v>
      </c>
      <c r="C237" t="s">
        <v>1031</v>
      </c>
      <c r="D237">
        <v>63</v>
      </c>
      <c r="E237" t="s">
        <v>808</v>
      </c>
      <c r="F237" t="s">
        <v>21</v>
      </c>
      <c r="G237">
        <v>0.31740800000000002</v>
      </c>
      <c r="H237">
        <v>27.197666999999999</v>
      </c>
      <c r="I237" t="s">
        <v>1477</v>
      </c>
      <c r="J237" t="s">
        <v>1490</v>
      </c>
      <c r="K237" t="s">
        <v>20</v>
      </c>
      <c r="L237">
        <v>101</v>
      </c>
      <c r="M237" t="s">
        <v>22</v>
      </c>
      <c r="N237">
        <v>358</v>
      </c>
      <c r="O237">
        <v>29.24</v>
      </c>
      <c r="P237">
        <v>3</v>
      </c>
      <c r="Q237">
        <f>_26_03_2026_Log_Reseau_v15_7[[#This Row],[Durée cumulée_panne_minu]]/60</f>
        <v>5.9666666666666668</v>
      </c>
      <c r="R237">
        <f>ROUND(_26_03_2026_Log_Reseau_v15_7[[#This Row],[Durée_cumulée _ panne_en heure]],0)</f>
        <v>6</v>
      </c>
      <c r="S237">
        <f>_26_03_2026_Log_Reseau_v15_7[[#This Row],[Anciennété_mois]]/12</f>
        <v>8.4166666666666661</v>
      </c>
      <c r="T237">
        <f>ROUND(_26_03_2026_Log_Reseau_v15_7[[#This Row],[anciennete_ en année]],0)</f>
        <v>8</v>
      </c>
      <c r="U23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37" s="3">
        <f>ROUND(_26_03_2026_Log_Reseau_v15_7[[#This Row],[remise 10%_70%_45%]],0)</f>
        <v>0</v>
      </c>
      <c r="W237" s="3">
        <f>_26_03_2026_Log_Reseau_v15_7[[#This Row],[Facture mensuelle]]*_26_03_2026_Log_Reseau_v15_7[[#This Row],[remise 10_70_45]]</f>
        <v>0</v>
      </c>
    </row>
    <row r="238" spans="1:23" x14ac:dyDescent="0.25">
      <c r="A238" s="1">
        <v>45213</v>
      </c>
      <c r="B238" s="2">
        <v>6.6666666666666666E-2</v>
      </c>
      <c r="C238" t="s">
        <v>1075</v>
      </c>
      <c r="D238">
        <v>63</v>
      </c>
      <c r="E238" t="s">
        <v>807</v>
      </c>
      <c r="F238" t="s">
        <v>31</v>
      </c>
      <c r="G238">
        <v>-11.387295999999999</v>
      </c>
      <c r="H238">
        <v>19.384257999999999</v>
      </c>
      <c r="I238" t="s">
        <v>1482</v>
      </c>
      <c r="J238" t="s">
        <v>1481</v>
      </c>
      <c r="K238" t="s">
        <v>30</v>
      </c>
      <c r="L238">
        <v>113</v>
      </c>
      <c r="M238" t="s">
        <v>22</v>
      </c>
      <c r="N238">
        <v>380</v>
      </c>
      <c r="O238">
        <v>12.11</v>
      </c>
      <c r="P238">
        <v>0</v>
      </c>
      <c r="Q238">
        <f>_26_03_2026_Log_Reseau_v15_7[[#This Row],[Durée cumulée_panne_minu]]/60</f>
        <v>6.333333333333333</v>
      </c>
      <c r="R238">
        <f>ROUND(_26_03_2026_Log_Reseau_v15_7[[#This Row],[Durée_cumulée _ panne_en heure]],0)</f>
        <v>6</v>
      </c>
      <c r="S238">
        <f>_26_03_2026_Log_Reseau_v15_7[[#This Row],[Anciennété_mois]]/12</f>
        <v>9.4166666666666661</v>
      </c>
      <c r="T238">
        <f>ROUND(_26_03_2026_Log_Reseau_v15_7[[#This Row],[anciennete_ en année]],0)</f>
        <v>9</v>
      </c>
      <c r="U23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38" s="3">
        <f>ROUND(_26_03_2026_Log_Reseau_v15_7[[#This Row],[remise 10%_70%_45%]],0)</f>
        <v>0</v>
      </c>
      <c r="W238" s="3">
        <f>_26_03_2026_Log_Reseau_v15_7[[#This Row],[Facture mensuelle]]*_26_03_2026_Log_Reseau_v15_7[[#This Row],[remise 10_70_45]]</f>
        <v>0</v>
      </c>
    </row>
    <row r="239" spans="1:23" x14ac:dyDescent="0.25">
      <c r="A239" s="1">
        <v>45213</v>
      </c>
      <c r="B239" s="2">
        <v>0.1451388888888889</v>
      </c>
      <c r="C239" t="s">
        <v>1085</v>
      </c>
      <c r="D239">
        <v>105</v>
      </c>
      <c r="E239" t="s">
        <v>808</v>
      </c>
      <c r="F239" t="s">
        <v>51</v>
      </c>
      <c r="G239">
        <v>-10.939712999999999</v>
      </c>
      <c r="H239">
        <v>18.276230999999999</v>
      </c>
      <c r="I239" t="s">
        <v>1480</v>
      </c>
      <c r="J239" t="s">
        <v>1483</v>
      </c>
      <c r="K239" t="s">
        <v>50</v>
      </c>
      <c r="L239">
        <v>119</v>
      </c>
      <c r="M239" t="s">
        <v>22</v>
      </c>
      <c r="N239">
        <v>228</v>
      </c>
      <c r="O239">
        <v>94.72</v>
      </c>
      <c r="P239">
        <v>3</v>
      </c>
      <c r="Q239">
        <f>_26_03_2026_Log_Reseau_v15_7[[#This Row],[Durée cumulée_panne_minu]]/60</f>
        <v>3.8</v>
      </c>
      <c r="R239">
        <f>ROUND(_26_03_2026_Log_Reseau_v15_7[[#This Row],[Durée_cumulée _ panne_en heure]],0)</f>
        <v>4</v>
      </c>
      <c r="S239">
        <f>_26_03_2026_Log_Reseau_v15_7[[#This Row],[Anciennété_mois]]/12</f>
        <v>9.9166666666666661</v>
      </c>
      <c r="T239">
        <f>ROUND(_26_03_2026_Log_Reseau_v15_7[[#This Row],[anciennete_ en année]],0)</f>
        <v>10</v>
      </c>
      <c r="U23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39" s="3">
        <f>ROUND(_26_03_2026_Log_Reseau_v15_7[[#This Row],[remise 10%_70%_45%]],0)</f>
        <v>0</v>
      </c>
      <c r="W239" s="3">
        <f>_26_03_2026_Log_Reseau_v15_7[[#This Row],[Facture mensuelle]]*_26_03_2026_Log_Reseau_v15_7[[#This Row],[remise 10_70_45]]</f>
        <v>0</v>
      </c>
    </row>
    <row r="240" spans="1:23" x14ac:dyDescent="0.25">
      <c r="A240" s="1">
        <v>45213</v>
      </c>
      <c r="B240" s="2">
        <v>0.51875000000000004</v>
      </c>
      <c r="C240" t="s">
        <v>1157</v>
      </c>
      <c r="D240">
        <v>88</v>
      </c>
      <c r="E240" t="s">
        <v>808</v>
      </c>
      <c r="F240" t="s">
        <v>67</v>
      </c>
      <c r="G240">
        <v>4.8265669999999998</v>
      </c>
      <c r="H240">
        <v>28.535277000000001</v>
      </c>
      <c r="I240" t="s">
        <v>1482</v>
      </c>
      <c r="J240" t="s">
        <v>1481</v>
      </c>
      <c r="K240" t="s">
        <v>66</v>
      </c>
      <c r="L240">
        <v>101</v>
      </c>
      <c r="M240" t="s">
        <v>14</v>
      </c>
      <c r="N240">
        <v>176</v>
      </c>
      <c r="O240">
        <v>86</v>
      </c>
      <c r="P240">
        <v>3</v>
      </c>
      <c r="Q240">
        <f>_26_03_2026_Log_Reseau_v15_7[[#This Row],[Durée cumulée_panne_minu]]/60</f>
        <v>2.9333333333333331</v>
      </c>
      <c r="R240">
        <f>ROUND(_26_03_2026_Log_Reseau_v15_7[[#This Row],[Durée_cumulée _ panne_en heure]],0)</f>
        <v>3</v>
      </c>
      <c r="S240">
        <f>_26_03_2026_Log_Reseau_v15_7[[#This Row],[Anciennété_mois]]/12</f>
        <v>8.4166666666666661</v>
      </c>
      <c r="T240">
        <f>ROUND(_26_03_2026_Log_Reseau_v15_7[[#This Row],[anciennete_ en année]],0)</f>
        <v>8</v>
      </c>
      <c r="U24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240" s="3">
        <f>ROUND(_26_03_2026_Log_Reseau_v15_7[[#This Row],[remise 10%_70%_45%]],0)</f>
        <v>9</v>
      </c>
      <c r="W240" s="3">
        <f>_26_03_2026_Log_Reseau_v15_7[[#This Row],[Facture mensuelle]]*_26_03_2026_Log_Reseau_v15_7[[#This Row],[remise 10_70_45]]</f>
        <v>774</v>
      </c>
    </row>
    <row r="241" spans="1:23" x14ac:dyDescent="0.25">
      <c r="A241" s="1">
        <v>45213</v>
      </c>
      <c r="B241" s="2">
        <v>0.23819444444444443</v>
      </c>
      <c r="C241" t="s">
        <v>1213</v>
      </c>
      <c r="D241">
        <v>53</v>
      </c>
      <c r="E241" t="s">
        <v>808</v>
      </c>
      <c r="F241" t="s">
        <v>89</v>
      </c>
      <c r="G241">
        <v>-8.4985189999999999</v>
      </c>
      <c r="H241">
        <v>12.929456999999999</v>
      </c>
      <c r="I241" t="s">
        <v>1480</v>
      </c>
      <c r="J241" t="s">
        <v>1478</v>
      </c>
      <c r="K241" t="s">
        <v>88</v>
      </c>
      <c r="L241">
        <v>98</v>
      </c>
      <c r="M241" t="s">
        <v>14</v>
      </c>
      <c r="N241">
        <v>482</v>
      </c>
      <c r="O241">
        <v>55.04</v>
      </c>
      <c r="P241">
        <v>5</v>
      </c>
      <c r="Q241">
        <f>_26_03_2026_Log_Reseau_v15_7[[#This Row],[Durée cumulée_panne_minu]]/60</f>
        <v>8.0333333333333332</v>
      </c>
      <c r="R241">
        <f>ROUND(_26_03_2026_Log_Reseau_v15_7[[#This Row],[Durée_cumulée _ panne_en heure]],0)</f>
        <v>8</v>
      </c>
      <c r="S241">
        <f>_26_03_2026_Log_Reseau_v15_7[[#This Row],[Anciennété_mois]]/12</f>
        <v>8.1666666666666661</v>
      </c>
      <c r="T241">
        <f>ROUND(_26_03_2026_Log_Reseau_v15_7[[#This Row],[anciennete_ en année]],0)</f>
        <v>8</v>
      </c>
      <c r="U24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241" s="3">
        <f>ROUND(_26_03_2026_Log_Reseau_v15_7[[#This Row],[remise 10%_70%_45%]],0)</f>
        <v>6</v>
      </c>
      <c r="W241" s="3">
        <f>_26_03_2026_Log_Reseau_v15_7[[#This Row],[Facture mensuelle]]*_26_03_2026_Log_Reseau_v15_7[[#This Row],[remise 10_70_45]]</f>
        <v>330.24</v>
      </c>
    </row>
    <row r="242" spans="1:23" x14ac:dyDescent="0.25">
      <c r="A242" s="1">
        <v>45213</v>
      </c>
      <c r="B242" s="2">
        <v>0.87222222222222223</v>
      </c>
      <c r="C242" t="s">
        <v>1221</v>
      </c>
      <c r="D242">
        <v>46</v>
      </c>
      <c r="E242" t="s">
        <v>808</v>
      </c>
      <c r="F242" t="s">
        <v>35</v>
      </c>
      <c r="G242">
        <v>-7.513261</v>
      </c>
      <c r="H242">
        <v>24.338812000000001</v>
      </c>
      <c r="I242" t="s">
        <v>1477</v>
      </c>
      <c r="J242" t="s">
        <v>1481</v>
      </c>
      <c r="K242" t="s">
        <v>34</v>
      </c>
      <c r="L242">
        <v>35</v>
      </c>
      <c r="M242" t="s">
        <v>14</v>
      </c>
      <c r="N242">
        <v>465</v>
      </c>
      <c r="O242">
        <v>58.59</v>
      </c>
      <c r="P242">
        <v>5</v>
      </c>
      <c r="Q242">
        <f>_26_03_2026_Log_Reseau_v15_7[[#This Row],[Durée cumulée_panne_minu]]/60</f>
        <v>7.75</v>
      </c>
      <c r="R242">
        <f>ROUND(_26_03_2026_Log_Reseau_v15_7[[#This Row],[Durée_cumulée _ panne_en heure]],0)</f>
        <v>8</v>
      </c>
      <c r="S242">
        <f>_26_03_2026_Log_Reseau_v15_7[[#This Row],[Anciennété_mois]]/12</f>
        <v>2.9166666666666665</v>
      </c>
      <c r="T242">
        <f>ROUND(_26_03_2026_Log_Reseau_v15_7[[#This Row],[anciennete_ en année]],0)</f>
        <v>3</v>
      </c>
      <c r="U24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242" s="3">
        <f>ROUND(_26_03_2026_Log_Reseau_v15_7[[#This Row],[remise 10%_70%_45%]],0)</f>
        <v>6</v>
      </c>
      <c r="W242" s="3">
        <f>_26_03_2026_Log_Reseau_v15_7[[#This Row],[Facture mensuelle]]*_26_03_2026_Log_Reseau_v15_7[[#This Row],[remise 10_70_45]]</f>
        <v>351.54</v>
      </c>
    </row>
    <row r="243" spans="1:23" x14ac:dyDescent="0.25">
      <c r="A243" s="1">
        <v>45213</v>
      </c>
      <c r="B243" s="2">
        <v>2.7083333333333334E-2</v>
      </c>
      <c r="C243" t="s">
        <v>1228</v>
      </c>
      <c r="D243">
        <v>68</v>
      </c>
      <c r="E243" t="s">
        <v>812</v>
      </c>
      <c r="F243" t="s">
        <v>40</v>
      </c>
      <c r="G243">
        <v>-8.1210620000000002</v>
      </c>
      <c r="H243">
        <v>21.094390000000001</v>
      </c>
      <c r="I243" t="s">
        <v>1477</v>
      </c>
      <c r="J243" t="s">
        <v>1483</v>
      </c>
      <c r="K243" t="s">
        <v>39</v>
      </c>
      <c r="L243">
        <v>110</v>
      </c>
      <c r="M243" t="s">
        <v>14</v>
      </c>
      <c r="N243">
        <v>423</v>
      </c>
      <c r="O243">
        <v>37.35</v>
      </c>
      <c r="P243">
        <v>4</v>
      </c>
      <c r="Q243">
        <f>_26_03_2026_Log_Reseau_v15_7[[#This Row],[Durée cumulée_panne_minu]]/60</f>
        <v>7.05</v>
      </c>
      <c r="R243">
        <f>ROUND(_26_03_2026_Log_Reseau_v15_7[[#This Row],[Durée_cumulée _ panne_en heure]],0)</f>
        <v>7</v>
      </c>
      <c r="S243">
        <f>_26_03_2026_Log_Reseau_v15_7[[#This Row],[Anciennété_mois]]/12</f>
        <v>9.1666666666666661</v>
      </c>
      <c r="T243">
        <f>ROUND(_26_03_2026_Log_Reseau_v15_7[[#This Row],[anciennete_ en année]],0)</f>
        <v>9</v>
      </c>
      <c r="U24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243" s="3">
        <f>ROUND(_26_03_2026_Log_Reseau_v15_7[[#This Row],[remise 10%_70%_45%]],0)</f>
        <v>4</v>
      </c>
      <c r="W243" s="3">
        <f>_26_03_2026_Log_Reseau_v15_7[[#This Row],[Facture mensuelle]]*_26_03_2026_Log_Reseau_v15_7[[#This Row],[remise 10_70_45]]</f>
        <v>149.4</v>
      </c>
    </row>
    <row r="244" spans="1:23" x14ac:dyDescent="0.25">
      <c r="A244" s="1">
        <v>45213</v>
      </c>
      <c r="B244" s="2">
        <v>0.90763888888888888</v>
      </c>
      <c r="C244" t="s">
        <v>1260</v>
      </c>
      <c r="D244">
        <v>52</v>
      </c>
      <c r="E244" t="s">
        <v>807</v>
      </c>
      <c r="F244" t="s">
        <v>131</v>
      </c>
      <c r="G244">
        <v>-10.298385</v>
      </c>
      <c r="H244">
        <v>29.698117</v>
      </c>
      <c r="I244" t="s">
        <v>1477</v>
      </c>
      <c r="J244" t="s">
        <v>1490</v>
      </c>
      <c r="K244" t="s">
        <v>130</v>
      </c>
      <c r="L244">
        <v>16</v>
      </c>
      <c r="M244" t="s">
        <v>19</v>
      </c>
      <c r="N244">
        <v>390</v>
      </c>
      <c r="O244">
        <v>98.17</v>
      </c>
      <c r="P244">
        <v>5</v>
      </c>
      <c r="Q244">
        <f>_26_03_2026_Log_Reseau_v15_7[[#This Row],[Durée cumulée_panne_minu]]/60</f>
        <v>6.5</v>
      </c>
      <c r="R244">
        <f>ROUND(_26_03_2026_Log_Reseau_v15_7[[#This Row],[Durée_cumulée _ panne_en heure]],0)</f>
        <v>7</v>
      </c>
      <c r="S244">
        <f>_26_03_2026_Log_Reseau_v15_7[[#This Row],[Anciennété_mois]]/12</f>
        <v>1.3333333333333333</v>
      </c>
      <c r="T244">
        <f>ROUND(_26_03_2026_Log_Reseau_v15_7[[#This Row],[anciennete_ en année]],0)</f>
        <v>1</v>
      </c>
      <c r="U24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44" s="3">
        <f>ROUND(_26_03_2026_Log_Reseau_v15_7[[#This Row],[remise 10%_70%_45%]],0)</f>
        <v>0</v>
      </c>
      <c r="W244" s="3">
        <f>_26_03_2026_Log_Reseau_v15_7[[#This Row],[Facture mensuelle]]*_26_03_2026_Log_Reseau_v15_7[[#This Row],[remise 10_70_45]]</f>
        <v>0</v>
      </c>
    </row>
    <row r="245" spans="1:23" x14ac:dyDescent="0.25">
      <c r="A245" s="1">
        <v>45213</v>
      </c>
      <c r="B245" s="2">
        <v>2.2916666666666665E-2</v>
      </c>
      <c r="C245" t="s">
        <v>1296</v>
      </c>
      <c r="D245">
        <v>56</v>
      </c>
      <c r="E245" t="s">
        <v>812</v>
      </c>
      <c r="F245" t="s">
        <v>62</v>
      </c>
      <c r="G245">
        <v>-2.8211520000000001</v>
      </c>
      <c r="H245">
        <v>20.651419000000001</v>
      </c>
      <c r="I245" t="s">
        <v>1477</v>
      </c>
      <c r="J245" t="s">
        <v>1478</v>
      </c>
      <c r="K245" t="s">
        <v>61</v>
      </c>
      <c r="L245">
        <v>101</v>
      </c>
      <c r="M245" t="s">
        <v>14</v>
      </c>
      <c r="N245">
        <v>333</v>
      </c>
      <c r="O245">
        <v>74.319999999999993</v>
      </c>
      <c r="P245">
        <v>1</v>
      </c>
      <c r="Q245">
        <f>_26_03_2026_Log_Reseau_v15_7[[#This Row],[Durée cumulée_panne_minu]]/60</f>
        <v>5.55</v>
      </c>
      <c r="R245">
        <f>ROUND(_26_03_2026_Log_Reseau_v15_7[[#This Row],[Durée_cumulée _ panne_en heure]],0)</f>
        <v>6</v>
      </c>
      <c r="S245">
        <f>_26_03_2026_Log_Reseau_v15_7[[#This Row],[Anciennété_mois]]/12</f>
        <v>8.4166666666666661</v>
      </c>
      <c r="T245">
        <f>ROUND(_26_03_2026_Log_Reseau_v15_7[[#This Row],[anciennete_ en année]],0)</f>
        <v>8</v>
      </c>
      <c r="U24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245" s="3">
        <f>ROUND(_26_03_2026_Log_Reseau_v15_7[[#This Row],[remise 10%_70%_45%]],0)</f>
        <v>7</v>
      </c>
      <c r="W245" s="3">
        <f>_26_03_2026_Log_Reseau_v15_7[[#This Row],[Facture mensuelle]]*_26_03_2026_Log_Reseau_v15_7[[#This Row],[remise 10_70_45]]</f>
        <v>520.24</v>
      </c>
    </row>
    <row r="246" spans="1:23" x14ac:dyDescent="0.25">
      <c r="A246" s="1">
        <v>45213</v>
      </c>
      <c r="B246" s="2">
        <v>4.2361111111111113E-2</v>
      </c>
      <c r="C246" t="s">
        <v>1296</v>
      </c>
      <c r="D246">
        <v>119</v>
      </c>
      <c r="E246" t="s">
        <v>808</v>
      </c>
      <c r="F246" t="s">
        <v>62</v>
      </c>
      <c r="G246">
        <v>-2.8211520000000001</v>
      </c>
      <c r="H246">
        <v>20.651419000000001</v>
      </c>
      <c r="I246" t="s">
        <v>1477</v>
      </c>
      <c r="J246" t="s">
        <v>1478</v>
      </c>
      <c r="K246" t="s">
        <v>61</v>
      </c>
      <c r="L246">
        <v>101</v>
      </c>
      <c r="M246" t="s">
        <v>14</v>
      </c>
      <c r="N246">
        <v>333</v>
      </c>
      <c r="O246">
        <v>74.319999999999993</v>
      </c>
      <c r="P246">
        <v>1</v>
      </c>
      <c r="Q246">
        <f>_26_03_2026_Log_Reseau_v15_7[[#This Row],[Durée cumulée_panne_minu]]/60</f>
        <v>5.55</v>
      </c>
      <c r="R246">
        <f>ROUND(_26_03_2026_Log_Reseau_v15_7[[#This Row],[Durée_cumulée _ panne_en heure]],0)</f>
        <v>6</v>
      </c>
      <c r="S246">
        <f>_26_03_2026_Log_Reseau_v15_7[[#This Row],[Anciennété_mois]]/12</f>
        <v>8.4166666666666661</v>
      </c>
      <c r="T246">
        <f>ROUND(_26_03_2026_Log_Reseau_v15_7[[#This Row],[anciennete_ en année]],0)</f>
        <v>8</v>
      </c>
      <c r="U24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246" s="3">
        <f>ROUND(_26_03_2026_Log_Reseau_v15_7[[#This Row],[remise 10%_70%_45%]],0)</f>
        <v>7</v>
      </c>
      <c r="W246" s="3">
        <f>_26_03_2026_Log_Reseau_v15_7[[#This Row],[Facture mensuelle]]*_26_03_2026_Log_Reseau_v15_7[[#This Row],[remise 10_70_45]]</f>
        <v>520.24</v>
      </c>
    </row>
    <row r="247" spans="1:23" x14ac:dyDescent="0.25">
      <c r="A247" s="1">
        <v>45213</v>
      </c>
      <c r="B247" s="2">
        <v>0.94861111111111107</v>
      </c>
      <c r="C247" t="s">
        <v>1309</v>
      </c>
      <c r="D247">
        <v>72</v>
      </c>
      <c r="E247" t="s">
        <v>808</v>
      </c>
      <c r="F247" t="s">
        <v>35</v>
      </c>
      <c r="G247">
        <v>-2.7140689999999998</v>
      </c>
      <c r="H247">
        <v>22.222104000000002</v>
      </c>
      <c r="I247" t="s">
        <v>1480</v>
      </c>
      <c r="J247" t="s">
        <v>1490</v>
      </c>
      <c r="K247" t="s">
        <v>34</v>
      </c>
      <c r="L247">
        <v>35</v>
      </c>
      <c r="M247" t="s">
        <v>14</v>
      </c>
      <c r="N247">
        <v>465</v>
      </c>
      <c r="O247">
        <v>58.59</v>
      </c>
      <c r="P247">
        <v>5</v>
      </c>
      <c r="Q247">
        <f>_26_03_2026_Log_Reseau_v15_7[[#This Row],[Durée cumulée_panne_minu]]/60</f>
        <v>7.75</v>
      </c>
      <c r="R247">
        <f>ROUND(_26_03_2026_Log_Reseau_v15_7[[#This Row],[Durée_cumulée _ panne_en heure]],0)</f>
        <v>8</v>
      </c>
      <c r="S247">
        <f>_26_03_2026_Log_Reseau_v15_7[[#This Row],[Anciennété_mois]]/12</f>
        <v>2.9166666666666665</v>
      </c>
      <c r="T247">
        <f>ROUND(_26_03_2026_Log_Reseau_v15_7[[#This Row],[anciennete_ en année]],0)</f>
        <v>3</v>
      </c>
      <c r="U24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247" s="3">
        <f>ROUND(_26_03_2026_Log_Reseau_v15_7[[#This Row],[remise 10%_70%_45%]],0)</f>
        <v>6</v>
      </c>
      <c r="W247" s="3">
        <f>_26_03_2026_Log_Reseau_v15_7[[#This Row],[Facture mensuelle]]*_26_03_2026_Log_Reseau_v15_7[[#This Row],[remise 10_70_45]]</f>
        <v>351.54</v>
      </c>
    </row>
    <row r="248" spans="1:23" x14ac:dyDescent="0.25">
      <c r="A248" s="1">
        <v>45213</v>
      </c>
      <c r="B248" s="2">
        <v>0.64583333333333337</v>
      </c>
      <c r="C248" t="s">
        <v>1328</v>
      </c>
      <c r="D248">
        <v>95</v>
      </c>
      <c r="E248" t="s">
        <v>807</v>
      </c>
      <c r="F248" t="s">
        <v>24</v>
      </c>
      <c r="G248">
        <v>-2.9417719999999998</v>
      </c>
      <c r="H248">
        <v>18.587305000000001</v>
      </c>
      <c r="I248" t="s">
        <v>1477</v>
      </c>
      <c r="J248" t="s">
        <v>1478</v>
      </c>
      <c r="K248" t="s">
        <v>23</v>
      </c>
      <c r="L248">
        <v>46</v>
      </c>
      <c r="M248" t="s">
        <v>11</v>
      </c>
      <c r="N248">
        <v>283</v>
      </c>
      <c r="O248">
        <v>56.05</v>
      </c>
      <c r="P248">
        <v>1</v>
      </c>
      <c r="Q248">
        <f>_26_03_2026_Log_Reseau_v15_7[[#This Row],[Durée cumulée_panne_minu]]/60</f>
        <v>4.7166666666666668</v>
      </c>
      <c r="R248">
        <f>ROUND(_26_03_2026_Log_Reseau_v15_7[[#This Row],[Durée_cumulée _ panne_en heure]],0)</f>
        <v>5</v>
      </c>
      <c r="S248">
        <f>_26_03_2026_Log_Reseau_v15_7[[#This Row],[Anciennété_mois]]/12</f>
        <v>3.8333333333333335</v>
      </c>
      <c r="T248">
        <f>ROUND(_26_03_2026_Log_Reseau_v15_7[[#This Row],[anciennete_ en année]],0)</f>
        <v>4</v>
      </c>
      <c r="U24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48" s="3">
        <f>ROUND(_26_03_2026_Log_Reseau_v15_7[[#This Row],[remise 10%_70%_45%]],0)</f>
        <v>0</v>
      </c>
      <c r="W248" s="3">
        <f>_26_03_2026_Log_Reseau_v15_7[[#This Row],[Facture mensuelle]]*_26_03_2026_Log_Reseau_v15_7[[#This Row],[remise 10_70_45]]</f>
        <v>0</v>
      </c>
    </row>
    <row r="249" spans="1:23" x14ac:dyDescent="0.25">
      <c r="A249" s="1">
        <v>45213</v>
      </c>
      <c r="B249" s="2">
        <v>0.21041666666666667</v>
      </c>
      <c r="C249" t="s">
        <v>1386</v>
      </c>
      <c r="D249">
        <v>28</v>
      </c>
      <c r="E249" t="s">
        <v>812</v>
      </c>
      <c r="F249" t="s">
        <v>18</v>
      </c>
      <c r="G249">
        <v>-3.1608390000000002</v>
      </c>
      <c r="H249">
        <v>13.244503999999999</v>
      </c>
      <c r="I249" t="s">
        <v>1482</v>
      </c>
      <c r="J249" t="s">
        <v>1481</v>
      </c>
      <c r="K249" t="s">
        <v>17</v>
      </c>
      <c r="L249">
        <v>44</v>
      </c>
      <c r="M249" t="s">
        <v>19</v>
      </c>
      <c r="N249">
        <v>348</v>
      </c>
      <c r="O249">
        <v>58.67</v>
      </c>
      <c r="P249">
        <v>0</v>
      </c>
      <c r="Q249">
        <f>_26_03_2026_Log_Reseau_v15_7[[#This Row],[Durée cumulée_panne_minu]]/60</f>
        <v>5.8</v>
      </c>
      <c r="R249">
        <f>ROUND(_26_03_2026_Log_Reseau_v15_7[[#This Row],[Durée_cumulée _ panne_en heure]],0)</f>
        <v>6</v>
      </c>
      <c r="S249">
        <f>_26_03_2026_Log_Reseau_v15_7[[#This Row],[Anciennété_mois]]/12</f>
        <v>3.6666666666666665</v>
      </c>
      <c r="T249">
        <f>ROUND(_26_03_2026_Log_Reseau_v15_7[[#This Row],[anciennete_ en année]],0)</f>
        <v>4</v>
      </c>
      <c r="U24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49" s="3">
        <f>ROUND(_26_03_2026_Log_Reseau_v15_7[[#This Row],[remise 10%_70%_45%]],0)</f>
        <v>0</v>
      </c>
      <c r="W249" s="3">
        <f>_26_03_2026_Log_Reseau_v15_7[[#This Row],[Facture mensuelle]]*_26_03_2026_Log_Reseau_v15_7[[#This Row],[remise 10_70_45]]</f>
        <v>0</v>
      </c>
    </row>
    <row r="250" spans="1:23" x14ac:dyDescent="0.25">
      <c r="A250" s="1">
        <v>45213</v>
      </c>
      <c r="B250" s="2">
        <v>0.77986111111111112</v>
      </c>
      <c r="C250" t="s">
        <v>1463</v>
      </c>
      <c r="D250">
        <v>120</v>
      </c>
      <c r="E250" t="s">
        <v>807</v>
      </c>
      <c r="F250" t="s">
        <v>35</v>
      </c>
      <c r="G250">
        <v>-7.5969509999999998</v>
      </c>
      <c r="H250">
        <v>22.153986</v>
      </c>
      <c r="I250" t="s">
        <v>1482</v>
      </c>
      <c r="J250" t="s">
        <v>1478</v>
      </c>
      <c r="K250" t="s">
        <v>34</v>
      </c>
      <c r="L250">
        <v>35</v>
      </c>
      <c r="M250" t="s">
        <v>14</v>
      </c>
      <c r="N250">
        <v>465</v>
      </c>
      <c r="O250">
        <v>58.59</v>
      </c>
      <c r="P250">
        <v>5</v>
      </c>
      <c r="Q250">
        <f>_26_03_2026_Log_Reseau_v15_7[[#This Row],[Durée cumulée_panne_minu]]/60</f>
        <v>7.75</v>
      </c>
      <c r="R250">
        <f>ROUND(_26_03_2026_Log_Reseau_v15_7[[#This Row],[Durée_cumulée _ panne_en heure]],0)</f>
        <v>8</v>
      </c>
      <c r="S250">
        <f>_26_03_2026_Log_Reseau_v15_7[[#This Row],[Anciennété_mois]]/12</f>
        <v>2.9166666666666665</v>
      </c>
      <c r="T250">
        <f>ROUND(_26_03_2026_Log_Reseau_v15_7[[#This Row],[anciennete_ en année]],0)</f>
        <v>3</v>
      </c>
      <c r="U25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250" s="3">
        <f>ROUND(_26_03_2026_Log_Reseau_v15_7[[#This Row],[remise 10%_70%_45%]],0)</f>
        <v>6</v>
      </c>
      <c r="W250" s="3">
        <f>_26_03_2026_Log_Reseau_v15_7[[#This Row],[Facture mensuelle]]*_26_03_2026_Log_Reseau_v15_7[[#This Row],[remise 10_70_45]]</f>
        <v>351.54</v>
      </c>
    </row>
    <row r="251" spans="1:23" x14ac:dyDescent="0.25">
      <c r="A251" s="1">
        <v>45214</v>
      </c>
      <c r="B251" s="2">
        <v>0.45763888888888887</v>
      </c>
      <c r="C251" t="s">
        <v>902</v>
      </c>
      <c r="D251">
        <v>48</v>
      </c>
      <c r="E251" t="s">
        <v>812</v>
      </c>
      <c r="F251" t="s">
        <v>31</v>
      </c>
      <c r="G251">
        <v>-9.3652239999999995</v>
      </c>
      <c r="H251">
        <v>22.593423999999999</v>
      </c>
      <c r="I251" t="s">
        <v>1477</v>
      </c>
      <c r="J251" t="s">
        <v>1490</v>
      </c>
      <c r="K251" t="s">
        <v>30</v>
      </c>
      <c r="L251">
        <v>113</v>
      </c>
      <c r="M251" t="s">
        <v>22</v>
      </c>
      <c r="N251">
        <v>380</v>
      </c>
      <c r="O251">
        <v>12.11</v>
      </c>
      <c r="P251">
        <v>0</v>
      </c>
      <c r="Q251">
        <f>_26_03_2026_Log_Reseau_v15_7[[#This Row],[Durée cumulée_panne_minu]]/60</f>
        <v>6.333333333333333</v>
      </c>
      <c r="R251">
        <f>ROUND(_26_03_2026_Log_Reseau_v15_7[[#This Row],[Durée_cumulée _ panne_en heure]],0)</f>
        <v>6</v>
      </c>
      <c r="S251">
        <f>_26_03_2026_Log_Reseau_v15_7[[#This Row],[Anciennété_mois]]/12</f>
        <v>9.4166666666666661</v>
      </c>
      <c r="T251">
        <f>ROUND(_26_03_2026_Log_Reseau_v15_7[[#This Row],[anciennete_ en année]],0)</f>
        <v>9</v>
      </c>
      <c r="U25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51" s="3">
        <f>ROUND(_26_03_2026_Log_Reseau_v15_7[[#This Row],[remise 10%_70%_45%]],0)</f>
        <v>0</v>
      </c>
      <c r="W251" s="3">
        <f>_26_03_2026_Log_Reseau_v15_7[[#This Row],[Facture mensuelle]]*_26_03_2026_Log_Reseau_v15_7[[#This Row],[remise 10_70_45]]</f>
        <v>0</v>
      </c>
    </row>
    <row r="252" spans="1:23" x14ac:dyDescent="0.25">
      <c r="A252" s="1">
        <v>45214</v>
      </c>
      <c r="B252" s="2">
        <v>0.69791666666666663</v>
      </c>
      <c r="C252" t="s">
        <v>958</v>
      </c>
      <c r="D252">
        <v>98</v>
      </c>
      <c r="E252" t="s">
        <v>812</v>
      </c>
      <c r="F252" t="s">
        <v>44</v>
      </c>
      <c r="G252">
        <v>-12.192204</v>
      </c>
      <c r="H252">
        <v>28.468682000000001</v>
      </c>
      <c r="I252" t="s">
        <v>1482</v>
      </c>
      <c r="J252" t="s">
        <v>1483</v>
      </c>
      <c r="K252" t="s">
        <v>43</v>
      </c>
      <c r="L252">
        <v>66</v>
      </c>
      <c r="M252" t="s">
        <v>22</v>
      </c>
      <c r="N252">
        <v>270</v>
      </c>
      <c r="O252">
        <v>75.88</v>
      </c>
      <c r="P252">
        <v>3</v>
      </c>
      <c r="Q252">
        <f>_26_03_2026_Log_Reseau_v15_7[[#This Row],[Durée cumulée_panne_minu]]/60</f>
        <v>4.5</v>
      </c>
      <c r="R252">
        <f>ROUND(_26_03_2026_Log_Reseau_v15_7[[#This Row],[Durée_cumulée _ panne_en heure]],0)</f>
        <v>5</v>
      </c>
      <c r="S252">
        <f>_26_03_2026_Log_Reseau_v15_7[[#This Row],[Anciennété_mois]]/12</f>
        <v>5.5</v>
      </c>
      <c r="T252">
        <f>ROUND(_26_03_2026_Log_Reseau_v15_7[[#This Row],[anciennete_ en année]],0)</f>
        <v>6</v>
      </c>
      <c r="U25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52" s="3">
        <f>ROUND(_26_03_2026_Log_Reseau_v15_7[[#This Row],[remise 10%_70%_45%]],0)</f>
        <v>0</v>
      </c>
      <c r="W252" s="3">
        <f>_26_03_2026_Log_Reseau_v15_7[[#This Row],[Facture mensuelle]]*_26_03_2026_Log_Reseau_v15_7[[#This Row],[remise 10_70_45]]</f>
        <v>0</v>
      </c>
    </row>
    <row r="253" spans="1:23" x14ac:dyDescent="0.25">
      <c r="A253" s="1">
        <v>45214</v>
      </c>
      <c r="B253" s="2">
        <v>0.9604166666666667</v>
      </c>
      <c r="C253" t="s">
        <v>973</v>
      </c>
      <c r="D253">
        <v>38</v>
      </c>
      <c r="E253" t="s">
        <v>807</v>
      </c>
      <c r="F253" t="s">
        <v>137</v>
      </c>
      <c r="G253">
        <v>-11.710407999999999</v>
      </c>
      <c r="H253">
        <v>23.741330999999999</v>
      </c>
      <c r="I253" t="s">
        <v>1482</v>
      </c>
      <c r="J253" t="s">
        <v>1481</v>
      </c>
      <c r="K253" t="s">
        <v>136</v>
      </c>
      <c r="L253">
        <v>80</v>
      </c>
      <c r="M253" t="s">
        <v>22</v>
      </c>
      <c r="N253">
        <v>155</v>
      </c>
      <c r="O253">
        <v>28.96</v>
      </c>
      <c r="P253">
        <v>2</v>
      </c>
      <c r="Q253">
        <f>_26_03_2026_Log_Reseau_v15_7[[#This Row],[Durée cumulée_panne_minu]]/60</f>
        <v>2.5833333333333335</v>
      </c>
      <c r="R253">
        <f>ROUND(_26_03_2026_Log_Reseau_v15_7[[#This Row],[Durée_cumulée _ panne_en heure]],0)</f>
        <v>3</v>
      </c>
      <c r="S253">
        <f>_26_03_2026_Log_Reseau_v15_7[[#This Row],[Anciennété_mois]]/12</f>
        <v>6.666666666666667</v>
      </c>
      <c r="T253">
        <f>ROUND(_26_03_2026_Log_Reseau_v15_7[[#This Row],[anciennete_ en année]],0)</f>
        <v>7</v>
      </c>
      <c r="U25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53" s="3">
        <f>ROUND(_26_03_2026_Log_Reseau_v15_7[[#This Row],[remise 10%_70%_45%]],0)</f>
        <v>0</v>
      </c>
      <c r="W253" s="3">
        <f>_26_03_2026_Log_Reseau_v15_7[[#This Row],[Facture mensuelle]]*_26_03_2026_Log_Reseau_v15_7[[#This Row],[remise 10_70_45]]</f>
        <v>0</v>
      </c>
    </row>
    <row r="254" spans="1:23" x14ac:dyDescent="0.25">
      <c r="A254" s="1">
        <v>45214</v>
      </c>
      <c r="B254" s="2">
        <v>0.85069444444444442</v>
      </c>
      <c r="C254" t="s">
        <v>1000</v>
      </c>
      <c r="D254">
        <v>31</v>
      </c>
      <c r="E254" t="s">
        <v>812</v>
      </c>
      <c r="F254" t="s">
        <v>57</v>
      </c>
      <c r="G254">
        <v>-5.4073029999999997</v>
      </c>
      <c r="H254">
        <v>29.762294000000001</v>
      </c>
      <c r="I254" t="s">
        <v>1482</v>
      </c>
      <c r="J254" t="s">
        <v>1478</v>
      </c>
      <c r="K254" t="s">
        <v>56</v>
      </c>
      <c r="L254">
        <v>97</v>
      </c>
      <c r="M254" t="s">
        <v>14</v>
      </c>
      <c r="N254">
        <v>319</v>
      </c>
      <c r="O254">
        <v>31.25</v>
      </c>
      <c r="P254">
        <v>1</v>
      </c>
      <c r="Q254">
        <f>_26_03_2026_Log_Reseau_v15_7[[#This Row],[Durée cumulée_panne_minu]]/60</f>
        <v>5.3166666666666664</v>
      </c>
      <c r="R254">
        <f>ROUND(_26_03_2026_Log_Reseau_v15_7[[#This Row],[Durée_cumulée _ panne_en heure]],0)</f>
        <v>5</v>
      </c>
      <c r="S254">
        <f>_26_03_2026_Log_Reseau_v15_7[[#This Row],[Anciennété_mois]]/12</f>
        <v>8.0833333333333339</v>
      </c>
      <c r="T254">
        <f>ROUND(_26_03_2026_Log_Reseau_v15_7[[#This Row],[anciennete_ en année]],0)</f>
        <v>8</v>
      </c>
      <c r="U25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3.125</v>
      </c>
      <c r="V254" s="3">
        <f>ROUND(_26_03_2026_Log_Reseau_v15_7[[#This Row],[remise 10%_70%_45%]],0)</f>
        <v>3</v>
      </c>
      <c r="W254" s="3">
        <f>_26_03_2026_Log_Reseau_v15_7[[#This Row],[Facture mensuelle]]*_26_03_2026_Log_Reseau_v15_7[[#This Row],[remise 10_70_45]]</f>
        <v>93.75</v>
      </c>
    </row>
    <row r="255" spans="1:23" x14ac:dyDescent="0.25">
      <c r="A255" s="1">
        <v>45214</v>
      </c>
      <c r="B255" s="2">
        <v>0.17222222222222222</v>
      </c>
      <c r="C255" t="s">
        <v>1027</v>
      </c>
      <c r="D255">
        <v>6</v>
      </c>
      <c r="E255" t="s">
        <v>807</v>
      </c>
      <c r="F255" t="s">
        <v>26</v>
      </c>
      <c r="G255">
        <v>-3.6945459999999999</v>
      </c>
      <c r="H255">
        <v>16.809108999999999</v>
      </c>
      <c r="I255" t="s">
        <v>1477</v>
      </c>
      <c r="J255" t="s">
        <v>1483</v>
      </c>
      <c r="K255" t="s">
        <v>25</v>
      </c>
      <c r="L255">
        <v>99</v>
      </c>
      <c r="M255" t="s">
        <v>11</v>
      </c>
      <c r="N255">
        <v>447</v>
      </c>
      <c r="O255">
        <v>38.1</v>
      </c>
      <c r="P255">
        <v>3</v>
      </c>
      <c r="Q255">
        <f>_26_03_2026_Log_Reseau_v15_7[[#This Row],[Durée cumulée_panne_minu]]/60</f>
        <v>7.45</v>
      </c>
      <c r="R255">
        <f>ROUND(_26_03_2026_Log_Reseau_v15_7[[#This Row],[Durée_cumulée _ panne_en heure]],0)</f>
        <v>7</v>
      </c>
      <c r="S255">
        <f>_26_03_2026_Log_Reseau_v15_7[[#This Row],[Anciennété_mois]]/12</f>
        <v>8.25</v>
      </c>
      <c r="T255">
        <f>ROUND(_26_03_2026_Log_Reseau_v15_7[[#This Row],[anciennete_ en année]],0)</f>
        <v>8</v>
      </c>
      <c r="U25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55" s="3">
        <f>ROUND(_26_03_2026_Log_Reseau_v15_7[[#This Row],[remise 10%_70%_45%]],0)</f>
        <v>0</v>
      </c>
      <c r="W255" s="3">
        <f>_26_03_2026_Log_Reseau_v15_7[[#This Row],[Facture mensuelle]]*_26_03_2026_Log_Reseau_v15_7[[#This Row],[remise 10_70_45]]</f>
        <v>0</v>
      </c>
    </row>
    <row r="256" spans="1:23" x14ac:dyDescent="0.25">
      <c r="A256" s="1">
        <v>45214</v>
      </c>
      <c r="B256" s="2">
        <v>0.7368055555555556</v>
      </c>
      <c r="C256" t="s">
        <v>1039</v>
      </c>
      <c r="D256">
        <v>34</v>
      </c>
      <c r="E256" t="s">
        <v>812</v>
      </c>
      <c r="F256" t="s">
        <v>51</v>
      </c>
      <c r="G256">
        <v>5.3608999999999997E-2</v>
      </c>
      <c r="H256">
        <v>28.346852999999999</v>
      </c>
      <c r="I256" t="s">
        <v>1482</v>
      </c>
      <c r="J256" t="s">
        <v>1483</v>
      </c>
      <c r="K256" t="s">
        <v>50</v>
      </c>
      <c r="L256">
        <v>119</v>
      </c>
      <c r="M256" t="s">
        <v>22</v>
      </c>
      <c r="N256">
        <v>228</v>
      </c>
      <c r="O256">
        <v>94.72</v>
      </c>
      <c r="P256">
        <v>3</v>
      </c>
      <c r="Q256">
        <f>_26_03_2026_Log_Reseau_v15_7[[#This Row],[Durée cumulée_panne_minu]]/60</f>
        <v>3.8</v>
      </c>
      <c r="R256">
        <f>ROUND(_26_03_2026_Log_Reseau_v15_7[[#This Row],[Durée_cumulée _ panne_en heure]],0)</f>
        <v>4</v>
      </c>
      <c r="S256">
        <f>_26_03_2026_Log_Reseau_v15_7[[#This Row],[Anciennété_mois]]/12</f>
        <v>9.9166666666666661</v>
      </c>
      <c r="T256">
        <f>ROUND(_26_03_2026_Log_Reseau_v15_7[[#This Row],[anciennete_ en année]],0)</f>
        <v>10</v>
      </c>
      <c r="U25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56" s="3">
        <f>ROUND(_26_03_2026_Log_Reseau_v15_7[[#This Row],[remise 10%_70%_45%]],0)</f>
        <v>0</v>
      </c>
      <c r="W256" s="3">
        <f>_26_03_2026_Log_Reseau_v15_7[[#This Row],[Facture mensuelle]]*_26_03_2026_Log_Reseau_v15_7[[#This Row],[remise 10_70_45]]</f>
        <v>0</v>
      </c>
    </row>
    <row r="257" spans="1:23" x14ac:dyDescent="0.25">
      <c r="A257" s="1">
        <v>45214</v>
      </c>
      <c r="B257" s="2">
        <v>0.16805555555555557</v>
      </c>
      <c r="C257" t="s">
        <v>1135</v>
      </c>
      <c r="D257">
        <v>106</v>
      </c>
      <c r="E257" t="s">
        <v>807</v>
      </c>
      <c r="F257" t="s">
        <v>21</v>
      </c>
      <c r="G257">
        <v>-11.207139</v>
      </c>
      <c r="H257">
        <v>18.702511999999999</v>
      </c>
      <c r="I257" t="s">
        <v>1477</v>
      </c>
      <c r="J257" t="s">
        <v>1478</v>
      </c>
      <c r="K257" t="s">
        <v>20</v>
      </c>
      <c r="L257">
        <v>101</v>
      </c>
      <c r="M257" t="s">
        <v>22</v>
      </c>
      <c r="N257">
        <v>358</v>
      </c>
      <c r="O257">
        <v>29.24</v>
      </c>
      <c r="P257">
        <v>3</v>
      </c>
      <c r="Q257">
        <f>_26_03_2026_Log_Reseau_v15_7[[#This Row],[Durée cumulée_panne_minu]]/60</f>
        <v>5.9666666666666668</v>
      </c>
      <c r="R257">
        <f>ROUND(_26_03_2026_Log_Reseau_v15_7[[#This Row],[Durée_cumulée _ panne_en heure]],0)</f>
        <v>6</v>
      </c>
      <c r="S257">
        <f>_26_03_2026_Log_Reseau_v15_7[[#This Row],[Anciennété_mois]]/12</f>
        <v>8.4166666666666661</v>
      </c>
      <c r="T257">
        <f>ROUND(_26_03_2026_Log_Reseau_v15_7[[#This Row],[anciennete_ en année]],0)</f>
        <v>8</v>
      </c>
      <c r="U25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57" s="3">
        <f>ROUND(_26_03_2026_Log_Reseau_v15_7[[#This Row],[remise 10%_70%_45%]],0)</f>
        <v>0</v>
      </c>
      <c r="W257" s="3">
        <f>_26_03_2026_Log_Reseau_v15_7[[#This Row],[Facture mensuelle]]*_26_03_2026_Log_Reseau_v15_7[[#This Row],[remise 10_70_45]]</f>
        <v>0</v>
      </c>
    </row>
    <row r="258" spans="1:23" x14ac:dyDescent="0.25">
      <c r="A258" s="1">
        <v>45214</v>
      </c>
      <c r="B258" s="2">
        <v>0.94305555555555554</v>
      </c>
      <c r="C258" t="s">
        <v>1139</v>
      </c>
      <c r="D258">
        <v>16</v>
      </c>
      <c r="E258" t="s">
        <v>807</v>
      </c>
      <c r="F258" t="s">
        <v>18</v>
      </c>
      <c r="G258">
        <v>1.210869</v>
      </c>
      <c r="H258">
        <v>25.598741</v>
      </c>
      <c r="I258" t="s">
        <v>1480</v>
      </c>
      <c r="J258" t="s">
        <v>1478</v>
      </c>
      <c r="K258" t="s">
        <v>17</v>
      </c>
      <c r="L258">
        <v>44</v>
      </c>
      <c r="M258" t="s">
        <v>19</v>
      </c>
      <c r="N258">
        <v>348</v>
      </c>
      <c r="O258">
        <v>58.67</v>
      </c>
      <c r="P258">
        <v>0</v>
      </c>
      <c r="Q258">
        <f>_26_03_2026_Log_Reseau_v15_7[[#This Row],[Durée cumulée_panne_minu]]/60</f>
        <v>5.8</v>
      </c>
      <c r="R258">
        <f>ROUND(_26_03_2026_Log_Reseau_v15_7[[#This Row],[Durée_cumulée _ panne_en heure]],0)</f>
        <v>6</v>
      </c>
      <c r="S258">
        <f>_26_03_2026_Log_Reseau_v15_7[[#This Row],[Anciennété_mois]]/12</f>
        <v>3.6666666666666665</v>
      </c>
      <c r="T258">
        <f>ROUND(_26_03_2026_Log_Reseau_v15_7[[#This Row],[anciennete_ en année]],0)</f>
        <v>4</v>
      </c>
      <c r="U25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58" s="3">
        <f>ROUND(_26_03_2026_Log_Reseau_v15_7[[#This Row],[remise 10%_70%_45%]],0)</f>
        <v>0</v>
      </c>
      <c r="W258" s="3">
        <f>_26_03_2026_Log_Reseau_v15_7[[#This Row],[Facture mensuelle]]*_26_03_2026_Log_Reseau_v15_7[[#This Row],[remise 10_70_45]]</f>
        <v>0</v>
      </c>
    </row>
    <row r="259" spans="1:23" x14ac:dyDescent="0.25">
      <c r="A259" s="1">
        <v>45214</v>
      </c>
      <c r="B259" s="2">
        <v>0.23541666666666666</v>
      </c>
      <c r="C259" t="s">
        <v>1147</v>
      </c>
      <c r="D259">
        <v>33</v>
      </c>
      <c r="E259" t="s">
        <v>807</v>
      </c>
      <c r="F259" t="s">
        <v>78</v>
      </c>
      <c r="G259">
        <v>-10.318835</v>
      </c>
      <c r="H259">
        <v>21.252382000000001</v>
      </c>
      <c r="I259" t="s">
        <v>1480</v>
      </c>
      <c r="J259" t="s">
        <v>1478</v>
      </c>
      <c r="K259" t="s">
        <v>77</v>
      </c>
      <c r="L259">
        <v>81</v>
      </c>
      <c r="M259" t="s">
        <v>14</v>
      </c>
      <c r="N259">
        <v>154</v>
      </c>
      <c r="O259">
        <v>19.47</v>
      </c>
      <c r="P259">
        <v>3</v>
      </c>
      <c r="Q259">
        <f>_26_03_2026_Log_Reseau_v15_7[[#This Row],[Durée cumulée_panne_minu]]/60</f>
        <v>2.5666666666666669</v>
      </c>
      <c r="R259">
        <f>ROUND(_26_03_2026_Log_Reseau_v15_7[[#This Row],[Durée_cumulée _ panne_en heure]],0)</f>
        <v>3</v>
      </c>
      <c r="S259">
        <f>_26_03_2026_Log_Reseau_v15_7[[#This Row],[Anciennété_mois]]/12</f>
        <v>6.75</v>
      </c>
      <c r="T259">
        <f>ROUND(_26_03_2026_Log_Reseau_v15_7[[#This Row],[anciennete_ en année]],0)</f>
        <v>7</v>
      </c>
      <c r="U25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259" s="3">
        <f>ROUND(_26_03_2026_Log_Reseau_v15_7[[#This Row],[remise 10%_70%_45%]],0)</f>
        <v>2</v>
      </c>
      <c r="W259" s="3">
        <f>_26_03_2026_Log_Reseau_v15_7[[#This Row],[Facture mensuelle]]*_26_03_2026_Log_Reseau_v15_7[[#This Row],[remise 10_70_45]]</f>
        <v>38.94</v>
      </c>
    </row>
    <row r="260" spans="1:23" x14ac:dyDescent="0.25">
      <c r="A260" s="1">
        <v>45214</v>
      </c>
      <c r="B260" s="2">
        <v>0.63472222222222219</v>
      </c>
      <c r="C260" t="s">
        <v>1194</v>
      </c>
      <c r="D260">
        <v>112</v>
      </c>
      <c r="E260" t="s">
        <v>808</v>
      </c>
      <c r="F260" t="s">
        <v>60</v>
      </c>
      <c r="G260">
        <v>-6.1490739999999997</v>
      </c>
      <c r="H260">
        <v>23.304411000000002</v>
      </c>
      <c r="I260" t="s">
        <v>1477</v>
      </c>
      <c r="J260" t="s">
        <v>1483</v>
      </c>
      <c r="K260" t="s">
        <v>59</v>
      </c>
      <c r="L260">
        <v>14</v>
      </c>
      <c r="M260" t="s">
        <v>14</v>
      </c>
      <c r="N260">
        <v>316</v>
      </c>
      <c r="O260">
        <v>62.34</v>
      </c>
      <c r="P260">
        <v>4</v>
      </c>
      <c r="Q260">
        <f>_26_03_2026_Log_Reseau_v15_7[[#This Row],[Durée cumulée_panne_minu]]/60</f>
        <v>5.2666666666666666</v>
      </c>
      <c r="R260">
        <f>ROUND(_26_03_2026_Log_Reseau_v15_7[[#This Row],[Durée_cumulée _ panne_en heure]],0)</f>
        <v>5</v>
      </c>
      <c r="S260">
        <f>_26_03_2026_Log_Reseau_v15_7[[#This Row],[Anciennété_mois]]/12</f>
        <v>1.1666666666666667</v>
      </c>
      <c r="T260">
        <f>ROUND(_26_03_2026_Log_Reseau_v15_7[[#This Row],[anciennete_ en année]],0)</f>
        <v>1</v>
      </c>
      <c r="U26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260" s="3">
        <f>ROUND(_26_03_2026_Log_Reseau_v15_7[[#This Row],[remise 10%_70%_45%]],0)</f>
        <v>6</v>
      </c>
      <c r="W260" s="3">
        <f>_26_03_2026_Log_Reseau_v15_7[[#This Row],[Facture mensuelle]]*_26_03_2026_Log_Reseau_v15_7[[#This Row],[remise 10_70_45]]</f>
        <v>374.04</v>
      </c>
    </row>
    <row r="261" spans="1:23" x14ac:dyDescent="0.25">
      <c r="A261" s="1">
        <v>45214</v>
      </c>
      <c r="B261" s="2">
        <v>0.71319444444444446</v>
      </c>
      <c r="C261" t="s">
        <v>1226</v>
      </c>
      <c r="D261">
        <v>25</v>
      </c>
      <c r="E261" t="s">
        <v>807</v>
      </c>
      <c r="F261" t="s">
        <v>24</v>
      </c>
      <c r="G261">
        <v>0.172153</v>
      </c>
      <c r="H261">
        <v>21.091376</v>
      </c>
      <c r="I261" t="s">
        <v>1482</v>
      </c>
      <c r="J261" t="s">
        <v>1478</v>
      </c>
      <c r="K261" t="s">
        <v>23</v>
      </c>
      <c r="L261">
        <v>46</v>
      </c>
      <c r="M261" t="s">
        <v>11</v>
      </c>
      <c r="N261">
        <v>283</v>
      </c>
      <c r="O261">
        <v>56.05</v>
      </c>
      <c r="P261">
        <v>1</v>
      </c>
      <c r="Q261">
        <f>_26_03_2026_Log_Reseau_v15_7[[#This Row],[Durée cumulée_panne_minu]]/60</f>
        <v>4.7166666666666668</v>
      </c>
      <c r="R261">
        <f>ROUND(_26_03_2026_Log_Reseau_v15_7[[#This Row],[Durée_cumulée _ panne_en heure]],0)</f>
        <v>5</v>
      </c>
      <c r="S261">
        <f>_26_03_2026_Log_Reseau_v15_7[[#This Row],[Anciennété_mois]]/12</f>
        <v>3.8333333333333335</v>
      </c>
      <c r="T261">
        <f>ROUND(_26_03_2026_Log_Reseau_v15_7[[#This Row],[anciennete_ en année]],0)</f>
        <v>4</v>
      </c>
      <c r="U26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61" s="3">
        <f>ROUND(_26_03_2026_Log_Reseau_v15_7[[#This Row],[remise 10%_70%_45%]],0)</f>
        <v>0</v>
      </c>
      <c r="W261" s="3">
        <f>_26_03_2026_Log_Reseau_v15_7[[#This Row],[Facture mensuelle]]*_26_03_2026_Log_Reseau_v15_7[[#This Row],[remise 10_70_45]]</f>
        <v>0</v>
      </c>
    </row>
    <row r="262" spans="1:23" x14ac:dyDescent="0.25">
      <c r="A262" s="1">
        <v>45214</v>
      </c>
      <c r="B262" s="2">
        <v>1.8749999999999999E-2</v>
      </c>
      <c r="C262" t="s">
        <v>1249</v>
      </c>
      <c r="D262">
        <v>115</v>
      </c>
      <c r="E262" t="s">
        <v>808</v>
      </c>
      <c r="F262" t="s">
        <v>89</v>
      </c>
      <c r="G262">
        <v>-1.342476</v>
      </c>
      <c r="H262">
        <v>15.986086</v>
      </c>
      <c r="I262" t="s">
        <v>1480</v>
      </c>
      <c r="J262" t="s">
        <v>1478</v>
      </c>
      <c r="K262" t="s">
        <v>88</v>
      </c>
      <c r="L262">
        <v>98</v>
      </c>
      <c r="M262" t="s">
        <v>14</v>
      </c>
      <c r="N262">
        <v>482</v>
      </c>
      <c r="O262">
        <v>55.04</v>
      </c>
      <c r="P262">
        <v>5</v>
      </c>
      <c r="Q262">
        <f>_26_03_2026_Log_Reseau_v15_7[[#This Row],[Durée cumulée_panne_minu]]/60</f>
        <v>8.0333333333333332</v>
      </c>
      <c r="R262">
        <f>ROUND(_26_03_2026_Log_Reseau_v15_7[[#This Row],[Durée_cumulée _ panne_en heure]],0)</f>
        <v>8</v>
      </c>
      <c r="S262">
        <f>_26_03_2026_Log_Reseau_v15_7[[#This Row],[Anciennété_mois]]/12</f>
        <v>8.1666666666666661</v>
      </c>
      <c r="T262">
        <f>ROUND(_26_03_2026_Log_Reseau_v15_7[[#This Row],[anciennete_ en année]],0)</f>
        <v>8</v>
      </c>
      <c r="U26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262" s="3">
        <f>ROUND(_26_03_2026_Log_Reseau_v15_7[[#This Row],[remise 10%_70%_45%]],0)</f>
        <v>6</v>
      </c>
      <c r="W262" s="3">
        <f>_26_03_2026_Log_Reseau_v15_7[[#This Row],[Facture mensuelle]]*_26_03_2026_Log_Reseau_v15_7[[#This Row],[remise 10_70_45]]</f>
        <v>330.24</v>
      </c>
    </row>
    <row r="263" spans="1:23" x14ac:dyDescent="0.25">
      <c r="A263" s="1">
        <v>45214</v>
      </c>
      <c r="B263" s="2">
        <v>0.2902777777777778</v>
      </c>
      <c r="C263" t="s">
        <v>1273</v>
      </c>
      <c r="D263">
        <v>27</v>
      </c>
      <c r="E263" t="s">
        <v>808</v>
      </c>
      <c r="F263" t="s">
        <v>60</v>
      </c>
      <c r="G263">
        <v>-12.839263000000001</v>
      </c>
      <c r="H263">
        <v>12.355677</v>
      </c>
      <c r="I263" t="s">
        <v>1482</v>
      </c>
      <c r="J263" t="s">
        <v>1481</v>
      </c>
      <c r="K263" t="s">
        <v>59</v>
      </c>
      <c r="L263">
        <v>14</v>
      </c>
      <c r="M263" t="s">
        <v>14</v>
      </c>
      <c r="N263">
        <v>316</v>
      </c>
      <c r="O263">
        <v>62.34</v>
      </c>
      <c r="P263">
        <v>4</v>
      </c>
      <c r="Q263">
        <f>_26_03_2026_Log_Reseau_v15_7[[#This Row],[Durée cumulée_panne_minu]]/60</f>
        <v>5.2666666666666666</v>
      </c>
      <c r="R263">
        <f>ROUND(_26_03_2026_Log_Reseau_v15_7[[#This Row],[Durée_cumulée _ panne_en heure]],0)</f>
        <v>5</v>
      </c>
      <c r="S263">
        <f>_26_03_2026_Log_Reseau_v15_7[[#This Row],[Anciennété_mois]]/12</f>
        <v>1.1666666666666667</v>
      </c>
      <c r="T263">
        <f>ROUND(_26_03_2026_Log_Reseau_v15_7[[#This Row],[anciennete_ en année]],0)</f>
        <v>1</v>
      </c>
      <c r="U26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263" s="3">
        <f>ROUND(_26_03_2026_Log_Reseau_v15_7[[#This Row],[remise 10%_70%_45%]],0)</f>
        <v>6</v>
      </c>
      <c r="W263" s="3">
        <f>_26_03_2026_Log_Reseau_v15_7[[#This Row],[Facture mensuelle]]*_26_03_2026_Log_Reseau_v15_7[[#This Row],[remise 10_70_45]]</f>
        <v>374.04</v>
      </c>
    </row>
    <row r="264" spans="1:23" x14ac:dyDescent="0.25">
      <c r="A264" s="1">
        <v>45214</v>
      </c>
      <c r="B264" s="2">
        <v>0.16041666666666668</v>
      </c>
      <c r="C264" t="s">
        <v>1282</v>
      </c>
      <c r="D264">
        <v>108</v>
      </c>
      <c r="E264" t="s">
        <v>812</v>
      </c>
      <c r="F264" t="s">
        <v>16</v>
      </c>
      <c r="G264">
        <v>-11.407966</v>
      </c>
      <c r="H264">
        <v>28.378274000000001</v>
      </c>
      <c r="I264" t="s">
        <v>1480</v>
      </c>
      <c r="J264" t="s">
        <v>1483</v>
      </c>
      <c r="K264" t="s">
        <v>15</v>
      </c>
      <c r="L264">
        <v>34</v>
      </c>
      <c r="M264" t="s">
        <v>14</v>
      </c>
      <c r="N264">
        <v>453</v>
      </c>
      <c r="O264">
        <v>56.84</v>
      </c>
      <c r="P264">
        <v>0</v>
      </c>
      <c r="Q264">
        <f>_26_03_2026_Log_Reseau_v15_7[[#This Row],[Durée cumulée_panne_minu]]/60</f>
        <v>7.55</v>
      </c>
      <c r="R264">
        <f>ROUND(_26_03_2026_Log_Reseau_v15_7[[#This Row],[Durée_cumulée _ panne_en heure]],0)</f>
        <v>8</v>
      </c>
      <c r="S264">
        <f>_26_03_2026_Log_Reseau_v15_7[[#This Row],[Anciennété_mois]]/12</f>
        <v>2.8333333333333335</v>
      </c>
      <c r="T264">
        <f>ROUND(_26_03_2026_Log_Reseau_v15_7[[#This Row],[anciennete_ en année]],0)</f>
        <v>3</v>
      </c>
      <c r="U26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264" s="3">
        <f>ROUND(_26_03_2026_Log_Reseau_v15_7[[#This Row],[remise 10%_70%_45%]],0)</f>
        <v>6</v>
      </c>
      <c r="W264" s="3">
        <f>_26_03_2026_Log_Reseau_v15_7[[#This Row],[Facture mensuelle]]*_26_03_2026_Log_Reseau_v15_7[[#This Row],[remise 10_70_45]]</f>
        <v>341.04</v>
      </c>
    </row>
    <row r="265" spans="1:23" x14ac:dyDescent="0.25">
      <c r="A265" s="1">
        <v>45214</v>
      </c>
      <c r="B265" s="2">
        <v>0.74097222222222225</v>
      </c>
      <c r="C265" t="s">
        <v>1351</v>
      </c>
      <c r="D265">
        <v>8</v>
      </c>
      <c r="E265" t="s">
        <v>807</v>
      </c>
      <c r="F265" t="s">
        <v>131</v>
      </c>
      <c r="G265">
        <v>-10.846306999999999</v>
      </c>
      <c r="H265">
        <v>19.201827999999999</v>
      </c>
      <c r="I265" t="s">
        <v>1480</v>
      </c>
      <c r="J265" t="s">
        <v>1478</v>
      </c>
      <c r="K265" t="s">
        <v>130</v>
      </c>
      <c r="L265">
        <v>16</v>
      </c>
      <c r="M265" t="s">
        <v>19</v>
      </c>
      <c r="N265">
        <v>390</v>
      </c>
      <c r="O265">
        <v>98.17</v>
      </c>
      <c r="P265">
        <v>5</v>
      </c>
      <c r="Q265">
        <f>_26_03_2026_Log_Reseau_v15_7[[#This Row],[Durée cumulée_panne_minu]]/60</f>
        <v>6.5</v>
      </c>
      <c r="R265">
        <f>ROUND(_26_03_2026_Log_Reseau_v15_7[[#This Row],[Durée_cumulée _ panne_en heure]],0)</f>
        <v>7</v>
      </c>
      <c r="S265">
        <f>_26_03_2026_Log_Reseau_v15_7[[#This Row],[Anciennété_mois]]/12</f>
        <v>1.3333333333333333</v>
      </c>
      <c r="T265">
        <f>ROUND(_26_03_2026_Log_Reseau_v15_7[[#This Row],[anciennete_ en année]],0)</f>
        <v>1</v>
      </c>
      <c r="U26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65" s="3">
        <f>ROUND(_26_03_2026_Log_Reseau_v15_7[[#This Row],[remise 10%_70%_45%]],0)</f>
        <v>0</v>
      </c>
      <c r="W265" s="3">
        <f>_26_03_2026_Log_Reseau_v15_7[[#This Row],[Facture mensuelle]]*_26_03_2026_Log_Reseau_v15_7[[#This Row],[remise 10_70_45]]</f>
        <v>0</v>
      </c>
    </row>
    <row r="266" spans="1:23" x14ac:dyDescent="0.25">
      <c r="A266" s="1">
        <v>45214</v>
      </c>
      <c r="B266" s="2">
        <v>0.43472222222222223</v>
      </c>
      <c r="C266" t="s">
        <v>1400</v>
      </c>
      <c r="D266">
        <v>61</v>
      </c>
      <c r="E266" t="s">
        <v>812</v>
      </c>
      <c r="F266" t="s">
        <v>37</v>
      </c>
      <c r="G266">
        <v>-10.776204</v>
      </c>
      <c r="H266">
        <v>24.672934000000001</v>
      </c>
      <c r="I266" t="s">
        <v>1480</v>
      </c>
      <c r="J266" t="s">
        <v>1478</v>
      </c>
      <c r="K266" t="s">
        <v>36</v>
      </c>
      <c r="L266">
        <v>115</v>
      </c>
      <c r="M266" t="s">
        <v>19</v>
      </c>
      <c r="N266">
        <v>176</v>
      </c>
      <c r="O266">
        <v>33.28</v>
      </c>
      <c r="P266">
        <v>4</v>
      </c>
      <c r="Q266">
        <f>_26_03_2026_Log_Reseau_v15_7[[#This Row],[Durée cumulée_panne_minu]]/60</f>
        <v>2.9333333333333331</v>
      </c>
      <c r="R266">
        <f>ROUND(_26_03_2026_Log_Reseau_v15_7[[#This Row],[Durée_cumulée _ panne_en heure]],0)</f>
        <v>3</v>
      </c>
      <c r="S266">
        <f>_26_03_2026_Log_Reseau_v15_7[[#This Row],[Anciennété_mois]]/12</f>
        <v>9.5833333333333339</v>
      </c>
      <c r="T266">
        <f>ROUND(_26_03_2026_Log_Reseau_v15_7[[#This Row],[anciennete_ en année]],0)</f>
        <v>10</v>
      </c>
      <c r="U26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66" s="3">
        <f>ROUND(_26_03_2026_Log_Reseau_v15_7[[#This Row],[remise 10%_70%_45%]],0)</f>
        <v>0</v>
      </c>
      <c r="W266" s="3">
        <f>_26_03_2026_Log_Reseau_v15_7[[#This Row],[Facture mensuelle]]*_26_03_2026_Log_Reseau_v15_7[[#This Row],[remise 10_70_45]]</f>
        <v>0</v>
      </c>
    </row>
    <row r="267" spans="1:23" x14ac:dyDescent="0.25">
      <c r="A267" s="1">
        <v>45214</v>
      </c>
      <c r="B267" s="2">
        <v>0.68402777777777779</v>
      </c>
      <c r="C267" t="s">
        <v>1408</v>
      </c>
      <c r="D267">
        <v>119</v>
      </c>
      <c r="E267" t="s">
        <v>812</v>
      </c>
      <c r="F267" t="s">
        <v>67</v>
      </c>
      <c r="G267">
        <v>-11.218453999999999</v>
      </c>
      <c r="H267">
        <v>28.230025000000001</v>
      </c>
      <c r="I267" t="s">
        <v>1477</v>
      </c>
      <c r="J267" t="s">
        <v>1483</v>
      </c>
      <c r="K267" t="s">
        <v>66</v>
      </c>
      <c r="L267">
        <v>101</v>
      </c>
      <c r="M267" t="s">
        <v>14</v>
      </c>
      <c r="N267">
        <v>176</v>
      </c>
      <c r="O267">
        <v>86</v>
      </c>
      <c r="P267">
        <v>3</v>
      </c>
      <c r="Q267">
        <f>_26_03_2026_Log_Reseau_v15_7[[#This Row],[Durée cumulée_panne_minu]]/60</f>
        <v>2.9333333333333331</v>
      </c>
      <c r="R267">
        <f>ROUND(_26_03_2026_Log_Reseau_v15_7[[#This Row],[Durée_cumulée _ panne_en heure]],0)</f>
        <v>3</v>
      </c>
      <c r="S267">
        <f>_26_03_2026_Log_Reseau_v15_7[[#This Row],[Anciennété_mois]]/12</f>
        <v>8.4166666666666661</v>
      </c>
      <c r="T267">
        <f>ROUND(_26_03_2026_Log_Reseau_v15_7[[#This Row],[anciennete_ en année]],0)</f>
        <v>8</v>
      </c>
      <c r="U26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267" s="3">
        <f>ROUND(_26_03_2026_Log_Reseau_v15_7[[#This Row],[remise 10%_70%_45%]],0)</f>
        <v>9</v>
      </c>
      <c r="W267" s="3">
        <f>_26_03_2026_Log_Reseau_v15_7[[#This Row],[Facture mensuelle]]*_26_03_2026_Log_Reseau_v15_7[[#This Row],[remise 10_70_45]]</f>
        <v>774</v>
      </c>
    </row>
    <row r="268" spans="1:23" x14ac:dyDescent="0.25">
      <c r="A268" s="1">
        <v>45214</v>
      </c>
      <c r="B268" s="2">
        <v>0.77430555555555558</v>
      </c>
      <c r="C268" t="s">
        <v>1417</v>
      </c>
      <c r="D268">
        <v>118</v>
      </c>
      <c r="E268" t="s">
        <v>807</v>
      </c>
      <c r="F268" t="s">
        <v>31</v>
      </c>
      <c r="G268">
        <v>-10.914952</v>
      </c>
      <c r="H268">
        <v>26.409648000000001</v>
      </c>
      <c r="I268" t="s">
        <v>1480</v>
      </c>
      <c r="J268" t="s">
        <v>1481</v>
      </c>
      <c r="K268" t="s">
        <v>30</v>
      </c>
      <c r="L268">
        <v>113</v>
      </c>
      <c r="M268" t="s">
        <v>22</v>
      </c>
      <c r="N268">
        <v>380</v>
      </c>
      <c r="O268">
        <v>12.11</v>
      </c>
      <c r="P268">
        <v>0</v>
      </c>
      <c r="Q268">
        <f>_26_03_2026_Log_Reseau_v15_7[[#This Row],[Durée cumulée_panne_minu]]/60</f>
        <v>6.333333333333333</v>
      </c>
      <c r="R268">
        <f>ROUND(_26_03_2026_Log_Reseau_v15_7[[#This Row],[Durée_cumulée _ panne_en heure]],0)</f>
        <v>6</v>
      </c>
      <c r="S268">
        <f>_26_03_2026_Log_Reseau_v15_7[[#This Row],[Anciennété_mois]]/12</f>
        <v>9.4166666666666661</v>
      </c>
      <c r="T268">
        <f>ROUND(_26_03_2026_Log_Reseau_v15_7[[#This Row],[anciennete_ en année]],0)</f>
        <v>9</v>
      </c>
      <c r="U26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68" s="3">
        <f>ROUND(_26_03_2026_Log_Reseau_v15_7[[#This Row],[remise 10%_70%_45%]],0)</f>
        <v>0</v>
      </c>
      <c r="W268" s="3">
        <f>_26_03_2026_Log_Reseau_v15_7[[#This Row],[Facture mensuelle]]*_26_03_2026_Log_Reseau_v15_7[[#This Row],[remise 10_70_45]]</f>
        <v>0</v>
      </c>
    </row>
    <row r="269" spans="1:23" x14ac:dyDescent="0.25">
      <c r="A269" s="1">
        <v>45215</v>
      </c>
      <c r="B269" s="2">
        <v>0.28819444444444442</v>
      </c>
      <c r="C269" t="s">
        <v>877</v>
      </c>
      <c r="D269">
        <v>109</v>
      </c>
      <c r="E269" t="s">
        <v>807</v>
      </c>
      <c r="F269" t="s">
        <v>62</v>
      </c>
      <c r="G269">
        <v>-11.157245</v>
      </c>
      <c r="H269">
        <v>21.262627999999999</v>
      </c>
      <c r="I269" t="s">
        <v>1477</v>
      </c>
      <c r="J269" t="s">
        <v>1483</v>
      </c>
      <c r="K269" t="s">
        <v>61</v>
      </c>
      <c r="L269">
        <v>101</v>
      </c>
      <c r="M269" t="s">
        <v>14</v>
      </c>
      <c r="N269">
        <v>333</v>
      </c>
      <c r="O269">
        <v>74.319999999999993</v>
      </c>
      <c r="P269">
        <v>1</v>
      </c>
      <c r="Q269">
        <f>_26_03_2026_Log_Reseau_v15_7[[#This Row],[Durée cumulée_panne_minu]]/60</f>
        <v>5.55</v>
      </c>
      <c r="R269">
        <f>ROUND(_26_03_2026_Log_Reseau_v15_7[[#This Row],[Durée_cumulée _ panne_en heure]],0)</f>
        <v>6</v>
      </c>
      <c r="S269">
        <f>_26_03_2026_Log_Reseau_v15_7[[#This Row],[Anciennété_mois]]/12</f>
        <v>8.4166666666666661</v>
      </c>
      <c r="T269">
        <f>ROUND(_26_03_2026_Log_Reseau_v15_7[[#This Row],[anciennete_ en année]],0)</f>
        <v>8</v>
      </c>
      <c r="U26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269" s="3">
        <f>ROUND(_26_03_2026_Log_Reseau_v15_7[[#This Row],[remise 10%_70%_45%]],0)</f>
        <v>7</v>
      </c>
      <c r="W269" s="3">
        <f>_26_03_2026_Log_Reseau_v15_7[[#This Row],[Facture mensuelle]]*_26_03_2026_Log_Reseau_v15_7[[#This Row],[remise 10_70_45]]</f>
        <v>520.24</v>
      </c>
    </row>
    <row r="270" spans="1:23" x14ac:dyDescent="0.25">
      <c r="A270" s="1">
        <v>45215</v>
      </c>
      <c r="B270" s="2">
        <v>0.5805555555555556</v>
      </c>
      <c r="C270" t="s">
        <v>929</v>
      </c>
      <c r="D270">
        <v>102</v>
      </c>
      <c r="E270" t="s">
        <v>812</v>
      </c>
      <c r="F270" t="s">
        <v>73</v>
      </c>
      <c r="G270">
        <v>2.4425979999999998</v>
      </c>
      <c r="H270">
        <v>24.924308</v>
      </c>
      <c r="I270" t="s">
        <v>1477</v>
      </c>
      <c r="J270" t="s">
        <v>1478</v>
      </c>
      <c r="K270" t="s">
        <v>72</v>
      </c>
      <c r="L270">
        <v>6</v>
      </c>
      <c r="M270" t="s">
        <v>11</v>
      </c>
      <c r="N270">
        <v>207</v>
      </c>
      <c r="O270">
        <v>61.55</v>
      </c>
      <c r="P270">
        <v>0</v>
      </c>
      <c r="Q270">
        <f>_26_03_2026_Log_Reseau_v15_7[[#This Row],[Durée cumulée_panne_minu]]/60</f>
        <v>3.45</v>
      </c>
      <c r="R270">
        <f>ROUND(_26_03_2026_Log_Reseau_v15_7[[#This Row],[Durée_cumulée _ panne_en heure]],0)</f>
        <v>3</v>
      </c>
      <c r="S270">
        <f>_26_03_2026_Log_Reseau_v15_7[[#This Row],[Anciennété_mois]]/12</f>
        <v>0.5</v>
      </c>
      <c r="T270">
        <f>ROUND(_26_03_2026_Log_Reseau_v15_7[[#This Row],[anciennete_ en année]],0)</f>
        <v>1</v>
      </c>
      <c r="U27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70" s="3">
        <f>ROUND(_26_03_2026_Log_Reseau_v15_7[[#This Row],[remise 10%_70%_45%]],0)</f>
        <v>0</v>
      </c>
      <c r="W270" s="3">
        <f>_26_03_2026_Log_Reseau_v15_7[[#This Row],[Facture mensuelle]]*_26_03_2026_Log_Reseau_v15_7[[#This Row],[remise 10_70_45]]</f>
        <v>0</v>
      </c>
    </row>
    <row r="271" spans="1:23" x14ac:dyDescent="0.25">
      <c r="A271" s="1">
        <v>45215</v>
      </c>
      <c r="B271" s="2">
        <v>0.99027777777777781</v>
      </c>
      <c r="C271" t="s">
        <v>943</v>
      </c>
      <c r="D271">
        <v>66</v>
      </c>
      <c r="E271" t="s">
        <v>812</v>
      </c>
      <c r="F271" t="s">
        <v>35</v>
      </c>
      <c r="G271">
        <v>-1.4110389999999999</v>
      </c>
      <c r="H271">
        <v>21.261644</v>
      </c>
      <c r="I271" t="s">
        <v>1480</v>
      </c>
      <c r="J271" t="s">
        <v>1483</v>
      </c>
      <c r="K271" t="s">
        <v>34</v>
      </c>
      <c r="L271">
        <v>35</v>
      </c>
      <c r="M271" t="s">
        <v>14</v>
      </c>
      <c r="N271">
        <v>465</v>
      </c>
      <c r="O271">
        <v>58.59</v>
      </c>
      <c r="P271">
        <v>5</v>
      </c>
      <c r="Q271">
        <f>_26_03_2026_Log_Reseau_v15_7[[#This Row],[Durée cumulée_panne_minu]]/60</f>
        <v>7.75</v>
      </c>
      <c r="R271">
        <f>ROUND(_26_03_2026_Log_Reseau_v15_7[[#This Row],[Durée_cumulée _ panne_en heure]],0)</f>
        <v>8</v>
      </c>
      <c r="S271">
        <f>_26_03_2026_Log_Reseau_v15_7[[#This Row],[Anciennété_mois]]/12</f>
        <v>2.9166666666666665</v>
      </c>
      <c r="T271">
        <f>ROUND(_26_03_2026_Log_Reseau_v15_7[[#This Row],[anciennete_ en année]],0)</f>
        <v>3</v>
      </c>
      <c r="U27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271" s="3">
        <f>ROUND(_26_03_2026_Log_Reseau_v15_7[[#This Row],[remise 10%_70%_45%]],0)</f>
        <v>6</v>
      </c>
      <c r="W271" s="3">
        <f>_26_03_2026_Log_Reseau_v15_7[[#This Row],[Facture mensuelle]]*_26_03_2026_Log_Reseau_v15_7[[#This Row],[remise 10_70_45]]</f>
        <v>351.54</v>
      </c>
    </row>
    <row r="272" spans="1:23" x14ac:dyDescent="0.25">
      <c r="A272" s="1">
        <v>45215</v>
      </c>
      <c r="B272" s="2">
        <v>0.45763888888888887</v>
      </c>
      <c r="C272" t="s">
        <v>1035</v>
      </c>
      <c r="D272">
        <v>100</v>
      </c>
      <c r="E272" t="s">
        <v>807</v>
      </c>
      <c r="F272" t="s">
        <v>37</v>
      </c>
      <c r="G272">
        <v>-11.793894</v>
      </c>
      <c r="H272">
        <v>20.433340999999999</v>
      </c>
      <c r="I272" t="s">
        <v>1477</v>
      </c>
      <c r="J272" t="s">
        <v>1490</v>
      </c>
      <c r="K272" t="s">
        <v>36</v>
      </c>
      <c r="L272">
        <v>115</v>
      </c>
      <c r="M272" t="s">
        <v>19</v>
      </c>
      <c r="N272">
        <v>176</v>
      </c>
      <c r="O272">
        <v>33.28</v>
      </c>
      <c r="P272">
        <v>4</v>
      </c>
      <c r="Q272">
        <f>_26_03_2026_Log_Reseau_v15_7[[#This Row],[Durée cumulée_panne_minu]]/60</f>
        <v>2.9333333333333331</v>
      </c>
      <c r="R272">
        <f>ROUND(_26_03_2026_Log_Reseau_v15_7[[#This Row],[Durée_cumulée _ panne_en heure]],0)</f>
        <v>3</v>
      </c>
      <c r="S272">
        <f>_26_03_2026_Log_Reseau_v15_7[[#This Row],[Anciennété_mois]]/12</f>
        <v>9.5833333333333339</v>
      </c>
      <c r="T272">
        <f>ROUND(_26_03_2026_Log_Reseau_v15_7[[#This Row],[anciennete_ en année]],0)</f>
        <v>10</v>
      </c>
      <c r="U27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72" s="3">
        <f>ROUND(_26_03_2026_Log_Reseau_v15_7[[#This Row],[remise 10%_70%_45%]],0)</f>
        <v>0</v>
      </c>
      <c r="W272" s="3">
        <f>_26_03_2026_Log_Reseau_v15_7[[#This Row],[Facture mensuelle]]*_26_03_2026_Log_Reseau_v15_7[[#This Row],[remise 10_70_45]]</f>
        <v>0</v>
      </c>
    </row>
    <row r="273" spans="1:23" x14ac:dyDescent="0.25">
      <c r="A273" s="1">
        <v>45215</v>
      </c>
      <c r="B273" s="2">
        <v>9.3055555555555558E-2</v>
      </c>
      <c r="C273" t="s">
        <v>1043</v>
      </c>
      <c r="D273">
        <v>87</v>
      </c>
      <c r="E273" t="s">
        <v>807</v>
      </c>
      <c r="F273" t="s">
        <v>16</v>
      </c>
      <c r="G273">
        <v>-7.6951369999999999</v>
      </c>
      <c r="H273">
        <v>13.346605</v>
      </c>
      <c r="I273" t="s">
        <v>1480</v>
      </c>
      <c r="J273" t="s">
        <v>1478</v>
      </c>
      <c r="K273" t="s">
        <v>15</v>
      </c>
      <c r="L273">
        <v>34</v>
      </c>
      <c r="M273" t="s">
        <v>14</v>
      </c>
      <c r="N273">
        <v>453</v>
      </c>
      <c r="O273">
        <v>56.84</v>
      </c>
      <c r="P273">
        <v>0</v>
      </c>
      <c r="Q273">
        <f>_26_03_2026_Log_Reseau_v15_7[[#This Row],[Durée cumulée_panne_minu]]/60</f>
        <v>7.55</v>
      </c>
      <c r="R273">
        <f>ROUND(_26_03_2026_Log_Reseau_v15_7[[#This Row],[Durée_cumulée _ panne_en heure]],0)</f>
        <v>8</v>
      </c>
      <c r="S273">
        <f>_26_03_2026_Log_Reseau_v15_7[[#This Row],[Anciennété_mois]]/12</f>
        <v>2.8333333333333335</v>
      </c>
      <c r="T273">
        <f>ROUND(_26_03_2026_Log_Reseau_v15_7[[#This Row],[anciennete_ en année]],0)</f>
        <v>3</v>
      </c>
      <c r="U27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273" s="3">
        <f>ROUND(_26_03_2026_Log_Reseau_v15_7[[#This Row],[remise 10%_70%_45%]],0)</f>
        <v>6</v>
      </c>
      <c r="W273" s="3">
        <f>_26_03_2026_Log_Reseau_v15_7[[#This Row],[Facture mensuelle]]*_26_03_2026_Log_Reseau_v15_7[[#This Row],[remise 10_70_45]]</f>
        <v>341.04</v>
      </c>
    </row>
    <row r="274" spans="1:23" x14ac:dyDescent="0.25">
      <c r="A274" s="1">
        <v>45215</v>
      </c>
      <c r="B274" s="2">
        <v>0.58750000000000002</v>
      </c>
      <c r="C274" t="s">
        <v>1071</v>
      </c>
      <c r="D274">
        <v>24</v>
      </c>
      <c r="E274" t="s">
        <v>808</v>
      </c>
      <c r="F274" t="s">
        <v>78</v>
      </c>
      <c r="G274">
        <v>2.5458379999999998</v>
      </c>
      <c r="H274">
        <v>13.308655</v>
      </c>
      <c r="I274" t="s">
        <v>1477</v>
      </c>
      <c r="J274" t="s">
        <v>1483</v>
      </c>
      <c r="K274" t="s">
        <v>77</v>
      </c>
      <c r="L274">
        <v>81</v>
      </c>
      <c r="M274" t="s">
        <v>14</v>
      </c>
      <c r="N274">
        <v>154</v>
      </c>
      <c r="O274">
        <v>19.47</v>
      </c>
      <c r="P274">
        <v>3</v>
      </c>
      <c r="Q274">
        <f>_26_03_2026_Log_Reseau_v15_7[[#This Row],[Durée cumulée_panne_minu]]/60</f>
        <v>2.5666666666666669</v>
      </c>
      <c r="R274">
        <f>ROUND(_26_03_2026_Log_Reseau_v15_7[[#This Row],[Durée_cumulée _ panne_en heure]],0)</f>
        <v>3</v>
      </c>
      <c r="S274">
        <f>_26_03_2026_Log_Reseau_v15_7[[#This Row],[Anciennété_mois]]/12</f>
        <v>6.75</v>
      </c>
      <c r="T274">
        <f>ROUND(_26_03_2026_Log_Reseau_v15_7[[#This Row],[anciennete_ en année]],0)</f>
        <v>7</v>
      </c>
      <c r="U27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274" s="3">
        <f>ROUND(_26_03_2026_Log_Reseau_v15_7[[#This Row],[remise 10%_70%_45%]],0)</f>
        <v>2</v>
      </c>
      <c r="W274" s="3">
        <f>_26_03_2026_Log_Reseau_v15_7[[#This Row],[Facture mensuelle]]*_26_03_2026_Log_Reseau_v15_7[[#This Row],[remise 10_70_45]]</f>
        <v>38.94</v>
      </c>
    </row>
    <row r="275" spans="1:23" x14ac:dyDescent="0.25">
      <c r="A275" s="1">
        <v>45215</v>
      </c>
      <c r="B275" s="2">
        <v>4.9305555555555554E-2</v>
      </c>
      <c r="C275" t="s">
        <v>1071</v>
      </c>
      <c r="D275">
        <v>33</v>
      </c>
      <c r="E275" t="s">
        <v>808</v>
      </c>
      <c r="F275" t="s">
        <v>78</v>
      </c>
      <c r="G275">
        <v>2.5458379999999998</v>
      </c>
      <c r="H275">
        <v>13.308655</v>
      </c>
      <c r="I275" t="s">
        <v>1477</v>
      </c>
      <c r="J275" t="s">
        <v>1483</v>
      </c>
      <c r="K275" t="s">
        <v>77</v>
      </c>
      <c r="L275">
        <v>81</v>
      </c>
      <c r="M275" t="s">
        <v>14</v>
      </c>
      <c r="N275">
        <v>154</v>
      </c>
      <c r="O275">
        <v>19.47</v>
      </c>
      <c r="P275">
        <v>3</v>
      </c>
      <c r="Q275">
        <f>_26_03_2026_Log_Reseau_v15_7[[#This Row],[Durée cumulée_panne_minu]]/60</f>
        <v>2.5666666666666669</v>
      </c>
      <c r="R275">
        <f>ROUND(_26_03_2026_Log_Reseau_v15_7[[#This Row],[Durée_cumulée _ panne_en heure]],0)</f>
        <v>3</v>
      </c>
      <c r="S275">
        <f>_26_03_2026_Log_Reseau_v15_7[[#This Row],[Anciennété_mois]]/12</f>
        <v>6.75</v>
      </c>
      <c r="T275">
        <f>ROUND(_26_03_2026_Log_Reseau_v15_7[[#This Row],[anciennete_ en année]],0)</f>
        <v>7</v>
      </c>
      <c r="U27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275" s="3">
        <f>ROUND(_26_03_2026_Log_Reseau_v15_7[[#This Row],[remise 10%_70%_45%]],0)</f>
        <v>2</v>
      </c>
      <c r="W275" s="3">
        <f>_26_03_2026_Log_Reseau_v15_7[[#This Row],[Facture mensuelle]]*_26_03_2026_Log_Reseau_v15_7[[#This Row],[remise 10_70_45]]</f>
        <v>38.94</v>
      </c>
    </row>
    <row r="276" spans="1:23" x14ac:dyDescent="0.25">
      <c r="A276" s="1">
        <v>45215</v>
      </c>
      <c r="B276" s="2">
        <v>0.70486111111111116</v>
      </c>
      <c r="C276" t="s">
        <v>1129</v>
      </c>
      <c r="D276">
        <v>107</v>
      </c>
      <c r="E276" t="s">
        <v>807</v>
      </c>
      <c r="F276" t="s">
        <v>62</v>
      </c>
      <c r="G276">
        <v>-12.564277000000001</v>
      </c>
      <c r="H276">
        <v>28.480798</v>
      </c>
      <c r="I276" t="s">
        <v>1477</v>
      </c>
      <c r="J276" t="s">
        <v>1483</v>
      </c>
      <c r="K276" t="s">
        <v>61</v>
      </c>
      <c r="L276">
        <v>101</v>
      </c>
      <c r="M276" t="s">
        <v>14</v>
      </c>
      <c r="N276">
        <v>333</v>
      </c>
      <c r="O276">
        <v>74.319999999999993</v>
      </c>
      <c r="P276">
        <v>1</v>
      </c>
      <c r="Q276">
        <f>_26_03_2026_Log_Reseau_v15_7[[#This Row],[Durée cumulée_panne_minu]]/60</f>
        <v>5.55</v>
      </c>
      <c r="R276">
        <f>ROUND(_26_03_2026_Log_Reseau_v15_7[[#This Row],[Durée_cumulée _ panne_en heure]],0)</f>
        <v>6</v>
      </c>
      <c r="S276">
        <f>_26_03_2026_Log_Reseau_v15_7[[#This Row],[Anciennété_mois]]/12</f>
        <v>8.4166666666666661</v>
      </c>
      <c r="T276">
        <f>ROUND(_26_03_2026_Log_Reseau_v15_7[[#This Row],[anciennete_ en année]],0)</f>
        <v>8</v>
      </c>
      <c r="U27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276" s="3">
        <f>ROUND(_26_03_2026_Log_Reseau_v15_7[[#This Row],[remise 10%_70%_45%]],0)</f>
        <v>7</v>
      </c>
      <c r="W276" s="3">
        <f>_26_03_2026_Log_Reseau_v15_7[[#This Row],[Facture mensuelle]]*_26_03_2026_Log_Reseau_v15_7[[#This Row],[remise 10_70_45]]</f>
        <v>520.24</v>
      </c>
    </row>
    <row r="277" spans="1:23" x14ac:dyDescent="0.25">
      <c r="A277" s="1">
        <v>45215</v>
      </c>
      <c r="B277" s="2">
        <v>5.6944444444444443E-2</v>
      </c>
      <c r="C277" t="s">
        <v>1167</v>
      </c>
      <c r="D277">
        <v>99</v>
      </c>
      <c r="E277" t="s">
        <v>808</v>
      </c>
      <c r="F277" t="s">
        <v>64</v>
      </c>
      <c r="G277">
        <v>-2.6665070000000002</v>
      </c>
      <c r="H277">
        <v>18.623692999999999</v>
      </c>
      <c r="I277" t="s">
        <v>1482</v>
      </c>
      <c r="J277" t="s">
        <v>1483</v>
      </c>
      <c r="K277" t="s">
        <v>63</v>
      </c>
      <c r="L277">
        <v>79</v>
      </c>
      <c r="M277" t="s">
        <v>11</v>
      </c>
      <c r="N277">
        <v>226</v>
      </c>
      <c r="O277">
        <v>94.38</v>
      </c>
      <c r="P277">
        <v>3</v>
      </c>
      <c r="Q277">
        <f>_26_03_2026_Log_Reseau_v15_7[[#This Row],[Durée cumulée_panne_minu]]/60</f>
        <v>3.7666666666666666</v>
      </c>
      <c r="R277">
        <f>ROUND(_26_03_2026_Log_Reseau_v15_7[[#This Row],[Durée_cumulée _ panne_en heure]],0)</f>
        <v>4</v>
      </c>
      <c r="S277">
        <f>_26_03_2026_Log_Reseau_v15_7[[#This Row],[Anciennété_mois]]/12</f>
        <v>6.583333333333333</v>
      </c>
      <c r="T277">
        <f>ROUND(_26_03_2026_Log_Reseau_v15_7[[#This Row],[anciennete_ en année]],0)</f>
        <v>7</v>
      </c>
      <c r="U27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77" s="3">
        <f>ROUND(_26_03_2026_Log_Reseau_v15_7[[#This Row],[remise 10%_70%_45%]],0)</f>
        <v>0</v>
      </c>
      <c r="W277" s="3">
        <f>_26_03_2026_Log_Reseau_v15_7[[#This Row],[Facture mensuelle]]*_26_03_2026_Log_Reseau_v15_7[[#This Row],[remise 10_70_45]]</f>
        <v>0</v>
      </c>
    </row>
    <row r="278" spans="1:23" x14ac:dyDescent="0.25">
      <c r="A278" s="1">
        <v>45215</v>
      </c>
      <c r="B278" s="2">
        <v>0.77500000000000002</v>
      </c>
      <c r="C278" t="s">
        <v>1229</v>
      </c>
      <c r="D278">
        <v>95</v>
      </c>
      <c r="E278" t="s">
        <v>808</v>
      </c>
      <c r="F278" t="s">
        <v>73</v>
      </c>
      <c r="G278">
        <v>-0.85624699999999998</v>
      </c>
      <c r="H278">
        <v>28.624870000000001</v>
      </c>
      <c r="I278" t="s">
        <v>1482</v>
      </c>
      <c r="J278" t="s">
        <v>1478</v>
      </c>
      <c r="K278" t="s">
        <v>72</v>
      </c>
      <c r="L278">
        <v>6</v>
      </c>
      <c r="M278" t="s">
        <v>11</v>
      </c>
      <c r="N278">
        <v>207</v>
      </c>
      <c r="O278">
        <v>61.55</v>
      </c>
      <c r="P278">
        <v>0</v>
      </c>
      <c r="Q278">
        <f>_26_03_2026_Log_Reseau_v15_7[[#This Row],[Durée cumulée_panne_minu]]/60</f>
        <v>3.45</v>
      </c>
      <c r="R278">
        <f>ROUND(_26_03_2026_Log_Reseau_v15_7[[#This Row],[Durée_cumulée _ panne_en heure]],0)</f>
        <v>3</v>
      </c>
      <c r="S278">
        <f>_26_03_2026_Log_Reseau_v15_7[[#This Row],[Anciennété_mois]]/12</f>
        <v>0.5</v>
      </c>
      <c r="T278">
        <f>ROUND(_26_03_2026_Log_Reseau_v15_7[[#This Row],[anciennete_ en année]],0)</f>
        <v>1</v>
      </c>
      <c r="U27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78" s="3">
        <f>ROUND(_26_03_2026_Log_Reseau_v15_7[[#This Row],[remise 10%_70%_45%]],0)</f>
        <v>0</v>
      </c>
      <c r="W278" s="3">
        <f>_26_03_2026_Log_Reseau_v15_7[[#This Row],[Facture mensuelle]]*_26_03_2026_Log_Reseau_v15_7[[#This Row],[remise 10_70_45]]</f>
        <v>0</v>
      </c>
    </row>
    <row r="279" spans="1:23" x14ac:dyDescent="0.25">
      <c r="A279" s="1">
        <v>45215</v>
      </c>
      <c r="B279" s="2">
        <v>0.77638888888888891</v>
      </c>
      <c r="C279" t="s">
        <v>1234</v>
      </c>
      <c r="D279">
        <v>87</v>
      </c>
      <c r="E279" t="s">
        <v>812</v>
      </c>
      <c r="F279" t="s">
        <v>29</v>
      </c>
      <c r="G279">
        <v>2.5665840000000002</v>
      </c>
      <c r="H279">
        <v>15.764796</v>
      </c>
      <c r="I279" t="s">
        <v>1482</v>
      </c>
      <c r="J279" t="s">
        <v>1483</v>
      </c>
      <c r="K279" t="s">
        <v>28</v>
      </c>
      <c r="L279">
        <v>99</v>
      </c>
      <c r="M279" t="s">
        <v>19</v>
      </c>
      <c r="N279">
        <v>369</v>
      </c>
      <c r="O279">
        <v>67.209999999999994</v>
      </c>
      <c r="P279">
        <v>3</v>
      </c>
      <c r="Q279">
        <f>_26_03_2026_Log_Reseau_v15_7[[#This Row],[Durée cumulée_panne_minu]]/60</f>
        <v>6.15</v>
      </c>
      <c r="R279">
        <f>ROUND(_26_03_2026_Log_Reseau_v15_7[[#This Row],[Durée_cumulée _ panne_en heure]],0)</f>
        <v>6</v>
      </c>
      <c r="S279">
        <f>_26_03_2026_Log_Reseau_v15_7[[#This Row],[Anciennété_mois]]/12</f>
        <v>8.25</v>
      </c>
      <c r="T279">
        <f>ROUND(_26_03_2026_Log_Reseau_v15_7[[#This Row],[anciennete_ en année]],0)</f>
        <v>8</v>
      </c>
      <c r="U27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79" s="3">
        <f>ROUND(_26_03_2026_Log_Reseau_v15_7[[#This Row],[remise 10%_70%_45%]],0)</f>
        <v>0</v>
      </c>
      <c r="W279" s="3">
        <f>_26_03_2026_Log_Reseau_v15_7[[#This Row],[Facture mensuelle]]*_26_03_2026_Log_Reseau_v15_7[[#This Row],[remise 10_70_45]]</f>
        <v>0</v>
      </c>
    </row>
    <row r="280" spans="1:23" x14ac:dyDescent="0.25">
      <c r="A280" s="1">
        <v>45215</v>
      </c>
      <c r="B280" s="2">
        <v>0.37638888888888888</v>
      </c>
      <c r="C280" t="s">
        <v>1236</v>
      </c>
      <c r="D280">
        <v>65</v>
      </c>
      <c r="E280" t="s">
        <v>812</v>
      </c>
      <c r="F280" t="s">
        <v>67</v>
      </c>
      <c r="G280">
        <v>-2.2371569999999998</v>
      </c>
      <c r="H280">
        <v>25.926188</v>
      </c>
      <c r="I280" t="s">
        <v>1482</v>
      </c>
      <c r="J280" t="s">
        <v>1490</v>
      </c>
      <c r="K280" t="s">
        <v>66</v>
      </c>
      <c r="L280">
        <v>101</v>
      </c>
      <c r="M280" t="s">
        <v>14</v>
      </c>
      <c r="N280">
        <v>176</v>
      </c>
      <c r="O280">
        <v>86</v>
      </c>
      <c r="P280">
        <v>3</v>
      </c>
      <c r="Q280">
        <f>_26_03_2026_Log_Reseau_v15_7[[#This Row],[Durée cumulée_panne_minu]]/60</f>
        <v>2.9333333333333331</v>
      </c>
      <c r="R280">
        <f>ROUND(_26_03_2026_Log_Reseau_v15_7[[#This Row],[Durée_cumulée _ panne_en heure]],0)</f>
        <v>3</v>
      </c>
      <c r="S280">
        <f>_26_03_2026_Log_Reseau_v15_7[[#This Row],[Anciennété_mois]]/12</f>
        <v>8.4166666666666661</v>
      </c>
      <c r="T280">
        <f>ROUND(_26_03_2026_Log_Reseau_v15_7[[#This Row],[anciennete_ en année]],0)</f>
        <v>8</v>
      </c>
      <c r="U28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280" s="3">
        <f>ROUND(_26_03_2026_Log_Reseau_v15_7[[#This Row],[remise 10%_70%_45%]],0)</f>
        <v>9</v>
      </c>
      <c r="W280" s="3">
        <f>_26_03_2026_Log_Reseau_v15_7[[#This Row],[Facture mensuelle]]*_26_03_2026_Log_Reseau_v15_7[[#This Row],[remise 10_70_45]]</f>
        <v>774</v>
      </c>
    </row>
    <row r="281" spans="1:23" x14ac:dyDescent="0.25">
      <c r="A281" s="1">
        <v>45215</v>
      </c>
      <c r="B281" s="2">
        <v>1.5972222222222221E-2</v>
      </c>
      <c r="C281" t="s">
        <v>1295</v>
      </c>
      <c r="D281">
        <v>74</v>
      </c>
      <c r="E281" t="s">
        <v>807</v>
      </c>
      <c r="F281" t="s">
        <v>33</v>
      </c>
      <c r="G281">
        <v>-5.8352820000000003</v>
      </c>
      <c r="H281">
        <v>26.603978000000001</v>
      </c>
      <c r="I281" t="s">
        <v>1480</v>
      </c>
      <c r="J281" t="s">
        <v>1481</v>
      </c>
      <c r="K281" t="s">
        <v>32</v>
      </c>
      <c r="L281">
        <v>72</v>
      </c>
      <c r="M281" t="s">
        <v>14</v>
      </c>
      <c r="N281">
        <v>160</v>
      </c>
      <c r="O281">
        <v>90.13</v>
      </c>
      <c r="P281">
        <v>2</v>
      </c>
      <c r="Q281">
        <f>_26_03_2026_Log_Reseau_v15_7[[#This Row],[Durée cumulée_panne_minu]]/60</f>
        <v>2.6666666666666665</v>
      </c>
      <c r="R281">
        <f>ROUND(_26_03_2026_Log_Reseau_v15_7[[#This Row],[Durée_cumulée _ panne_en heure]],0)</f>
        <v>3</v>
      </c>
      <c r="S281">
        <f>_26_03_2026_Log_Reseau_v15_7[[#This Row],[Anciennété_mois]]/12</f>
        <v>6</v>
      </c>
      <c r="T281">
        <f>ROUND(_26_03_2026_Log_Reseau_v15_7[[#This Row],[anciennete_ en année]],0)</f>
        <v>6</v>
      </c>
      <c r="U28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281" s="3">
        <f>ROUND(_26_03_2026_Log_Reseau_v15_7[[#This Row],[remise 10%_70%_45%]],0)</f>
        <v>9</v>
      </c>
      <c r="W281" s="3">
        <f>_26_03_2026_Log_Reseau_v15_7[[#This Row],[Facture mensuelle]]*_26_03_2026_Log_Reseau_v15_7[[#This Row],[remise 10_70_45]]</f>
        <v>811.17</v>
      </c>
    </row>
    <row r="282" spans="1:23" x14ac:dyDescent="0.25">
      <c r="A282" s="1">
        <v>45215</v>
      </c>
      <c r="B282" s="2">
        <v>0.67291666666666672</v>
      </c>
      <c r="C282" t="s">
        <v>1444</v>
      </c>
      <c r="D282">
        <v>117</v>
      </c>
      <c r="E282" t="s">
        <v>812</v>
      </c>
      <c r="F282" t="s">
        <v>131</v>
      </c>
      <c r="G282">
        <v>-11.866133</v>
      </c>
      <c r="H282">
        <v>27.068932</v>
      </c>
      <c r="I282" t="s">
        <v>1482</v>
      </c>
      <c r="J282" t="s">
        <v>1481</v>
      </c>
      <c r="K282" t="s">
        <v>130</v>
      </c>
      <c r="L282">
        <v>16</v>
      </c>
      <c r="M282" t="s">
        <v>19</v>
      </c>
      <c r="N282">
        <v>390</v>
      </c>
      <c r="O282">
        <v>98.17</v>
      </c>
      <c r="P282">
        <v>5</v>
      </c>
      <c r="Q282">
        <f>_26_03_2026_Log_Reseau_v15_7[[#This Row],[Durée cumulée_panne_minu]]/60</f>
        <v>6.5</v>
      </c>
      <c r="R282">
        <f>ROUND(_26_03_2026_Log_Reseau_v15_7[[#This Row],[Durée_cumulée _ panne_en heure]],0)</f>
        <v>7</v>
      </c>
      <c r="S282">
        <f>_26_03_2026_Log_Reseau_v15_7[[#This Row],[Anciennété_mois]]/12</f>
        <v>1.3333333333333333</v>
      </c>
      <c r="T282">
        <f>ROUND(_26_03_2026_Log_Reseau_v15_7[[#This Row],[anciennete_ en année]],0)</f>
        <v>1</v>
      </c>
      <c r="U28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82" s="3">
        <f>ROUND(_26_03_2026_Log_Reseau_v15_7[[#This Row],[remise 10%_70%_45%]],0)</f>
        <v>0</v>
      </c>
      <c r="W282" s="3">
        <f>_26_03_2026_Log_Reseau_v15_7[[#This Row],[Facture mensuelle]]*_26_03_2026_Log_Reseau_v15_7[[#This Row],[remise 10_70_45]]</f>
        <v>0</v>
      </c>
    </row>
    <row r="283" spans="1:23" x14ac:dyDescent="0.25">
      <c r="A283" s="1">
        <v>45215</v>
      </c>
      <c r="B283" s="2">
        <v>0.37291666666666667</v>
      </c>
      <c r="C283" t="s">
        <v>1460</v>
      </c>
      <c r="D283">
        <v>70</v>
      </c>
      <c r="E283" t="s">
        <v>808</v>
      </c>
      <c r="F283" t="s">
        <v>62</v>
      </c>
      <c r="G283">
        <v>-12.112399999999999</v>
      </c>
      <c r="H283">
        <v>15.872226</v>
      </c>
      <c r="I283" t="s">
        <v>1480</v>
      </c>
      <c r="J283" t="s">
        <v>1490</v>
      </c>
      <c r="K283" t="s">
        <v>61</v>
      </c>
      <c r="L283">
        <v>101</v>
      </c>
      <c r="M283" t="s">
        <v>14</v>
      </c>
      <c r="N283">
        <v>333</v>
      </c>
      <c r="O283">
        <v>74.319999999999993</v>
      </c>
      <c r="P283">
        <v>1</v>
      </c>
      <c r="Q283">
        <f>_26_03_2026_Log_Reseau_v15_7[[#This Row],[Durée cumulée_panne_minu]]/60</f>
        <v>5.55</v>
      </c>
      <c r="R283">
        <f>ROUND(_26_03_2026_Log_Reseau_v15_7[[#This Row],[Durée_cumulée _ panne_en heure]],0)</f>
        <v>6</v>
      </c>
      <c r="S283">
        <f>_26_03_2026_Log_Reseau_v15_7[[#This Row],[Anciennété_mois]]/12</f>
        <v>8.4166666666666661</v>
      </c>
      <c r="T283">
        <f>ROUND(_26_03_2026_Log_Reseau_v15_7[[#This Row],[anciennete_ en année]],0)</f>
        <v>8</v>
      </c>
      <c r="U28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283" s="3">
        <f>ROUND(_26_03_2026_Log_Reseau_v15_7[[#This Row],[remise 10%_70%_45%]],0)</f>
        <v>7</v>
      </c>
      <c r="W283" s="3">
        <f>_26_03_2026_Log_Reseau_v15_7[[#This Row],[Facture mensuelle]]*_26_03_2026_Log_Reseau_v15_7[[#This Row],[remise 10_70_45]]</f>
        <v>520.24</v>
      </c>
    </row>
    <row r="284" spans="1:23" x14ac:dyDescent="0.25">
      <c r="A284" s="1">
        <v>45216</v>
      </c>
      <c r="B284" s="2">
        <v>0.58333333333333337</v>
      </c>
      <c r="C284" t="s">
        <v>834</v>
      </c>
      <c r="D284">
        <v>78</v>
      </c>
      <c r="E284" t="s">
        <v>812</v>
      </c>
      <c r="F284" t="s">
        <v>24</v>
      </c>
      <c r="G284">
        <v>0.16841400000000001</v>
      </c>
      <c r="H284">
        <v>30.029876999999999</v>
      </c>
      <c r="I284" t="s">
        <v>1477</v>
      </c>
      <c r="J284" t="s">
        <v>1481</v>
      </c>
      <c r="K284" t="s">
        <v>23</v>
      </c>
      <c r="L284">
        <v>46</v>
      </c>
      <c r="M284" t="s">
        <v>11</v>
      </c>
      <c r="N284">
        <v>283</v>
      </c>
      <c r="O284">
        <v>56.05</v>
      </c>
      <c r="P284">
        <v>1</v>
      </c>
      <c r="Q284">
        <f>_26_03_2026_Log_Reseau_v15_7[[#This Row],[Durée cumulée_panne_minu]]/60</f>
        <v>4.7166666666666668</v>
      </c>
      <c r="R284">
        <f>ROUND(_26_03_2026_Log_Reseau_v15_7[[#This Row],[Durée_cumulée _ panne_en heure]],0)</f>
        <v>5</v>
      </c>
      <c r="S284">
        <f>_26_03_2026_Log_Reseau_v15_7[[#This Row],[Anciennété_mois]]/12</f>
        <v>3.8333333333333335</v>
      </c>
      <c r="T284">
        <f>ROUND(_26_03_2026_Log_Reseau_v15_7[[#This Row],[anciennete_ en année]],0)</f>
        <v>4</v>
      </c>
      <c r="U28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84" s="3">
        <f>ROUND(_26_03_2026_Log_Reseau_v15_7[[#This Row],[remise 10%_70%_45%]],0)</f>
        <v>0</v>
      </c>
      <c r="W284" s="3">
        <f>_26_03_2026_Log_Reseau_v15_7[[#This Row],[Facture mensuelle]]*_26_03_2026_Log_Reseau_v15_7[[#This Row],[remise 10_70_45]]</f>
        <v>0</v>
      </c>
    </row>
    <row r="285" spans="1:23" x14ac:dyDescent="0.25">
      <c r="A285" s="1">
        <v>45216</v>
      </c>
      <c r="B285" s="2">
        <v>0.70902777777777781</v>
      </c>
      <c r="C285" t="s">
        <v>846</v>
      </c>
      <c r="D285">
        <v>39</v>
      </c>
      <c r="E285" t="s">
        <v>807</v>
      </c>
      <c r="F285" t="s">
        <v>10</v>
      </c>
      <c r="G285">
        <v>-0.34051900000000002</v>
      </c>
      <c r="H285">
        <v>17.079799000000001</v>
      </c>
      <c r="I285" t="s">
        <v>1477</v>
      </c>
      <c r="J285" t="s">
        <v>1478</v>
      </c>
      <c r="K285" t="s">
        <v>9</v>
      </c>
      <c r="L285">
        <v>29</v>
      </c>
      <c r="M285" t="s">
        <v>11</v>
      </c>
      <c r="N285">
        <v>214</v>
      </c>
      <c r="O285">
        <v>74.7</v>
      </c>
      <c r="P285">
        <v>3</v>
      </c>
      <c r="Q285">
        <f>_26_03_2026_Log_Reseau_v15_7[[#This Row],[Durée cumulée_panne_minu]]/60</f>
        <v>3.5666666666666669</v>
      </c>
      <c r="R285">
        <f>ROUND(_26_03_2026_Log_Reseau_v15_7[[#This Row],[Durée_cumulée _ panne_en heure]],0)</f>
        <v>4</v>
      </c>
      <c r="S285">
        <f>_26_03_2026_Log_Reseau_v15_7[[#This Row],[Anciennété_mois]]/12</f>
        <v>2.4166666666666665</v>
      </c>
      <c r="T285">
        <f>ROUND(_26_03_2026_Log_Reseau_v15_7[[#This Row],[anciennete_ en année]],0)</f>
        <v>2</v>
      </c>
      <c r="U28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85" s="3">
        <f>ROUND(_26_03_2026_Log_Reseau_v15_7[[#This Row],[remise 10%_70%_45%]],0)</f>
        <v>0</v>
      </c>
      <c r="W285" s="3">
        <f>_26_03_2026_Log_Reseau_v15_7[[#This Row],[Facture mensuelle]]*_26_03_2026_Log_Reseau_v15_7[[#This Row],[remise 10_70_45]]</f>
        <v>0</v>
      </c>
    </row>
    <row r="286" spans="1:23" x14ac:dyDescent="0.25">
      <c r="A286" s="1">
        <v>45216</v>
      </c>
      <c r="B286" s="2">
        <v>0.67361111111111116</v>
      </c>
      <c r="C286" t="s">
        <v>861</v>
      </c>
      <c r="D286">
        <v>117</v>
      </c>
      <c r="E286" t="s">
        <v>807</v>
      </c>
      <c r="F286" t="s">
        <v>31</v>
      </c>
      <c r="G286">
        <v>-12.141233</v>
      </c>
      <c r="H286">
        <v>15.179043999999999</v>
      </c>
      <c r="I286" t="s">
        <v>1477</v>
      </c>
      <c r="J286" t="s">
        <v>1478</v>
      </c>
      <c r="K286" t="s">
        <v>30</v>
      </c>
      <c r="L286">
        <v>113</v>
      </c>
      <c r="M286" t="s">
        <v>22</v>
      </c>
      <c r="N286">
        <v>380</v>
      </c>
      <c r="O286">
        <v>12.11</v>
      </c>
      <c r="P286">
        <v>0</v>
      </c>
      <c r="Q286">
        <f>_26_03_2026_Log_Reseau_v15_7[[#This Row],[Durée cumulée_panne_minu]]/60</f>
        <v>6.333333333333333</v>
      </c>
      <c r="R286">
        <f>ROUND(_26_03_2026_Log_Reseau_v15_7[[#This Row],[Durée_cumulée _ panne_en heure]],0)</f>
        <v>6</v>
      </c>
      <c r="S286">
        <f>_26_03_2026_Log_Reseau_v15_7[[#This Row],[Anciennété_mois]]/12</f>
        <v>9.4166666666666661</v>
      </c>
      <c r="T286">
        <f>ROUND(_26_03_2026_Log_Reseau_v15_7[[#This Row],[anciennete_ en année]],0)</f>
        <v>9</v>
      </c>
      <c r="U28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86" s="3">
        <f>ROUND(_26_03_2026_Log_Reseau_v15_7[[#This Row],[remise 10%_70%_45%]],0)</f>
        <v>0</v>
      </c>
      <c r="W286" s="3">
        <f>_26_03_2026_Log_Reseau_v15_7[[#This Row],[Facture mensuelle]]*_26_03_2026_Log_Reseau_v15_7[[#This Row],[remise 10_70_45]]</f>
        <v>0</v>
      </c>
    </row>
    <row r="287" spans="1:23" x14ac:dyDescent="0.25">
      <c r="A287" s="1">
        <v>45216</v>
      </c>
      <c r="B287" s="2">
        <v>0.43541666666666667</v>
      </c>
      <c r="C287" t="s">
        <v>891</v>
      </c>
      <c r="D287">
        <v>88</v>
      </c>
      <c r="E287" t="s">
        <v>807</v>
      </c>
      <c r="F287" t="s">
        <v>78</v>
      </c>
      <c r="G287">
        <v>1.938083</v>
      </c>
      <c r="H287">
        <v>28.25281</v>
      </c>
      <c r="I287" t="s">
        <v>1480</v>
      </c>
      <c r="J287" t="s">
        <v>1490</v>
      </c>
      <c r="K287" t="s">
        <v>77</v>
      </c>
      <c r="L287">
        <v>81</v>
      </c>
      <c r="M287" t="s">
        <v>14</v>
      </c>
      <c r="N287">
        <v>154</v>
      </c>
      <c r="O287">
        <v>19.47</v>
      </c>
      <c r="P287">
        <v>3</v>
      </c>
      <c r="Q287">
        <f>_26_03_2026_Log_Reseau_v15_7[[#This Row],[Durée cumulée_panne_minu]]/60</f>
        <v>2.5666666666666669</v>
      </c>
      <c r="R287">
        <f>ROUND(_26_03_2026_Log_Reseau_v15_7[[#This Row],[Durée_cumulée _ panne_en heure]],0)</f>
        <v>3</v>
      </c>
      <c r="S287">
        <f>_26_03_2026_Log_Reseau_v15_7[[#This Row],[Anciennété_mois]]/12</f>
        <v>6.75</v>
      </c>
      <c r="T287">
        <f>ROUND(_26_03_2026_Log_Reseau_v15_7[[#This Row],[anciennete_ en année]],0)</f>
        <v>7</v>
      </c>
      <c r="U28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287" s="3">
        <f>ROUND(_26_03_2026_Log_Reseau_v15_7[[#This Row],[remise 10%_70%_45%]],0)</f>
        <v>2</v>
      </c>
      <c r="W287" s="3">
        <f>_26_03_2026_Log_Reseau_v15_7[[#This Row],[Facture mensuelle]]*_26_03_2026_Log_Reseau_v15_7[[#This Row],[remise 10_70_45]]</f>
        <v>38.94</v>
      </c>
    </row>
    <row r="288" spans="1:23" x14ac:dyDescent="0.25">
      <c r="A288" s="1">
        <v>45216</v>
      </c>
      <c r="B288" s="2">
        <v>0.27500000000000002</v>
      </c>
      <c r="C288" t="s">
        <v>920</v>
      </c>
      <c r="D288">
        <v>119</v>
      </c>
      <c r="E288" t="s">
        <v>812</v>
      </c>
      <c r="F288" t="s">
        <v>21</v>
      </c>
      <c r="G288">
        <v>2.4414509999999998</v>
      </c>
      <c r="H288">
        <v>30.167489</v>
      </c>
      <c r="I288" t="s">
        <v>1477</v>
      </c>
      <c r="J288" t="s">
        <v>1490</v>
      </c>
      <c r="K288" t="s">
        <v>20</v>
      </c>
      <c r="L288">
        <v>101</v>
      </c>
      <c r="M288" t="s">
        <v>22</v>
      </c>
      <c r="N288">
        <v>358</v>
      </c>
      <c r="O288">
        <v>29.24</v>
      </c>
      <c r="P288">
        <v>3</v>
      </c>
      <c r="Q288">
        <f>_26_03_2026_Log_Reseau_v15_7[[#This Row],[Durée cumulée_panne_minu]]/60</f>
        <v>5.9666666666666668</v>
      </c>
      <c r="R288">
        <f>ROUND(_26_03_2026_Log_Reseau_v15_7[[#This Row],[Durée_cumulée _ panne_en heure]],0)</f>
        <v>6</v>
      </c>
      <c r="S288">
        <f>_26_03_2026_Log_Reseau_v15_7[[#This Row],[Anciennété_mois]]/12</f>
        <v>8.4166666666666661</v>
      </c>
      <c r="T288">
        <f>ROUND(_26_03_2026_Log_Reseau_v15_7[[#This Row],[anciennete_ en année]],0)</f>
        <v>8</v>
      </c>
      <c r="U28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88" s="3">
        <f>ROUND(_26_03_2026_Log_Reseau_v15_7[[#This Row],[remise 10%_70%_45%]],0)</f>
        <v>0</v>
      </c>
      <c r="W288" s="3">
        <f>_26_03_2026_Log_Reseau_v15_7[[#This Row],[Facture mensuelle]]*_26_03_2026_Log_Reseau_v15_7[[#This Row],[remise 10_70_45]]</f>
        <v>0</v>
      </c>
    </row>
    <row r="289" spans="1:23" x14ac:dyDescent="0.25">
      <c r="A289" s="1">
        <v>45216</v>
      </c>
      <c r="B289" s="2">
        <v>0.86527777777777781</v>
      </c>
      <c r="C289" t="s">
        <v>921</v>
      </c>
      <c r="D289">
        <v>10</v>
      </c>
      <c r="E289" t="s">
        <v>808</v>
      </c>
      <c r="F289" t="s">
        <v>57</v>
      </c>
      <c r="G289">
        <v>-1.648326</v>
      </c>
      <c r="H289">
        <v>25.528901999999999</v>
      </c>
      <c r="I289" t="s">
        <v>1480</v>
      </c>
      <c r="J289" t="s">
        <v>1481</v>
      </c>
      <c r="K289" t="s">
        <v>56</v>
      </c>
      <c r="L289">
        <v>97</v>
      </c>
      <c r="M289" t="s">
        <v>14</v>
      </c>
      <c r="N289">
        <v>319</v>
      </c>
      <c r="O289">
        <v>31.25</v>
      </c>
      <c r="P289">
        <v>1</v>
      </c>
      <c r="Q289">
        <f>_26_03_2026_Log_Reseau_v15_7[[#This Row],[Durée cumulée_panne_minu]]/60</f>
        <v>5.3166666666666664</v>
      </c>
      <c r="R289">
        <f>ROUND(_26_03_2026_Log_Reseau_v15_7[[#This Row],[Durée_cumulée _ panne_en heure]],0)</f>
        <v>5</v>
      </c>
      <c r="S289">
        <f>_26_03_2026_Log_Reseau_v15_7[[#This Row],[Anciennété_mois]]/12</f>
        <v>8.0833333333333339</v>
      </c>
      <c r="T289">
        <f>ROUND(_26_03_2026_Log_Reseau_v15_7[[#This Row],[anciennete_ en année]],0)</f>
        <v>8</v>
      </c>
      <c r="U28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3.125</v>
      </c>
      <c r="V289" s="3">
        <f>ROUND(_26_03_2026_Log_Reseau_v15_7[[#This Row],[remise 10%_70%_45%]],0)</f>
        <v>3</v>
      </c>
      <c r="W289" s="3">
        <f>_26_03_2026_Log_Reseau_v15_7[[#This Row],[Facture mensuelle]]*_26_03_2026_Log_Reseau_v15_7[[#This Row],[remise 10_70_45]]</f>
        <v>93.75</v>
      </c>
    </row>
    <row r="290" spans="1:23" x14ac:dyDescent="0.25">
      <c r="A290" s="1">
        <v>45216</v>
      </c>
      <c r="B290" s="2">
        <v>7.8472222222222221E-2</v>
      </c>
      <c r="C290" t="s">
        <v>937</v>
      </c>
      <c r="D290">
        <v>48</v>
      </c>
      <c r="E290" t="s">
        <v>808</v>
      </c>
      <c r="F290" t="s">
        <v>31</v>
      </c>
      <c r="G290">
        <v>-8.0864899999999995</v>
      </c>
      <c r="H290">
        <v>14.555277</v>
      </c>
      <c r="I290" t="s">
        <v>1482</v>
      </c>
      <c r="J290" t="s">
        <v>1478</v>
      </c>
      <c r="K290" t="s">
        <v>30</v>
      </c>
      <c r="L290">
        <v>113</v>
      </c>
      <c r="M290" t="s">
        <v>22</v>
      </c>
      <c r="N290">
        <v>380</v>
      </c>
      <c r="O290">
        <v>12.11</v>
      </c>
      <c r="P290">
        <v>0</v>
      </c>
      <c r="Q290">
        <f>_26_03_2026_Log_Reseau_v15_7[[#This Row],[Durée cumulée_panne_minu]]/60</f>
        <v>6.333333333333333</v>
      </c>
      <c r="R290">
        <f>ROUND(_26_03_2026_Log_Reseau_v15_7[[#This Row],[Durée_cumulée _ panne_en heure]],0)</f>
        <v>6</v>
      </c>
      <c r="S290">
        <f>_26_03_2026_Log_Reseau_v15_7[[#This Row],[Anciennété_mois]]/12</f>
        <v>9.4166666666666661</v>
      </c>
      <c r="T290">
        <f>ROUND(_26_03_2026_Log_Reseau_v15_7[[#This Row],[anciennete_ en année]],0)</f>
        <v>9</v>
      </c>
      <c r="U29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90" s="3">
        <f>ROUND(_26_03_2026_Log_Reseau_v15_7[[#This Row],[remise 10%_70%_45%]],0)</f>
        <v>0</v>
      </c>
      <c r="W290" s="3">
        <f>_26_03_2026_Log_Reseau_v15_7[[#This Row],[Facture mensuelle]]*_26_03_2026_Log_Reseau_v15_7[[#This Row],[remise 10_70_45]]</f>
        <v>0</v>
      </c>
    </row>
    <row r="291" spans="1:23" x14ac:dyDescent="0.25">
      <c r="A291" s="1">
        <v>45216</v>
      </c>
      <c r="B291" s="2">
        <v>0.26666666666666666</v>
      </c>
      <c r="C291" t="s">
        <v>969</v>
      </c>
      <c r="D291">
        <v>90</v>
      </c>
      <c r="E291" t="s">
        <v>812</v>
      </c>
      <c r="F291" t="s">
        <v>78</v>
      </c>
      <c r="G291">
        <v>-2.3743210000000001</v>
      </c>
      <c r="H291">
        <v>22.399491000000001</v>
      </c>
      <c r="I291" t="s">
        <v>1477</v>
      </c>
      <c r="J291" t="s">
        <v>1478</v>
      </c>
      <c r="K291" t="s">
        <v>77</v>
      </c>
      <c r="L291">
        <v>81</v>
      </c>
      <c r="M291" t="s">
        <v>14</v>
      </c>
      <c r="N291">
        <v>154</v>
      </c>
      <c r="O291">
        <v>19.47</v>
      </c>
      <c r="P291">
        <v>3</v>
      </c>
      <c r="Q291">
        <f>_26_03_2026_Log_Reseau_v15_7[[#This Row],[Durée cumulée_panne_minu]]/60</f>
        <v>2.5666666666666669</v>
      </c>
      <c r="R291">
        <f>ROUND(_26_03_2026_Log_Reseau_v15_7[[#This Row],[Durée_cumulée _ panne_en heure]],0)</f>
        <v>3</v>
      </c>
      <c r="S291">
        <f>_26_03_2026_Log_Reseau_v15_7[[#This Row],[Anciennété_mois]]/12</f>
        <v>6.75</v>
      </c>
      <c r="T291">
        <f>ROUND(_26_03_2026_Log_Reseau_v15_7[[#This Row],[anciennete_ en année]],0)</f>
        <v>7</v>
      </c>
      <c r="U29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291" s="3">
        <f>ROUND(_26_03_2026_Log_Reseau_v15_7[[#This Row],[remise 10%_70%_45%]],0)</f>
        <v>2</v>
      </c>
      <c r="W291" s="3">
        <f>_26_03_2026_Log_Reseau_v15_7[[#This Row],[Facture mensuelle]]*_26_03_2026_Log_Reseau_v15_7[[#This Row],[remise 10_70_45]]</f>
        <v>38.94</v>
      </c>
    </row>
    <row r="292" spans="1:23" x14ac:dyDescent="0.25">
      <c r="A292" s="1">
        <v>45216</v>
      </c>
      <c r="B292" s="2">
        <v>0.70138888888888884</v>
      </c>
      <c r="C292" t="s">
        <v>991</v>
      </c>
      <c r="D292">
        <v>80</v>
      </c>
      <c r="E292" t="s">
        <v>807</v>
      </c>
      <c r="F292" t="s">
        <v>13</v>
      </c>
      <c r="G292">
        <v>-11.622688999999999</v>
      </c>
      <c r="H292">
        <v>18.483874</v>
      </c>
      <c r="I292" t="s">
        <v>1477</v>
      </c>
      <c r="J292" t="s">
        <v>1483</v>
      </c>
      <c r="K292" t="s">
        <v>12</v>
      </c>
      <c r="L292">
        <v>63</v>
      </c>
      <c r="M292" t="s">
        <v>14</v>
      </c>
      <c r="N292">
        <v>205</v>
      </c>
      <c r="O292">
        <v>89.19</v>
      </c>
      <c r="P292">
        <v>0</v>
      </c>
      <c r="Q292">
        <f>_26_03_2026_Log_Reseau_v15_7[[#This Row],[Durée cumulée_panne_minu]]/60</f>
        <v>3.4166666666666665</v>
      </c>
      <c r="R292">
        <f>ROUND(_26_03_2026_Log_Reseau_v15_7[[#This Row],[Durée_cumulée _ panne_en heure]],0)</f>
        <v>3</v>
      </c>
      <c r="S292">
        <f>_26_03_2026_Log_Reseau_v15_7[[#This Row],[Anciennété_mois]]/12</f>
        <v>5.25</v>
      </c>
      <c r="T292">
        <f>ROUND(_26_03_2026_Log_Reseau_v15_7[[#This Row],[anciennete_ en année]],0)</f>
        <v>5</v>
      </c>
      <c r="U29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292" s="3">
        <f>ROUND(_26_03_2026_Log_Reseau_v15_7[[#This Row],[remise 10%_70%_45%]],0)</f>
        <v>9</v>
      </c>
      <c r="W292" s="3">
        <f>_26_03_2026_Log_Reseau_v15_7[[#This Row],[Facture mensuelle]]*_26_03_2026_Log_Reseau_v15_7[[#This Row],[remise 10_70_45]]</f>
        <v>802.71</v>
      </c>
    </row>
    <row r="293" spans="1:23" x14ac:dyDescent="0.25">
      <c r="A293" s="1">
        <v>45216</v>
      </c>
      <c r="B293" s="2">
        <v>0.97013888888888888</v>
      </c>
      <c r="C293" t="s">
        <v>995</v>
      </c>
      <c r="D293">
        <v>13</v>
      </c>
      <c r="E293" t="s">
        <v>812</v>
      </c>
      <c r="F293" t="s">
        <v>26</v>
      </c>
      <c r="G293">
        <v>-6.4197189999999997</v>
      </c>
      <c r="H293">
        <v>22.287264</v>
      </c>
      <c r="I293" t="s">
        <v>1482</v>
      </c>
      <c r="J293" t="s">
        <v>1478</v>
      </c>
      <c r="K293" t="s">
        <v>25</v>
      </c>
      <c r="L293">
        <v>99</v>
      </c>
      <c r="M293" t="s">
        <v>11</v>
      </c>
      <c r="N293">
        <v>447</v>
      </c>
      <c r="O293">
        <v>38.1</v>
      </c>
      <c r="P293">
        <v>3</v>
      </c>
      <c r="Q293">
        <f>_26_03_2026_Log_Reseau_v15_7[[#This Row],[Durée cumulée_panne_minu]]/60</f>
        <v>7.45</v>
      </c>
      <c r="R293">
        <f>ROUND(_26_03_2026_Log_Reseau_v15_7[[#This Row],[Durée_cumulée _ panne_en heure]],0)</f>
        <v>7</v>
      </c>
      <c r="S293">
        <f>_26_03_2026_Log_Reseau_v15_7[[#This Row],[Anciennété_mois]]/12</f>
        <v>8.25</v>
      </c>
      <c r="T293">
        <f>ROUND(_26_03_2026_Log_Reseau_v15_7[[#This Row],[anciennete_ en année]],0)</f>
        <v>8</v>
      </c>
      <c r="U29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93" s="3">
        <f>ROUND(_26_03_2026_Log_Reseau_v15_7[[#This Row],[remise 10%_70%_45%]],0)</f>
        <v>0</v>
      </c>
      <c r="W293" s="3">
        <f>_26_03_2026_Log_Reseau_v15_7[[#This Row],[Facture mensuelle]]*_26_03_2026_Log_Reseau_v15_7[[#This Row],[remise 10_70_45]]</f>
        <v>0</v>
      </c>
    </row>
    <row r="294" spans="1:23" x14ac:dyDescent="0.25">
      <c r="A294" s="1">
        <v>45216</v>
      </c>
      <c r="B294" s="2">
        <v>0.45763888888888887</v>
      </c>
      <c r="C294" t="s">
        <v>1052</v>
      </c>
      <c r="D294">
        <v>39</v>
      </c>
      <c r="E294" t="s">
        <v>807</v>
      </c>
      <c r="F294" t="s">
        <v>33</v>
      </c>
      <c r="G294">
        <v>-9.5266249999999992</v>
      </c>
      <c r="H294">
        <v>27.889690999999999</v>
      </c>
      <c r="I294" t="s">
        <v>1480</v>
      </c>
      <c r="J294" t="s">
        <v>1478</v>
      </c>
      <c r="K294" t="s">
        <v>32</v>
      </c>
      <c r="L294">
        <v>72</v>
      </c>
      <c r="M294" t="s">
        <v>14</v>
      </c>
      <c r="N294">
        <v>160</v>
      </c>
      <c r="O294">
        <v>90.13</v>
      </c>
      <c r="P294">
        <v>2</v>
      </c>
      <c r="Q294">
        <f>_26_03_2026_Log_Reseau_v15_7[[#This Row],[Durée cumulée_panne_minu]]/60</f>
        <v>2.6666666666666665</v>
      </c>
      <c r="R294">
        <f>ROUND(_26_03_2026_Log_Reseau_v15_7[[#This Row],[Durée_cumulée _ panne_en heure]],0)</f>
        <v>3</v>
      </c>
      <c r="S294">
        <f>_26_03_2026_Log_Reseau_v15_7[[#This Row],[Anciennété_mois]]/12</f>
        <v>6</v>
      </c>
      <c r="T294">
        <f>ROUND(_26_03_2026_Log_Reseau_v15_7[[#This Row],[anciennete_ en année]],0)</f>
        <v>6</v>
      </c>
      <c r="U29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294" s="3">
        <f>ROUND(_26_03_2026_Log_Reseau_v15_7[[#This Row],[remise 10%_70%_45%]],0)</f>
        <v>9</v>
      </c>
      <c r="W294" s="3">
        <f>_26_03_2026_Log_Reseau_v15_7[[#This Row],[Facture mensuelle]]*_26_03_2026_Log_Reseau_v15_7[[#This Row],[remise 10_70_45]]</f>
        <v>811.17</v>
      </c>
    </row>
    <row r="295" spans="1:23" x14ac:dyDescent="0.25">
      <c r="A295" s="1">
        <v>45216</v>
      </c>
      <c r="B295" s="2">
        <v>0.9604166666666667</v>
      </c>
      <c r="C295" t="s">
        <v>1058</v>
      </c>
      <c r="D295">
        <v>41</v>
      </c>
      <c r="E295" t="s">
        <v>808</v>
      </c>
      <c r="F295" t="s">
        <v>44</v>
      </c>
      <c r="G295">
        <v>-7.5641280000000002</v>
      </c>
      <c r="H295">
        <v>18.129529999999999</v>
      </c>
      <c r="I295" t="s">
        <v>1482</v>
      </c>
      <c r="J295" t="s">
        <v>1481</v>
      </c>
      <c r="K295" t="s">
        <v>43</v>
      </c>
      <c r="L295">
        <v>66</v>
      </c>
      <c r="M295" t="s">
        <v>22</v>
      </c>
      <c r="N295">
        <v>270</v>
      </c>
      <c r="O295">
        <v>75.88</v>
      </c>
      <c r="P295">
        <v>3</v>
      </c>
      <c r="Q295">
        <f>_26_03_2026_Log_Reseau_v15_7[[#This Row],[Durée cumulée_panne_minu]]/60</f>
        <v>4.5</v>
      </c>
      <c r="R295">
        <f>ROUND(_26_03_2026_Log_Reseau_v15_7[[#This Row],[Durée_cumulée _ panne_en heure]],0)</f>
        <v>5</v>
      </c>
      <c r="S295">
        <f>_26_03_2026_Log_Reseau_v15_7[[#This Row],[Anciennété_mois]]/12</f>
        <v>5.5</v>
      </c>
      <c r="T295">
        <f>ROUND(_26_03_2026_Log_Reseau_v15_7[[#This Row],[anciennete_ en année]],0)</f>
        <v>6</v>
      </c>
      <c r="U29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95" s="3">
        <f>ROUND(_26_03_2026_Log_Reseau_v15_7[[#This Row],[remise 10%_70%_45%]],0)</f>
        <v>0</v>
      </c>
      <c r="W295" s="3">
        <f>_26_03_2026_Log_Reseau_v15_7[[#This Row],[Facture mensuelle]]*_26_03_2026_Log_Reseau_v15_7[[#This Row],[remise 10_70_45]]</f>
        <v>0</v>
      </c>
    </row>
    <row r="296" spans="1:23" x14ac:dyDescent="0.25">
      <c r="A296" s="1">
        <v>45216</v>
      </c>
      <c r="B296" s="2">
        <v>0.72986111111111107</v>
      </c>
      <c r="C296" t="s">
        <v>1080</v>
      </c>
      <c r="D296">
        <v>78</v>
      </c>
      <c r="E296" t="s">
        <v>808</v>
      </c>
      <c r="F296" t="s">
        <v>137</v>
      </c>
      <c r="G296">
        <v>-9.5243310000000001</v>
      </c>
      <c r="H296">
        <v>30.541212000000002</v>
      </c>
      <c r="I296" t="s">
        <v>1482</v>
      </c>
      <c r="J296" t="s">
        <v>1478</v>
      </c>
      <c r="K296" t="s">
        <v>136</v>
      </c>
      <c r="L296">
        <v>80</v>
      </c>
      <c r="M296" t="s">
        <v>22</v>
      </c>
      <c r="N296">
        <v>155</v>
      </c>
      <c r="O296">
        <v>28.96</v>
      </c>
      <c r="P296">
        <v>2</v>
      </c>
      <c r="Q296">
        <f>_26_03_2026_Log_Reseau_v15_7[[#This Row],[Durée cumulée_panne_minu]]/60</f>
        <v>2.5833333333333335</v>
      </c>
      <c r="R296">
        <f>ROUND(_26_03_2026_Log_Reseau_v15_7[[#This Row],[Durée_cumulée _ panne_en heure]],0)</f>
        <v>3</v>
      </c>
      <c r="S296">
        <f>_26_03_2026_Log_Reseau_v15_7[[#This Row],[Anciennété_mois]]/12</f>
        <v>6.666666666666667</v>
      </c>
      <c r="T296">
        <f>ROUND(_26_03_2026_Log_Reseau_v15_7[[#This Row],[anciennete_ en année]],0)</f>
        <v>7</v>
      </c>
      <c r="U29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96" s="3">
        <f>ROUND(_26_03_2026_Log_Reseau_v15_7[[#This Row],[remise 10%_70%_45%]],0)</f>
        <v>0</v>
      </c>
      <c r="W296" s="3">
        <f>_26_03_2026_Log_Reseau_v15_7[[#This Row],[Facture mensuelle]]*_26_03_2026_Log_Reseau_v15_7[[#This Row],[remise 10_70_45]]</f>
        <v>0</v>
      </c>
    </row>
    <row r="297" spans="1:23" x14ac:dyDescent="0.25">
      <c r="A297" s="1">
        <v>45216</v>
      </c>
      <c r="B297" s="2">
        <v>0.14166666666666666</v>
      </c>
      <c r="C297" t="s">
        <v>1102</v>
      </c>
      <c r="D297">
        <v>94</v>
      </c>
      <c r="E297" t="s">
        <v>807</v>
      </c>
      <c r="F297" t="s">
        <v>131</v>
      </c>
      <c r="G297">
        <v>1.8103860000000001</v>
      </c>
      <c r="H297">
        <v>15.175582</v>
      </c>
      <c r="I297" t="s">
        <v>1482</v>
      </c>
      <c r="J297" t="s">
        <v>1481</v>
      </c>
      <c r="K297" t="s">
        <v>130</v>
      </c>
      <c r="L297">
        <v>16</v>
      </c>
      <c r="M297" t="s">
        <v>19</v>
      </c>
      <c r="N297">
        <v>390</v>
      </c>
      <c r="O297">
        <v>98.17</v>
      </c>
      <c r="P297">
        <v>5</v>
      </c>
      <c r="Q297">
        <f>_26_03_2026_Log_Reseau_v15_7[[#This Row],[Durée cumulée_panne_minu]]/60</f>
        <v>6.5</v>
      </c>
      <c r="R297">
        <f>ROUND(_26_03_2026_Log_Reseau_v15_7[[#This Row],[Durée_cumulée _ panne_en heure]],0)</f>
        <v>7</v>
      </c>
      <c r="S297">
        <f>_26_03_2026_Log_Reseau_v15_7[[#This Row],[Anciennété_mois]]/12</f>
        <v>1.3333333333333333</v>
      </c>
      <c r="T297">
        <f>ROUND(_26_03_2026_Log_Reseau_v15_7[[#This Row],[anciennete_ en année]],0)</f>
        <v>1</v>
      </c>
      <c r="U29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97" s="3">
        <f>ROUND(_26_03_2026_Log_Reseau_v15_7[[#This Row],[remise 10%_70%_45%]],0)</f>
        <v>0</v>
      </c>
      <c r="W297" s="3">
        <f>_26_03_2026_Log_Reseau_v15_7[[#This Row],[Facture mensuelle]]*_26_03_2026_Log_Reseau_v15_7[[#This Row],[remise 10_70_45]]</f>
        <v>0</v>
      </c>
    </row>
    <row r="298" spans="1:23" x14ac:dyDescent="0.25">
      <c r="A298" s="1">
        <v>45216</v>
      </c>
      <c r="B298" s="2">
        <v>0.13750000000000001</v>
      </c>
      <c r="C298" t="s">
        <v>1131</v>
      </c>
      <c r="D298">
        <v>120</v>
      </c>
      <c r="E298" t="s">
        <v>808</v>
      </c>
      <c r="F298" t="s">
        <v>16</v>
      </c>
      <c r="G298">
        <v>-7.2267089999999996</v>
      </c>
      <c r="H298">
        <v>28.421362999999999</v>
      </c>
      <c r="I298" t="s">
        <v>1477</v>
      </c>
      <c r="J298" t="s">
        <v>1478</v>
      </c>
      <c r="K298" t="s">
        <v>15</v>
      </c>
      <c r="L298">
        <v>34</v>
      </c>
      <c r="M298" t="s">
        <v>14</v>
      </c>
      <c r="N298">
        <v>453</v>
      </c>
      <c r="O298">
        <v>56.84</v>
      </c>
      <c r="P298">
        <v>0</v>
      </c>
      <c r="Q298">
        <f>_26_03_2026_Log_Reseau_v15_7[[#This Row],[Durée cumulée_panne_minu]]/60</f>
        <v>7.55</v>
      </c>
      <c r="R298">
        <f>ROUND(_26_03_2026_Log_Reseau_v15_7[[#This Row],[Durée_cumulée _ panne_en heure]],0)</f>
        <v>8</v>
      </c>
      <c r="S298">
        <f>_26_03_2026_Log_Reseau_v15_7[[#This Row],[Anciennété_mois]]/12</f>
        <v>2.8333333333333335</v>
      </c>
      <c r="T298">
        <f>ROUND(_26_03_2026_Log_Reseau_v15_7[[#This Row],[anciennete_ en année]],0)</f>
        <v>3</v>
      </c>
      <c r="U29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298" s="3">
        <f>ROUND(_26_03_2026_Log_Reseau_v15_7[[#This Row],[remise 10%_70%_45%]],0)</f>
        <v>6</v>
      </c>
      <c r="W298" s="3">
        <f>_26_03_2026_Log_Reseau_v15_7[[#This Row],[Facture mensuelle]]*_26_03_2026_Log_Reseau_v15_7[[#This Row],[remise 10_70_45]]</f>
        <v>341.04</v>
      </c>
    </row>
    <row r="299" spans="1:23" x14ac:dyDescent="0.25">
      <c r="A299" s="1">
        <v>45216</v>
      </c>
      <c r="B299" s="2">
        <v>0.18333333333333332</v>
      </c>
      <c r="C299" t="s">
        <v>1143</v>
      </c>
      <c r="D299">
        <v>67</v>
      </c>
      <c r="E299" t="s">
        <v>808</v>
      </c>
      <c r="F299" t="s">
        <v>137</v>
      </c>
      <c r="G299">
        <v>-10.967288</v>
      </c>
      <c r="H299">
        <v>17.617781000000001</v>
      </c>
      <c r="I299" t="s">
        <v>1480</v>
      </c>
      <c r="J299" t="s">
        <v>1478</v>
      </c>
      <c r="K299" t="s">
        <v>136</v>
      </c>
      <c r="L299">
        <v>80</v>
      </c>
      <c r="M299" t="s">
        <v>22</v>
      </c>
      <c r="N299">
        <v>155</v>
      </c>
      <c r="O299">
        <v>28.96</v>
      </c>
      <c r="P299">
        <v>2</v>
      </c>
      <c r="Q299">
        <f>_26_03_2026_Log_Reseau_v15_7[[#This Row],[Durée cumulée_panne_minu]]/60</f>
        <v>2.5833333333333335</v>
      </c>
      <c r="R299">
        <f>ROUND(_26_03_2026_Log_Reseau_v15_7[[#This Row],[Durée_cumulée _ panne_en heure]],0)</f>
        <v>3</v>
      </c>
      <c r="S299">
        <f>_26_03_2026_Log_Reseau_v15_7[[#This Row],[Anciennété_mois]]/12</f>
        <v>6.666666666666667</v>
      </c>
      <c r="T299">
        <f>ROUND(_26_03_2026_Log_Reseau_v15_7[[#This Row],[anciennete_ en année]],0)</f>
        <v>7</v>
      </c>
      <c r="U29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299" s="3">
        <f>ROUND(_26_03_2026_Log_Reseau_v15_7[[#This Row],[remise 10%_70%_45%]],0)</f>
        <v>0</v>
      </c>
      <c r="W299" s="3">
        <f>_26_03_2026_Log_Reseau_v15_7[[#This Row],[Facture mensuelle]]*_26_03_2026_Log_Reseau_v15_7[[#This Row],[remise 10_70_45]]</f>
        <v>0</v>
      </c>
    </row>
    <row r="300" spans="1:23" x14ac:dyDescent="0.25">
      <c r="A300" s="1">
        <v>45216</v>
      </c>
      <c r="B300" s="2">
        <v>9.4444444444444442E-2</v>
      </c>
      <c r="C300" t="s">
        <v>1157</v>
      </c>
      <c r="D300">
        <v>74</v>
      </c>
      <c r="E300" t="s">
        <v>807</v>
      </c>
      <c r="F300" t="s">
        <v>67</v>
      </c>
      <c r="G300">
        <v>4.8265669999999998</v>
      </c>
      <c r="H300">
        <v>28.535277000000001</v>
      </c>
      <c r="I300" t="s">
        <v>1482</v>
      </c>
      <c r="J300" t="s">
        <v>1481</v>
      </c>
      <c r="K300" t="s">
        <v>66</v>
      </c>
      <c r="L300">
        <v>101</v>
      </c>
      <c r="M300" t="s">
        <v>14</v>
      </c>
      <c r="N300">
        <v>176</v>
      </c>
      <c r="O300">
        <v>86</v>
      </c>
      <c r="P300">
        <v>3</v>
      </c>
      <c r="Q300">
        <f>_26_03_2026_Log_Reseau_v15_7[[#This Row],[Durée cumulée_panne_minu]]/60</f>
        <v>2.9333333333333331</v>
      </c>
      <c r="R300">
        <f>ROUND(_26_03_2026_Log_Reseau_v15_7[[#This Row],[Durée_cumulée _ panne_en heure]],0)</f>
        <v>3</v>
      </c>
      <c r="S300">
        <f>_26_03_2026_Log_Reseau_v15_7[[#This Row],[Anciennété_mois]]/12</f>
        <v>8.4166666666666661</v>
      </c>
      <c r="T300">
        <f>ROUND(_26_03_2026_Log_Reseau_v15_7[[#This Row],[anciennete_ en année]],0)</f>
        <v>8</v>
      </c>
      <c r="U30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300" s="3">
        <f>ROUND(_26_03_2026_Log_Reseau_v15_7[[#This Row],[remise 10%_70%_45%]],0)</f>
        <v>9</v>
      </c>
      <c r="W300" s="3">
        <f>_26_03_2026_Log_Reseau_v15_7[[#This Row],[Facture mensuelle]]*_26_03_2026_Log_Reseau_v15_7[[#This Row],[remise 10_70_45]]</f>
        <v>774</v>
      </c>
    </row>
    <row r="301" spans="1:23" x14ac:dyDescent="0.25">
      <c r="A301" s="1">
        <v>45216</v>
      </c>
      <c r="B301" s="2">
        <v>0.90277777777777779</v>
      </c>
      <c r="C301" t="s">
        <v>1237</v>
      </c>
      <c r="D301">
        <v>20</v>
      </c>
      <c r="E301" t="s">
        <v>812</v>
      </c>
      <c r="F301" t="s">
        <v>51</v>
      </c>
      <c r="G301">
        <v>-4.2408359999999998</v>
      </c>
      <c r="H301">
        <v>26.210014000000001</v>
      </c>
      <c r="I301" t="s">
        <v>1480</v>
      </c>
      <c r="J301" t="s">
        <v>1481</v>
      </c>
      <c r="K301" t="s">
        <v>50</v>
      </c>
      <c r="L301">
        <v>119</v>
      </c>
      <c r="M301" t="s">
        <v>22</v>
      </c>
      <c r="N301">
        <v>228</v>
      </c>
      <c r="O301">
        <v>94.72</v>
      </c>
      <c r="P301">
        <v>3</v>
      </c>
      <c r="Q301">
        <f>_26_03_2026_Log_Reseau_v15_7[[#This Row],[Durée cumulée_panne_minu]]/60</f>
        <v>3.8</v>
      </c>
      <c r="R301">
        <f>ROUND(_26_03_2026_Log_Reseau_v15_7[[#This Row],[Durée_cumulée _ panne_en heure]],0)</f>
        <v>4</v>
      </c>
      <c r="S301">
        <f>_26_03_2026_Log_Reseau_v15_7[[#This Row],[Anciennété_mois]]/12</f>
        <v>9.9166666666666661</v>
      </c>
      <c r="T301">
        <f>ROUND(_26_03_2026_Log_Reseau_v15_7[[#This Row],[anciennete_ en année]],0)</f>
        <v>10</v>
      </c>
      <c r="U30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01" s="3">
        <f>ROUND(_26_03_2026_Log_Reseau_v15_7[[#This Row],[remise 10%_70%_45%]],0)</f>
        <v>0</v>
      </c>
      <c r="W301" s="3">
        <f>_26_03_2026_Log_Reseau_v15_7[[#This Row],[Facture mensuelle]]*_26_03_2026_Log_Reseau_v15_7[[#This Row],[remise 10_70_45]]</f>
        <v>0</v>
      </c>
    </row>
    <row r="302" spans="1:23" x14ac:dyDescent="0.25">
      <c r="A302" s="1">
        <v>45216</v>
      </c>
      <c r="B302" s="2">
        <v>0.2326388888888889</v>
      </c>
      <c r="C302" t="s">
        <v>1331</v>
      </c>
      <c r="D302">
        <v>11</v>
      </c>
      <c r="E302" t="s">
        <v>812</v>
      </c>
      <c r="F302" t="s">
        <v>29</v>
      </c>
      <c r="G302">
        <v>-3.8119990000000001</v>
      </c>
      <c r="H302">
        <v>20.420048000000001</v>
      </c>
      <c r="I302" t="s">
        <v>1482</v>
      </c>
      <c r="J302" t="s">
        <v>1483</v>
      </c>
      <c r="K302" t="s">
        <v>28</v>
      </c>
      <c r="L302">
        <v>99</v>
      </c>
      <c r="M302" t="s">
        <v>19</v>
      </c>
      <c r="N302">
        <v>369</v>
      </c>
      <c r="O302">
        <v>67.209999999999994</v>
      </c>
      <c r="P302">
        <v>3</v>
      </c>
      <c r="Q302">
        <f>_26_03_2026_Log_Reseau_v15_7[[#This Row],[Durée cumulée_panne_minu]]/60</f>
        <v>6.15</v>
      </c>
      <c r="R302">
        <f>ROUND(_26_03_2026_Log_Reseau_v15_7[[#This Row],[Durée_cumulée _ panne_en heure]],0)</f>
        <v>6</v>
      </c>
      <c r="S302">
        <f>_26_03_2026_Log_Reseau_v15_7[[#This Row],[Anciennété_mois]]/12</f>
        <v>8.25</v>
      </c>
      <c r="T302">
        <f>ROUND(_26_03_2026_Log_Reseau_v15_7[[#This Row],[anciennete_ en année]],0)</f>
        <v>8</v>
      </c>
      <c r="U30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02" s="3">
        <f>ROUND(_26_03_2026_Log_Reseau_v15_7[[#This Row],[remise 10%_70%_45%]],0)</f>
        <v>0</v>
      </c>
      <c r="W302" s="3">
        <f>_26_03_2026_Log_Reseau_v15_7[[#This Row],[Facture mensuelle]]*_26_03_2026_Log_Reseau_v15_7[[#This Row],[remise 10_70_45]]</f>
        <v>0</v>
      </c>
    </row>
    <row r="303" spans="1:23" x14ac:dyDescent="0.25">
      <c r="A303" s="1">
        <v>45216</v>
      </c>
      <c r="B303" s="2">
        <v>0.69374999999999998</v>
      </c>
      <c r="C303" t="s">
        <v>1332</v>
      </c>
      <c r="D303">
        <v>24</v>
      </c>
      <c r="E303" t="s">
        <v>812</v>
      </c>
      <c r="F303" t="s">
        <v>127</v>
      </c>
      <c r="G303">
        <v>-12.100756000000001</v>
      </c>
      <c r="H303">
        <v>21.938649999999999</v>
      </c>
      <c r="I303" t="s">
        <v>1480</v>
      </c>
      <c r="J303" t="s">
        <v>1481</v>
      </c>
      <c r="K303" t="s">
        <v>126</v>
      </c>
      <c r="L303">
        <v>40</v>
      </c>
      <c r="M303" t="s">
        <v>11</v>
      </c>
      <c r="N303">
        <v>345</v>
      </c>
      <c r="O303">
        <v>89.55</v>
      </c>
      <c r="P303">
        <v>3</v>
      </c>
      <c r="Q303">
        <f>_26_03_2026_Log_Reseau_v15_7[[#This Row],[Durée cumulée_panne_minu]]/60</f>
        <v>5.75</v>
      </c>
      <c r="R303">
        <f>ROUND(_26_03_2026_Log_Reseau_v15_7[[#This Row],[Durée_cumulée _ panne_en heure]],0)</f>
        <v>6</v>
      </c>
      <c r="S303">
        <f>_26_03_2026_Log_Reseau_v15_7[[#This Row],[Anciennété_mois]]/12</f>
        <v>3.3333333333333335</v>
      </c>
      <c r="T303">
        <f>ROUND(_26_03_2026_Log_Reseau_v15_7[[#This Row],[anciennete_ en année]],0)</f>
        <v>3</v>
      </c>
      <c r="U30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03" s="3">
        <f>ROUND(_26_03_2026_Log_Reseau_v15_7[[#This Row],[remise 10%_70%_45%]],0)</f>
        <v>0</v>
      </c>
      <c r="W303" s="3">
        <f>_26_03_2026_Log_Reseau_v15_7[[#This Row],[Facture mensuelle]]*_26_03_2026_Log_Reseau_v15_7[[#This Row],[remise 10_70_45]]</f>
        <v>0</v>
      </c>
    </row>
    <row r="304" spans="1:23" x14ac:dyDescent="0.25">
      <c r="A304" s="1">
        <v>45216</v>
      </c>
      <c r="B304" s="2">
        <v>0.46041666666666664</v>
      </c>
      <c r="C304" t="s">
        <v>1409</v>
      </c>
      <c r="D304">
        <v>36</v>
      </c>
      <c r="E304" t="s">
        <v>812</v>
      </c>
      <c r="F304" t="s">
        <v>131</v>
      </c>
      <c r="G304">
        <v>-11.231472</v>
      </c>
      <c r="H304">
        <v>25.388874000000001</v>
      </c>
      <c r="I304" t="s">
        <v>1480</v>
      </c>
      <c r="J304" t="s">
        <v>1481</v>
      </c>
      <c r="K304" t="s">
        <v>130</v>
      </c>
      <c r="L304">
        <v>16</v>
      </c>
      <c r="M304" t="s">
        <v>19</v>
      </c>
      <c r="N304">
        <v>390</v>
      </c>
      <c r="O304">
        <v>98.17</v>
      </c>
      <c r="P304">
        <v>5</v>
      </c>
      <c r="Q304">
        <f>_26_03_2026_Log_Reseau_v15_7[[#This Row],[Durée cumulée_panne_minu]]/60</f>
        <v>6.5</v>
      </c>
      <c r="R304">
        <f>ROUND(_26_03_2026_Log_Reseau_v15_7[[#This Row],[Durée_cumulée _ panne_en heure]],0)</f>
        <v>7</v>
      </c>
      <c r="S304">
        <f>_26_03_2026_Log_Reseau_v15_7[[#This Row],[Anciennété_mois]]/12</f>
        <v>1.3333333333333333</v>
      </c>
      <c r="T304">
        <f>ROUND(_26_03_2026_Log_Reseau_v15_7[[#This Row],[anciennete_ en année]],0)</f>
        <v>1</v>
      </c>
      <c r="U30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04" s="3">
        <f>ROUND(_26_03_2026_Log_Reseau_v15_7[[#This Row],[remise 10%_70%_45%]],0)</f>
        <v>0</v>
      </c>
      <c r="W304" s="3">
        <f>_26_03_2026_Log_Reseau_v15_7[[#This Row],[Facture mensuelle]]*_26_03_2026_Log_Reseau_v15_7[[#This Row],[remise 10_70_45]]</f>
        <v>0</v>
      </c>
    </row>
    <row r="305" spans="1:23" x14ac:dyDescent="0.25">
      <c r="A305" s="1">
        <v>45216</v>
      </c>
      <c r="B305" s="2">
        <v>0.76458333333333328</v>
      </c>
      <c r="C305" t="s">
        <v>1417</v>
      </c>
      <c r="D305">
        <v>53</v>
      </c>
      <c r="E305" t="s">
        <v>808</v>
      </c>
      <c r="F305" t="s">
        <v>31</v>
      </c>
      <c r="G305">
        <v>-10.914952</v>
      </c>
      <c r="H305">
        <v>26.409648000000001</v>
      </c>
      <c r="I305" t="s">
        <v>1480</v>
      </c>
      <c r="J305" t="s">
        <v>1481</v>
      </c>
      <c r="K305" t="s">
        <v>30</v>
      </c>
      <c r="L305">
        <v>113</v>
      </c>
      <c r="M305" t="s">
        <v>22</v>
      </c>
      <c r="N305">
        <v>380</v>
      </c>
      <c r="O305">
        <v>12.11</v>
      </c>
      <c r="P305">
        <v>0</v>
      </c>
      <c r="Q305">
        <f>_26_03_2026_Log_Reseau_v15_7[[#This Row],[Durée cumulée_panne_minu]]/60</f>
        <v>6.333333333333333</v>
      </c>
      <c r="R305">
        <f>ROUND(_26_03_2026_Log_Reseau_v15_7[[#This Row],[Durée_cumulée _ panne_en heure]],0)</f>
        <v>6</v>
      </c>
      <c r="S305">
        <f>_26_03_2026_Log_Reseau_v15_7[[#This Row],[Anciennété_mois]]/12</f>
        <v>9.4166666666666661</v>
      </c>
      <c r="T305">
        <f>ROUND(_26_03_2026_Log_Reseau_v15_7[[#This Row],[anciennete_ en année]],0)</f>
        <v>9</v>
      </c>
      <c r="U30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05" s="3">
        <f>ROUND(_26_03_2026_Log_Reseau_v15_7[[#This Row],[remise 10%_70%_45%]],0)</f>
        <v>0</v>
      </c>
      <c r="W305" s="3">
        <f>_26_03_2026_Log_Reseau_v15_7[[#This Row],[Facture mensuelle]]*_26_03_2026_Log_Reseau_v15_7[[#This Row],[remise 10_70_45]]</f>
        <v>0</v>
      </c>
    </row>
    <row r="306" spans="1:23" x14ac:dyDescent="0.25">
      <c r="A306" s="1">
        <v>45216</v>
      </c>
      <c r="B306" s="2">
        <v>0.76041666666666663</v>
      </c>
      <c r="C306" t="s">
        <v>1423</v>
      </c>
      <c r="D306">
        <v>48</v>
      </c>
      <c r="E306" t="s">
        <v>807</v>
      </c>
      <c r="F306" t="s">
        <v>10</v>
      </c>
      <c r="G306">
        <v>-11.002602</v>
      </c>
      <c r="H306">
        <v>23.918247999999998</v>
      </c>
      <c r="I306" t="s">
        <v>1477</v>
      </c>
      <c r="J306" t="s">
        <v>1483</v>
      </c>
      <c r="K306" t="s">
        <v>9</v>
      </c>
      <c r="L306">
        <v>29</v>
      </c>
      <c r="M306" t="s">
        <v>11</v>
      </c>
      <c r="N306">
        <v>214</v>
      </c>
      <c r="O306">
        <v>74.7</v>
      </c>
      <c r="P306">
        <v>3</v>
      </c>
      <c r="Q306">
        <f>_26_03_2026_Log_Reseau_v15_7[[#This Row],[Durée cumulée_panne_minu]]/60</f>
        <v>3.5666666666666669</v>
      </c>
      <c r="R306">
        <f>ROUND(_26_03_2026_Log_Reseau_v15_7[[#This Row],[Durée_cumulée _ panne_en heure]],0)</f>
        <v>4</v>
      </c>
      <c r="S306">
        <f>_26_03_2026_Log_Reseau_v15_7[[#This Row],[Anciennété_mois]]/12</f>
        <v>2.4166666666666665</v>
      </c>
      <c r="T306">
        <f>ROUND(_26_03_2026_Log_Reseau_v15_7[[#This Row],[anciennete_ en année]],0)</f>
        <v>2</v>
      </c>
      <c r="U30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06" s="3">
        <f>ROUND(_26_03_2026_Log_Reseau_v15_7[[#This Row],[remise 10%_70%_45%]],0)</f>
        <v>0</v>
      </c>
      <c r="W306" s="3">
        <f>_26_03_2026_Log_Reseau_v15_7[[#This Row],[Facture mensuelle]]*_26_03_2026_Log_Reseau_v15_7[[#This Row],[remise 10_70_45]]</f>
        <v>0</v>
      </c>
    </row>
    <row r="307" spans="1:23" x14ac:dyDescent="0.25">
      <c r="A307" s="1">
        <v>45216</v>
      </c>
      <c r="B307" s="2">
        <v>0.46388888888888891</v>
      </c>
      <c r="C307" t="s">
        <v>1434</v>
      </c>
      <c r="D307">
        <v>58</v>
      </c>
      <c r="E307" t="s">
        <v>807</v>
      </c>
      <c r="F307" t="s">
        <v>18</v>
      </c>
      <c r="G307">
        <v>-7.1785899999999998</v>
      </c>
      <c r="H307">
        <v>24.4404</v>
      </c>
      <c r="I307" t="s">
        <v>1480</v>
      </c>
      <c r="J307" t="s">
        <v>1490</v>
      </c>
      <c r="K307" t="s">
        <v>17</v>
      </c>
      <c r="L307">
        <v>44</v>
      </c>
      <c r="M307" t="s">
        <v>19</v>
      </c>
      <c r="N307">
        <v>348</v>
      </c>
      <c r="O307">
        <v>58.67</v>
      </c>
      <c r="P307">
        <v>0</v>
      </c>
      <c r="Q307">
        <f>_26_03_2026_Log_Reseau_v15_7[[#This Row],[Durée cumulée_panne_minu]]/60</f>
        <v>5.8</v>
      </c>
      <c r="R307">
        <f>ROUND(_26_03_2026_Log_Reseau_v15_7[[#This Row],[Durée_cumulée _ panne_en heure]],0)</f>
        <v>6</v>
      </c>
      <c r="S307">
        <f>_26_03_2026_Log_Reseau_v15_7[[#This Row],[Anciennété_mois]]/12</f>
        <v>3.6666666666666665</v>
      </c>
      <c r="T307">
        <f>ROUND(_26_03_2026_Log_Reseau_v15_7[[#This Row],[anciennete_ en année]],0)</f>
        <v>4</v>
      </c>
      <c r="U30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07" s="3">
        <f>ROUND(_26_03_2026_Log_Reseau_v15_7[[#This Row],[remise 10%_70%_45%]],0)</f>
        <v>0</v>
      </c>
      <c r="W307" s="3">
        <f>_26_03_2026_Log_Reseau_v15_7[[#This Row],[Facture mensuelle]]*_26_03_2026_Log_Reseau_v15_7[[#This Row],[remise 10_70_45]]</f>
        <v>0</v>
      </c>
    </row>
    <row r="308" spans="1:23" x14ac:dyDescent="0.25">
      <c r="A308" s="1">
        <v>45216</v>
      </c>
      <c r="B308" s="2">
        <v>0.27430555555555558</v>
      </c>
      <c r="C308" t="s">
        <v>1458</v>
      </c>
      <c r="D308">
        <v>30</v>
      </c>
      <c r="E308" t="s">
        <v>808</v>
      </c>
      <c r="F308" t="s">
        <v>60</v>
      </c>
      <c r="G308">
        <v>-5.7200150000000001</v>
      </c>
      <c r="H308">
        <v>25.022109</v>
      </c>
      <c r="I308" t="s">
        <v>1477</v>
      </c>
      <c r="J308" t="s">
        <v>1483</v>
      </c>
      <c r="K308" t="s">
        <v>59</v>
      </c>
      <c r="L308">
        <v>14</v>
      </c>
      <c r="M308" t="s">
        <v>14</v>
      </c>
      <c r="N308">
        <v>316</v>
      </c>
      <c r="O308">
        <v>62.34</v>
      </c>
      <c r="P308">
        <v>4</v>
      </c>
      <c r="Q308">
        <f>_26_03_2026_Log_Reseau_v15_7[[#This Row],[Durée cumulée_panne_minu]]/60</f>
        <v>5.2666666666666666</v>
      </c>
      <c r="R308">
        <f>ROUND(_26_03_2026_Log_Reseau_v15_7[[#This Row],[Durée_cumulée _ panne_en heure]],0)</f>
        <v>5</v>
      </c>
      <c r="S308">
        <f>_26_03_2026_Log_Reseau_v15_7[[#This Row],[Anciennété_mois]]/12</f>
        <v>1.1666666666666667</v>
      </c>
      <c r="T308">
        <f>ROUND(_26_03_2026_Log_Reseau_v15_7[[#This Row],[anciennete_ en année]],0)</f>
        <v>1</v>
      </c>
      <c r="U30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308" s="3">
        <f>ROUND(_26_03_2026_Log_Reseau_v15_7[[#This Row],[remise 10%_70%_45%]],0)</f>
        <v>6</v>
      </c>
      <c r="W308" s="3">
        <f>_26_03_2026_Log_Reseau_v15_7[[#This Row],[Facture mensuelle]]*_26_03_2026_Log_Reseau_v15_7[[#This Row],[remise 10_70_45]]</f>
        <v>374.04</v>
      </c>
    </row>
    <row r="309" spans="1:23" x14ac:dyDescent="0.25">
      <c r="A309" s="1">
        <v>45216</v>
      </c>
      <c r="B309" s="2">
        <v>0.72986111111111107</v>
      </c>
      <c r="C309" t="s">
        <v>1465</v>
      </c>
      <c r="D309">
        <v>109</v>
      </c>
      <c r="E309" t="s">
        <v>812</v>
      </c>
      <c r="F309" t="s">
        <v>57</v>
      </c>
      <c r="G309">
        <v>0.639208</v>
      </c>
      <c r="H309">
        <v>20.701739</v>
      </c>
      <c r="I309" t="s">
        <v>1480</v>
      </c>
      <c r="J309" t="s">
        <v>1481</v>
      </c>
      <c r="K309" t="s">
        <v>56</v>
      </c>
      <c r="L309">
        <v>97</v>
      </c>
      <c r="M309" t="s">
        <v>14</v>
      </c>
      <c r="N309">
        <v>319</v>
      </c>
      <c r="O309">
        <v>31.25</v>
      </c>
      <c r="P309">
        <v>1</v>
      </c>
      <c r="Q309">
        <f>_26_03_2026_Log_Reseau_v15_7[[#This Row],[Durée cumulée_panne_minu]]/60</f>
        <v>5.3166666666666664</v>
      </c>
      <c r="R309">
        <f>ROUND(_26_03_2026_Log_Reseau_v15_7[[#This Row],[Durée_cumulée _ panne_en heure]],0)</f>
        <v>5</v>
      </c>
      <c r="S309">
        <f>_26_03_2026_Log_Reseau_v15_7[[#This Row],[Anciennété_mois]]/12</f>
        <v>8.0833333333333339</v>
      </c>
      <c r="T309">
        <f>ROUND(_26_03_2026_Log_Reseau_v15_7[[#This Row],[anciennete_ en année]],0)</f>
        <v>8</v>
      </c>
      <c r="U30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3.125</v>
      </c>
      <c r="V309" s="3">
        <f>ROUND(_26_03_2026_Log_Reseau_v15_7[[#This Row],[remise 10%_70%_45%]],0)</f>
        <v>3</v>
      </c>
      <c r="W309" s="3">
        <f>_26_03_2026_Log_Reseau_v15_7[[#This Row],[Facture mensuelle]]*_26_03_2026_Log_Reseau_v15_7[[#This Row],[remise 10_70_45]]</f>
        <v>93.75</v>
      </c>
    </row>
    <row r="310" spans="1:23" x14ac:dyDescent="0.25">
      <c r="A310" s="1">
        <v>45217</v>
      </c>
      <c r="B310" s="2">
        <v>0.96875</v>
      </c>
      <c r="C310" t="s">
        <v>820</v>
      </c>
      <c r="D310">
        <v>97</v>
      </c>
      <c r="E310" t="s">
        <v>808</v>
      </c>
      <c r="F310" t="s">
        <v>29</v>
      </c>
      <c r="G310">
        <v>-10.059846</v>
      </c>
      <c r="H310">
        <v>14.375757999999999</v>
      </c>
      <c r="I310" t="s">
        <v>1480</v>
      </c>
      <c r="J310" t="s">
        <v>1481</v>
      </c>
      <c r="K310" t="s">
        <v>28</v>
      </c>
      <c r="L310">
        <v>99</v>
      </c>
      <c r="M310" t="s">
        <v>19</v>
      </c>
      <c r="N310">
        <v>369</v>
      </c>
      <c r="O310">
        <v>67.209999999999994</v>
      </c>
      <c r="P310">
        <v>3</v>
      </c>
      <c r="Q310">
        <f>_26_03_2026_Log_Reseau_v15_7[[#This Row],[Durée cumulée_panne_minu]]/60</f>
        <v>6.15</v>
      </c>
      <c r="R310">
        <f>ROUND(_26_03_2026_Log_Reseau_v15_7[[#This Row],[Durée_cumulée _ panne_en heure]],0)</f>
        <v>6</v>
      </c>
      <c r="S310">
        <f>_26_03_2026_Log_Reseau_v15_7[[#This Row],[Anciennété_mois]]/12</f>
        <v>8.25</v>
      </c>
      <c r="T310">
        <f>ROUND(_26_03_2026_Log_Reseau_v15_7[[#This Row],[anciennete_ en année]],0)</f>
        <v>8</v>
      </c>
      <c r="U31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10" s="3">
        <f>ROUND(_26_03_2026_Log_Reseau_v15_7[[#This Row],[remise 10%_70%_45%]],0)</f>
        <v>0</v>
      </c>
      <c r="W310" s="3">
        <f>_26_03_2026_Log_Reseau_v15_7[[#This Row],[Facture mensuelle]]*_26_03_2026_Log_Reseau_v15_7[[#This Row],[remise 10_70_45]]</f>
        <v>0</v>
      </c>
    </row>
    <row r="311" spans="1:23" x14ac:dyDescent="0.25">
      <c r="A311" s="1">
        <v>45217</v>
      </c>
      <c r="B311" s="2">
        <v>0.57847222222222228</v>
      </c>
      <c r="C311" t="s">
        <v>835</v>
      </c>
      <c r="D311">
        <v>93</v>
      </c>
      <c r="E311" t="s">
        <v>808</v>
      </c>
      <c r="F311" t="s">
        <v>33</v>
      </c>
      <c r="G311">
        <v>-10.735106</v>
      </c>
      <c r="H311">
        <v>27.868673999999999</v>
      </c>
      <c r="I311" t="s">
        <v>1482</v>
      </c>
      <c r="J311" t="s">
        <v>1478</v>
      </c>
      <c r="K311" t="s">
        <v>32</v>
      </c>
      <c r="L311">
        <v>72</v>
      </c>
      <c r="M311" t="s">
        <v>14</v>
      </c>
      <c r="N311">
        <v>160</v>
      </c>
      <c r="O311">
        <v>90.13</v>
      </c>
      <c r="P311">
        <v>2</v>
      </c>
      <c r="Q311">
        <f>_26_03_2026_Log_Reseau_v15_7[[#This Row],[Durée cumulée_panne_minu]]/60</f>
        <v>2.6666666666666665</v>
      </c>
      <c r="R311">
        <f>ROUND(_26_03_2026_Log_Reseau_v15_7[[#This Row],[Durée_cumulée _ panne_en heure]],0)</f>
        <v>3</v>
      </c>
      <c r="S311">
        <f>_26_03_2026_Log_Reseau_v15_7[[#This Row],[Anciennété_mois]]/12</f>
        <v>6</v>
      </c>
      <c r="T311">
        <f>ROUND(_26_03_2026_Log_Reseau_v15_7[[#This Row],[anciennete_ en année]],0)</f>
        <v>6</v>
      </c>
      <c r="U31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311" s="3">
        <f>ROUND(_26_03_2026_Log_Reseau_v15_7[[#This Row],[remise 10%_70%_45%]],0)</f>
        <v>9</v>
      </c>
      <c r="W311" s="3">
        <f>_26_03_2026_Log_Reseau_v15_7[[#This Row],[Facture mensuelle]]*_26_03_2026_Log_Reseau_v15_7[[#This Row],[remise 10_70_45]]</f>
        <v>811.17</v>
      </c>
    </row>
    <row r="312" spans="1:23" x14ac:dyDescent="0.25">
      <c r="A312" s="1">
        <v>45217</v>
      </c>
      <c r="B312" s="2">
        <v>0.77569444444444446</v>
      </c>
      <c r="C312" t="s">
        <v>969</v>
      </c>
      <c r="D312">
        <v>84</v>
      </c>
      <c r="E312" t="s">
        <v>807</v>
      </c>
      <c r="F312" t="s">
        <v>78</v>
      </c>
      <c r="G312">
        <v>-2.3743210000000001</v>
      </c>
      <c r="H312">
        <v>22.399491000000001</v>
      </c>
      <c r="I312" t="s">
        <v>1477</v>
      </c>
      <c r="J312" t="s">
        <v>1478</v>
      </c>
      <c r="K312" t="s">
        <v>77</v>
      </c>
      <c r="L312">
        <v>81</v>
      </c>
      <c r="M312" t="s">
        <v>14</v>
      </c>
      <c r="N312">
        <v>154</v>
      </c>
      <c r="O312">
        <v>19.47</v>
      </c>
      <c r="P312">
        <v>3</v>
      </c>
      <c r="Q312">
        <f>_26_03_2026_Log_Reseau_v15_7[[#This Row],[Durée cumulée_panne_minu]]/60</f>
        <v>2.5666666666666669</v>
      </c>
      <c r="R312">
        <f>ROUND(_26_03_2026_Log_Reseau_v15_7[[#This Row],[Durée_cumulée _ panne_en heure]],0)</f>
        <v>3</v>
      </c>
      <c r="S312">
        <f>_26_03_2026_Log_Reseau_v15_7[[#This Row],[Anciennété_mois]]/12</f>
        <v>6.75</v>
      </c>
      <c r="T312">
        <f>ROUND(_26_03_2026_Log_Reseau_v15_7[[#This Row],[anciennete_ en année]],0)</f>
        <v>7</v>
      </c>
      <c r="U31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312" s="3">
        <f>ROUND(_26_03_2026_Log_Reseau_v15_7[[#This Row],[remise 10%_70%_45%]],0)</f>
        <v>2</v>
      </c>
      <c r="W312" s="3">
        <f>_26_03_2026_Log_Reseau_v15_7[[#This Row],[Facture mensuelle]]*_26_03_2026_Log_Reseau_v15_7[[#This Row],[remise 10_70_45]]</f>
        <v>38.94</v>
      </c>
    </row>
    <row r="313" spans="1:23" x14ac:dyDescent="0.25">
      <c r="A313" s="1">
        <v>45217</v>
      </c>
      <c r="B313" s="2">
        <v>2.8472222222222222E-2</v>
      </c>
      <c r="C313" t="s">
        <v>972</v>
      </c>
      <c r="D313">
        <v>120</v>
      </c>
      <c r="E313" t="s">
        <v>812</v>
      </c>
      <c r="F313" t="s">
        <v>21</v>
      </c>
      <c r="G313">
        <v>-4.1694589999999998</v>
      </c>
      <c r="H313">
        <v>23.376487000000001</v>
      </c>
      <c r="I313" t="s">
        <v>1482</v>
      </c>
      <c r="J313" t="s">
        <v>1490</v>
      </c>
      <c r="K313" t="s">
        <v>20</v>
      </c>
      <c r="L313">
        <v>101</v>
      </c>
      <c r="M313" t="s">
        <v>22</v>
      </c>
      <c r="N313">
        <v>358</v>
      </c>
      <c r="O313">
        <v>29.24</v>
      </c>
      <c r="P313">
        <v>3</v>
      </c>
      <c r="Q313">
        <f>_26_03_2026_Log_Reseau_v15_7[[#This Row],[Durée cumulée_panne_minu]]/60</f>
        <v>5.9666666666666668</v>
      </c>
      <c r="R313">
        <f>ROUND(_26_03_2026_Log_Reseau_v15_7[[#This Row],[Durée_cumulée _ panne_en heure]],0)</f>
        <v>6</v>
      </c>
      <c r="S313">
        <f>_26_03_2026_Log_Reseau_v15_7[[#This Row],[Anciennété_mois]]/12</f>
        <v>8.4166666666666661</v>
      </c>
      <c r="T313">
        <f>ROUND(_26_03_2026_Log_Reseau_v15_7[[#This Row],[anciennete_ en année]],0)</f>
        <v>8</v>
      </c>
      <c r="U31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13" s="3">
        <f>ROUND(_26_03_2026_Log_Reseau_v15_7[[#This Row],[remise 10%_70%_45%]],0)</f>
        <v>0</v>
      </c>
      <c r="W313" s="3">
        <f>_26_03_2026_Log_Reseau_v15_7[[#This Row],[Facture mensuelle]]*_26_03_2026_Log_Reseau_v15_7[[#This Row],[remise 10_70_45]]</f>
        <v>0</v>
      </c>
    </row>
    <row r="314" spans="1:23" x14ac:dyDescent="0.25">
      <c r="A314" s="1">
        <v>45217</v>
      </c>
      <c r="B314" s="2">
        <v>0.1736111111111111</v>
      </c>
      <c r="C314" t="s">
        <v>988</v>
      </c>
      <c r="D314">
        <v>53</v>
      </c>
      <c r="E314" t="s">
        <v>808</v>
      </c>
      <c r="F314" t="s">
        <v>64</v>
      </c>
      <c r="G314">
        <v>-1.6097570000000001</v>
      </c>
      <c r="H314">
        <v>30.661662</v>
      </c>
      <c r="I314" t="s">
        <v>1480</v>
      </c>
      <c r="J314" t="s">
        <v>1478</v>
      </c>
      <c r="K314" t="s">
        <v>63</v>
      </c>
      <c r="L314">
        <v>79</v>
      </c>
      <c r="M314" t="s">
        <v>11</v>
      </c>
      <c r="N314">
        <v>226</v>
      </c>
      <c r="O314">
        <v>94.38</v>
      </c>
      <c r="P314">
        <v>3</v>
      </c>
      <c r="Q314">
        <f>_26_03_2026_Log_Reseau_v15_7[[#This Row],[Durée cumulée_panne_minu]]/60</f>
        <v>3.7666666666666666</v>
      </c>
      <c r="R314">
        <f>ROUND(_26_03_2026_Log_Reseau_v15_7[[#This Row],[Durée_cumulée _ panne_en heure]],0)</f>
        <v>4</v>
      </c>
      <c r="S314">
        <f>_26_03_2026_Log_Reseau_v15_7[[#This Row],[Anciennété_mois]]/12</f>
        <v>6.583333333333333</v>
      </c>
      <c r="T314">
        <f>ROUND(_26_03_2026_Log_Reseau_v15_7[[#This Row],[anciennete_ en année]],0)</f>
        <v>7</v>
      </c>
      <c r="U31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14" s="3">
        <f>ROUND(_26_03_2026_Log_Reseau_v15_7[[#This Row],[remise 10%_70%_45%]],0)</f>
        <v>0</v>
      </c>
      <c r="W314" s="3">
        <f>_26_03_2026_Log_Reseau_v15_7[[#This Row],[Facture mensuelle]]*_26_03_2026_Log_Reseau_v15_7[[#This Row],[remise 10_70_45]]</f>
        <v>0</v>
      </c>
    </row>
    <row r="315" spans="1:23" x14ac:dyDescent="0.25">
      <c r="A315" s="1">
        <v>45217</v>
      </c>
      <c r="B315" s="2">
        <v>0.62708333333333333</v>
      </c>
      <c r="C315" t="s">
        <v>1133</v>
      </c>
      <c r="D315">
        <v>33</v>
      </c>
      <c r="E315" t="s">
        <v>807</v>
      </c>
      <c r="F315" t="s">
        <v>127</v>
      </c>
      <c r="G315">
        <v>-1.8045979999999999</v>
      </c>
      <c r="H315">
        <v>12.511096999999999</v>
      </c>
      <c r="I315" t="s">
        <v>1482</v>
      </c>
      <c r="J315" t="s">
        <v>1481</v>
      </c>
      <c r="K315" t="s">
        <v>126</v>
      </c>
      <c r="L315">
        <v>40</v>
      </c>
      <c r="M315" t="s">
        <v>11</v>
      </c>
      <c r="N315">
        <v>345</v>
      </c>
      <c r="O315">
        <v>89.55</v>
      </c>
      <c r="P315">
        <v>3</v>
      </c>
      <c r="Q315">
        <f>_26_03_2026_Log_Reseau_v15_7[[#This Row],[Durée cumulée_panne_minu]]/60</f>
        <v>5.75</v>
      </c>
      <c r="R315">
        <f>ROUND(_26_03_2026_Log_Reseau_v15_7[[#This Row],[Durée_cumulée _ panne_en heure]],0)</f>
        <v>6</v>
      </c>
      <c r="S315">
        <f>_26_03_2026_Log_Reseau_v15_7[[#This Row],[Anciennété_mois]]/12</f>
        <v>3.3333333333333335</v>
      </c>
      <c r="T315">
        <f>ROUND(_26_03_2026_Log_Reseau_v15_7[[#This Row],[anciennete_ en année]],0)</f>
        <v>3</v>
      </c>
      <c r="U31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15" s="3">
        <f>ROUND(_26_03_2026_Log_Reseau_v15_7[[#This Row],[remise 10%_70%_45%]],0)</f>
        <v>0</v>
      </c>
      <c r="W315" s="3">
        <f>_26_03_2026_Log_Reseau_v15_7[[#This Row],[Facture mensuelle]]*_26_03_2026_Log_Reseau_v15_7[[#This Row],[remise 10_70_45]]</f>
        <v>0</v>
      </c>
    </row>
    <row r="316" spans="1:23" x14ac:dyDescent="0.25">
      <c r="A316" s="1">
        <v>45217</v>
      </c>
      <c r="B316" s="2">
        <v>0.99930555555555556</v>
      </c>
      <c r="C316" t="s">
        <v>1143</v>
      </c>
      <c r="D316">
        <v>38</v>
      </c>
      <c r="E316" t="s">
        <v>808</v>
      </c>
      <c r="F316" t="s">
        <v>137</v>
      </c>
      <c r="G316">
        <v>-10.967288</v>
      </c>
      <c r="H316">
        <v>17.617781000000001</v>
      </c>
      <c r="I316" t="s">
        <v>1480</v>
      </c>
      <c r="J316" t="s">
        <v>1478</v>
      </c>
      <c r="K316" t="s">
        <v>136</v>
      </c>
      <c r="L316">
        <v>80</v>
      </c>
      <c r="M316" t="s">
        <v>22</v>
      </c>
      <c r="N316">
        <v>155</v>
      </c>
      <c r="O316">
        <v>28.96</v>
      </c>
      <c r="P316">
        <v>2</v>
      </c>
      <c r="Q316">
        <f>_26_03_2026_Log_Reseau_v15_7[[#This Row],[Durée cumulée_panne_minu]]/60</f>
        <v>2.5833333333333335</v>
      </c>
      <c r="R316">
        <f>ROUND(_26_03_2026_Log_Reseau_v15_7[[#This Row],[Durée_cumulée _ panne_en heure]],0)</f>
        <v>3</v>
      </c>
      <c r="S316">
        <f>_26_03_2026_Log_Reseau_v15_7[[#This Row],[Anciennété_mois]]/12</f>
        <v>6.666666666666667</v>
      </c>
      <c r="T316">
        <f>ROUND(_26_03_2026_Log_Reseau_v15_7[[#This Row],[anciennete_ en année]],0)</f>
        <v>7</v>
      </c>
      <c r="U31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16" s="3">
        <f>ROUND(_26_03_2026_Log_Reseau_v15_7[[#This Row],[remise 10%_70%_45%]],0)</f>
        <v>0</v>
      </c>
      <c r="W316" s="3">
        <f>_26_03_2026_Log_Reseau_v15_7[[#This Row],[Facture mensuelle]]*_26_03_2026_Log_Reseau_v15_7[[#This Row],[remise 10_70_45]]</f>
        <v>0</v>
      </c>
    </row>
    <row r="317" spans="1:23" x14ac:dyDescent="0.25">
      <c r="A317" s="1">
        <v>45217</v>
      </c>
      <c r="B317" s="2">
        <v>0.47361111111111109</v>
      </c>
      <c r="C317" t="s">
        <v>1155</v>
      </c>
      <c r="D317">
        <v>37</v>
      </c>
      <c r="E317" t="s">
        <v>812</v>
      </c>
      <c r="F317" t="s">
        <v>51</v>
      </c>
      <c r="G317">
        <v>-8.5675749999999997</v>
      </c>
      <c r="H317">
        <v>26.994581</v>
      </c>
      <c r="I317" t="s">
        <v>1482</v>
      </c>
      <c r="J317" t="s">
        <v>1490</v>
      </c>
      <c r="K317" t="s">
        <v>50</v>
      </c>
      <c r="L317">
        <v>119</v>
      </c>
      <c r="M317" t="s">
        <v>22</v>
      </c>
      <c r="N317">
        <v>228</v>
      </c>
      <c r="O317">
        <v>94.72</v>
      </c>
      <c r="P317">
        <v>3</v>
      </c>
      <c r="Q317">
        <f>_26_03_2026_Log_Reseau_v15_7[[#This Row],[Durée cumulée_panne_minu]]/60</f>
        <v>3.8</v>
      </c>
      <c r="R317">
        <f>ROUND(_26_03_2026_Log_Reseau_v15_7[[#This Row],[Durée_cumulée _ panne_en heure]],0)</f>
        <v>4</v>
      </c>
      <c r="S317">
        <f>_26_03_2026_Log_Reseau_v15_7[[#This Row],[Anciennété_mois]]/12</f>
        <v>9.9166666666666661</v>
      </c>
      <c r="T317">
        <f>ROUND(_26_03_2026_Log_Reseau_v15_7[[#This Row],[anciennete_ en année]],0)</f>
        <v>10</v>
      </c>
      <c r="U31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17" s="3">
        <f>ROUND(_26_03_2026_Log_Reseau_v15_7[[#This Row],[remise 10%_70%_45%]],0)</f>
        <v>0</v>
      </c>
      <c r="W317" s="3">
        <f>_26_03_2026_Log_Reseau_v15_7[[#This Row],[Facture mensuelle]]*_26_03_2026_Log_Reseau_v15_7[[#This Row],[remise 10_70_45]]</f>
        <v>0</v>
      </c>
    </row>
    <row r="318" spans="1:23" x14ac:dyDescent="0.25">
      <c r="A318" s="1">
        <v>45217</v>
      </c>
      <c r="B318" s="2">
        <v>0.38472222222222224</v>
      </c>
      <c r="C318" t="s">
        <v>1202</v>
      </c>
      <c r="D318">
        <v>99</v>
      </c>
      <c r="E318" t="s">
        <v>808</v>
      </c>
      <c r="F318" t="s">
        <v>18</v>
      </c>
      <c r="G318">
        <v>-4.8157019999999999</v>
      </c>
      <c r="H318">
        <v>27.679798000000002</v>
      </c>
      <c r="I318" t="s">
        <v>1482</v>
      </c>
      <c r="J318" t="s">
        <v>1478</v>
      </c>
      <c r="K318" t="s">
        <v>17</v>
      </c>
      <c r="L318">
        <v>44</v>
      </c>
      <c r="M318" t="s">
        <v>19</v>
      </c>
      <c r="N318">
        <v>348</v>
      </c>
      <c r="O318">
        <v>58.67</v>
      </c>
      <c r="P318">
        <v>0</v>
      </c>
      <c r="Q318">
        <f>_26_03_2026_Log_Reseau_v15_7[[#This Row],[Durée cumulée_panne_minu]]/60</f>
        <v>5.8</v>
      </c>
      <c r="R318">
        <f>ROUND(_26_03_2026_Log_Reseau_v15_7[[#This Row],[Durée_cumulée _ panne_en heure]],0)</f>
        <v>6</v>
      </c>
      <c r="S318">
        <f>_26_03_2026_Log_Reseau_v15_7[[#This Row],[Anciennété_mois]]/12</f>
        <v>3.6666666666666665</v>
      </c>
      <c r="T318">
        <f>ROUND(_26_03_2026_Log_Reseau_v15_7[[#This Row],[anciennete_ en année]],0)</f>
        <v>4</v>
      </c>
      <c r="U31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18" s="3">
        <f>ROUND(_26_03_2026_Log_Reseau_v15_7[[#This Row],[remise 10%_70%_45%]],0)</f>
        <v>0</v>
      </c>
      <c r="W318" s="3">
        <f>_26_03_2026_Log_Reseau_v15_7[[#This Row],[Facture mensuelle]]*_26_03_2026_Log_Reseau_v15_7[[#This Row],[remise 10_70_45]]</f>
        <v>0</v>
      </c>
    </row>
    <row r="319" spans="1:23" x14ac:dyDescent="0.25">
      <c r="A319" s="1">
        <v>45217</v>
      </c>
      <c r="B319" s="2">
        <v>0.36875000000000002</v>
      </c>
      <c r="C319" t="s">
        <v>1222</v>
      </c>
      <c r="D319">
        <v>8</v>
      </c>
      <c r="E319" t="s">
        <v>807</v>
      </c>
      <c r="F319" t="s">
        <v>131</v>
      </c>
      <c r="G319">
        <v>-4.1754939999999996</v>
      </c>
      <c r="H319">
        <v>16.704664999999999</v>
      </c>
      <c r="I319" t="s">
        <v>1482</v>
      </c>
      <c r="J319" t="s">
        <v>1478</v>
      </c>
      <c r="K319" t="s">
        <v>130</v>
      </c>
      <c r="L319">
        <v>16</v>
      </c>
      <c r="M319" t="s">
        <v>19</v>
      </c>
      <c r="N319">
        <v>390</v>
      </c>
      <c r="O319">
        <v>98.17</v>
      </c>
      <c r="P319">
        <v>5</v>
      </c>
      <c r="Q319">
        <f>_26_03_2026_Log_Reseau_v15_7[[#This Row],[Durée cumulée_panne_minu]]/60</f>
        <v>6.5</v>
      </c>
      <c r="R319">
        <f>ROUND(_26_03_2026_Log_Reseau_v15_7[[#This Row],[Durée_cumulée _ panne_en heure]],0)</f>
        <v>7</v>
      </c>
      <c r="S319">
        <f>_26_03_2026_Log_Reseau_v15_7[[#This Row],[Anciennété_mois]]/12</f>
        <v>1.3333333333333333</v>
      </c>
      <c r="T319">
        <f>ROUND(_26_03_2026_Log_Reseau_v15_7[[#This Row],[anciennete_ en année]],0)</f>
        <v>1</v>
      </c>
      <c r="U31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19" s="3">
        <f>ROUND(_26_03_2026_Log_Reseau_v15_7[[#This Row],[remise 10%_70%_45%]],0)</f>
        <v>0</v>
      </c>
      <c r="W319" s="3">
        <f>_26_03_2026_Log_Reseau_v15_7[[#This Row],[Facture mensuelle]]*_26_03_2026_Log_Reseau_v15_7[[#This Row],[remise 10_70_45]]</f>
        <v>0</v>
      </c>
    </row>
    <row r="320" spans="1:23" x14ac:dyDescent="0.25">
      <c r="A320" s="1">
        <v>45217</v>
      </c>
      <c r="B320" s="2">
        <v>0.75555555555555554</v>
      </c>
      <c r="C320" t="s">
        <v>1224</v>
      </c>
      <c r="D320">
        <v>100</v>
      </c>
      <c r="E320" t="s">
        <v>807</v>
      </c>
      <c r="F320" t="s">
        <v>127</v>
      </c>
      <c r="G320">
        <v>-3.003879</v>
      </c>
      <c r="H320">
        <v>23.633893</v>
      </c>
      <c r="I320" t="s">
        <v>1477</v>
      </c>
      <c r="J320" t="s">
        <v>1478</v>
      </c>
      <c r="K320" t="s">
        <v>126</v>
      </c>
      <c r="L320">
        <v>40</v>
      </c>
      <c r="M320" t="s">
        <v>11</v>
      </c>
      <c r="N320">
        <v>345</v>
      </c>
      <c r="O320">
        <v>89.55</v>
      </c>
      <c r="P320">
        <v>3</v>
      </c>
      <c r="Q320">
        <f>_26_03_2026_Log_Reseau_v15_7[[#This Row],[Durée cumulée_panne_minu]]/60</f>
        <v>5.75</v>
      </c>
      <c r="R320">
        <f>ROUND(_26_03_2026_Log_Reseau_v15_7[[#This Row],[Durée_cumulée _ panne_en heure]],0)</f>
        <v>6</v>
      </c>
      <c r="S320">
        <f>_26_03_2026_Log_Reseau_v15_7[[#This Row],[Anciennété_mois]]/12</f>
        <v>3.3333333333333335</v>
      </c>
      <c r="T320">
        <f>ROUND(_26_03_2026_Log_Reseau_v15_7[[#This Row],[anciennete_ en année]],0)</f>
        <v>3</v>
      </c>
      <c r="U32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20" s="3">
        <f>ROUND(_26_03_2026_Log_Reseau_v15_7[[#This Row],[remise 10%_70%_45%]],0)</f>
        <v>0</v>
      </c>
      <c r="W320" s="3">
        <f>_26_03_2026_Log_Reseau_v15_7[[#This Row],[Facture mensuelle]]*_26_03_2026_Log_Reseau_v15_7[[#This Row],[remise 10_70_45]]</f>
        <v>0</v>
      </c>
    </row>
    <row r="321" spans="1:23" x14ac:dyDescent="0.25">
      <c r="A321" s="1">
        <v>45217</v>
      </c>
      <c r="B321" s="2">
        <v>0.89166666666666672</v>
      </c>
      <c r="C321" t="s">
        <v>1358</v>
      </c>
      <c r="D321">
        <v>108</v>
      </c>
      <c r="E321" t="s">
        <v>812</v>
      </c>
      <c r="F321" t="s">
        <v>16</v>
      </c>
      <c r="G321">
        <v>-5.3762689999999997</v>
      </c>
      <c r="H321">
        <v>28.189575999999999</v>
      </c>
      <c r="I321" t="s">
        <v>1477</v>
      </c>
      <c r="J321" t="s">
        <v>1481</v>
      </c>
      <c r="K321" t="s">
        <v>15</v>
      </c>
      <c r="L321">
        <v>34</v>
      </c>
      <c r="M321" t="s">
        <v>14</v>
      </c>
      <c r="N321">
        <v>453</v>
      </c>
      <c r="O321">
        <v>56.84</v>
      </c>
      <c r="P321">
        <v>0</v>
      </c>
      <c r="Q321">
        <f>_26_03_2026_Log_Reseau_v15_7[[#This Row],[Durée cumulée_panne_minu]]/60</f>
        <v>7.55</v>
      </c>
      <c r="R321">
        <f>ROUND(_26_03_2026_Log_Reseau_v15_7[[#This Row],[Durée_cumulée _ panne_en heure]],0)</f>
        <v>8</v>
      </c>
      <c r="S321">
        <f>_26_03_2026_Log_Reseau_v15_7[[#This Row],[Anciennété_mois]]/12</f>
        <v>2.8333333333333335</v>
      </c>
      <c r="T321">
        <f>ROUND(_26_03_2026_Log_Reseau_v15_7[[#This Row],[anciennete_ en année]],0)</f>
        <v>3</v>
      </c>
      <c r="U32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321" s="3">
        <f>ROUND(_26_03_2026_Log_Reseau_v15_7[[#This Row],[remise 10%_70%_45%]],0)</f>
        <v>6</v>
      </c>
      <c r="W321" s="3">
        <f>_26_03_2026_Log_Reseau_v15_7[[#This Row],[Facture mensuelle]]*_26_03_2026_Log_Reseau_v15_7[[#This Row],[remise 10_70_45]]</f>
        <v>341.04</v>
      </c>
    </row>
    <row r="322" spans="1:23" x14ac:dyDescent="0.25">
      <c r="A322" s="1">
        <v>45217</v>
      </c>
      <c r="B322" s="2">
        <v>0.17499999999999999</v>
      </c>
      <c r="C322" t="s">
        <v>1389</v>
      </c>
      <c r="D322">
        <v>18</v>
      </c>
      <c r="E322" t="s">
        <v>812</v>
      </c>
      <c r="F322" t="s">
        <v>21</v>
      </c>
      <c r="G322">
        <v>-9.4702129999999993</v>
      </c>
      <c r="H322">
        <v>12.826158</v>
      </c>
      <c r="I322" t="s">
        <v>1482</v>
      </c>
      <c r="J322" t="s">
        <v>1478</v>
      </c>
      <c r="K322" t="s">
        <v>20</v>
      </c>
      <c r="L322">
        <v>101</v>
      </c>
      <c r="M322" t="s">
        <v>22</v>
      </c>
      <c r="N322">
        <v>358</v>
      </c>
      <c r="O322">
        <v>29.24</v>
      </c>
      <c r="P322">
        <v>3</v>
      </c>
      <c r="Q322">
        <f>_26_03_2026_Log_Reseau_v15_7[[#This Row],[Durée cumulée_panne_minu]]/60</f>
        <v>5.9666666666666668</v>
      </c>
      <c r="R322">
        <f>ROUND(_26_03_2026_Log_Reseau_v15_7[[#This Row],[Durée_cumulée _ panne_en heure]],0)</f>
        <v>6</v>
      </c>
      <c r="S322">
        <f>_26_03_2026_Log_Reseau_v15_7[[#This Row],[Anciennété_mois]]/12</f>
        <v>8.4166666666666661</v>
      </c>
      <c r="T322">
        <f>ROUND(_26_03_2026_Log_Reseau_v15_7[[#This Row],[anciennete_ en année]],0)</f>
        <v>8</v>
      </c>
      <c r="U32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22" s="3">
        <f>ROUND(_26_03_2026_Log_Reseau_v15_7[[#This Row],[remise 10%_70%_45%]],0)</f>
        <v>0</v>
      </c>
      <c r="W322" s="3">
        <f>_26_03_2026_Log_Reseau_v15_7[[#This Row],[Facture mensuelle]]*_26_03_2026_Log_Reseau_v15_7[[#This Row],[remise 10_70_45]]</f>
        <v>0</v>
      </c>
    </row>
    <row r="323" spans="1:23" x14ac:dyDescent="0.25">
      <c r="A323" s="1">
        <v>45218</v>
      </c>
      <c r="B323" s="2">
        <v>8.8888888888888892E-2</v>
      </c>
      <c r="C323" t="s">
        <v>923</v>
      </c>
      <c r="D323">
        <v>12</v>
      </c>
      <c r="E323" t="s">
        <v>812</v>
      </c>
      <c r="F323" t="s">
        <v>64</v>
      </c>
      <c r="G323">
        <v>-11.389362</v>
      </c>
      <c r="H323">
        <v>22.240174</v>
      </c>
      <c r="I323" t="s">
        <v>1477</v>
      </c>
      <c r="J323" t="s">
        <v>1483</v>
      </c>
      <c r="K323" t="s">
        <v>63</v>
      </c>
      <c r="L323">
        <v>79</v>
      </c>
      <c r="M323" t="s">
        <v>11</v>
      </c>
      <c r="N323">
        <v>226</v>
      </c>
      <c r="O323">
        <v>94.38</v>
      </c>
      <c r="P323">
        <v>3</v>
      </c>
      <c r="Q323">
        <f>_26_03_2026_Log_Reseau_v15_7[[#This Row],[Durée cumulée_panne_minu]]/60</f>
        <v>3.7666666666666666</v>
      </c>
      <c r="R323">
        <f>ROUND(_26_03_2026_Log_Reseau_v15_7[[#This Row],[Durée_cumulée _ panne_en heure]],0)</f>
        <v>4</v>
      </c>
      <c r="S323">
        <f>_26_03_2026_Log_Reseau_v15_7[[#This Row],[Anciennété_mois]]/12</f>
        <v>6.583333333333333</v>
      </c>
      <c r="T323">
        <f>ROUND(_26_03_2026_Log_Reseau_v15_7[[#This Row],[anciennete_ en année]],0)</f>
        <v>7</v>
      </c>
      <c r="U32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23" s="3">
        <f>ROUND(_26_03_2026_Log_Reseau_v15_7[[#This Row],[remise 10%_70%_45%]],0)</f>
        <v>0</v>
      </c>
      <c r="W323" s="3">
        <f>_26_03_2026_Log_Reseau_v15_7[[#This Row],[Facture mensuelle]]*_26_03_2026_Log_Reseau_v15_7[[#This Row],[remise 10_70_45]]</f>
        <v>0</v>
      </c>
    </row>
    <row r="324" spans="1:23" x14ac:dyDescent="0.25">
      <c r="A324" s="1">
        <v>45218</v>
      </c>
      <c r="B324" s="2">
        <v>0.58958333333333335</v>
      </c>
      <c r="C324" t="s">
        <v>946</v>
      </c>
      <c r="D324">
        <v>21</v>
      </c>
      <c r="E324" t="s">
        <v>807</v>
      </c>
      <c r="F324" t="s">
        <v>21</v>
      </c>
      <c r="G324">
        <v>-11.514817000000001</v>
      </c>
      <c r="H324">
        <v>24.891375</v>
      </c>
      <c r="I324" t="s">
        <v>1482</v>
      </c>
      <c r="J324" t="s">
        <v>1490</v>
      </c>
      <c r="K324" t="s">
        <v>20</v>
      </c>
      <c r="L324">
        <v>101</v>
      </c>
      <c r="M324" t="s">
        <v>22</v>
      </c>
      <c r="N324">
        <v>358</v>
      </c>
      <c r="O324">
        <v>29.24</v>
      </c>
      <c r="P324">
        <v>3</v>
      </c>
      <c r="Q324">
        <f>_26_03_2026_Log_Reseau_v15_7[[#This Row],[Durée cumulée_panne_minu]]/60</f>
        <v>5.9666666666666668</v>
      </c>
      <c r="R324">
        <f>ROUND(_26_03_2026_Log_Reseau_v15_7[[#This Row],[Durée_cumulée _ panne_en heure]],0)</f>
        <v>6</v>
      </c>
      <c r="S324">
        <f>_26_03_2026_Log_Reseau_v15_7[[#This Row],[Anciennété_mois]]/12</f>
        <v>8.4166666666666661</v>
      </c>
      <c r="T324">
        <f>ROUND(_26_03_2026_Log_Reseau_v15_7[[#This Row],[anciennete_ en année]],0)</f>
        <v>8</v>
      </c>
      <c r="U32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24" s="3">
        <f>ROUND(_26_03_2026_Log_Reseau_v15_7[[#This Row],[remise 10%_70%_45%]],0)</f>
        <v>0</v>
      </c>
      <c r="W324" s="3">
        <f>_26_03_2026_Log_Reseau_v15_7[[#This Row],[Facture mensuelle]]*_26_03_2026_Log_Reseau_v15_7[[#This Row],[remise 10_70_45]]</f>
        <v>0</v>
      </c>
    </row>
    <row r="325" spans="1:23" x14ac:dyDescent="0.25">
      <c r="A325" s="1">
        <v>45218</v>
      </c>
      <c r="B325" s="2">
        <v>0.67569444444444449</v>
      </c>
      <c r="C325" t="s">
        <v>1074</v>
      </c>
      <c r="D325">
        <v>37</v>
      </c>
      <c r="E325" t="s">
        <v>812</v>
      </c>
      <c r="F325" t="s">
        <v>21</v>
      </c>
      <c r="G325">
        <v>-2.9651529999999999</v>
      </c>
      <c r="H325">
        <v>29.79908</v>
      </c>
      <c r="I325" t="s">
        <v>1480</v>
      </c>
      <c r="J325" t="s">
        <v>1478</v>
      </c>
      <c r="K325" t="s">
        <v>20</v>
      </c>
      <c r="L325">
        <v>101</v>
      </c>
      <c r="M325" t="s">
        <v>22</v>
      </c>
      <c r="N325">
        <v>358</v>
      </c>
      <c r="O325">
        <v>29.24</v>
      </c>
      <c r="P325">
        <v>3</v>
      </c>
      <c r="Q325">
        <f>_26_03_2026_Log_Reseau_v15_7[[#This Row],[Durée cumulée_panne_minu]]/60</f>
        <v>5.9666666666666668</v>
      </c>
      <c r="R325">
        <f>ROUND(_26_03_2026_Log_Reseau_v15_7[[#This Row],[Durée_cumulée _ panne_en heure]],0)</f>
        <v>6</v>
      </c>
      <c r="S325">
        <f>_26_03_2026_Log_Reseau_v15_7[[#This Row],[Anciennété_mois]]/12</f>
        <v>8.4166666666666661</v>
      </c>
      <c r="T325">
        <f>ROUND(_26_03_2026_Log_Reseau_v15_7[[#This Row],[anciennete_ en année]],0)</f>
        <v>8</v>
      </c>
      <c r="U32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25" s="3">
        <f>ROUND(_26_03_2026_Log_Reseau_v15_7[[#This Row],[remise 10%_70%_45%]],0)</f>
        <v>0</v>
      </c>
      <c r="W325" s="3">
        <f>_26_03_2026_Log_Reseau_v15_7[[#This Row],[Facture mensuelle]]*_26_03_2026_Log_Reseau_v15_7[[#This Row],[remise 10_70_45]]</f>
        <v>0</v>
      </c>
    </row>
    <row r="326" spans="1:23" x14ac:dyDescent="0.25">
      <c r="A326" s="1">
        <v>45218</v>
      </c>
      <c r="B326" s="2">
        <v>0.12708333333333333</v>
      </c>
      <c r="C326" t="s">
        <v>1114</v>
      </c>
      <c r="D326">
        <v>58</v>
      </c>
      <c r="E326" t="s">
        <v>808</v>
      </c>
      <c r="F326" t="s">
        <v>21</v>
      </c>
      <c r="G326">
        <v>1.2419519999999999</v>
      </c>
      <c r="H326">
        <v>25.261382999999999</v>
      </c>
      <c r="I326" t="s">
        <v>1480</v>
      </c>
      <c r="J326" t="s">
        <v>1481</v>
      </c>
      <c r="K326" t="s">
        <v>20</v>
      </c>
      <c r="L326">
        <v>101</v>
      </c>
      <c r="M326" t="s">
        <v>22</v>
      </c>
      <c r="N326">
        <v>358</v>
      </c>
      <c r="O326">
        <v>29.24</v>
      </c>
      <c r="P326">
        <v>3</v>
      </c>
      <c r="Q326">
        <f>_26_03_2026_Log_Reseau_v15_7[[#This Row],[Durée cumulée_panne_minu]]/60</f>
        <v>5.9666666666666668</v>
      </c>
      <c r="R326">
        <f>ROUND(_26_03_2026_Log_Reseau_v15_7[[#This Row],[Durée_cumulée _ panne_en heure]],0)</f>
        <v>6</v>
      </c>
      <c r="S326">
        <f>_26_03_2026_Log_Reseau_v15_7[[#This Row],[Anciennété_mois]]/12</f>
        <v>8.4166666666666661</v>
      </c>
      <c r="T326">
        <f>ROUND(_26_03_2026_Log_Reseau_v15_7[[#This Row],[anciennete_ en année]],0)</f>
        <v>8</v>
      </c>
      <c r="U32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26" s="3">
        <f>ROUND(_26_03_2026_Log_Reseau_v15_7[[#This Row],[remise 10%_70%_45%]],0)</f>
        <v>0</v>
      </c>
      <c r="W326" s="3">
        <f>_26_03_2026_Log_Reseau_v15_7[[#This Row],[Facture mensuelle]]*_26_03_2026_Log_Reseau_v15_7[[#This Row],[remise 10_70_45]]</f>
        <v>0</v>
      </c>
    </row>
    <row r="327" spans="1:23" x14ac:dyDescent="0.25">
      <c r="A327" s="1">
        <v>45218</v>
      </c>
      <c r="B327" s="2">
        <v>0.27013888888888887</v>
      </c>
      <c r="C327" t="s">
        <v>1133</v>
      </c>
      <c r="D327">
        <v>40</v>
      </c>
      <c r="E327" t="s">
        <v>808</v>
      </c>
      <c r="F327" t="s">
        <v>127</v>
      </c>
      <c r="G327">
        <v>-1.8045979999999999</v>
      </c>
      <c r="H327">
        <v>12.511096999999999</v>
      </c>
      <c r="I327" t="s">
        <v>1482</v>
      </c>
      <c r="J327" t="s">
        <v>1481</v>
      </c>
      <c r="K327" t="s">
        <v>126</v>
      </c>
      <c r="L327">
        <v>40</v>
      </c>
      <c r="M327" t="s">
        <v>11</v>
      </c>
      <c r="N327">
        <v>345</v>
      </c>
      <c r="O327">
        <v>89.55</v>
      </c>
      <c r="P327">
        <v>3</v>
      </c>
      <c r="Q327">
        <f>_26_03_2026_Log_Reseau_v15_7[[#This Row],[Durée cumulée_panne_minu]]/60</f>
        <v>5.75</v>
      </c>
      <c r="R327">
        <f>ROUND(_26_03_2026_Log_Reseau_v15_7[[#This Row],[Durée_cumulée _ panne_en heure]],0)</f>
        <v>6</v>
      </c>
      <c r="S327">
        <f>_26_03_2026_Log_Reseau_v15_7[[#This Row],[Anciennété_mois]]/12</f>
        <v>3.3333333333333335</v>
      </c>
      <c r="T327">
        <f>ROUND(_26_03_2026_Log_Reseau_v15_7[[#This Row],[anciennete_ en année]],0)</f>
        <v>3</v>
      </c>
      <c r="U32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27" s="3">
        <f>ROUND(_26_03_2026_Log_Reseau_v15_7[[#This Row],[remise 10%_70%_45%]],0)</f>
        <v>0</v>
      </c>
      <c r="W327" s="3">
        <f>_26_03_2026_Log_Reseau_v15_7[[#This Row],[Facture mensuelle]]*_26_03_2026_Log_Reseau_v15_7[[#This Row],[remise 10_70_45]]</f>
        <v>0</v>
      </c>
    </row>
    <row r="328" spans="1:23" x14ac:dyDescent="0.25">
      <c r="A328" s="1">
        <v>45218</v>
      </c>
      <c r="B328" s="2">
        <v>0.36875000000000002</v>
      </c>
      <c r="C328" t="s">
        <v>1146</v>
      </c>
      <c r="D328">
        <v>70</v>
      </c>
      <c r="E328" t="s">
        <v>807</v>
      </c>
      <c r="F328" t="s">
        <v>67</v>
      </c>
      <c r="G328">
        <v>-8.4227860000000003</v>
      </c>
      <c r="H328">
        <v>16.781293000000002</v>
      </c>
      <c r="I328" t="s">
        <v>1480</v>
      </c>
      <c r="J328" t="s">
        <v>1481</v>
      </c>
      <c r="K328" t="s">
        <v>66</v>
      </c>
      <c r="L328">
        <v>101</v>
      </c>
      <c r="M328" t="s">
        <v>14</v>
      </c>
      <c r="N328">
        <v>176</v>
      </c>
      <c r="O328">
        <v>86</v>
      </c>
      <c r="P328">
        <v>3</v>
      </c>
      <c r="Q328">
        <f>_26_03_2026_Log_Reseau_v15_7[[#This Row],[Durée cumulée_panne_minu]]/60</f>
        <v>2.9333333333333331</v>
      </c>
      <c r="R328">
        <f>ROUND(_26_03_2026_Log_Reseau_v15_7[[#This Row],[Durée_cumulée _ panne_en heure]],0)</f>
        <v>3</v>
      </c>
      <c r="S328">
        <f>_26_03_2026_Log_Reseau_v15_7[[#This Row],[Anciennété_mois]]/12</f>
        <v>8.4166666666666661</v>
      </c>
      <c r="T328">
        <f>ROUND(_26_03_2026_Log_Reseau_v15_7[[#This Row],[anciennete_ en année]],0)</f>
        <v>8</v>
      </c>
      <c r="U32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328" s="3">
        <f>ROUND(_26_03_2026_Log_Reseau_v15_7[[#This Row],[remise 10%_70%_45%]],0)</f>
        <v>9</v>
      </c>
      <c r="W328" s="3">
        <f>_26_03_2026_Log_Reseau_v15_7[[#This Row],[Facture mensuelle]]*_26_03_2026_Log_Reseau_v15_7[[#This Row],[remise 10_70_45]]</f>
        <v>774</v>
      </c>
    </row>
    <row r="329" spans="1:23" x14ac:dyDescent="0.25">
      <c r="A329" s="1">
        <v>45218</v>
      </c>
      <c r="B329" s="2">
        <v>0.37847222222222221</v>
      </c>
      <c r="C329" t="s">
        <v>1152</v>
      </c>
      <c r="D329">
        <v>102</v>
      </c>
      <c r="E329" t="s">
        <v>807</v>
      </c>
      <c r="F329" t="s">
        <v>33</v>
      </c>
      <c r="G329">
        <v>-4.4451280000000004</v>
      </c>
      <c r="H329">
        <v>16.536944999999999</v>
      </c>
      <c r="I329" t="s">
        <v>1480</v>
      </c>
      <c r="J329" t="s">
        <v>1478</v>
      </c>
      <c r="K329" t="s">
        <v>32</v>
      </c>
      <c r="L329">
        <v>72</v>
      </c>
      <c r="M329" t="s">
        <v>14</v>
      </c>
      <c r="N329">
        <v>160</v>
      </c>
      <c r="O329">
        <v>90.13</v>
      </c>
      <c r="P329">
        <v>2</v>
      </c>
      <c r="Q329">
        <f>_26_03_2026_Log_Reseau_v15_7[[#This Row],[Durée cumulée_panne_minu]]/60</f>
        <v>2.6666666666666665</v>
      </c>
      <c r="R329">
        <f>ROUND(_26_03_2026_Log_Reseau_v15_7[[#This Row],[Durée_cumulée _ panne_en heure]],0)</f>
        <v>3</v>
      </c>
      <c r="S329">
        <f>_26_03_2026_Log_Reseau_v15_7[[#This Row],[Anciennété_mois]]/12</f>
        <v>6</v>
      </c>
      <c r="T329">
        <f>ROUND(_26_03_2026_Log_Reseau_v15_7[[#This Row],[anciennete_ en année]],0)</f>
        <v>6</v>
      </c>
      <c r="U32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329" s="3">
        <f>ROUND(_26_03_2026_Log_Reseau_v15_7[[#This Row],[remise 10%_70%_45%]],0)</f>
        <v>9</v>
      </c>
      <c r="W329" s="3">
        <f>_26_03_2026_Log_Reseau_v15_7[[#This Row],[Facture mensuelle]]*_26_03_2026_Log_Reseau_v15_7[[#This Row],[remise 10_70_45]]</f>
        <v>811.17</v>
      </c>
    </row>
    <row r="330" spans="1:23" x14ac:dyDescent="0.25">
      <c r="A330" s="1">
        <v>45218</v>
      </c>
      <c r="B330" s="2">
        <v>0.33194444444444443</v>
      </c>
      <c r="C330" t="s">
        <v>1180</v>
      </c>
      <c r="D330">
        <v>15</v>
      </c>
      <c r="E330" t="s">
        <v>812</v>
      </c>
      <c r="F330" t="s">
        <v>131</v>
      </c>
      <c r="G330">
        <v>-1.8555980000000001</v>
      </c>
      <c r="H330">
        <v>30.421918000000002</v>
      </c>
      <c r="I330" t="s">
        <v>1482</v>
      </c>
      <c r="J330" t="s">
        <v>1483</v>
      </c>
      <c r="K330" t="s">
        <v>130</v>
      </c>
      <c r="L330">
        <v>16</v>
      </c>
      <c r="M330" t="s">
        <v>19</v>
      </c>
      <c r="N330">
        <v>390</v>
      </c>
      <c r="O330">
        <v>98.17</v>
      </c>
      <c r="P330">
        <v>5</v>
      </c>
      <c r="Q330">
        <f>_26_03_2026_Log_Reseau_v15_7[[#This Row],[Durée cumulée_panne_minu]]/60</f>
        <v>6.5</v>
      </c>
      <c r="R330">
        <f>ROUND(_26_03_2026_Log_Reseau_v15_7[[#This Row],[Durée_cumulée _ panne_en heure]],0)</f>
        <v>7</v>
      </c>
      <c r="S330">
        <f>_26_03_2026_Log_Reseau_v15_7[[#This Row],[Anciennété_mois]]/12</f>
        <v>1.3333333333333333</v>
      </c>
      <c r="T330">
        <f>ROUND(_26_03_2026_Log_Reseau_v15_7[[#This Row],[anciennete_ en année]],0)</f>
        <v>1</v>
      </c>
      <c r="U33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30" s="3">
        <f>ROUND(_26_03_2026_Log_Reseau_v15_7[[#This Row],[remise 10%_70%_45%]],0)</f>
        <v>0</v>
      </c>
      <c r="W330" s="3">
        <f>_26_03_2026_Log_Reseau_v15_7[[#This Row],[Facture mensuelle]]*_26_03_2026_Log_Reseau_v15_7[[#This Row],[remise 10_70_45]]</f>
        <v>0</v>
      </c>
    </row>
    <row r="331" spans="1:23" x14ac:dyDescent="0.25">
      <c r="A331" s="1">
        <v>45218</v>
      </c>
      <c r="B331" s="2">
        <v>0.28611111111111109</v>
      </c>
      <c r="C331" t="s">
        <v>1217</v>
      </c>
      <c r="D331">
        <v>89</v>
      </c>
      <c r="E331" t="s">
        <v>807</v>
      </c>
      <c r="F331" t="s">
        <v>40</v>
      </c>
      <c r="G331">
        <v>-7.5129409999999996</v>
      </c>
      <c r="H331">
        <v>18.701522000000001</v>
      </c>
      <c r="I331" t="s">
        <v>1480</v>
      </c>
      <c r="J331" t="s">
        <v>1490</v>
      </c>
      <c r="K331" t="s">
        <v>39</v>
      </c>
      <c r="L331">
        <v>110</v>
      </c>
      <c r="M331" t="s">
        <v>14</v>
      </c>
      <c r="N331">
        <v>423</v>
      </c>
      <c r="O331">
        <v>37.35</v>
      </c>
      <c r="P331">
        <v>4</v>
      </c>
      <c r="Q331">
        <f>_26_03_2026_Log_Reseau_v15_7[[#This Row],[Durée cumulée_panne_minu]]/60</f>
        <v>7.05</v>
      </c>
      <c r="R331">
        <f>ROUND(_26_03_2026_Log_Reseau_v15_7[[#This Row],[Durée_cumulée _ panne_en heure]],0)</f>
        <v>7</v>
      </c>
      <c r="S331">
        <f>_26_03_2026_Log_Reseau_v15_7[[#This Row],[Anciennété_mois]]/12</f>
        <v>9.1666666666666661</v>
      </c>
      <c r="T331">
        <f>ROUND(_26_03_2026_Log_Reseau_v15_7[[#This Row],[anciennete_ en année]],0)</f>
        <v>9</v>
      </c>
      <c r="U33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331" s="3">
        <f>ROUND(_26_03_2026_Log_Reseau_v15_7[[#This Row],[remise 10%_70%_45%]],0)</f>
        <v>4</v>
      </c>
      <c r="W331" s="3">
        <f>_26_03_2026_Log_Reseau_v15_7[[#This Row],[Facture mensuelle]]*_26_03_2026_Log_Reseau_v15_7[[#This Row],[remise 10_70_45]]</f>
        <v>149.4</v>
      </c>
    </row>
    <row r="332" spans="1:23" x14ac:dyDescent="0.25">
      <c r="A332" s="1">
        <v>45218</v>
      </c>
      <c r="B332" s="2">
        <v>3.8194444444444448E-2</v>
      </c>
      <c r="C332" t="s">
        <v>1277</v>
      </c>
      <c r="D332">
        <v>6</v>
      </c>
      <c r="E332" t="s">
        <v>807</v>
      </c>
      <c r="F332" t="s">
        <v>40</v>
      </c>
      <c r="G332">
        <v>-9.7712979999999998</v>
      </c>
      <c r="H332">
        <v>19.827895999999999</v>
      </c>
      <c r="I332" t="s">
        <v>1482</v>
      </c>
      <c r="J332" t="s">
        <v>1483</v>
      </c>
      <c r="K332" t="s">
        <v>39</v>
      </c>
      <c r="L332">
        <v>110</v>
      </c>
      <c r="M332" t="s">
        <v>14</v>
      </c>
      <c r="N332">
        <v>423</v>
      </c>
      <c r="O332">
        <v>37.35</v>
      </c>
      <c r="P332">
        <v>4</v>
      </c>
      <c r="Q332">
        <f>_26_03_2026_Log_Reseau_v15_7[[#This Row],[Durée cumulée_panne_minu]]/60</f>
        <v>7.05</v>
      </c>
      <c r="R332">
        <f>ROUND(_26_03_2026_Log_Reseau_v15_7[[#This Row],[Durée_cumulée _ panne_en heure]],0)</f>
        <v>7</v>
      </c>
      <c r="S332">
        <f>_26_03_2026_Log_Reseau_v15_7[[#This Row],[Anciennété_mois]]/12</f>
        <v>9.1666666666666661</v>
      </c>
      <c r="T332">
        <f>ROUND(_26_03_2026_Log_Reseau_v15_7[[#This Row],[anciennete_ en année]],0)</f>
        <v>9</v>
      </c>
      <c r="U33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332" s="3">
        <f>ROUND(_26_03_2026_Log_Reseau_v15_7[[#This Row],[remise 10%_70%_45%]],0)</f>
        <v>4</v>
      </c>
      <c r="W332" s="3">
        <f>_26_03_2026_Log_Reseau_v15_7[[#This Row],[Facture mensuelle]]*_26_03_2026_Log_Reseau_v15_7[[#This Row],[remise 10_70_45]]</f>
        <v>149.4</v>
      </c>
    </row>
    <row r="333" spans="1:23" x14ac:dyDescent="0.25">
      <c r="A333" s="1">
        <v>45218</v>
      </c>
      <c r="B333" s="2">
        <v>0.38194444444444442</v>
      </c>
      <c r="C333" t="s">
        <v>1296</v>
      </c>
      <c r="D333">
        <v>81</v>
      </c>
      <c r="E333" t="s">
        <v>808</v>
      </c>
      <c r="F333" t="s">
        <v>62</v>
      </c>
      <c r="G333">
        <v>-2.8211520000000001</v>
      </c>
      <c r="H333">
        <v>20.651419000000001</v>
      </c>
      <c r="I333" t="s">
        <v>1477</v>
      </c>
      <c r="J333" t="s">
        <v>1478</v>
      </c>
      <c r="K333" t="s">
        <v>61</v>
      </c>
      <c r="L333">
        <v>101</v>
      </c>
      <c r="M333" t="s">
        <v>14</v>
      </c>
      <c r="N333">
        <v>333</v>
      </c>
      <c r="O333">
        <v>74.319999999999993</v>
      </c>
      <c r="P333">
        <v>1</v>
      </c>
      <c r="Q333">
        <f>_26_03_2026_Log_Reseau_v15_7[[#This Row],[Durée cumulée_panne_minu]]/60</f>
        <v>5.55</v>
      </c>
      <c r="R333">
        <f>ROUND(_26_03_2026_Log_Reseau_v15_7[[#This Row],[Durée_cumulée _ panne_en heure]],0)</f>
        <v>6</v>
      </c>
      <c r="S333">
        <f>_26_03_2026_Log_Reseau_v15_7[[#This Row],[Anciennété_mois]]/12</f>
        <v>8.4166666666666661</v>
      </c>
      <c r="T333">
        <f>ROUND(_26_03_2026_Log_Reseau_v15_7[[#This Row],[anciennete_ en année]],0)</f>
        <v>8</v>
      </c>
      <c r="U33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333" s="3">
        <f>ROUND(_26_03_2026_Log_Reseau_v15_7[[#This Row],[remise 10%_70%_45%]],0)</f>
        <v>7</v>
      </c>
      <c r="W333" s="3">
        <f>_26_03_2026_Log_Reseau_v15_7[[#This Row],[Facture mensuelle]]*_26_03_2026_Log_Reseau_v15_7[[#This Row],[remise 10_70_45]]</f>
        <v>520.24</v>
      </c>
    </row>
    <row r="334" spans="1:23" x14ac:dyDescent="0.25">
      <c r="A334" s="1">
        <v>45218</v>
      </c>
      <c r="B334" s="2">
        <v>0.9916666666666667</v>
      </c>
      <c r="C334" t="s">
        <v>1349</v>
      </c>
      <c r="D334">
        <v>82</v>
      </c>
      <c r="E334" t="s">
        <v>807</v>
      </c>
      <c r="F334" t="s">
        <v>10</v>
      </c>
      <c r="G334">
        <v>-3.7720639999999999</v>
      </c>
      <c r="H334">
        <v>16.006277999999998</v>
      </c>
      <c r="I334" t="s">
        <v>1477</v>
      </c>
      <c r="J334" t="s">
        <v>1483</v>
      </c>
      <c r="K334" t="s">
        <v>9</v>
      </c>
      <c r="L334">
        <v>29</v>
      </c>
      <c r="M334" t="s">
        <v>11</v>
      </c>
      <c r="N334">
        <v>214</v>
      </c>
      <c r="O334">
        <v>74.7</v>
      </c>
      <c r="P334">
        <v>3</v>
      </c>
      <c r="Q334">
        <f>_26_03_2026_Log_Reseau_v15_7[[#This Row],[Durée cumulée_panne_minu]]/60</f>
        <v>3.5666666666666669</v>
      </c>
      <c r="R334">
        <f>ROUND(_26_03_2026_Log_Reseau_v15_7[[#This Row],[Durée_cumulée _ panne_en heure]],0)</f>
        <v>4</v>
      </c>
      <c r="S334">
        <f>_26_03_2026_Log_Reseau_v15_7[[#This Row],[Anciennété_mois]]/12</f>
        <v>2.4166666666666665</v>
      </c>
      <c r="T334">
        <f>ROUND(_26_03_2026_Log_Reseau_v15_7[[#This Row],[anciennete_ en année]],0)</f>
        <v>2</v>
      </c>
      <c r="U33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34" s="3">
        <f>ROUND(_26_03_2026_Log_Reseau_v15_7[[#This Row],[remise 10%_70%_45%]],0)</f>
        <v>0</v>
      </c>
      <c r="W334" s="3">
        <f>_26_03_2026_Log_Reseau_v15_7[[#This Row],[Facture mensuelle]]*_26_03_2026_Log_Reseau_v15_7[[#This Row],[remise 10_70_45]]</f>
        <v>0</v>
      </c>
    </row>
    <row r="335" spans="1:23" x14ac:dyDescent="0.25">
      <c r="A335" s="1">
        <v>45218</v>
      </c>
      <c r="B335" s="2">
        <v>7.6388888888888886E-3</v>
      </c>
      <c r="C335" t="s">
        <v>1389</v>
      </c>
      <c r="D335">
        <v>44</v>
      </c>
      <c r="E335" t="s">
        <v>808</v>
      </c>
      <c r="F335" t="s">
        <v>21</v>
      </c>
      <c r="G335">
        <v>-9.4702129999999993</v>
      </c>
      <c r="H335">
        <v>12.826158</v>
      </c>
      <c r="I335" t="s">
        <v>1482</v>
      </c>
      <c r="J335" t="s">
        <v>1478</v>
      </c>
      <c r="K335" t="s">
        <v>20</v>
      </c>
      <c r="L335">
        <v>101</v>
      </c>
      <c r="M335" t="s">
        <v>22</v>
      </c>
      <c r="N335">
        <v>358</v>
      </c>
      <c r="O335">
        <v>29.24</v>
      </c>
      <c r="P335">
        <v>3</v>
      </c>
      <c r="Q335">
        <f>_26_03_2026_Log_Reseau_v15_7[[#This Row],[Durée cumulée_panne_minu]]/60</f>
        <v>5.9666666666666668</v>
      </c>
      <c r="R335">
        <f>ROUND(_26_03_2026_Log_Reseau_v15_7[[#This Row],[Durée_cumulée _ panne_en heure]],0)</f>
        <v>6</v>
      </c>
      <c r="S335">
        <f>_26_03_2026_Log_Reseau_v15_7[[#This Row],[Anciennété_mois]]/12</f>
        <v>8.4166666666666661</v>
      </c>
      <c r="T335">
        <f>ROUND(_26_03_2026_Log_Reseau_v15_7[[#This Row],[anciennete_ en année]],0)</f>
        <v>8</v>
      </c>
      <c r="U33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35" s="3">
        <f>ROUND(_26_03_2026_Log_Reseau_v15_7[[#This Row],[remise 10%_70%_45%]],0)</f>
        <v>0</v>
      </c>
      <c r="W335" s="3">
        <f>_26_03_2026_Log_Reseau_v15_7[[#This Row],[Facture mensuelle]]*_26_03_2026_Log_Reseau_v15_7[[#This Row],[remise 10_70_45]]</f>
        <v>0</v>
      </c>
    </row>
    <row r="336" spans="1:23" x14ac:dyDescent="0.25">
      <c r="A336" s="1">
        <v>45218</v>
      </c>
      <c r="B336" s="2">
        <v>0.63194444444444442</v>
      </c>
      <c r="C336" t="s">
        <v>1432</v>
      </c>
      <c r="D336">
        <v>42</v>
      </c>
      <c r="E336" t="s">
        <v>808</v>
      </c>
      <c r="F336" t="s">
        <v>51</v>
      </c>
      <c r="G336">
        <v>-0.77432100000000004</v>
      </c>
      <c r="H336">
        <v>18.628658999999999</v>
      </c>
      <c r="I336" t="s">
        <v>1480</v>
      </c>
      <c r="J336" t="s">
        <v>1481</v>
      </c>
      <c r="K336" t="s">
        <v>50</v>
      </c>
      <c r="L336">
        <v>119</v>
      </c>
      <c r="M336" t="s">
        <v>22</v>
      </c>
      <c r="N336">
        <v>228</v>
      </c>
      <c r="O336">
        <v>94.72</v>
      </c>
      <c r="P336">
        <v>3</v>
      </c>
      <c r="Q336">
        <f>_26_03_2026_Log_Reseau_v15_7[[#This Row],[Durée cumulée_panne_minu]]/60</f>
        <v>3.8</v>
      </c>
      <c r="R336">
        <f>ROUND(_26_03_2026_Log_Reseau_v15_7[[#This Row],[Durée_cumulée _ panne_en heure]],0)</f>
        <v>4</v>
      </c>
      <c r="S336">
        <f>_26_03_2026_Log_Reseau_v15_7[[#This Row],[Anciennété_mois]]/12</f>
        <v>9.9166666666666661</v>
      </c>
      <c r="T336">
        <f>ROUND(_26_03_2026_Log_Reseau_v15_7[[#This Row],[anciennete_ en année]],0)</f>
        <v>10</v>
      </c>
      <c r="U33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36" s="3">
        <f>ROUND(_26_03_2026_Log_Reseau_v15_7[[#This Row],[remise 10%_70%_45%]],0)</f>
        <v>0</v>
      </c>
      <c r="W336" s="3">
        <f>_26_03_2026_Log_Reseau_v15_7[[#This Row],[Facture mensuelle]]*_26_03_2026_Log_Reseau_v15_7[[#This Row],[remise 10_70_45]]</f>
        <v>0</v>
      </c>
    </row>
    <row r="337" spans="1:23" x14ac:dyDescent="0.25">
      <c r="A337" s="1">
        <v>45219</v>
      </c>
      <c r="B337" s="2">
        <v>0.10138888888888889</v>
      </c>
      <c r="C337" t="s">
        <v>832</v>
      </c>
      <c r="D337">
        <v>75</v>
      </c>
      <c r="E337" t="s">
        <v>807</v>
      </c>
      <c r="F337" t="s">
        <v>10</v>
      </c>
      <c r="G337">
        <v>-7.0076900000000002</v>
      </c>
      <c r="H337">
        <v>27.367121999999998</v>
      </c>
      <c r="I337" t="s">
        <v>1482</v>
      </c>
      <c r="J337" t="s">
        <v>1490</v>
      </c>
      <c r="K337" t="s">
        <v>9</v>
      </c>
      <c r="L337">
        <v>29</v>
      </c>
      <c r="M337" t="s">
        <v>11</v>
      </c>
      <c r="N337">
        <v>214</v>
      </c>
      <c r="O337">
        <v>74.7</v>
      </c>
      <c r="P337">
        <v>3</v>
      </c>
      <c r="Q337">
        <f>_26_03_2026_Log_Reseau_v15_7[[#This Row],[Durée cumulée_panne_minu]]/60</f>
        <v>3.5666666666666669</v>
      </c>
      <c r="R337">
        <f>ROUND(_26_03_2026_Log_Reseau_v15_7[[#This Row],[Durée_cumulée _ panne_en heure]],0)</f>
        <v>4</v>
      </c>
      <c r="S337">
        <f>_26_03_2026_Log_Reseau_v15_7[[#This Row],[Anciennété_mois]]/12</f>
        <v>2.4166666666666665</v>
      </c>
      <c r="T337">
        <f>ROUND(_26_03_2026_Log_Reseau_v15_7[[#This Row],[anciennete_ en année]],0)</f>
        <v>2</v>
      </c>
      <c r="U33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37" s="3">
        <f>ROUND(_26_03_2026_Log_Reseau_v15_7[[#This Row],[remise 10%_70%_45%]],0)</f>
        <v>0</v>
      </c>
      <c r="W337" s="3">
        <f>_26_03_2026_Log_Reseau_v15_7[[#This Row],[Facture mensuelle]]*_26_03_2026_Log_Reseau_v15_7[[#This Row],[remise 10_70_45]]</f>
        <v>0</v>
      </c>
    </row>
    <row r="338" spans="1:23" x14ac:dyDescent="0.25">
      <c r="A338" s="1">
        <v>45219</v>
      </c>
      <c r="B338" s="2">
        <v>0.65625</v>
      </c>
      <c r="C338" t="s">
        <v>864</v>
      </c>
      <c r="D338">
        <v>118</v>
      </c>
      <c r="E338" t="s">
        <v>808</v>
      </c>
      <c r="F338" t="s">
        <v>13</v>
      </c>
      <c r="G338">
        <v>-10.577049000000001</v>
      </c>
      <c r="H338">
        <v>23.721854</v>
      </c>
      <c r="I338" t="s">
        <v>1480</v>
      </c>
      <c r="J338" t="s">
        <v>1483</v>
      </c>
      <c r="K338" t="s">
        <v>12</v>
      </c>
      <c r="L338">
        <v>63</v>
      </c>
      <c r="M338" t="s">
        <v>14</v>
      </c>
      <c r="N338">
        <v>205</v>
      </c>
      <c r="O338">
        <v>89.19</v>
      </c>
      <c r="P338">
        <v>0</v>
      </c>
      <c r="Q338">
        <f>_26_03_2026_Log_Reseau_v15_7[[#This Row],[Durée cumulée_panne_minu]]/60</f>
        <v>3.4166666666666665</v>
      </c>
      <c r="R338">
        <f>ROUND(_26_03_2026_Log_Reseau_v15_7[[#This Row],[Durée_cumulée _ panne_en heure]],0)</f>
        <v>3</v>
      </c>
      <c r="S338">
        <f>_26_03_2026_Log_Reseau_v15_7[[#This Row],[Anciennété_mois]]/12</f>
        <v>5.25</v>
      </c>
      <c r="T338">
        <f>ROUND(_26_03_2026_Log_Reseau_v15_7[[#This Row],[anciennete_ en année]],0)</f>
        <v>5</v>
      </c>
      <c r="U33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338" s="3">
        <f>ROUND(_26_03_2026_Log_Reseau_v15_7[[#This Row],[remise 10%_70%_45%]],0)</f>
        <v>9</v>
      </c>
      <c r="W338" s="3">
        <f>_26_03_2026_Log_Reseau_v15_7[[#This Row],[Facture mensuelle]]*_26_03_2026_Log_Reseau_v15_7[[#This Row],[remise 10_70_45]]</f>
        <v>802.71</v>
      </c>
    </row>
    <row r="339" spans="1:23" x14ac:dyDescent="0.25">
      <c r="A339" s="1">
        <v>45219</v>
      </c>
      <c r="B339" s="2">
        <v>0.43888888888888888</v>
      </c>
      <c r="C339" t="s">
        <v>924</v>
      </c>
      <c r="D339">
        <v>105</v>
      </c>
      <c r="E339" t="s">
        <v>808</v>
      </c>
      <c r="F339" t="s">
        <v>31</v>
      </c>
      <c r="G339">
        <v>-0.54908599999999996</v>
      </c>
      <c r="H339">
        <v>14.816867</v>
      </c>
      <c r="I339" t="s">
        <v>1477</v>
      </c>
      <c r="J339" t="s">
        <v>1483</v>
      </c>
      <c r="K339" t="s">
        <v>30</v>
      </c>
      <c r="L339">
        <v>113</v>
      </c>
      <c r="M339" t="s">
        <v>22</v>
      </c>
      <c r="N339">
        <v>380</v>
      </c>
      <c r="O339">
        <v>12.11</v>
      </c>
      <c r="P339">
        <v>0</v>
      </c>
      <c r="Q339">
        <f>_26_03_2026_Log_Reseau_v15_7[[#This Row],[Durée cumulée_panne_minu]]/60</f>
        <v>6.333333333333333</v>
      </c>
      <c r="R339">
        <f>ROUND(_26_03_2026_Log_Reseau_v15_7[[#This Row],[Durée_cumulée _ panne_en heure]],0)</f>
        <v>6</v>
      </c>
      <c r="S339">
        <f>_26_03_2026_Log_Reseau_v15_7[[#This Row],[Anciennété_mois]]/12</f>
        <v>9.4166666666666661</v>
      </c>
      <c r="T339">
        <f>ROUND(_26_03_2026_Log_Reseau_v15_7[[#This Row],[anciennete_ en année]],0)</f>
        <v>9</v>
      </c>
      <c r="U33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39" s="3">
        <f>ROUND(_26_03_2026_Log_Reseau_v15_7[[#This Row],[remise 10%_70%_45%]],0)</f>
        <v>0</v>
      </c>
      <c r="W339" s="3">
        <f>_26_03_2026_Log_Reseau_v15_7[[#This Row],[Facture mensuelle]]*_26_03_2026_Log_Reseau_v15_7[[#This Row],[remise 10_70_45]]</f>
        <v>0</v>
      </c>
    </row>
    <row r="340" spans="1:23" x14ac:dyDescent="0.25">
      <c r="A340" s="1">
        <v>45219</v>
      </c>
      <c r="B340" s="2">
        <v>0.4201388888888889</v>
      </c>
      <c r="C340" t="s">
        <v>965</v>
      </c>
      <c r="D340">
        <v>63</v>
      </c>
      <c r="E340" t="s">
        <v>812</v>
      </c>
      <c r="F340" t="s">
        <v>67</v>
      </c>
      <c r="G340">
        <v>-9.9875139999999991</v>
      </c>
      <c r="H340">
        <v>12.013676999999999</v>
      </c>
      <c r="I340" t="s">
        <v>1482</v>
      </c>
      <c r="J340" t="s">
        <v>1483</v>
      </c>
      <c r="K340" t="s">
        <v>66</v>
      </c>
      <c r="L340">
        <v>101</v>
      </c>
      <c r="M340" t="s">
        <v>14</v>
      </c>
      <c r="N340">
        <v>176</v>
      </c>
      <c r="O340">
        <v>86</v>
      </c>
      <c r="P340">
        <v>3</v>
      </c>
      <c r="Q340">
        <f>_26_03_2026_Log_Reseau_v15_7[[#This Row],[Durée cumulée_panne_minu]]/60</f>
        <v>2.9333333333333331</v>
      </c>
      <c r="R340">
        <f>ROUND(_26_03_2026_Log_Reseau_v15_7[[#This Row],[Durée_cumulée _ panne_en heure]],0)</f>
        <v>3</v>
      </c>
      <c r="S340">
        <f>_26_03_2026_Log_Reseau_v15_7[[#This Row],[Anciennété_mois]]/12</f>
        <v>8.4166666666666661</v>
      </c>
      <c r="T340">
        <f>ROUND(_26_03_2026_Log_Reseau_v15_7[[#This Row],[anciennete_ en année]],0)</f>
        <v>8</v>
      </c>
      <c r="U34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340" s="3">
        <f>ROUND(_26_03_2026_Log_Reseau_v15_7[[#This Row],[remise 10%_70%_45%]],0)</f>
        <v>9</v>
      </c>
      <c r="W340" s="3">
        <f>_26_03_2026_Log_Reseau_v15_7[[#This Row],[Facture mensuelle]]*_26_03_2026_Log_Reseau_v15_7[[#This Row],[remise 10_70_45]]</f>
        <v>774</v>
      </c>
    </row>
    <row r="341" spans="1:23" x14ac:dyDescent="0.25">
      <c r="A341" s="1">
        <v>45219</v>
      </c>
      <c r="B341" s="2">
        <v>0.10347222222222222</v>
      </c>
      <c r="C341" t="s">
        <v>996</v>
      </c>
      <c r="D341">
        <v>72</v>
      </c>
      <c r="E341" t="s">
        <v>808</v>
      </c>
      <c r="F341" t="s">
        <v>67</v>
      </c>
      <c r="G341">
        <v>-5.7035130000000001</v>
      </c>
      <c r="H341">
        <v>14.331479</v>
      </c>
      <c r="I341" t="s">
        <v>1477</v>
      </c>
      <c r="J341" t="s">
        <v>1490</v>
      </c>
      <c r="K341" t="s">
        <v>66</v>
      </c>
      <c r="L341">
        <v>101</v>
      </c>
      <c r="M341" t="s">
        <v>14</v>
      </c>
      <c r="N341">
        <v>176</v>
      </c>
      <c r="O341">
        <v>86</v>
      </c>
      <c r="P341">
        <v>3</v>
      </c>
      <c r="Q341">
        <f>_26_03_2026_Log_Reseau_v15_7[[#This Row],[Durée cumulée_panne_minu]]/60</f>
        <v>2.9333333333333331</v>
      </c>
      <c r="R341">
        <f>ROUND(_26_03_2026_Log_Reseau_v15_7[[#This Row],[Durée_cumulée _ panne_en heure]],0)</f>
        <v>3</v>
      </c>
      <c r="S341">
        <f>_26_03_2026_Log_Reseau_v15_7[[#This Row],[Anciennété_mois]]/12</f>
        <v>8.4166666666666661</v>
      </c>
      <c r="T341">
        <f>ROUND(_26_03_2026_Log_Reseau_v15_7[[#This Row],[anciennete_ en année]],0)</f>
        <v>8</v>
      </c>
      <c r="U34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341" s="3">
        <f>ROUND(_26_03_2026_Log_Reseau_v15_7[[#This Row],[remise 10%_70%_45%]],0)</f>
        <v>9</v>
      </c>
      <c r="W341" s="3">
        <f>_26_03_2026_Log_Reseau_v15_7[[#This Row],[Facture mensuelle]]*_26_03_2026_Log_Reseau_v15_7[[#This Row],[remise 10_70_45]]</f>
        <v>774</v>
      </c>
    </row>
    <row r="342" spans="1:23" x14ac:dyDescent="0.25">
      <c r="A342" s="1">
        <v>45219</v>
      </c>
      <c r="B342" s="2">
        <v>9.583333333333334E-2</v>
      </c>
      <c r="C342" t="s">
        <v>1027</v>
      </c>
      <c r="D342">
        <v>113</v>
      </c>
      <c r="E342" t="s">
        <v>812</v>
      </c>
      <c r="F342" t="s">
        <v>26</v>
      </c>
      <c r="G342">
        <v>-3.6945459999999999</v>
      </c>
      <c r="H342">
        <v>16.809108999999999</v>
      </c>
      <c r="I342" t="s">
        <v>1477</v>
      </c>
      <c r="J342" t="s">
        <v>1483</v>
      </c>
      <c r="K342" t="s">
        <v>25</v>
      </c>
      <c r="L342">
        <v>99</v>
      </c>
      <c r="M342" t="s">
        <v>11</v>
      </c>
      <c r="N342">
        <v>447</v>
      </c>
      <c r="O342">
        <v>38.1</v>
      </c>
      <c r="P342">
        <v>3</v>
      </c>
      <c r="Q342">
        <f>_26_03_2026_Log_Reseau_v15_7[[#This Row],[Durée cumulée_panne_minu]]/60</f>
        <v>7.45</v>
      </c>
      <c r="R342">
        <f>ROUND(_26_03_2026_Log_Reseau_v15_7[[#This Row],[Durée_cumulée _ panne_en heure]],0)</f>
        <v>7</v>
      </c>
      <c r="S342">
        <f>_26_03_2026_Log_Reseau_v15_7[[#This Row],[Anciennété_mois]]/12</f>
        <v>8.25</v>
      </c>
      <c r="T342">
        <f>ROUND(_26_03_2026_Log_Reseau_v15_7[[#This Row],[anciennete_ en année]],0)</f>
        <v>8</v>
      </c>
      <c r="U34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42" s="3">
        <f>ROUND(_26_03_2026_Log_Reseau_v15_7[[#This Row],[remise 10%_70%_45%]],0)</f>
        <v>0</v>
      </c>
      <c r="W342" s="3">
        <f>_26_03_2026_Log_Reseau_v15_7[[#This Row],[Facture mensuelle]]*_26_03_2026_Log_Reseau_v15_7[[#This Row],[remise 10_70_45]]</f>
        <v>0</v>
      </c>
    </row>
    <row r="343" spans="1:23" x14ac:dyDescent="0.25">
      <c r="A343" s="1">
        <v>45219</v>
      </c>
      <c r="B343" s="2">
        <v>0.50624999999999998</v>
      </c>
      <c r="C343" t="s">
        <v>1076</v>
      </c>
      <c r="D343">
        <v>41</v>
      </c>
      <c r="E343" t="s">
        <v>808</v>
      </c>
      <c r="F343" t="s">
        <v>13</v>
      </c>
      <c r="G343">
        <v>-2.3677800000000002</v>
      </c>
      <c r="H343">
        <v>18.790323999999998</v>
      </c>
      <c r="I343" t="s">
        <v>1477</v>
      </c>
      <c r="J343" t="s">
        <v>1481</v>
      </c>
      <c r="K343" t="s">
        <v>12</v>
      </c>
      <c r="L343">
        <v>63</v>
      </c>
      <c r="M343" t="s">
        <v>14</v>
      </c>
      <c r="N343">
        <v>205</v>
      </c>
      <c r="O343">
        <v>89.19</v>
      </c>
      <c r="P343">
        <v>0</v>
      </c>
      <c r="Q343">
        <f>_26_03_2026_Log_Reseau_v15_7[[#This Row],[Durée cumulée_panne_minu]]/60</f>
        <v>3.4166666666666665</v>
      </c>
      <c r="R343">
        <f>ROUND(_26_03_2026_Log_Reseau_v15_7[[#This Row],[Durée_cumulée _ panne_en heure]],0)</f>
        <v>3</v>
      </c>
      <c r="S343">
        <f>_26_03_2026_Log_Reseau_v15_7[[#This Row],[Anciennété_mois]]/12</f>
        <v>5.25</v>
      </c>
      <c r="T343">
        <f>ROUND(_26_03_2026_Log_Reseau_v15_7[[#This Row],[anciennete_ en année]],0)</f>
        <v>5</v>
      </c>
      <c r="U34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343" s="3">
        <f>ROUND(_26_03_2026_Log_Reseau_v15_7[[#This Row],[remise 10%_70%_45%]],0)</f>
        <v>9</v>
      </c>
      <c r="W343" s="3">
        <f>_26_03_2026_Log_Reseau_v15_7[[#This Row],[Facture mensuelle]]*_26_03_2026_Log_Reseau_v15_7[[#This Row],[remise 10_70_45]]</f>
        <v>802.71</v>
      </c>
    </row>
    <row r="344" spans="1:23" x14ac:dyDescent="0.25">
      <c r="A344" s="1">
        <v>45219</v>
      </c>
      <c r="B344" s="2">
        <v>0.68333333333333335</v>
      </c>
      <c r="C344" t="s">
        <v>1120</v>
      </c>
      <c r="D344">
        <v>99</v>
      </c>
      <c r="E344" t="s">
        <v>808</v>
      </c>
      <c r="F344" t="s">
        <v>62</v>
      </c>
      <c r="G344">
        <v>-9.5840350000000001</v>
      </c>
      <c r="H344">
        <v>15.966024000000001</v>
      </c>
      <c r="I344" t="s">
        <v>1477</v>
      </c>
      <c r="J344" t="s">
        <v>1490</v>
      </c>
      <c r="K344" t="s">
        <v>61</v>
      </c>
      <c r="L344">
        <v>101</v>
      </c>
      <c r="M344" t="s">
        <v>14</v>
      </c>
      <c r="N344">
        <v>333</v>
      </c>
      <c r="O344">
        <v>74.319999999999993</v>
      </c>
      <c r="P344">
        <v>1</v>
      </c>
      <c r="Q344">
        <f>_26_03_2026_Log_Reseau_v15_7[[#This Row],[Durée cumulée_panne_minu]]/60</f>
        <v>5.55</v>
      </c>
      <c r="R344">
        <f>ROUND(_26_03_2026_Log_Reseau_v15_7[[#This Row],[Durée_cumulée _ panne_en heure]],0)</f>
        <v>6</v>
      </c>
      <c r="S344">
        <f>_26_03_2026_Log_Reseau_v15_7[[#This Row],[Anciennété_mois]]/12</f>
        <v>8.4166666666666661</v>
      </c>
      <c r="T344">
        <f>ROUND(_26_03_2026_Log_Reseau_v15_7[[#This Row],[anciennete_ en année]],0)</f>
        <v>8</v>
      </c>
      <c r="U34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344" s="3">
        <f>ROUND(_26_03_2026_Log_Reseau_v15_7[[#This Row],[remise 10%_70%_45%]],0)</f>
        <v>7</v>
      </c>
      <c r="W344" s="3">
        <f>_26_03_2026_Log_Reseau_v15_7[[#This Row],[Facture mensuelle]]*_26_03_2026_Log_Reseau_v15_7[[#This Row],[remise 10_70_45]]</f>
        <v>520.24</v>
      </c>
    </row>
    <row r="345" spans="1:23" x14ac:dyDescent="0.25">
      <c r="A345" s="1">
        <v>45219</v>
      </c>
      <c r="B345" s="2">
        <v>0.18124999999999999</v>
      </c>
      <c r="C345" t="s">
        <v>1222</v>
      </c>
      <c r="D345">
        <v>97</v>
      </c>
      <c r="E345" t="s">
        <v>808</v>
      </c>
      <c r="F345" t="s">
        <v>131</v>
      </c>
      <c r="G345">
        <v>-4.1754939999999996</v>
      </c>
      <c r="H345">
        <v>16.704664999999999</v>
      </c>
      <c r="I345" t="s">
        <v>1482</v>
      </c>
      <c r="J345" t="s">
        <v>1478</v>
      </c>
      <c r="K345" t="s">
        <v>130</v>
      </c>
      <c r="L345">
        <v>16</v>
      </c>
      <c r="M345" t="s">
        <v>19</v>
      </c>
      <c r="N345">
        <v>390</v>
      </c>
      <c r="O345">
        <v>98.17</v>
      </c>
      <c r="P345">
        <v>5</v>
      </c>
      <c r="Q345">
        <f>_26_03_2026_Log_Reseau_v15_7[[#This Row],[Durée cumulée_panne_minu]]/60</f>
        <v>6.5</v>
      </c>
      <c r="R345">
        <f>ROUND(_26_03_2026_Log_Reseau_v15_7[[#This Row],[Durée_cumulée _ panne_en heure]],0)</f>
        <v>7</v>
      </c>
      <c r="S345">
        <f>_26_03_2026_Log_Reseau_v15_7[[#This Row],[Anciennété_mois]]/12</f>
        <v>1.3333333333333333</v>
      </c>
      <c r="T345">
        <f>ROUND(_26_03_2026_Log_Reseau_v15_7[[#This Row],[anciennete_ en année]],0)</f>
        <v>1</v>
      </c>
      <c r="U34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45" s="3">
        <f>ROUND(_26_03_2026_Log_Reseau_v15_7[[#This Row],[remise 10%_70%_45%]],0)</f>
        <v>0</v>
      </c>
      <c r="W345" s="3">
        <f>_26_03_2026_Log_Reseau_v15_7[[#This Row],[Facture mensuelle]]*_26_03_2026_Log_Reseau_v15_7[[#This Row],[remise 10_70_45]]</f>
        <v>0</v>
      </c>
    </row>
    <row r="346" spans="1:23" x14ac:dyDescent="0.25">
      <c r="A346" s="1">
        <v>45219</v>
      </c>
      <c r="B346" s="2">
        <v>0.52708333333333335</v>
      </c>
      <c r="C346" t="s">
        <v>1254</v>
      </c>
      <c r="D346">
        <v>95</v>
      </c>
      <c r="E346" t="s">
        <v>807</v>
      </c>
      <c r="F346" t="s">
        <v>127</v>
      </c>
      <c r="G346">
        <v>-7.1483749999999997</v>
      </c>
      <c r="H346">
        <v>26.014271000000001</v>
      </c>
      <c r="I346" t="s">
        <v>1477</v>
      </c>
      <c r="J346" t="s">
        <v>1481</v>
      </c>
      <c r="K346" t="s">
        <v>126</v>
      </c>
      <c r="L346">
        <v>40</v>
      </c>
      <c r="M346" t="s">
        <v>11</v>
      </c>
      <c r="N346">
        <v>345</v>
      </c>
      <c r="O346">
        <v>89.55</v>
      </c>
      <c r="P346">
        <v>3</v>
      </c>
      <c r="Q346">
        <f>_26_03_2026_Log_Reseau_v15_7[[#This Row],[Durée cumulée_panne_minu]]/60</f>
        <v>5.75</v>
      </c>
      <c r="R346">
        <f>ROUND(_26_03_2026_Log_Reseau_v15_7[[#This Row],[Durée_cumulée _ panne_en heure]],0)</f>
        <v>6</v>
      </c>
      <c r="S346">
        <f>_26_03_2026_Log_Reseau_v15_7[[#This Row],[Anciennété_mois]]/12</f>
        <v>3.3333333333333335</v>
      </c>
      <c r="T346">
        <f>ROUND(_26_03_2026_Log_Reseau_v15_7[[#This Row],[anciennete_ en année]],0)</f>
        <v>3</v>
      </c>
      <c r="U34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46" s="3">
        <f>ROUND(_26_03_2026_Log_Reseau_v15_7[[#This Row],[remise 10%_70%_45%]],0)</f>
        <v>0</v>
      </c>
      <c r="W346" s="3">
        <f>_26_03_2026_Log_Reseau_v15_7[[#This Row],[Facture mensuelle]]*_26_03_2026_Log_Reseau_v15_7[[#This Row],[remise 10_70_45]]</f>
        <v>0</v>
      </c>
    </row>
    <row r="347" spans="1:23" x14ac:dyDescent="0.25">
      <c r="A347" s="1">
        <v>45219</v>
      </c>
      <c r="B347" s="2">
        <v>0.80138888888888893</v>
      </c>
      <c r="C347" t="s">
        <v>1257</v>
      </c>
      <c r="D347">
        <v>65</v>
      </c>
      <c r="E347" t="s">
        <v>808</v>
      </c>
      <c r="F347" t="s">
        <v>13</v>
      </c>
      <c r="G347">
        <v>0.52897499999999997</v>
      </c>
      <c r="H347">
        <v>13.849651</v>
      </c>
      <c r="I347" t="s">
        <v>1482</v>
      </c>
      <c r="J347" t="s">
        <v>1483</v>
      </c>
      <c r="K347" t="s">
        <v>12</v>
      </c>
      <c r="L347">
        <v>63</v>
      </c>
      <c r="M347" t="s">
        <v>14</v>
      </c>
      <c r="N347">
        <v>205</v>
      </c>
      <c r="O347">
        <v>89.19</v>
      </c>
      <c r="P347">
        <v>0</v>
      </c>
      <c r="Q347">
        <f>_26_03_2026_Log_Reseau_v15_7[[#This Row],[Durée cumulée_panne_minu]]/60</f>
        <v>3.4166666666666665</v>
      </c>
      <c r="R347">
        <f>ROUND(_26_03_2026_Log_Reseau_v15_7[[#This Row],[Durée_cumulée _ panne_en heure]],0)</f>
        <v>3</v>
      </c>
      <c r="S347">
        <f>_26_03_2026_Log_Reseau_v15_7[[#This Row],[Anciennété_mois]]/12</f>
        <v>5.25</v>
      </c>
      <c r="T347">
        <f>ROUND(_26_03_2026_Log_Reseau_v15_7[[#This Row],[anciennete_ en année]],0)</f>
        <v>5</v>
      </c>
      <c r="U34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347" s="3">
        <f>ROUND(_26_03_2026_Log_Reseau_v15_7[[#This Row],[remise 10%_70%_45%]],0)</f>
        <v>9</v>
      </c>
      <c r="W347" s="3">
        <f>_26_03_2026_Log_Reseau_v15_7[[#This Row],[Facture mensuelle]]*_26_03_2026_Log_Reseau_v15_7[[#This Row],[remise 10_70_45]]</f>
        <v>802.71</v>
      </c>
    </row>
    <row r="348" spans="1:23" x14ac:dyDescent="0.25">
      <c r="A348" s="1">
        <v>45219</v>
      </c>
      <c r="B348" s="2">
        <v>0.56944444444444442</v>
      </c>
      <c r="C348" t="s">
        <v>1261</v>
      </c>
      <c r="D348">
        <v>96</v>
      </c>
      <c r="E348" t="s">
        <v>807</v>
      </c>
      <c r="F348" t="s">
        <v>62</v>
      </c>
      <c r="G348">
        <v>-7.1587569999999996</v>
      </c>
      <c r="H348">
        <v>18.975141000000001</v>
      </c>
      <c r="I348" t="s">
        <v>1477</v>
      </c>
      <c r="J348" t="s">
        <v>1478</v>
      </c>
      <c r="K348" t="s">
        <v>61</v>
      </c>
      <c r="L348">
        <v>101</v>
      </c>
      <c r="M348" t="s">
        <v>14</v>
      </c>
      <c r="N348">
        <v>333</v>
      </c>
      <c r="O348">
        <v>74.319999999999993</v>
      </c>
      <c r="P348">
        <v>1</v>
      </c>
      <c r="Q348">
        <f>_26_03_2026_Log_Reseau_v15_7[[#This Row],[Durée cumulée_panne_minu]]/60</f>
        <v>5.55</v>
      </c>
      <c r="R348">
        <f>ROUND(_26_03_2026_Log_Reseau_v15_7[[#This Row],[Durée_cumulée _ panne_en heure]],0)</f>
        <v>6</v>
      </c>
      <c r="S348">
        <f>_26_03_2026_Log_Reseau_v15_7[[#This Row],[Anciennété_mois]]/12</f>
        <v>8.4166666666666661</v>
      </c>
      <c r="T348">
        <f>ROUND(_26_03_2026_Log_Reseau_v15_7[[#This Row],[anciennete_ en année]],0)</f>
        <v>8</v>
      </c>
      <c r="U34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348" s="3">
        <f>ROUND(_26_03_2026_Log_Reseau_v15_7[[#This Row],[remise 10%_70%_45%]],0)</f>
        <v>7</v>
      </c>
      <c r="W348" s="3">
        <f>_26_03_2026_Log_Reseau_v15_7[[#This Row],[Facture mensuelle]]*_26_03_2026_Log_Reseau_v15_7[[#This Row],[remise 10_70_45]]</f>
        <v>520.24</v>
      </c>
    </row>
    <row r="349" spans="1:23" x14ac:dyDescent="0.25">
      <c r="A349" s="1">
        <v>45219</v>
      </c>
      <c r="B349" s="2">
        <v>0.11319444444444444</v>
      </c>
      <c r="C349" t="s">
        <v>1277</v>
      </c>
      <c r="D349">
        <v>19</v>
      </c>
      <c r="E349" t="s">
        <v>807</v>
      </c>
      <c r="F349" t="s">
        <v>40</v>
      </c>
      <c r="G349">
        <v>-9.7712979999999998</v>
      </c>
      <c r="H349">
        <v>19.827895999999999</v>
      </c>
      <c r="I349" t="s">
        <v>1482</v>
      </c>
      <c r="J349" t="s">
        <v>1483</v>
      </c>
      <c r="K349" t="s">
        <v>39</v>
      </c>
      <c r="L349">
        <v>110</v>
      </c>
      <c r="M349" t="s">
        <v>14</v>
      </c>
      <c r="N349">
        <v>423</v>
      </c>
      <c r="O349">
        <v>37.35</v>
      </c>
      <c r="P349">
        <v>4</v>
      </c>
      <c r="Q349">
        <f>_26_03_2026_Log_Reseau_v15_7[[#This Row],[Durée cumulée_panne_minu]]/60</f>
        <v>7.05</v>
      </c>
      <c r="R349">
        <f>ROUND(_26_03_2026_Log_Reseau_v15_7[[#This Row],[Durée_cumulée _ panne_en heure]],0)</f>
        <v>7</v>
      </c>
      <c r="S349">
        <f>_26_03_2026_Log_Reseau_v15_7[[#This Row],[Anciennété_mois]]/12</f>
        <v>9.1666666666666661</v>
      </c>
      <c r="T349">
        <f>ROUND(_26_03_2026_Log_Reseau_v15_7[[#This Row],[anciennete_ en année]],0)</f>
        <v>9</v>
      </c>
      <c r="U34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349" s="3">
        <f>ROUND(_26_03_2026_Log_Reseau_v15_7[[#This Row],[remise 10%_70%_45%]],0)</f>
        <v>4</v>
      </c>
      <c r="W349" s="3">
        <f>_26_03_2026_Log_Reseau_v15_7[[#This Row],[Facture mensuelle]]*_26_03_2026_Log_Reseau_v15_7[[#This Row],[remise 10_70_45]]</f>
        <v>149.4</v>
      </c>
    </row>
    <row r="350" spans="1:23" x14ac:dyDescent="0.25">
      <c r="A350" s="1">
        <v>45219</v>
      </c>
      <c r="B350" s="2">
        <v>0.47638888888888886</v>
      </c>
      <c r="C350" t="s">
        <v>1296</v>
      </c>
      <c r="D350">
        <v>57</v>
      </c>
      <c r="E350" t="s">
        <v>807</v>
      </c>
      <c r="F350" t="s">
        <v>62</v>
      </c>
      <c r="G350">
        <v>-2.8211520000000001</v>
      </c>
      <c r="H350">
        <v>20.651419000000001</v>
      </c>
      <c r="I350" t="s">
        <v>1477</v>
      </c>
      <c r="J350" t="s">
        <v>1478</v>
      </c>
      <c r="K350" t="s">
        <v>61</v>
      </c>
      <c r="L350">
        <v>101</v>
      </c>
      <c r="M350" t="s">
        <v>14</v>
      </c>
      <c r="N350">
        <v>333</v>
      </c>
      <c r="O350">
        <v>74.319999999999993</v>
      </c>
      <c r="P350">
        <v>1</v>
      </c>
      <c r="Q350">
        <f>_26_03_2026_Log_Reseau_v15_7[[#This Row],[Durée cumulée_panne_minu]]/60</f>
        <v>5.55</v>
      </c>
      <c r="R350">
        <f>ROUND(_26_03_2026_Log_Reseau_v15_7[[#This Row],[Durée_cumulée _ panne_en heure]],0)</f>
        <v>6</v>
      </c>
      <c r="S350">
        <f>_26_03_2026_Log_Reseau_v15_7[[#This Row],[Anciennété_mois]]/12</f>
        <v>8.4166666666666661</v>
      </c>
      <c r="T350">
        <f>ROUND(_26_03_2026_Log_Reseau_v15_7[[#This Row],[anciennete_ en année]],0)</f>
        <v>8</v>
      </c>
      <c r="U35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350" s="3">
        <f>ROUND(_26_03_2026_Log_Reseau_v15_7[[#This Row],[remise 10%_70%_45%]],0)</f>
        <v>7</v>
      </c>
      <c r="W350" s="3">
        <f>_26_03_2026_Log_Reseau_v15_7[[#This Row],[Facture mensuelle]]*_26_03_2026_Log_Reseau_v15_7[[#This Row],[remise 10_70_45]]</f>
        <v>520.24</v>
      </c>
    </row>
    <row r="351" spans="1:23" x14ac:dyDescent="0.25">
      <c r="A351" s="1">
        <v>45219</v>
      </c>
      <c r="B351" s="2">
        <v>0.82638888888888884</v>
      </c>
      <c r="C351" t="s">
        <v>1368</v>
      </c>
      <c r="D351">
        <v>93</v>
      </c>
      <c r="E351" t="s">
        <v>812</v>
      </c>
      <c r="F351" t="s">
        <v>21</v>
      </c>
      <c r="G351">
        <v>4.2493650000000001</v>
      </c>
      <c r="H351">
        <v>28.355039999999999</v>
      </c>
      <c r="I351" t="s">
        <v>1482</v>
      </c>
      <c r="J351" t="s">
        <v>1483</v>
      </c>
      <c r="K351" t="s">
        <v>20</v>
      </c>
      <c r="L351">
        <v>101</v>
      </c>
      <c r="M351" t="s">
        <v>22</v>
      </c>
      <c r="N351">
        <v>358</v>
      </c>
      <c r="O351">
        <v>29.24</v>
      </c>
      <c r="P351">
        <v>3</v>
      </c>
      <c r="Q351">
        <f>_26_03_2026_Log_Reseau_v15_7[[#This Row],[Durée cumulée_panne_minu]]/60</f>
        <v>5.9666666666666668</v>
      </c>
      <c r="R351">
        <f>ROUND(_26_03_2026_Log_Reseau_v15_7[[#This Row],[Durée_cumulée _ panne_en heure]],0)</f>
        <v>6</v>
      </c>
      <c r="S351">
        <f>_26_03_2026_Log_Reseau_v15_7[[#This Row],[Anciennété_mois]]/12</f>
        <v>8.4166666666666661</v>
      </c>
      <c r="T351">
        <f>ROUND(_26_03_2026_Log_Reseau_v15_7[[#This Row],[anciennete_ en année]],0)</f>
        <v>8</v>
      </c>
      <c r="U35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51" s="3">
        <f>ROUND(_26_03_2026_Log_Reseau_v15_7[[#This Row],[remise 10%_70%_45%]],0)</f>
        <v>0</v>
      </c>
      <c r="W351" s="3">
        <f>_26_03_2026_Log_Reseau_v15_7[[#This Row],[Facture mensuelle]]*_26_03_2026_Log_Reseau_v15_7[[#This Row],[remise 10_70_45]]</f>
        <v>0</v>
      </c>
    </row>
    <row r="352" spans="1:23" x14ac:dyDescent="0.25">
      <c r="A352" s="1">
        <v>45220</v>
      </c>
      <c r="B352" s="2">
        <v>0.67708333333333337</v>
      </c>
      <c r="C352" t="s">
        <v>845</v>
      </c>
      <c r="D352">
        <v>107</v>
      </c>
      <c r="E352" t="s">
        <v>812</v>
      </c>
      <c r="F352" t="s">
        <v>73</v>
      </c>
      <c r="G352">
        <v>-6.4670189999999996</v>
      </c>
      <c r="H352">
        <v>29.487309</v>
      </c>
      <c r="I352" t="s">
        <v>1480</v>
      </c>
      <c r="J352" t="s">
        <v>1483</v>
      </c>
      <c r="K352" t="s">
        <v>72</v>
      </c>
      <c r="L352">
        <v>6</v>
      </c>
      <c r="M352" t="s">
        <v>11</v>
      </c>
      <c r="N352">
        <v>207</v>
      </c>
      <c r="O352">
        <v>61.55</v>
      </c>
      <c r="P352">
        <v>0</v>
      </c>
      <c r="Q352">
        <f>_26_03_2026_Log_Reseau_v15_7[[#This Row],[Durée cumulée_panne_minu]]/60</f>
        <v>3.45</v>
      </c>
      <c r="R352">
        <f>ROUND(_26_03_2026_Log_Reseau_v15_7[[#This Row],[Durée_cumulée _ panne_en heure]],0)</f>
        <v>3</v>
      </c>
      <c r="S352">
        <f>_26_03_2026_Log_Reseau_v15_7[[#This Row],[Anciennété_mois]]/12</f>
        <v>0.5</v>
      </c>
      <c r="T352">
        <f>ROUND(_26_03_2026_Log_Reseau_v15_7[[#This Row],[anciennete_ en année]],0)</f>
        <v>1</v>
      </c>
      <c r="U35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52" s="3">
        <f>ROUND(_26_03_2026_Log_Reseau_v15_7[[#This Row],[remise 10%_70%_45%]],0)</f>
        <v>0</v>
      </c>
      <c r="W352" s="3">
        <f>_26_03_2026_Log_Reseau_v15_7[[#This Row],[Facture mensuelle]]*_26_03_2026_Log_Reseau_v15_7[[#This Row],[remise 10_70_45]]</f>
        <v>0</v>
      </c>
    </row>
    <row r="353" spans="1:23" x14ac:dyDescent="0.25">
      <c r="A353" s="1">
        <v>45220</v>
      </c>
      <c r="B353" s="2">
        <v>0.75416666666666665</v>
      </c>
      <c r="C353" t="s">
        <v>868</v>
      </c>
      <c r="D353">
        <v>85</v>
      </c>
      <c r="E353" t="s">
        <v>807</v>
      </c>
      <c r="F353" t="s">
        <v>137</v>
      </c>
      <c r="G353">
        <v>-9.7803979999999999</v>
      </c>
      <c r="H353">
        <v>17.686595000000001</v>
      </c>
      <c r="I353" t="s">
        <v>1480</v>
      </c>
      <c r="J353" t="s">
        <v>1478</v>
      </c>
      <c r="K353" t="s">
        <v>136</v>
      </c>
      <c r="L353">
        <v>80</v>
      </c>
      <c r="M353" t="s">
        <v>22</v>
      </c>
      <c r="N353">
        <v>155</v>
      </c>
      <c r="O353">
        <v>28.96</v>
      </c>
      <c r="P353">
        <v>2</v>
      </c>
      <c r="Q353">
        <f>_26_03_2026_Log_Reseau_v15_7[[#This Row],[Durée cumulée_panne_minu]]/60</f>
        <v>2.5833333333333335</v>
      </c>
      <c r="R353">
        <f>ROUND(_26_03_2026_Log_Reseau_v15_7[[#This Row],[Durée_cumulée _ panne_en heure]],0)</f>
        <v>3</v>
      </c>
      <c r="S353">
        <f>_26_03_2026_Log_Reseau_v15_7[[#This Row],[Anciennété_mois]]/12</f>
        <v>6.666666666666667</v>
      </c>
      <c r="T353">
        <f>ROUND(_26_03_2026_Log_Reseau_v15_7[[#This Row],[anciennete_ en année]],0)</f>
        <v>7</v>
      </c>
      <c r="U35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53" s="3">
        <f>ROUND(_26_03_2026_Log_Reseau_v15_7[[#This Row],[remise 10%_70%_45%]],0)</f>
        <v>0</v>
      </c>
      <c r="W353" s="3">
        <f>_26_03_2026_Log_Reseau_v15_7[[#This Row],[Facture mensuelle]]*_26_03_2026_Log_Reseau_v15_7[[#This Row],[remise 10_70_45]]</f>
        <v>0</v>
      </c>
    </row>
    <row r="354" spans="1:23" x14ac:dyDescent="0.25">
      <c r="A354" s="1">
        <v>45220</v>
      </c>
      <c r="B354" s="2">
        <v>0.89375000000000004</v>
      </c>
      <c r="C354" t="s">
        <v>884</v>
      </c>
      <c r="D354">
        <v>101</v>
      </c>
      <c r="E354" t="s">
        <v>812</v>
      </c>
      <c r="F354" t="s">
        <v>26</v>
      </c>
      <c r="G354">
        <v>-2.2876210000000001</v>
      </c>
      <c r="H354">
        <v>27.582545</v>
      </c>
      <c r="I354" t="s">
        <v>1480</v>
      </c>
      <c r="J354" t="s">
        <v>1481</v>
      </c>
      <c r="K354" t="s">
        <v>25</v>
      </c>
      <c r="L354">
        <v>99</v>
      </c>
      <c r="M354" t="s">
        <v>11</v>
      </c>
      <c r="N354">
        <v>447</v>
      </c>
      <c r="O354">
        <v>38.1</v>
      </c>
      <c r="P354">
        <v>3</v>
      </c>
      <c r="Q354">
        <f>_26_03_2026_Log_Reseau_v15_7[[#This Row],[Durée cumulée_panne_minu]]/60</f>
        <v>7.45</v>
      </c>
      <c r="R354">
        <f>ROUND(_26_03_2026_Log_Reseau_v15_7[[#This Row],[Durée_cumulée _ panne_en heure]],0)</f>
        <v>7</v>
      </c>
      <c r="S354">
        <f>_26_03_2026_Log_Reseau_v15_7[[#This Row],[Anciennété_mois]]/12</f>
        <v>8.25</v>
      </c>
      <c r="T354">
        <f>ROUND(_26_03_2026_Log_Reseau_v15_7[[#This Row],[anciennete_ en année]],0)</f>
        <v>8</v>
      </c>
      <c r="U35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54" s="3">
        <f>ROUND(_26_03_2026_Log_Reseau_v15_7[[#This Row],[remise 10%_70%_45%]],0)</f>
        <v>0</v>
      </c>
      <c r="W354" s="3">
        <f>_26_03_2026_Log_Reseau_v15_7[[#This Row],[Facture mensuelle]]*_26_03_2026_Log_Reseau_v15_7[[#This Row],[remise 10_70_45]]</f>
        <v>0</v>
      </c>
    </row>
    <row r="355" spans="1:23" x14ac:dyDescent="0.25">
      <c r="A355" s="1">
        <v>45220</v>
      </c>
      <c r="B355" s="2">
        <v>0.48888888888888887</v>
      </c>
      <c r="C355" t="s">
        <v>902</v>
      </c>
      <c r="D355">
        <v>49</v>
      </c>
      <c r="E355" t="s">
        <v>812</v>
      </c>
      <c r="F355" t="s">
        <v>31</v>
      </c>
      <c r="G355">
        <v>-9.3652239999999995</v>
      </c>
      <c r="H355">
        <v>22.593423999999999</v>
      </c>
      <c r="I355" t="s">
        <v>1477</v>
      </c>
      <c r="J355" t="s">
        <v>1490</v>
      </c>
      <c r="K355" t="s">
        <v>30</v>
      </c>
      <c r="L355">
        <v>113</v>
      </c>
      <c r="M355" t="s">
        <v>22</v>
      </c>
      <c r="N355">
        <v>380</v>
      </c>
      <c r="O355">
        <v>12.11</v>
      </c>
      <c r="P355">
        <v>0</v>
      </c>
      <c r="Q355">
        <f>_26_03_2026_Log_Reseau_v15_7[[#This Row],[Durée cumulée_panne_minu]]/60</f>
        <v>6.333333333333333</v>
      </c>
      <c r="R355">
        <f>ROUND(_26_03_2026_Log_Reseau_v15_7[[#This Row],[Durée_cumulée _ panne_en heure]],0)</f>
        <v>6</v>
      </c>
      <c r="S355">
        <f>_26_03_2026_Log_Reseau_v15_7[[#This Row],[Anciennété_mois]]/12</f>
        <v>9.4166666666666661</v>
      </c>
      <c r="T355">
        <f>ROUND(_26_03_2026_Log_Reseau_v15_7[[#This Row],[anciennete_ en année]],0)</f>
        <v>9</v>
      </c>
      <c r="U35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55" s="3">
        <f>ROUND(_26_03_2026_Log_Reseau_v15_7[[#This Row],[remise 10%_70%_45%]],0)</f>
        <v>0</v>
      </c>
      <c r="W355" s="3">
        <f>_26_03_2026_Log_Reseau_v15_7[[#This Row],[Facture mensuelle]]*_26_03_2026_Log_Reseau_v15_7[[#This Row],[remise 10_70_45]]</f>
        <v>0</v>
      </c>
    </row>
    <row r="356" spans="1:23" x14ac:dyDescent="0.25">
      <c r="A356" s="1">
        <v>45220</v>
      </c>
      <c r="B356" s="2">
        <v>0.74305555555555558</v>
      </c>
      <c r="C356" t="s">
        <v>960</v>
      </c>
      <c r="D356">
        <v>54</v>
      </c>
      <c r="E356" t="s">
        <v>808</v>
      </c>
      <c r="F356" t="s">
        <v>131</v>
      </c>
      <c r="G356">
        <v>-5.42171</v>
      </c>
      <c r="H356">
        <v>24.202960999999998</v>
      </c>
      <c r="I356" t="s">
        <v>1477</v>
      </c>
      <c r="J356" t="s">
        <v>1478</v>
      </c>
      <c r="K356" t="s">
        <v>130</v>
      </c>
      <c r="L356">
        <v>16</v>
      </c>
      <c r="M356" t="s">
        <v>19</v>
      </c>
      <c r="N356">
        <v>390</v>
      </c>
      <c r="O356">
        <v>98.17</v>
      </c>
      <c r="P356">
        <v>5</v>
      </c>
      <c r="Q356">
        <f>_26_03_2026_Log_Reseau_v15_7[[#This Row],[Durée cumulée_panne_minu]]/60</f>
        <v>6.5</v>
      </c>
      <c r="R356">
        <f>ROUND(_26_03_2026_Log_Reseau_v15_7[[#This Row],[Durée_cumulée _ panne_en heure]],0)</f>
        <v>7</v>
      </c>
      <c r="S356">
        <f>_26_03_2026_Log_Reseau_v15_7[[#This Row],[Anciennété_mois]]/12</f>
        <v>1.3333333333333333</v>
      </c>
      <c r="T356">
        <f>ROUND(_26_03_2026_Log_Reseau_v15_7[[#This Row],[anciennete_ en année]],0)</f>
        <v>1</v>
      </c>
      <c r="U35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56" s="3">
        <f>ROUND(_26_03_2026_Log_Reseau_v15_7[[#This Row],[remise 10%_70%_45%]],0)</f>
        <v>0</v>
      </c>
      <c r="W356" s="3">
        <f>_26_03_2026_Log_Reseau_v15_7[[#This Row],[Facture mensuelle]]*_26_03_2026_Log_Reseau_v15_7[[#This Row],[remise 10_70_45]]</f>
        <v>0</v>
      </c>
    </row>
    <row r="357" spans="1:23" x14ac:dyDescent="0.25">
      <c r="A357" s="1">
        <v>45220</v>
      </c>
      <c r="B357" s="2">
        <v>0.43680555555555556</v>
      </c>
      <c r="C357" t="s">
        <v>989</v>
      </c>
      <c r="D357">
        <v>64</v>
      </c>
      <c r="E357" t="s">
        <v>808</v>
      </c>
      <c r="F357" t="s">
        <v>24</v>
      </c>
      <c r="G357">
        <v>-5.5445120000000001</v>
      </c>
      <c r="H357">
        <v>27.547335</v>
      </c>
      <c r="I357" t="s">
        <v>1480</v>
      </c>
      <c r="J357" t="s">
        <v>1478</v>
      </c>
      <c r="K357" t="s">
        <v>23</v>
      </c>
      <c r="L357">
        <v>46</v>
      </c>
      <c r="M357" t="s">
        <v>11</v>
      </c>
      <c r="N357">
        <v>283</v>
      </c>
      <c r="O357">
        <v>56.05</v>
      </c>
      <c r="P357">
        <v>1</v>
      </c>
      <c r="Q357">
        <f>_26_03_2026_Log_Reseau_v15_7[[#This Row],[Durée cumulée_panne_minu]]/60</f>
        <v>4.7166666666666668</v>
      </c>
      <c r="R357">
        <f>ROUND(_26_03_2026_Log_Reseau_v15_7[[#This Row],[Durée_cumulée _ panne_en heure]],0)</f>
        <v>5</v>
      </c>
      <c r="S357">
        <f>_26_03_2026_Log_Reseau_v15_7[[#This Row],[Anciennété_mois]]/12</f>
        <v>3.8333333333333335</v>
      </c>
      <c r="T357">
        <f>ROUND(_26_03_2026_Log_Reseau_v15_7[[#This Row],[anciennete_ en année]],0)</f>
        <v>4</v>
      </c>
      <c r="U35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57" s="3">
        <f>ROUND(_26_03_2026_Log_Reseau_v15_7[[#This Row],[remise 10%_70%_45%]],0)</f>
        <v>0</v>
      </c>
      <c r="W357" s="3">
        <f>_26_03_2026_Log_Reseau_v15_7[[#This Row],[Facture mensuelle]]*_26_03_2026_Log_Reseau_v15_7[[#This Row],[remise 10_70_45]]</f>
        <v>0</v>
      </c>
    </row>
    <row r="358" spans="1:23" x14ac:dyDescent="0.25">
      <c r="A358" s="1">
        <v>45220</v>
      </c>
      <c r="B358" s="2">
        <v>0.41666666666666669</v>
      </c>
      <c r="C358" t="s">
        <v>1033</v>
      </c>
      <c r="D358">
        <v>32</v>
      </c>
      <c r="E358" t="s">
        <v>808</v>
      </c>
      <c r="F358" t="s">
        <v>64</v>
      </c>
      <c r="G358">
        <v>-11.991020000000001</v>
      </c>
      <c r="H358">
        <v>22.514747</v>
      </c>
      <c r="I358" t="s">
        <v>1477</v>
      </c>
      <c r="J358" t="s">
        <v>1483</v>
      </c>
      <c r="K358" t="s">
        <v>63</v>
      </c>
      <c r="L358">
        <v>79</v>
      </c>
      <c r="M358" t="s">
        <v>11</v>
      </c>
      <c r="N358">
        <v>226</v>
      </c>
      <c r="O358">
        <v>94.38</v>
      </c>
      <c r="P358">
        <v>3</v>
      </c>
      <c r="Q358">
        <f>_26_03_2026_Log_Reseau_v15_7[[#This Row],[Durée cumulée_panne_minu]]/60</f>
        <v>3.7666666666666666</v>
      </c>
      <c r="R358">
        <f>ROUND(_26_03_2026_Log_Reseau_v15_7[[#This Row],[Durée_cumulée _ panne_en heure]],0)</f>
        <v>4</v>
      </c>
      <c r="S358">
        <f>_26_03_2026_Log_Reseau_v15_7[[#This Row],[Anciennété_mois]]/12</f>
        <v>6.583333333333333</v>
      </c>
      <c r="T358">
        <f>ROUND(_26_03_2026_Log_Reseau_v15_7[[#This Row],[anciennete_ en année]],0)</f>
        <v>7</v>
      </c>
      <c r="U35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58" s="3">
        <f>ROUND(_26_03_2026_Log_Reseau_v15_7[[#This Row],[remise 10%_70%_45%]],0)</f>
        <v>0</v>
      </c>
      <c r="W358" s="3">
        <f>_26_03_2026_Log_Reseau_v15_7[[#This Row],[Facture mensuelle]]*_26_03_2026_Log_Reseau_v15_7[[#This Row],[remise 10_70_45]]</f>
        <v>0</v>
      </c>
    </row>
    <row r="359" spans="1:23" x14ac:dyDescent="0.25">
      <c r="A359" s="1">
        <v>45220</v>
      </c>
      <c r="B359" s="2">
        <v>0.58402777777777781</v>
      </c>
      <c r="C359" t="s">
        <v>1066</v>
      </c>
      <c r="D359">
        <v>92</v>
      </c>
      <c r="E359" t="s">
        <v>812</v>
      </c>
      <c r="F359" t="s">
        <v>89</v>
      </c>
      <c r="G359">
        <v>-11.588665000000001</v>
      </c>
      <c r="H359">
        <v>15.241552</v>
      </c>
      <c r="I359" t="s">
        <v>1480</v>
      </c>
      <c r="J359" t="s">
        <v>1490</v>
      </c>
      <c r="K359" t="s">
        <v>88</v>
      </c>
      <c r="L359">
        <v>98</v>
      </c>
      <c r="M359" t="s">
        <v>14</v>
      </c>
      <c r="N359">
        <v>482</v>
      </c>
      <c r="O359">
        <v>55.04</v>
      </c>
      <c r="P359">
        <v>5</v>
      </c>
      <c r="Q359">
        <f>_26_03_2026_Log_Reseau_v15_7[[#This Row],[Durée cumulée_panne_minu]]/60</f>
        <v>8.0333333333333332</v>
      </c>
      <c r="R359">
        <f>ROUND(_26_03_2026_Log_Reseau_v15_7[[#This Row],[Durée_cumulée _ panne_en heure]],0)</f>
        <v>8</v>
      </c>
      <c r="S359">
        <f>_26_03_2026_Log_Reseau_v15_7[[#This Row],[Anciennété_mois]]/12</f>
        <v>8.1666666666666661</v>
      </c>
      <c r="T359">
        <f>ROUND(_26_03_2026_Log_Reseau_v15_7[[#This Row],[anciennete_ en année]],0)</f>
        <v>8</v>
      </c>
      <c r="U35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359" s="3">
        <f>ROUND(_26_03_2026_Log_Reseau_v15_7[[#This Row],[remise 10%_70%_45%]],0)</f>
        <v>6</v>
      </c>
      <c r="W359" s="3">
        <f>_26_03_2026_Log_Reseau_v15_7[[#This Row],[Facture mensuelle]]*_26_03_2026_Log_Reseau_v15_7[[#This Row],[remise 10_70_45]]</f>
        <v>330.24</v>
      </c>
    </row>
    <row r="360" spans="1:23" x14ac:dyDescent="0.25">
      <c r="A360" s="1">
        <v>45220</v>
      </c>
      <c r="B360" s="2">
        <v>0.87708333333333333</v>
      </c>
      <c r="C360" t="s">
        <v>1073</v>
      </c>
      <c r="D360">
        <v>78</v>
      </c>
      <c r="E360" t="s">
        <v>807</v>
      </c>
      <c r="F360" t="s">
        <v>64</v>
      </c>
      <c r="G360">
        <v>-7.5418399999999997</v>
      </c>
      <c r="H360">
        <v>16.931206</v>
      </c>
      <c r="I360" t="s">
        <v>1482</v>
      </c>
      <c r="J360" t="s">
        <v>1490</v>
      </c>
      <c r="K360" t="s">
        <v>63</v>
      </c>
      <c r="L360">
        <v>79</v>
      </c>
      <c r="M360" t="s">
        <v>11</v>
      </c>
      <c r="N360">
        <v>226</v>
      </c>
      <c r="O360">
        <v>94.38</v>
      </c>
      <c r="P360">
        <v>3</v>
      </c>
      <c r="Q360">
        <f>_26_03_2026_Log_Reseau_v15_7[[#This Row],[Durée cumulée_panne_minu]]/60</f>
        <v>3.7666666666666666</v>
      </c>
      <c r="R360">
        <f>ROUND(_26_03_2026_Log_Reseau_v15_7[[#This Row],[Durée_cumulée _ panne_en heure]],0)</f>
        <v>4</v>
      </c>
      <c r="S360">
        <f>_26_03_2026_Log_Reseau_v15_7[[#This Row],[Anciennété_mois]]/12</f>
        <v>6.583333333333333</v>
      </c>
      <c r="T360">
        <f>ROUND(_26_03_2026_Log_Reseau_v15_7[[#This Row],[anciennete_ en année]],0)</f>
        <v>7</v>
      </c>
      <c r="U36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60" s="3">
        <f>ROUND(_26_03_2026_Log_Reseau_v15_7[[#This Row],[remise 10%_70%_45%]],0)</f>
        <v>0</v>
      </c>
      <c r="W360" s="3">
        <f>_26_03_2026_Log_Reseau_v15_7[[#This Row],[Facture mensuelle]]*_26_03_2026_Log_Reseau_v15_7[[#This Row],[remise 10_70_45]]</f>
        <v>0</v>
      </c>
    </row>
    <row r="361" spans="1:23" x14ac:dyDescent="0.25">
      <c r="A361" s="1">
        <v>45220</v>
      </c>
      <c r="B361" s="2">
        <v>0.22291666666666668</v>
      </c>
      <c r="C361" t="s">
        <v>1079</v>
      </c>
      <c r="D361">
        <v>65</v>
      </c>
      <c r="E361" t="s">
        <v>812</v>
      </c>
      <c r="F361" t="s">
        <v>18</v>
      </c>
      <c r="G361">
        <v>-1.3938550000000001</v>
      </c>
      <c r="H361">
        <v>15.097554000000001</v>
      </c>
      <c r="I361" t="s">
        <v>1480</v>
      </c>
      <c r="J361" t="s">
        <v>1481</v>
      </c>
      <c r="K361" t="s">
        <v>17</v>
      </c>
      <c r="L361">
        <v>44</v>
      </c>
      <c r="M361" t="s">
        <v>19</v>
      </c>
      <c r="N361">
        <v>348</v>
      </c>
      <c r="O361">
        <v>58.67</v>
      </c>
      <c r="P361">
        <v>0</v>
      </c>
      <c r="Q361">
        <f>_26_03_2026_Log_Reseau_v15_7[[#This Row],[Durée cumulée_panne_minu]]/60</f>
        <v>5.8</v>
      </c>
      <c r="R361">
        <f>ROUND(_26_03_2026_Log_Reseau_v15_7[[#This Row],[Durée_cumulée _ panne_en heure]],0)</f>
        <v>6</v>
      </c>
      <c r="S361">
        <f>_26_03_2026_Log_Reseau_v15_7[[#This Row],[Anciennété_mois]]/12</f>
        <v>3.6666666666666665</v>
      </c>
      <c r="T361">
        <f>ROUND(_26_03_2026_Log_Reseau_v15_7[[#This Row],[anciennete_ en année]],0)</f>
        <v>4</v>
      </c>
      <c r="U36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61" s="3">
        <f>ROUND(_26_03_2026_Log_Reseau_v15_7[[#This Row],[remise 10%_70%_45%]],0)</f>
        <v>0</v>
      </c>
      <c r="W361" s="3">
        <f>_26_03_2026_Log_Reseau_v15_7[[#This Row],[Facture mensuelle]]*_26_03_2026_Log_Reseau_v15_7[[#This Row],[remise 10_70_45]]</f>
        <v>0</v>
      </c>
    </row>
    <row r="362" spans="1:23" x14ac:dyDescent="0.25">
      <c r="A362" s="1">
        <v>45220</v>
      </c>
      <c r="B362" s="2">
        <v>0.81180555555555556</v>
      </c>
      <c r="C362" t="s">
        <v>1105</v>
      </c>
      <c r="D362">
        <v>100</v>
      </c>
      <c r="E362" t="s">
        <v>812</v>
      </c>
      <c r="F362" t="s">
        <v>51</v>
      </c>
      <c r="G362">
        <v>-0.98830399999999996</v>
      </c>
      <c r="H362">
        <v>28.099966999999999</v>
      </c>
      <c r="I362" t="s">
        <v>1482</v>
      </c>
      <c r="J362" t="s">
        <v>1481</v>
      </c>
      <c r="K362" t="s">
        <v>50</v>
      </c>
      <c r="L362">
        <v>119</v>
      </c>
      <c r="M362" t="s">
        <v>22</v>
      </c>
      <c r="N362">
        <v>228</v>
      </c>
      <c r="O362">
        <v>94.72</v>
      </c>
      <c r="P362">
        <v>3</v>
      </c>
      <c r="Q362">
        <f>_26_03_2026_Log_Reseau_v15_7[[#This Row],[Durée cumulée_panne_minu]]/60</f>
        <v>3.8</v>
      </c>
      <c r="R362">
        <f>ROUND(_26_03_2026_Log_Reseau_v15_7[[#This Row],[Durée_cumulée _ panne_en heure]],0)</f>
        <v>4</v>
      </c>
      <c r="S362">
        <f>_26_03_2026_Log_Reseau_v15_7[[#This Row],[Anciennété_mois]]/12</f>
        <v>9.9166666666666661</v>
      </c>
      <c r="T362">
        <f>ROUND(_26_03_2026_Log_Reseau_v15_7[[#This Row],[anciennete_ en année]],0)</f>
        <v>10</v>
      </c>
      <c r="U36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62" s="3">
        <f>ROUND(_26_03_2026_Log_Reseau_v15_7[[#This Row],[remise 10%_70%_45%]],0)</f>
        <v>0</v>
      </c>
      <c r="W362" s="3">
        <f>_26_03_2026_Log_Reseau_v15_7[[#This Row],[Facture mensuelle]]*_26_03_2026_Log_Reseau_v15_7[[#This Row],[remise 10_70_45]]</f>
        <v>0</v>
      </c>
    </row>
    <row r="363" spans="1:23" x14ac:dyDescent="0.25">
      <c r="A363" s="1">
        <v>45220</v>
      </c>
      <c r="B363" s="2">
        <v>0.15902777777777777</v>
      </c>
      <c r="C363" t="s">
        <v>1151</v>
      </c>
      <c r="D363">
        <v>60</v>
      </c>
      <c r="E363" t="s">
        <v>812</v>
      </c>
      <c r="F363" t="s">
        <v>73</v>
      </c>
      <c r="G363">
        <v>-9.4133639999999996</v>
      </c>
      <c r="H363">
        <v>15.682482</v>
      </c>
      <c r="I363" t="s">
        <v>1480</v>
      </c>
      <c r="J363" t="s">
        <v>1481</v>
      </c>
      <c r="K363" t="s">
        <v>72</v>
      </c>
      <c r="L363">
        <v>6</v>
      </c>
      <c r="M363" t="s">
        <v>11</v>
      </c>
      <c r="N363">
        <v>207</v>
      </c>
      <c r="O363">
        <v>61.55</v>
      </c>
      <c r="P363">
        <v>0</v>
      </c>
      <c r="Q363">
        <f>_26_03_2026_Log_Reseau_v15_7[[#This Row],[Durée cumulée_panne_minu]]/60</f>
        <v>3.45</v>
      </c>
      <c r="R363">
        <f>ROUND(_26_03_2026_Log_Reseau_v15_7[[#This Row],[Durée_cumulée _ panne_en heure]],0)</f>
        <v>3</v>
      </c>
      <c r="S363">
        <f>_26_03_2026_Log_Reseau_v15_7[[#This Row],[Anciennété_mois]]/12</f>
        <v>0.5</v>
      </c>
      <c r="T363">
        <f>ROUND(_26_03_2026_Log_Reseau_v15_7[[#This Row],[anciennete_ en année]],0)</f>
        <v>1</v>
      </c>
      <c r="U36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63" s="3">
        <f>ROUND(_26_03_2026_Log_Reseau_v15_7[[#This Row],[remise 10%_70%_45%]],0)</f>
        <v>0</v>
      </c>
      <c r="W363" s="3">
        <f>_26_03_2026_Log_Reseau_v15_7[[#This Row],[Facture mensuelle]]*_26_03_2026_Log_Reseau_v15_7[[#This Row],[remise 10_70_45]]</f>
        <v>0</v>
      </c>
    </row>
    <row r="364" spans="1:23" x14ac:dyDescent="0.25">
      <c r="A364" s="1">
        <v>45220</v>
      </c>
      <c r="B364" s="2">
        <v>0.72499999999999998</v>
      </c>
      <c r="C364" t="s">
        <v>1158</v>
      </c>
      <c r="D364">
        <v>28</v>
      </c>
      <c r="E364" t="s">
        <v>812</v>
      </c>
      <c r="F364" t="s">
        <v>37</v>
      </c>
      <c r="G364">
        <v>-9.002459</v>
      </c>
      <c r="H364">
        <v>25.182109000000001</v>
      </c>
      <c r="I364" t="s">
        <v>1477</v>
      </c>
      <c r="J364" t="s">
        <v>1481</v>
      </c>
      <c r="K364" t="s">
        <v>36</v>
      </c>
      <c r="L364">
        <v>115</v>
      </c>
      <c r="M364" t="s">
        <v>19</v>
      </c>
      <c r="N364">
        <v>176</v>
      </c>
      <c r="O364">
        <v>33.28</v>
      </c>
      <c r="P364">
        <v>4</v>
      </c>
      <c r="Q364">
        <f>_26_03_2026_Log_Reseau_v15_7[[#This Row],[Durée cumulée_panne_minu]]/60</f>
        <v>2.9333333333333331</v>
      </c>
      <c r="R364">
        <f>ROUND(_26_03_2026_Log_Reseau_v15_7[[#This Row],[Durée_cumulée _ panne_en heure]],0)</f>
        <v>3</v>
      </c>
      <c r="S364">
        <f>_26_03_2026_Log_Reseau_v15_7[[#This Row],[Anciennété_mois]]/12</f>
        <v>9.5833333333333339</v>
      </c>
      <c r="T364">
        <f>ROUND(_26_03_2026_Log_Reseau_v15_7[[#This Row],[anciennete_ en année]],0)</f>
        <v>10</v>
      </c>
      <c r="U36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64" s="3">
        <f>ROUND(_26_03_2026_Log_Reseau_v15_7[[#This Row],[remise 10%_70%_45%]],0)</f>
        <v>0</v>
      </c>
      <c r="W364" s="3">
        <f>_26_03_2026_Log_Reseau_v15_7[[#This Row],[Facture mensuelle]]*_26_03_2026_Log_Reseau_v15_7[[#This Row],[remise 10_70_45]]</f>
        <v>0</v>
      </c>
    </row>
    <row r="365" spans="1:23" x14ac:dyDescent="0.25">
      <c r="A365" s="1">
        <v>45220</v>
      </c>
      <c r="B365" s="2">
        <v>0.61875000000000002</v>
      </c>
      <c r="C365" t="s">
        <v>1198</v>
      </c>
      <c r="D365">
        <v>79</v>
      </c>
      <c r="E365" t="s">
        <v>807</v>
      </c>
      <c r="F365" t="s">
        <v>21</v>
      </c>
      <c r="G365">
        <v>-1.4700059999999999</v>
      </c>
      <c r="H365">
        <v>18.680958</v>
      </c>
      <c r="I365" t="s">
        <v>1482</v>
      </c>
      <c r="J365" t="s">
        <v>1481</v>
      </c>
      <c r="K365" t="s">
        <v>20</v>
      </c>
      <c r="L365">
        <v>101</v>
      </c>
      <c r="M365" t="s">
        <v>22</v>
      </c>
      <c r="N365">
        <v>358</v>
      </c>
      <c r="O365">
        <v>29.24</v>
      </c>
      <c r="P365">
        <v>3</v>
      </c>
      <c r="Q365">
        <f>_26_03_2026_Log_Reseau_v15_7[[#This Row],[Durée cumulée_panne_minu]]/60</f>
        <v>5.9666666666666668</v>
      </c>
      <c r="R365">
        <f>ROUND(_26_03_2026_Log_Reseau_v15_7[[#This Row],[Durée_cumulée _ panne_en heure]],0)</f>
        <v>6</v>
      </c>
      <c r="S365">
        <f>_26_03_2026_Log_Reseau_v15_7[[#This Row],[Anciennété_mois]]/12</f>
        <v>8.4166666666666661</v>
      </c>
      <c r="T365">
        <f>ROUND(_26_03_2026_Log_Reseau_v15_7[[#This Row],[anciennete_ en année]],0)</f>
        <v>8</v>
      </c>
      <c r="U36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65" s="3">
        <f>ROUND(_26_03_2026_Log_Reseau_v15_7[[#This Row],[remise 10%_70%_45%]],0)</f>
        <v>0</v>
      </c>
      <c r="W365" s="3">
        <f>_26_03_2026_Log_Reseau_v15_7[[#This Row],[Facture mensuelle]]*_26_03_2026_Log_Reseau_v15_7[[#This Row],[remise 10_70_45]]</f>
        <v>0</v>
      </c>
    </row>
    <row r="366" spans="1:23" x14ac:dyDescent="0.25">
      <c r="A366" s="1">
        <v>45220</v>
      </c>
      <c r="B366" s="2">
        <v>0.15486111111111112</v>
      </c>
      <c r="C366" t="s">
        <v>1252</v>
      </c>
      <c r="D366">
        <v>53</v>
      </c>
      <c r="E366" t="s">
        <v>807</v>
      </c>
      <c r="F366" t="s">
        <v>62</v>
      </c>
      <c r="G366">
        <v>-9.8208710000000004</v>
      </c>
      <c r="H366">
        <v>23.229807000000001</v>
      </c>
      <c r="I366" t="s">
        <v>1477</v>
      </c>
      <c r="J366" t="s">
        <v>1490</v>
      </c>
      <c r="K366" t="s">
        <v>61</v>
      </c>
      <c r="L366">
        <v>101</v>
      </c>
      <c r="M366" t="s">
        <v>14</v>
      </c>
      <c r="N366">
        <v>333</v>
      </c>
      <c r="O366">
        <v>74.319999999999993</v>
      </c>
      <c r="P366">
        <v>1</v>
      </c>
      <c r="Q366">
        <f>_26_03_2026_Log_Reseau_v15_7[[#This Row],[Durée cumulée_panne_minu]]/60</f>
        <v>5.55</v>
      </c>
      <c r="R366">
        <f>ROUND(_26_03_2026_Log_Reseau_v15_7[[#This Row],[Durée_cumulée _ panne_en heure]],0)</f>
        <v>6</v>
      </c>
      <c r="S366">
        <f>_26_03_2026_Log_Reseau_v15_7[[#This Row],[Anciennété_mois]]/12</f>
        <v>8.4166666666666661</v>
      </c>
      <c r="T366">
        <f>ROUND(_26_03_2026_Log_Reseau_v15_7[[#This Row],[anciennete_ en année]],0)</f>
        <v>8</v>
      </c>
      <c r="U36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366" s="3">
        <f>ROUND(_26_03_2026_Log_Reseau_v15_7[[#This Row],[remise 10%_70%_45%]],0)</f>
        <v>7</v>
      </c>
      <c r="W366" s="3">
        <f>_26_03_2026_Log_Reseau_v15_7[[#This Row],[Facture mensuelle]]*_26_03_2026_Log_Reseau_v15_7[[#This Row],[remise 10_70_45]]</f>
        <v>520.24</v>
      </c>
    </row>
    <row r="367" spans="1:23" x14ac:dyDescent="0.25">
      <c r="A367" s="1">
        <v>45220</v>
      </c>
      <c r="B367" s="2">
        <v>0.92777777777777781</v>
      </c>
      <c r="C367" t="s">
        <v>1327</v>
      </c>
      <c r="D367">
        <v>22</v>
      </c>
      <c r="E367" t="s">
        <v>808</v>
      </c>
      <c r="F367" t="s">
        <v>29</v>
      </c>
      <c r="G367">
        <v>1.5802860000000001</v>
      </c>
      <c r="H367">
        <v>20.99053</v>
      </c>
      <c r="I367" t="s">
        <v>1480</v>
      </c>
      <c r="J367" t="s">
        <v>1483</v>
      </c>
      <c r="K367" t="s">
        <v>28</v>
      </c>
      <c r="L367">
        <v>99</v>
      </c>
      <c r="M367" t="s">
        <v>19</v>
      </c>
      <c r="N367">
        <v>369</v>
      </c>
      <c r="O367">
        <v>67.209999999999994</v>
      </c>
      <c r="P367">
        <v>3</v>
      </c>
      <c r="Q367">
        <f>_26_03_2026_Log_Reseau_v15_7[[#This Row],[Durée cumulée_panne_minu]]/60</f>
        <v>6.15</v>
      </c>
      <c r="R367">
        <f>ROUND(_26_03_2026_Log_Reseau_v15_7[[#This Row],[Durée_cumulée _ panne_en heure]],0)</f>
        <v>6</v>
      </c>
      <c r="S367">
        <f>_26_03_2026_Log_Reseau_v15_7[[#This Row],[Anciennété_mois]]/12</f>
        <v>8.25</v>
      </c>
      <c r="T367">
        <f>ROUND(_26_03_2026_Log_Reseau_v15_7[[#This Row],[anciennete_ en année]],0)</f>
        <v>8</v>
      </c>
      <c r="U36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67" s="3">
        <f>ROUND(_26_03_2026_Log_Reseau_v15_7[[#This Row],[remise 10%_70%_45%]],0)</f>
        <v>0</v>
      </c>
      <c r="W367" s="3">
        <f>_26_03_2026_Log_Reseau_v15_7[[#This Row],[Facture mensuelle]]*_26_03_2026_Log_Reseau_v15_7[[#This Row],[remise 10_70_45]]</f>
        <v>0</v>
      </c>
    </row>
    <row r="368" spans="1:23" x14ac:dyDescent="0.25">
      <c r="A368" s="1">
        <v>45220</v>
      </c>
      <c r="B368" s="2">
        <v>0.11041666666666666</v>
      </c>
      <c r="C368" t="s">
        <v>1337</v>
      </c>
      <c r="D368">
        <v>111</v>
      </c>
      <c r="E368" t="s">
        <v>812</v>
      </c>
      <c r="F368" t="s">
        <v>10</v>
      </c>
      <c r="G368">
        <v>-4.1250960000000001</v>
      </c>
      <c r="H368">
        <v>27.799897999999999</v>
      </c>
      <c r="I368" t="s">
        <v>1482</v>
      </c>
      <c r="J368" t="s">
        <v>1490</v>
      </c>
      <c r="K368" t="s">
        <v>9</v>
      </c>
      <c r="L368">
        <v>29</v>
      </c>
      <c r="M368" t="s">
        <v>11</v>
      </c>
      <c r="N368">
        <v>214</v>
      </c>
      <c r="O368">
        <v>74.7</v>
      </c>
      <c r="P368">
        <v>3</v>
      </c>
      <c r="Q368">
        <f>_26_03_2026_Log_Reseau_v15_7[[#This Row],[Durée cumulée_panne_minu]]/60</f>
        <v>3.5666666666666669</v>
      </c>
      <c r="R368">
        <f>ROUND(_26_03_2026_Log_Reseau_v15_7[[#This Row],[Durée_cumulée _ panne_en heure]],0)</f>
        <v>4</v>
      </c>
      <c r="S368">
        <f>_26_03_2026_Log_Reseau_v15_7[[#This Row],[Anciennété_mois]]/12</f>
        <v>2.4166666666666665</v>
      </c>
      <c r="T368">
        <f>ROUND(_26_03_2026_Log_Reseau_v15_7[[#This Row],[anciennete_ en année]],0)</f>
        <v>2</v>
      </c>
      <c r="U36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68" s="3">
        <f>ROUND(_26_03_2026_Log_Reseau_v15_7[[#This Row],[remise 10%_70%_45%]],0)</f>
        <v>0</v>
      </c>
      <c r="W368" s="3">
        <f>_26_03_2026_Log_Reseau_v15_7[[#This Row],[Facture mensuelle]]*_26_03_2026_Log_Reseau_v15_7[[#This Row],[remise 10_70_45]]</f>
        <v>0</v>
      </c>
    </row>
    <row r="369" spans="1:23" x14ac:dyDescent="0.25">
      <c r="A369" s="1">
        <v>45220</v>
      </c>
      <c r="B369" s="2">
        <v>0.46944444444444444</v>
      </c>
      <c r="C369" t="s">
        <v>1344</v>
      </c>
      <c r="D369">
        <v>17</v>
      </c>
      <c r="E369" t="s">
        <v>808</v>
      </c>
      <c r="F369" t="s">
        <v>21</v>
      </c>
      <c r="G369">
        <v>-1.5419050000000001</v>
      </c>
      <c r="H369">
        <v>14.730632999999999</v>
      </c>
      <c r="I369" t="s">
        <v>1482</v>
      </c>
      <c r="J369" t="s">
        <v>1483</v>
      </c>
      <c r="K369" t="s">
        <v>20</v>
      </c>
      <c r="L369">
        <v>101</v>
      </c>
      <c r="M369" t="s">
        <v>22</v>
      </c>
      <c r="N369">
        <v>358</v>
      </c>
      <c r="O369">
        <v>29.24</v>
      </c>
      <c r="P369">
        <v>3</v>
      </c>
      <c r="Q369">
        <f>_26_03_2026_Log_Reseau_v15_7[[#This Row],[Durée cumulée_panne_minu]]/60</f>
        <v>5.9666666666666668</v>
      </c>
      <c r="R369">
        <f>ROUND(_26_03_2026_Log_Reseau_v15_7[[#This Row],[Durée_cumulée _ panne_en heure]],0)</f>
        <v>6</v>
      </c>
      <c r="S369">
        <f>_26_03_2026_Log_Reseau_v15_7[[#This Row],[Anciennété_mois]]/12</f>
        <v>8.4166666666666661</v>
      </c>
      <c r="T369">
        <f>ROUND(_26_03_2026_Log_Reseau_v15_7[[#This Row],[anciennete_ en année]],0)</f>
        <v>8</v>
      </c>
      <c r="U36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69" s="3">
        <f>ROUND(_26_03_2026_Log_Reseau_v15_7[[#This Row],[remise 10%_70%_45%]],0)</f>
        <v>0</v>
      </c>
      <c r="W369" s="3">
        <f>_26_03_2026_Log_Reseau_v15_7[[#This Row],[Facture mensuelle]]*_26_03_2026_Log_Reseau_v15_7[[#This Row],[remise 10_70_45]]</f>
        <v>0</v>
      </c>
    </row>
    <row r="370" spans="1:23" x14ac:dyDescent="0.25">
      <c r="A370" s="1">
        <v>45220</v>
      </c>
      <c r="B370" s="2">
        <v>0.20694444444444443</v>
      </c>
      <c r="C370" t="s">
        <v>1430</v>
      </c>
      <c r="D370">
        <v>25</v>
      </c>
      <c r="E370" t="s">
        <v>807</v>
      </c>
      <c r="F370" t="s">
        <v>60</v>
      </c>
      <c r="G370">
        <v>3.3289240000000002</v>
      </c>
      <c r="H370">
        <v>24.412261000000001</v>
      </c>
      <c r="I370" t="s">
        <v>1477</v>
      </c>
      <c r="J370" t="s">
        <v>1490</v>
      </c>
      <c r="K370" t="s">
        <v>59</v>
      </c>
      <c r="L370">
        <v>14</v>
      </c>
      <c r="M370" t="s">
        <v>14</v>
      </c>
      <c r="N370">
        <v>316</v>
      </c>
      <c r="O370">
        <v>62.34</v>
      </c>
      <c r="P370">
        <v>4</v>
      </c>
      <c r="Q370">
        <f>_26_03_2026_Log_Reseau_v15_7[[#This Row],[Durée cumulée_panne_minu]]/60</f>
        <v>5.2666666666666666</v>
      </c>
      <c r="R370">
        <f>ROUND(_26_03_2026_Log_Reseau_v15_7[[#This Row],[Durée_cumulée _ panne_en heure]],0)</f>
        <v>5</v>
      </c>
      <c r="S370">
        <f>_26_03_2026_Log_Reseau_v15_7[[#This Row],[Anciennété_mois]]/12</f>
        <v>1.1666666666666667</v>
      </c>
      <c r="T370">
        <f>ROUND(_26_03_2026_Log_Reseau_v15_7[[#This Row],[anciennete_ en année]],0)</f>
        <v>1</v>
      </c>
      <c r="U37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370" s="3">
        <f>ROUND(_26_03_2026_Log_Reseau_v15_7[[#This Row],[remise 10%_70%_45%]],0)</f>
        <v>6</v>
      </c>
      <c r="W370" s="3">
        <f>_26_03_2026_Log_Reseau_v15_7[[#This Row],[Facture mensuelle]]*_26_03_2026_Log_Reseau_v15_7[[#This Row],[remise 10_70_45]]</f>
        <v>374.04</v>
      </c>
    </row>
    <row r="371" spans="1:23" x14ac:dyDescent="0.25">
      <c r="A371" s="1">
        <v>45220</v>
      </c>
      <c r="B371" s="2">
        <v>0.84791666666666665</v>
      </c>
      <c r="C371" t="s">
        <v>1460</v>
      </c>
      <c r="D371">
        <v>103</v>
      </c>
      <c r="E371" t="s">
        <v>807</v>
      </c>
      <c r="F371" t="s">
        <v>62</v>
      </c>
      <c r="G371">
        <v>-12.112399999999999</v>
      </c>
      <c r="H371">
        <v>15.872226</v>
      </c>
      <c r="I371" t="s">
        <v>1480</v>
      </c>
      <c r="J371" t="s">
        <v>1490</v>
      </c>
      <c r="K371" t="s">
        <v>61</v>
      </c>
      <c r="L371">
        <v>101</v>
      </c>
      <c r="M371" t="s">
        <v>14</v>
      </c>
      <c r="N371">
        <v>333</v>
      </c>
      <c r="O371">
        <v>74.319999999999993</v>
      </c>
      <c r="P371">
        <v>1</v>
      </c>
      <c r="Q371">
        <f>_26_03_2026_Log_Reseau_v15_7[[#This Row],[Durée cumulée_panne_minu]]/60</f>
        <v>5.55</v>
      </c>
      <c r="R371">
        <f>ROUND(_26_03_2026_Log_Reseau_v15_7[[#This Row],[Durée_cumulée _ panne_en heure]],0)</f>
        <v>6</v>
      </c>
      <c r="S371">
        <f>_26_03_2026_Log_Reseau_v15_7[[#This Row],[Anciennété_mois]]/12</f>
        <v>8.4166666666666661</v>
      </c>
      <c r="T371">
        <f>ROUND(_26_03_2026_Log_Reseau_v15_7[[#This Row],[anciennete_ en année]],0)</f>
        <v>8</v>
      </c>
      <c r="U37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371" s="3">
        <f>ROUND(_26_03_2026_Log_Reseau_v15_7[[#This Row],[remise 10%_70%_45%]],0)</f>
        <v>7</v>
      </c>
      <c r="W371" s="3">
        <f>_26_03_2026_Log_Reseau_v15_7[[#This Row],[Facture mensuelle]]*_26_03_2026_Log_Reseau_v15_7[[#This Row],[remise 10_70_45]]</f>
        <v>520.24</v>
      </c>
    </row>
    <row r="372" spans="1:23" x14ac:dyDescent="0.25">
      <c r="A372" s="1">
        <v>45221</v>
      </c>
      <c r="B372" s="2">
        <v>0.56597222222222221</v>
      </c>
      <c r="C372" t="s">
        <v>813</v>
      </c>
      <c r="D372">
        <v>87</v>
      </c>
      <c r="E372" t="s">
        <v>808</v>
      </c>
      <c r="F372" t="s">
        <v>73</v>
      </c>
      <c r="G372">
        <v>4.7777349999999998</v>
      </c>
      <c r="H372">
        <v>16.392204</v>
      </c>
      <c r="I372" t="s">
        <v>1477</v>
      </c>
      <c r="J372" t="s">
        <v>1483</v>
      </c>
      <c r="K372" t="s">
        <v>72</v>
      </c>
      <c r="L372">
        <v>6</v>
      </c>
      <c r="M372" t="s">
        <v>11</v>
      </c>
      <c r="N372">
        <v>207</v>
      </c>
      <c r="O372">
        <v>61.55</v>
      </c>
      <c r="P372">
        <v>0</v>
      </c>
      <c r="Q372">
        <f>_26_03_2026_Log_Reseau_v15_7[[#This Row],[Durée cumulée_panne_minu]]/60</f>
        <v>3.45</v>
      </c>
      <c r="R372">
        <f>ROUND(_26_03_2026_Log_Reseau_v15_7[[#This Row],[Durée_cumulée _ panne_en heure]],0)</f>
        <v>3</v>
      </c>
      <c r="S372">
        <f>_26_03_2026_Log_Reseau_v15_7[[#This Row],[Anciennété_mois]]/12</f>
        <v>0.5</v>
      </c>
      <c r="T372">
        <f>ROUND(_26_03_2026_Log_Reseau_v15_7[[#This Row],[anciennete_ en année]],0)</f>
        <v>1</v>
      </c>
      <c r="U37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72" s="3">
        <f>ROUND(_26_03_2026_Log_Reseau_v15_7[[#This Row],[remise 10%_70%_45%]],0)</f>
        <v>0</v>
      </c>
      <c r="W372" s="3">
        <f>_26_03_2026_Log_Reseau_v15_7[[#This Row],[Facture mensuelle]]*_26_03_2026_Log_Reseau_v15_7[[#This Row],[remise 10_70_45]]</f>
        <v>0</v>
      </c>
    </row>
    <row r="373" spans="1:23" x14ac:dyDescent="0.25">
      <c r="A373" s="1">
        <v>45221</v>
      </c>
      <c r="B373" s="2">
        <v>0.50555555555555554</v>
      </c>
      <c r="C373" t="s">
        <v>843</v>
      </c>
      <c r="D373">
        <v>51</v>
      </c>
      <c r="E373" t="s">
        <v>807</v>
      </c>
      <c r="F373" t="s">
        <v>16</v>
      </c>
      <c r="G373">
        <v>-1.231033</v>
      </c>
      <c r="H373">
        <v>28.851388</v>
      </c>
      <c r="I373" t="s">
        <v>1482</v>
      </c>
      <c r="J373" t="s">
        <v>1478</v>
      </c>
      <c r="K373" t="s">
        <v>15</v>
      </c>
      <c r="L373">
        <v>34</v>
      </c>
      <c r="M373" t="s">
        <v>14</v>
      </c>
      <c r="N373">
        <v>453</v>
      </c>
      <c r="O373">
        <v>56.84</v>
      </c>
      <c r="P373">
        <v>0</v>
      </c>
      <c r="Q373">
        <f>_26_03_2026_Log_Reseau_v15_7[[#This Row],[Durée cumulée_panne_minu]]/60</f>
        <v>7.55</v>
      </c>
      <c r="R373">
        <f>ROUND(_26_03_2026_Log_Reseau_v15_7[[#This Row],[Durée_cumulée _ panne_en heure]],0)</f>
        <v>8</v>
      </c>
      <c r="S373">
        <f>_26_03_2026_Log_Reseau_v15_7[[#This Row],[Anciennété_mois]]/12</f>
        <v>2.8333333333333335</v>
      </c>
      <c r="T373">
        <f>ROUND(_26_03_2026_Log_Reseau_v15_7[[#This Row],[anciennete_ en année]],0)</f>
        <v>3</v>
      </c>
      <c r="U37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373" s="3">
        <f>ROUND(_26_03_2026_Log_Reseau_v15_7[[#This Row],[remise 10%_70%_45%]],0)</f>
        <v>6</v>
      </c>
      <c r="W373" s="3">
        <f>_26_03_2026_Log_Reseau_v15_7[[#This Row],[Facture mensuelle]]*_26_03_2026_Log_Reseau_v15_7[[#This Row],[remise 10_70_45]]</f>
        <v>341.04</v>
      </c>
    </row>
    <row r="374" spans="1:23" x14ac:dyDescent="0.25">
      <c r="A374" s="1">
        <v>45221</v>
      </c>
      <c r="B374" s="2">
        <v>0.37638888888888888</v>
      </c>
      <c r="C374" t="s">
        <v>862</v>
      </c>
      <c r="D374">
        <v>59</v>
      </c>
      <c r="E374" t="s">
        <v>812</v>
      </c>
      <c r="F374" t="s">
        <v>78</v>
      </c>
      <c r="G374">
        <v>-8.4824669999999998</v>
      </c>
      <c r="H374">
        <v>21.897777999999999</v>
      </c>
      <c r="I374" t="s">
        <v>1477</v>
      </c>
      <c r="J374" t="s">
        <v>1478</v>
      </c>
      <c r="K374" t="s">
        <v>77</v>
      </c>
      <c r="L374">
        <v>81</v>
      </c>
      <c r="M374" t="s">
        <v>14</v>
      </c>
      <c r="N374">
        <v>154</v>
      </c>
      <c r="O374">
        <v>19.47</v>
      </c>
      <c r="P374">
        <v>3</v>
      </c>
      <c r="Q374">
        <f>_26_03_2026_Log_Reseau_v15_7[[#This Row],[Durée cumulée_panne_minu]]/60</f>
        <v>2.5666666666666669</v>
      </c>
      <c r="R374">
        <f>ROUND(_26_03_2026_Log_Reseau_v15_7[[#This Row],[Durée_cumulée _ panne_en heure]],0)</f>
        <v>3</v>
      </c>
      <c r="S374">
        <f>_26_03_2026_Log_Reseau_v15_7[[#This Row],[Anciennété_mois]]/12</f>
        <v>6.75</v>
      </c>
      <c r="T374">
        <f>ROUND(_26_03_2026_Log_Reseau_v15_7[[#This Row],[anciennete_ en année]],0)</f>
        <v>7</v>
      </c>
      <c r="U37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374" s="3">
        <f>ROUND(_26_03_2026_Log_Reseau_v15_7[[#This Row],[remise 10%_70%_45%]],0)</f>
        <v>2</v>
      </c>
      <c r="W374" s="3">
        <f>_26_03_2026_Log_Reseau_v15_7[[#This Row],[Facture mensuelle]]*_26_03_2026_Log_Reseau_v15_7[[#This Row],[remise 10_70_45]]</f>
        <v>38.94</v>
      </c>
    </row>
    <row r="375" spans="1:23" x14ac:dyDescent="0.25">
      <c r="A375" s="1">
        <v>45221</v>
      </c>
      <c r="B375" s="2">
        <v>3.9583333333333331E-2</v>
      </c>
      <c r="C375" t="s">
        <v>976</v>
      </c>
      <c r="D375">
        <v>33</v>
      </c>
      <c r="E375" t="s">
        <v>808</v>
      </c>
      <c r="F375" t="s">
        <v>64</v>
      </c>
      <c r="G375">
        <v>0.48965500000000001</v>
      </c>
      <c r="H375">
        <v>26.176860000000001</v>
      </c>
      <c r="I375" t="s">
        <v>1480</v>
      </c>
      <c r="J375" t="s">
        <v>1481</v>
      </c>
      <c r="K375" t="s">
        <v>63</v>
      </c>
      <c r="L375">
        <v>79</v>
      </c>
      <c r="M375" t="s">
        <v>11</v>
      </c>
      <c r="N375">
        <v>226</v>
      </c>
      <c r="O375">
        <v>94.38</v>
      </c>
      <c r="P375">
        <v>3</v>
      </c>
      <c r="Q375">
        <f>_26_03_2026_Log_Reseau_v15_7[[#This Row],[Durée cumulée_panne_minu]]/60</f>
        <v>3.7666666666666666</v>
      </c>
      <c r="R375">
        <f>ROUND(_26_03_2026_Log_Reseau_v15_7[[#This Row],[Durée_cumulée _ panne_en heure]],0)</f>
        <v>4</v>
      </c>
      <c r="S375">
        <f>_26_03_2026_Log_Reseau_v15_7[[#This Row],[Anciennété_mois]]/12</f>
        <v>6.583333333333333</v>
      </c>
      <c r="T375">
        <f>ROUND(_26_03_2026_Log_Reseau_v15_7[[#This Row],[anciennete_ en année]],0)</f>
        <v>7</v>
      </c>
      <c r="U37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75" s="3">
        <f>ROUND(_26_03_2026_Log_Reseau_v15_7[[#This Row],[remise 10%_70%_45%]],0)</f>
        <v>0</v>
      </c>
      <c r="W375" s="3">
        <f>_26_03_2026_Log_Reseau_v15_7[[#This Row],[Facture mensuelle]]*_26_03_2026_Log_Reseau_v15_7[[#This Row],[remise 10_70_45]]</f>
        <v>0</v>
      </c>
    </row>
    <row r="376" spans="1:23" x14ac:dyDescent="0.25">
      <c r="A376" s="1">
        <v>45221</v>
      </c>
      <c r="B376" s="2">
        <v>0.18055555555555555</v>
      </c>
      <c r="C376" t="s">
        <v>980</v>
      </c>
      <c r="D376">
        <v>8</v>
      </c>
      <c r="E376" t="s">
        <v>807</v>
      </c>
      <c r="F376" t="s">
        <v>33</v>
      </c>
      <c r="G376">
        <v>-1.648264</v>
      </c>
      <c r="H376">
        <v>28.866143999999998</v>
      </c>
      <c r="I376" t="s">
        <v>1477</v>
      </c>
      <c r="J376" t="s">
        <v>1478</v>
      </c>
      <c r="K376" t="s">
        <v>32</v>
      </c>
      <c r="L376">
        <v>72</v>
      </c>
      <c r="M376" t="s">
        <v>14</v>
      </c>
      <c r="N376">
        <v>160</v>
      </c>
      <c r="O376">
        <v>90.13</v>
      </c>
      <c r="P376">
        <v>2</v>
      </c>
      <c r="Q376">
        <f>_26_03_2026_Log_Reseau_v15_7[[#This Row],[Durée cumulée_panne_minu]]/60</f>
        <v>2.6666666666666665</v>
      </c>
      <c r="R376">
        <f>ROUND(_26_03_2026_Log_Reseau_v15_7[[#This Row],[Durée_cumulée _ panne_en heure]],0)</f>
        <v>3</v>
      </c>
      <c r="S376">
        <f>_26_03_2026_Log_Reseau_v15_7[[#This Row],[Anciennété_mois]]/12</f>
        <v>6</v>
      </c>
      <c r="T376">
        <f>ROUND(_26_03_2026_Log_Reseau_v15_7[[#This Row],[anciennete_ en année]],0)</f>
        <v>6</v>
      </c>
      <c r="U37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376" s="3">
        <f>ROUND(_26_03_2026_Log_Reseau_v15_7[[#This Row],[remise 10%_70%_45%]],0)</f>
        <v>9</v>
      </c>
      <c r="W376" s="3">
        <f>_26_03_2026_Log_Reseau_v15_7[[#This Row],[Facture mensuelle]]*_26_03_2026_Log_Reseau_v15_7[[#This Row],[remise 10_70_45]]</f>
        <v>811.17</v>
      </c>
    </row>
    <row r="377" spans="1:23" x14ac:dyDescent="0.25">
      <c r="A377" s="1">
        <v>45221</v>
      </c>
      <c r="B377" s="2">
        <v>0.83611111111111114</v>
      </c>
      <c r="C377" t="s">
        <v>1022</v>
      </c>
      <c r="D377">
        <v>6</v>
      </c>
      <c r="E377" t="s">
        <v>812</v>
      </c>
      <c r="F377" t="s">
        <v>29</v>
      </c>
      <c r="G377">
        <v>-4.9789079999999997</v>
      </c>
      <c r="H377">
        <v>28.506295000000001</v>
      </c>
      <c r="I377" t="s">
        <v>1480</v>
      </c>
      <c r="J377" t="s">
        <v>1481</v>
      </c>
      <c r="K377" t="s">
        <v>28</v>
      </c>
      <c r="L377">
        <v>99</v>
      </c>
      <c r="M377" t="s">
        <v>19</v>
      </c>
      <c r="N377">
        <v>369</v>
      </c>
      <c r="O377">
        <v>67.209999999999994</v>
      </c>
      <c r="P377">
        <v>3</v>
      </c>
      <c r="Q377">
        <f>_26_03_2026_Log_Reseau_v15_7[[#This Row],[Durée cumulée_panne_minu]]/60</f>
        <v>6.15</v>
      </c>
      <c r="R377">
        <f>ROUND(_26_03_2026_Log_Reseau_v15_7[[#This Row],[Durée_cumulée _ panne_en heure]],0)</f>
        <v>6</v>
      </c>
      <c r="S377">
        <f>_26_03_2026_Log_Reseau_v15_7[[#This Row],[Anciennété_mois]]/12</f>
        <v>8.25</v>
      </c>
      <c r="T377">
        <f>ROUND(_26_03_2026_Log_Reseau_v15_7[[#This Row],[anciennete_ en année]],0)</f>
        <v>8</v>
      </c>
      <c r="U37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77" s="3">
        <f>ROUND(_26_03_2026_Log_Reseau_v15_7[[#This Row],[remise 10%_70%_45%]],0)</f>
        <v>0</v>
      </c>
      <c r="W377" s="3">
        <f>_26_03_2026_Log_Reseau_v15_7[[#This Row],[Facture mensuelle]]*_26_03_2026_Log_Reseau_v15_7[[#This Row],[remise 10_70_45]]</f>
        <v>0</v>
      </c>
    </row>
    <row r="378" spans="1:23" x14ac:dyDescent="0.25">
      <c r="A378" s="1">
        <v>45221</v>
      </c>
      <c r="B378" s="2">
        <v>0.51736111111111116</v>
      </c>
      <c r="C378" t="s">
        <v>1074</v>
      </c>
      <c r="D378">
        <v>83</v>
      </c>
      <c r="E378" t="s">
        <v>812</v>
      </c>
      <c r="F378" t="s">
        <v>21</v>
      </c>
      <c r="G378">
        <v>-2.9651529999999999</v>
      </c>
      <c r="H378">
        <v>29.79908</v>
      </c>
      <c r="I378" t="s">
        <v>1480</v>
      </c>
      <c r="J378" t="s">
        <v>1478</v>
      </c>
      <c r="K378" t="s">
        <v>20</v>
      </c>
      <c r="L378">
        <v>101</v>
      </c>
      <c r="M378" t="s">
        <v>22</v>
      </c>
      <c r="N378">
        <v>358</v>
      </c>
      <c r="O378">
        <v>29.24</v>
      </c>
      <c r="P378">
        <v>3</v>
      </c>
      <c r="Q378">
        <f>_26_03_2026_Log_Reseau_v15_7[[#This Row],[Durée cumulée_panne_minu]]/60</f>
        <v>5.9666666666666668</v>
      </c>
      <c r="R378">
        <f>ROUND(_26_03_2026_Log_Reseau_v15_7[[#This Row],[Durée_cumulée _ panne_en heure]],0)</f>
        <v>6</v>
      </c>
      <c r="S378">
        <f>_26_03_2026_Log_Reseau_v15_7[[#This Row],[Anciennété_mois]]/12</f>
        <v>8.4166666666666661</v>
      </c>
      <c r="T378">
        <f>ROUND(_26_03_2026_Log_Reseau_v15_7[[#This Row],[anciennete_ en année]],0)</f>
        <v>8</v>
      </c>
      <c r="U37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78" s="3">
        <f>ROUND(_26_03_2026_Log_Reseau_v15_7[[#This Row],[remise 10%_70%_45%]],0)</f>
        <v>0</v>
      </c>
      <c r="W378" s="3">
        <f>_26_03_2026_Log_Reseau_v15_7[[#This Row],[Facture mensuelle]]*_26_03_2026_Log_Reseau_v15_7[[#This Row],[remise 10_70_45]]</f>
        <v>0</v>
      </c>
    </row>
    <row r="379" spans="1:23" x14ac:dyDescent="0.25">
      <c r="A379" s="1">
        <v>45221</v>
      </c>
      <c r="B379" s="2">
        <v>0.26597222222222222</v>
      </c>
      <c r="C379" t="s">
        <v>1090</v>
      </c>
      <c r="D379">
        <v>88</v>
      </c>
      <c r="E379" t="s">
        <v>808</v>
      </c>
      <c r="F379" t="s">
        <v>64</v>
      </c>
      <c r="G379">
        <v>-1.339734</v>
      </c>
      <c r="H379">
        <v>15.243098</v>
      </c>
      <c r="I379" t="s">
        <v>1482</v>
      </c>
      <c r="J379" t="s">
        <v>1490</v>
      </c>
      <c r="K379" t="s">
        <v>63</v>
      </c>
      <c r="L379">
        <v>79</v>
      </c>
      <c r="M379" t="s">
        <v>11</v>
      </c>
      <c r="N379">
        <v>226</v>
      </c>
      <c r="O379">
        <v>94.38</v>
      </c>
      <c r="P379">
        <v>3</v>
      </c>
      <c r="Q379">
        <f>_26_03_2026_Log_Reseau_v15_7[[#This Row],[Durée cumulée_panne_minu]]/60</f>
        <v>3.7666666666666666</v>
      </c>
      <c r="R379">
        <f>ROUND(_26_03_2026_Log_Reseau_v15_7[[#This Row],[Durée_cumulée _ panne_en heure]],0)</f>
        <v>4</v>
      </c>
      <c r="S379">
        <f>_26_03_2026_Log_Reseau_v15_7[[#This Row],[Anciennété_mois]]/12</f>
        <v>6.583333333333333</v>
      </c>
      <c r="T379">
        <f>ROUND(_26_03_2026_Log_Reseau_v15_7[[#This Row],[anciennete_ en année]],0)</f>
        <v>7</v>
      </c>
      <c r="U37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79" s="3">
        <f>ROUND(_26_03_2026_Log_Reseau_v15_7[[#This Row],[remise 10%_70%_45%]],0)</f>
        <v>0</v>
      </c>
      <c r="W379" s="3">
        <f>_26_03_2026_Log_Reseau_v15_7[[#This Row],[Facture mensuelle]]*_26_03_2026_Log_Reseau_v15_7[[#This Row],[remise 10_70_45]]</f>
        <v>0</v>
      </c>
    </row>
    <row r="380" spans="1:23" x14ac:dyDescent="0.25">
      <c r="A380" s="1">
        <v>45221</v>
      </c>
      <c r="B380" s="2">
        <v>0.84652777777777777</v>
      </c>
      <c r="C380" t="s">
        <v>1093</v>
      </c>
      <c r="D380">
        <v>96</v>
      </c>
      <c r="E380" t="s">
        <v>812</v>
      </c>
      <c r="F380" t="s">
        <v>21</v>
      </c>
      <c r="G380">
        <v>-5.2526849999999996</v>
      </c>
      <c r="H380">
        <v>12.374528</v>
      </c>
      <c r="I380" t="s">
        <v>1482</v>
      </c>
      <c r="J380" t="s">
        <v>1490</v>
      </c>
      <c r="K380" t="s">
        <v>20</v>
      </c>
      <c r="L380">
        <v>101</v>
      </c>
      <c r="M380" t="s">
        <v>22</v>
      </c>
      <c r="N380">
        <v>358</v>
      </c>
      <c r="O380">
        <v>29.24</v>
      </c>
      <c r="P380">
        <v>3</v>
      </c>
      <c r="Q380">
        <f>_26_03_2026_Log_Reseau_v15_7[[#This Row],[Durée cumulée_panne_minu]]/60</f>
        <v>5.9666666666666668</v>
      </c>
      <c r="R380">
        <f>ROUND(_26_03_2026_Log_Reseau_v15_7[[#This Row],[Durée_cumulée _ panne_en heure]],0)</f>
        <v>6</v>
      </c>
      <c r="S380">
        <f>_26_03_2026_Log_Reseau_v15_7[[#This Row],[Anciennété_mois]]/12</f>
        <v>8.4166666666666661</v>
      </c>
      <c r="T380">
        <f>ROUND(_26_03_2026_Log_Reseau_v15_7[[#This Row],[anciennete_ en année]],0)</f>
        <v>8</v>
      </c>
      <c r="U38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80" s="3">
        <f>ROUND(_26_03_2026_Log_Reseau_v15_7[[#This Row],[remise 10%_70%_45%]],0)</f>
        <v>0</v>
      </c>
      <c r="W380" s="3">
        <f>_26_03_2026_Log_Reseau_v15_7[[#This Row],[Facture mensuelle]]*_26_03_2026_Log_Reseau_v15_7[[#This Row],[remise 10_70_45]]</f>
        <v>0</v>
      </c>
    </row>
    <row r="381" spans="1:23" x14ac:dyDescent="0.25">
      <c r="A381" s="1">
        <v>45221</v>
      </c>
      <c r="B381" s="2">
        <v>4.9305555555555554E-2</v>
      </c>
      <c r="C381" t="s">
        <v>1094</v>
      </c>
      <c r="D381">
        <v>53</v>
      </c>
      <c r="E381" t="s">
        <v>808</v>
      </c>
      <c r="F381" t="s">
        <v>137</v>
      </c>
      <c r="G381">
        <v>1.286548</v>
      </c>
      <c r="H381">
        <v>29.823702999999998</v>
      </c>
      <c r="I381" t="s">
        <v>1480</v>
      </c>
      <c r="J381" t="s">
        <v>1483</v>
      </c>
      <c r="K381" t="s">
        <v>136</v>
      </c>
      <c r="L381">
        <v>80</v>
      </c>
      <c r="M381" t="s">
        <v>22</v>
      </c>
      <c r="N381">
        <v>155</v>
      </c>
      <c r="O381">
        <v>28.96</v>
      </c>
      <c r="P381">
        <v>2</v>
      </c>
      <c r="Q381">
        <f>_26_03_2026_Log_Reseau_v15_7[[#This Row],[Durée cumulée_panne_minu]]/60</f>
        <v>2.5833333333333335</v>
      </c>
      <c r="R381">
        <f>ROUND(_26_03_2026_Log_Reseau_v15_7[[#This Row],[Durée_cumulée _ panne_en heure]],0)</f>
        <v>3</v>
      </c>
      <c r="S381">
        <f>_26_03_2026_Log_Reseau_v15_7[[#This Row],[Anciennété_mois]]/12</f>
        <v>6.666666666666667</v>
      </c>
      <c r="T381">
        <f>ROUND(_26_03_2026_Log_Reseau_v15_7[[#This Row],[anciennete_ en année]],0)</f>
        <v>7</v>
      </c>
      <c r="U38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81" s="3">
        <f>ROUND(_26_03_2026_Log_Reseau_v15_7[[#This Row],[remise 10%_70%_45%]],0)</f>
        <v>0</v>
      </c>
      <c r="W381" s="3">
        <f>_26_03_2026_Log_Reseau_v15_7[[#This Row],[Facture mensuelle]]*_26_03_2026_Log_Reseau_v15_7[[#This Row],[remise 10_70_45]]</f>
        <v>0</v>
      </c>
    </row>
    <row r="382" spans="1:23" x14ac:dyDescent="0.25">
      <c r="A382" s="1">
        <v>45221</v>
      </c>
      <c r="B382" s="2">
        <v>0.77222222222222225</v>
      </c>
      <c r="C382" t="s">
        <v>1152</v>
      </c>
      <c r="D382">
        <v>107</v>
      </c>
      <c r="E382" t="s">
        <v>807</v>
      </c>
      <c r="F382" t="s">
        <v>33</v>
      </c>
      <c r="G382">
        <v>-4.4451280000000004</v>
      </c>
      <c r="H382">
        <v>16.536944999999999</v>
      </c>
      <c r="I382" t="s">
        <v>1480</v>
      </c>
      <c r="J382" t="s">
        <v>1478</v>
      </c>
      <c r="K382" t="s">
        <v>32</v>
      </c>
      <c r="L382">
        <v>72</v>
      </c>
      <c r="M382" t="s">
        <v>14</v>
      </c>
      <c r="N382">
        <v>160</v>
      </c>
      <c r="O382">
        <v>90.13</v>
      </c>
      <c r="P382">
        <v>2</v>
      </c>
      <c r="Q382">
        <f>_26_03_2026_Log_Reseau_v15_7[[#This Row],[Durée cumulée_panne_minu]]/60</f>
        <v>2.6666666666666665</v>
      </c>
      <c r="R382">
        <f>ROUND(_26_03_2026_Log_Reseau_v15_7[[#This Row],[Durée_cumulée _ panne_en heure]],0)</f>
        <v>3</v>
      </c>
      <c r="S382">
        <f>_26_03_2026_Log_Reseau_v15_7[[#This Row],[Anciennété_mois]]/12</f>
        <v>6</v>
      </c>
      <c r="T382">
        <f>ROUND(_26_03_2026_Log_Reseau_v15_7[[#This Row],[anciennete_ en année]],0)</f>
        <v>6</v>
      </c>
      <c r="U38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382" s="3">
        <f>ROUND(_26_03_2026_Log_Reseau_v15_7[[#This Row],[remise 10%_70%_45%]],0)</f>
        <v>9</v>
      </c>
      <c r="W382" s="3">
        <f>_26_03_2026_Log_Reseau_v15_7[[#This Row],[Facture mensuelle]]*_26_03_2026_Log_Reseau_v15_7[[#This Row],[remise 10_70_45]]</f>
        <v>811.17</v>
      </c>
    </row>
    <row r="383" spans="1:23" x14ac:dyDescent="0.25">
      <c r="A383" s="1">
        <v>45221</v>
      </c>
      <c r="B383" s="2">
        <v>0.28333333333333333</v>
      </c>
      <c r="C383" t="s">
        <v>1167</v>
      </c>
      <c r="D383">
        <v>22</v>
      </c>
      <c r="E383" t="s">
        <v>807</v>
      </c>
      <c r="F383" t="s">
        <v>64</v>
      </c>
      <c r="G383">
        <v>-2.6665070000000002</v>
      </c>
      <c r="H383">
        <v>18.623692999999999</v>
      </c>
      <c r="I383" t="s">
        <v>1482</v>
      </c>
      <c r="J383" t="s">
        <v>1483</v>
      </c>
      <c r="K383" t="s">
        <v>63</v>
      </c>
      <c r="L383">
        <v>79</v>
      </c>
      <c r="M383" t="s">
        <v>11</v>
      </c>
      <c r="N383">
        <v>226</v>
      </c>
      <c r="O383">
        <v>94.38</v>
      </c>
      <c r="P383">
        <v>3</v>
      </c>
      <c r="Q383">
        <f>_26_03_2026_Log_Reseau_v15_7[[#This Row],[Durée cumulée_panne_minu]]/60</f>
        <v>3.7666666666666666</v>
      </c>
      <c r="R383">
        <f>ROUND(_26_03_2026_Log_Reseau_v15_7[[#This Row],[Durée_cumulée _ panne_en heure]],0)</f>
        <v>4</v>
      </c>
      <c r="S383">
        <f>_26_03_2026_Log_Reseau_v15_7[[#This Row],[Anciennété_mois]]/12</f>
        <v>6.583333333333333</v>
      </c>
      <c r="T383">
        <f>ROUND(_26_03_2026_Log_Reseau_v15_7[[#This Row],[anciennete_ en année]],0)</f>
        <v>7</v>
      </c>
      <c r="U38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83" s="3">
        <f>ROUND(_26_03_2026_Log_Reseau_v15_7[[#This Row],[remise 10%_70%_45%]],0)</f>
        <v>0</v>
      </c>
      <c r="W383" s="3">
        <f>_26_03_2026_Log_Reseau_v15_7[[#This Row],[Facture mensuelle]]*_26_03_2026_Log_Reseau_v15_7[[#This Row],[remise 10_70_45]]</f>
        <v>0</v>
      </c>
    </row>
    <row r="384" spans="1:23" x14ac:dyDescent="0.25">
      <c r="A384" s="1">
        <v>45221</v>
      </c>
      <c r="B384" s="2">
        <v>0.78055555555555556</v>
      </c>
      <c r="C384" t="s">
        <v>1170</v>
      </c>
      <c r="D384">
        <v>67</v>
      </c>
      <c r="E384" t="s">
        <v>807</v>
      </c>
      <c r="F384" t="s">
        <v>13</v>
      </c>
      <c r="G384">
        <v>-7.789663</v>
      </c>
      <c r="H384">
        <v>26.529098000000001</v>
      </c>
      <c r="I384" t="s">
        <v>1477</v>
      </c>
      <c r="J384" t="s">
        <v>1490</v>
      </c>
      <c r="K384" t="s">
        <v>12</v>
      </c>
      <c r="L384">
        <v>63</v>
      </c>
      <c r="M384" t="s">
        <v>14</v>
      </c>
      <c r="N384">
        <v>205</v>
      </c>
      <c r="O384">
        <v>89.19</v>
      </c>
      <c r="P384">
        <v>0</v>
      </c>
      <c r="Q384">
        <f>_26_03_2026_Log_Reseau_v15_7[[#This Row],[Durée cumulée_panne_minu]]/60</f>
        <v>3.4166666666666665</v>
      </c>
      <c r="R384">
        <f>ROUND(_26_03_2026_Log_Reseau_v15_7[[#This Row],[Durée_cumulée _ panne_en heure]],0)</f>
        <v>3</v>
      </c>
      <c r="S384">
        <f>_26_03_2026_Log_Reseau_v15_7[[#This Row],[Anciennété_mois]]/12</f>
        <v>5.25</v>
      </c>
      <c r="T384">
        <f>ROUND(_26_03_2026_Log_Reseau_v15_7[[#This Row],[anciennete_ en année]],0)</f>
        <v>5</v>
      </c>
      <c r="U38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384" s="3">
        <f>ROUND(_26_03_2026_Log_Reseau_v15_7[[#This Row],[remise 10%_70%_45%]],0)</f>
        <v>9</v>
      </c>
      <c r="W384" s="3">
        <f>_26_03_2026_Log_Reseau_v15_7[[#This Row],[Facture mensuelle]]*_26_03_2026_Log_Reseau_v15_7[[#This Row],[remise 10_70_45]]</f>
        <v>802.71</v>
      </c>
    </row>
    <row r="385" spans="1:23" x14ac:dyDescent="0.25">
      <c r="A385" s="1">
        <v>45221</v>
      </c>
      <c r="B385" s="2">
        <v>0.26874999999999999</v>
      </c>
      <c r="C385" t="s">
        <v>1180</v>
      </c>
      <c r="D385">
        <v>18</v>
      </c>
      <c r="E385" t="s">
        <v>808</v>
      </c>
      <c r="F385" t="s">
        <v>131</v>
      </c>
      <c r="G385">
        <v>-1.8555980000000001</v>
      </c>
      <c r="H385">
        <v>30.421918000000002</v>
      </c>
      <c r="I385" t="s">
        <v>1482</v>
      </c>
      <c r="J385" t="s">
        <v>1483</v>
      </c>
      <c r="K385" t="s">
        <v>130</v>
      </c>
      <c r="L385">
        <v>16</v>
      </c>
      <c r="M385" t="s">
        <v>19</v>
      </c>
      <c r="N385">
        <v>390</v>
      </c>
      <c r="O385">
        <v>98.17</v>
      </c>
      <c r="P385">
        <v>5</v>
      </c>
      <c r="Q385">
        <f>_26_03_2026_Log_Reseau_v15_7[[#This Row],[Durée cumulée_panne_minu]]/60</f>
        <v>6.5</v>
      </c>
      <c r="R385">
        <f>ROUND(_26_03_2026_Log_Reseau_v15_7[[#This Row],[Durée_cumulée _ panne_en heure]],0)</f>
        <v>7</v>
      </c>
      <c r="S385">
        <f>_26_03_2026_Log_Reseau_v15_7[[#This Row],[Anciennété_mois]]/12</f>
        <v>1.3333333333333333</v>
      </c>
      <c r="T385">
        <f>ROUND(_26_03_2026_Log_Reseau_v15_7[[#This Row],[anciennete_ en année]],0)</f>
        <v>1</v>
      </c>
      <c r="U38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85" s="3">
        <f>ROUND(_26_03_2026_Log_Reseau_v15_7[[#This Row],[remise 10%_70%_45%]],0)</f>
        <v>0</v>
      </c>
      <c r="W385" s="3">
        <f>_26_03_2026_Log_Reseau_v15_7[[#This Row],[Facture mensuelle]]*_26_03_2026_Log_Reseau_v15_7[[#This Row],[remise 10_70_45]]</f>
        <v>0</v>
      </c>
    </row>
    <row r="386" spans="1:23" x14ac:dyDescent="0.25">
      <c r="A386" s="1">
        <v>45221</v>
      </c>
      <c r="B386" s="2">
        <v>0.27847222222222223</v>
      </c>
      <c r="C386" t="s">
        <v>1210</v>
      </c>
      <c r="D386">
        <v>83</v>
      </c>
      <c r="E386" t="s">
        <v>812</v>
      </c>
      <c r="F386" t="s">
        <v>13</v>
      </c>
      <c r="G386">
        <v>-12.292039000000001</v>
      </c>
      <c r="H386">
        <v>27.538202999999999</v>
      </c>
      <c r="I386" t="s">
        <v>1482</v>
      </c>
      <c r="J386" t="s">
        <v>1481</v>
      </c>
      <c r="K386" t="s">
        <v>12</v>
      </c>
      <c r="L386">
        <v>63</v>
      </c>
      <c r="M386" t="s">
        <v>14</v>
      </c>
      <c r="N386">
        <v>205</v>
      </c>
      <c r="O386">
        <v>89.19</v>
      </c>
      <c r="P386">
        <v>0</v>
      </c>
      <c r="Q386">
        <f>_26_03_2026_Log_Reseau_v15_7[[#This Row],[Durée cumulée_panne_minu]]/60</f>
        <v>3.4166666666666665</v>
      </c>
      <c r="R386">
        <f>ROUND(_26_03_2026_Log_Reseau_v15_7[[#This Row],[Durée_cumulée _ panne_en heure]],0)</f>
        <v>3</v>
      </c>
      <c r="S386">
        <f>_26_03_2026_Log_Reseau_v15_7[[#This Row],[Anciennété_mois]]/12</f>
        <v>5.25</v>
      </c>
      <c r="T386">
        <f>ROUND(_26_03_2026_Log_Reseau_v15_7[[#This Row],[anciennete_ en année]],0)</f>
        <v>5</v>
      </c>
      <c r="U38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386" s="3">
        <f>ROUND(_26_03_2026_Log_Reseau_v15_7[[#This Row],[remise 10%_70%_45%]],0)</f>
        <v>9</v>
      </c>
      <c r="W386" s="3">
        <f>_26_03_2026_Log_Reseau_v15_7[[#This Row],[Facture mensuelle]]*_26_03_2026_Log_Reseau_v15_7[[#This Row],[remise 10_70_45]]</f>
        <v>802.71</v>
      </c>
    </row>
    <row r="387" spans="1:23" x14ac:dyDescent="0.25">
      <c r="A387" s="1">
        <v>45221</v>
      </c>
      <c r="B387" s="2">
        <v>0.19791666666666666</v>
      </c>
      <c r="C387" t="s">
        <v>1217</v>
      </c>
      <c r="D387">
        <v>61</v>
      </c>
      <c r="E387" t="s">
        <v>812</v>
      </c>
      <c r="F387" t="s">
        <v>40</v>
      </c>
      <c r="G387">
        <v>-7.5129409999999996</v>
      </c>
      <c r="H387">
        <v>18.701522000000001</v>
      </c>
      <c r="I387" t="s">
        <v>1480</v>
      </c>
      <c r="J387" t="s">
        <v>1490</v>
      </c>
      <c r="K387" t="s">
        <v>39</v>
      </c>
      <c r="L387">
        <v>110</v>
      </c>
      <c r="M387" t="s">
        <v>14</v>
      </c>
      <c r="N387">
        <v>423</v>
      </c>
      <c r="O387">
        <v>37.35</v>
      </c>
      <c r="P387">
        <v>4</v>
      </c>
      <c r="Q387">
        <f>_26_03_2026_Log_Reseau_v15_7[[#This Row],[Durée cumulée_panne_minu]]/60</f>
        <v>7.05</v>
      </c>
      <c r="R387">
        <f>ROUND(_26_03_2026_Log_Reseau_v15_7[[#This Row],[Durée_cumulée _ panne_en heure]],0)</f>
        <v>7</v>
      </c>
      <c r="S387">
        <f>_26_03_2026_Log_Reseau_v15_7[[#This Row],[Anciennété_mois]]/12</f>
        <v>9.1666666666666661</v>
      </c>
      <c r="T387">
        <f>ROUND(_26_03_2026_Log_Reseau_v15_7[[#This Row],[anciennete_ en année]],0)</f>
        <v>9</v>
      </c>
      <c r="U38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387" s="3">
        <f>ROUND(_26_03_2026_Log_Reseau_v15_7[[#This Row],[remise 10%_70%_45%]],0)</f>
        <v>4</v>
      </c>
      <c r="W387" s="3">
        <f>_26_03_2026_Log_Reseau_v15_7[[#This Row],[Facture mensuelle]]*_26_03_2026_Log_Reseau_v15_7[[#This Row],[remise 10_70_45]]</f>
        <v>149.4</v>
      </c>
    </row>
    <row r="388" spans="1:23" x14ac:dyDescent="0.25">
      <c r="A388" s="1">
        <v>45221</v>
      </c>
      <c r="B388" s="2">
        <v>0.8618055555555556</v>
      </c>
      <c r="C388" t="s">
        <v>1286</v>
      </c>
      <c r="D388">
        <v>65</v>
      </c>
      <c r="E388" t="s">
        <v>807</v>
      </c>
      <c r="F388" t="s">
        <v>37</v>
      </c>
      <c r="G388">
        <v>-3.9148719999999999</v>
      </c>
      <c r="H388">
        <v>12.260933</v>
      </c>
      <c r="I388" t="s">
        <v>1480</v>
      </c>
      <c r="J388" t="s">
        <v>1478</v>
      </c>
      <c r="K388" t="s">
        <v>36</v>
      </c>
      <c r="L388">
        <v>115</v>
      </c>
      <c r="M388" t="s">
        <v>19</v>
      </c>
      <c r="N388">
        <v>176</v>
      </c>
      <c r="O388">
        <v>33.28</v>
      </c>
      <c r="P388">
        <v>4</v>
      </c>
      <c r="Q388">
        <f>_26_03_2026_Log_Reseau_v15_7[[#This Row],[Durée cumulée_panne_minu]]/60</f>
        <v>2.9333333333333331</v>
      </c>
      <c r="R388">
        <f>ROUND(_26_03_2026_Log_Reseau_v15_7[[#This Row],[Durée_cumulée _ panne_en heure]],0)</f>
        <v>3</v>
      </c>
      <c r="S388">
        <f>_26_03_2026_Log_Reseau_v15_7[[#This Row],[Anciennété_mois]]/12</f>
        <v>9.5833333333333339</v>
      </c>
      <c r="T388">
        <f>ROUND(_26_03_2026_Log_Reseau_v15_7[[#This Row],[anciennete_ en année]],0)</f>
        <v>10</v>
      </c>
      <c r="U38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88" s="3">
        <f>ROUND(_26_03_2026_Log_Reseau_v15_7[[#This Row],[remise 10%_70%_45%]],0)</f>
        <v>0</v>
      </c>
      <c r="W388" s="3">
        <f>_26_03_2026_Log_Reseau_v15_7[[#This Row],[Facture mensuelle]]*_26_03_2026_Log_Reseau_v15_7[[#This Row],[remise 10_70_45]]</f>
        <v>0</v>
      </c>
    </row>
    <row r="389" spans="1:23" x14ac:dyDescent="0.25">
      <c r="A389" s="1">
        <v>45221</v>
      </c>
      <c r="B389" s="2">
        <v>0.72499999999999998</v>
      </c>
      <c r="C389" t="s">
        <v>1304</v>
      </c>
      <c r="D389">
        <v>55</v>
      </c>
      <c r="E389" t="s">
        <v>808</v>
      </c>
      <c r="F389" t="s">
        <v>57</v>
      </c>
      <c r="G389">
        <v>-1.3976519999999999</v>
      </c>
      <c r="H389">
        <v>14.098819000000001</v>
      </c>
      <c r="I389" t="s">
        <v>1482</v>
      </c>
      <c r="J389" t="s">
        <v>1478</v>
      </c>
      <c r="K389" t="s">
        <v>56</v>
      </c>
      <c r="L389">
        <v>97</v>
      </c>
      <c r="M389" t="s">
        <v>14</v>
      </c>
      <c r="N389">
        <v>319</v>
      </c>
      <c r="O389">
        <v>31.25</v>
      </c>
      <c r="P389">
        <v>1</v>
      </c>
      <c r="Q389">
        <f>_26_03_2026_Log_Reseau_v15_7[[#This Row],[Durée cumulée_panne_minu]]/60</f>
        <v>5.3166666666666664</v>
      </c>
      <c r="R389">
        <f>ROUND(_26_03_2026_Log_Reseau_v15_7[[#This Row],[Durée_cumulée _ panne_en heure]],0)</f>
        <v>5</v>
      </c>
      <c r="S389">
        <f>_26_03_2026_Log_Reseau_v15_7[[#This Row],[Anciennété_mois]]/12</f>
        <v>8.0833333333333339</v>
      </c>
      <c r="T389">
        <f>ROUND(_26_03_2026_Log_Reseau_v15_7[[#This Row],[anciennete_ en année]],0)</f>
        <v>8</v>
      </c>
      <c r="U38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3.125</v>
      </c>
      <c r="V389" s="3">
        <f>ROUND(_26_03_2026_Log_Reseau_v15_7[[#This Row],[remise 10%_70%_45%]],0)</f>
        <v>3</v>
      </c>
      <c r="W389" s="3">
        <f>_26_03_2026_Log_Reseau_v15_7[[#This Row],[Facture mensuelle]]*_26_03_2026_Log_Reseau_v15_7[[#This Row],[remise 10_70_45]]</f>
        <v>93.75</v>
      </c>
    </row>
    <row r="390" spans="1:23" x14ac:dyDescent="0.25">
      <c r="A390" s="1">
        <v>45221</v>
      </c>
      <c r="B390" s="2">
        <v>0.6479166666666667</v>
      </c>
      <c r="C390" t="s">
        <v>1306</v>
      </c>
      <c r="D390">
        <v>67</v>
      </c>
      <c r="E390" t="s">
        <v>807</v>
      </c>
      <c r="F390" t="s">
        <v>127</v>
      </c>
      <c r="G390">
        <v>-11.924048000000001</v>
      </c>
      <c r="H390">
        <v>24.177174999999998</v>
      </c>
      <c r="I390" t="s">
        <v>1482</v>
      </c>
      <c r="J390" t="s">
        <v>1490</v>
      </c>
      <c r="K390" t="s">
        <v>126</v>
      </c>
      <c r="L390">
        <v>40</v>
      </c>
      <c r="M390" t="s">
        <v>11</v>
      </c>
      <c r="N390">
        <v>345</v>
      </c>
      <c r="O390">
        <v>89.55</v>
      </c>
      <c r="P390">
        <v>3</v>
      </c>
      <c r="Q390">
        <f>_26_03_2026_Log_Reseau_v15_7[[#This Row],[Durée cumulée_panne_minu]]/60</f>
        <v>5.75</v>
      </c>
      <c r="R390">
        <f>ROUND(_26_03_2026_Log_Reseau_v15_7[[#This Row],[Durée_cumulée _ panne_en heure]],0)</f>
        <v>6</v>
      </c>
      <c r="S390">
        <f>_26_03_2026_Log_Reseau_v15_7[[#This Row],[Anciennété_mois]]/12</f>
        <v>3.3333333333333335</v>
      </c>
      <c r="T390">
        <f>ROUND(_26_03_2026_Log_Reseau_v15_7[[#This Row],[anciennete_ en année]],0)</f>
        <v>3</v>
      </c>
      <c r="U39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90" s="3">
        <f>ROUND(_26_03_2026_Log_Reseau_v15_7[[#This Row],[remise 10%_70%_45%]],0)</f>
        <v>0</v>
      </c>
      <c r="W390" s="3">
        <f>_26_03_2026_Log_Reseau_v15_7[[#This Row],[Facture mensuelle]]*_26_03_2026_Log_Reseau_v15_7[[#This Row],[remise 10_70_45]]</f>
        <v>0</v>
      </c>
    </row>
    <row r="391" spans="1:23" x14ac:dyDescent="0.25">
      <c r="A391" s="1">
        <v>45221</v>
      </c>
      <c r="B391" s="2">
        <v>0.1673611111111111</v>
      </c>
      <c r="C391" t="s">
        <v>1315</v>
      </c>
      <c r="D391">
        <v>78</v>
      </c>
      <c r="E391" t="s">
        <v>808</v>
      </c>
      <c r="F391" t="s">
        <v>51</v>
      </c>
      <c r="G391">
        <v>2.4741019999999998</v>
      </c>
      <c r="H391">
        <v>29.297391000000001</v>
      </c>
      <c r="I391" t="s">
        <v>1480</v>
      </c>
      <c r="J391" t="s">
        <v>1478</v>
      </c>
      <c r="K391" t="s">
        <v>50</v>
      </c>
      <c r="L391">
        <v>119</v>
      </c>
      <c r="M391" t="s">
        <v>22</v>
      </c>
      <c r="N391">
        <v>228</v>
      </c>
      <c r="O391">
        <v>94.72</v>
      </c>
      <c r="P391">
        <v>3</v>
      </c>
      <c r="Q391">
        <f>_26_03_2026_Log_Reseau_v15_7[[#This Row],[Durée cumulée_panne_minu]]/60</f>
        <v>3.8</v>
      </c>
      <c r="R391">
        <f>ROUND(_26_03_2026_Log_Reseau_v15_7[[#This Row],[Durée_cumulée _ panne_en heure]],0)</f>
        <v>4</v>
      </c>
      <c r="S391">
        <f>_26_03_2026_Log_Reseau_v15_7[[#This Row],[Anciennété_mois]]/12</f>
        <v>9.9166666666666661</v>
      </c>
      <c r="T391">
        <f>ROUND(_26_03_2026_Log_Reseau_v15_7[[#This Row],[anciennete_ en année]],0)</f>
        <v>10</v>
      </c>
      <c r="U39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91" s="3">
        <f>ROUND(_26_03_2026_Log_Reseau_v15_7[[#This Row],[remise 10%_70%_45%]],0)</f>
        <v>0</v>
      </c>
      <c r="W391" s="3">
        <f>_26_03_2026_Log_Reseau_v15_7[[#This Row],[Facture mensuelle]]*_26_03_2026_Log_Reseau_v15_7[[#This Row],[remise 10_70_45]]</f>
        <v>0</v>
      </c>
    </row>
    <row r="392" spans="1:23" x14ac:dyDescent="0.25">
      <c r="A392" s="1">
        <v>45221</v>
      </c>
      <c r="B392" s="2">
        <v>0.55902777777777779</v>
      </c>
      <c r="C392" t="s">
        <v>1361</v>
      </c>
      <c r="D392">
        <v>22</v>
      </c>
      <c r="E392" t="s">
        <v>807</v>
      </c>
      <c r="F392" t="s">
        <v>40</v>
      </c>
      <c r="G392">
        <v>0.65288900000000005</v>
      </c>
      <c r="H392">
        <v>24.243953999999999</v>
      </c>
      <c r="I392" t="s">
        <v>1477</v>
      </c>
      <c r="J392" t="s">
        <v>1478</v>
      </c>
      <c r="K392" t="s">
        <v>39</v>
      </c>
      <c r="L392">
        <v>110</v>
      </c>
      <c r="M392" t="s">
        <v>14</v>
      </c>
      <c r="N392">
        <v>423</v>
      </c>
      <c r="O392">
        <v>37.35</v>
      </c>
      <c r="P392">
        <v>4</v>
      </c>
      <c r="Q392">
        <f>_26_03_2026_Log_Reseau_v15_7[[#This Row],[Durée cumulée_panne_minu]]/60</f>
        <v>7.05</v>
      </c>
      <c r="R392">
        <f>ROUND(_26_03_2026_Log_Reseau_v15_7[[#This Row],[Durée_cumulée _ panne_en heure]],0)</f>
        <v>7</v>
      </c>
      <c r="S392">
        <f>_26_03_2026_Log_Reseau_v15_7[[#This Row],[Anciennété_mois]]/12</f>
        <v>9.1666666666666661</v>
      </c>
      <c r="T392">
        <f>ROUND(_26_03_2026_Log_Reseau_v15_7[[#This Row],[anciennete_ en année]],0)</f>
        <v>9</v>
      </c>
      <c r="U39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392" s="3">
        <f>ROUND(_26_03_2026_Log_Reseau_v15_7[[#This Row],[remise 10%_70%_45%]],0)</f>
        <v>4</v>
      </c>
      <c r="W392" s="3">
        <f>_26_03_2026_Log_Reseau_v15_7[[#This Row],[Facture mensuelle]]*_26_03_2026_Log_Reseau_v15_7[[#This Row],[remise 10_70_45]]</f>
        <v>149.4</v>
      </c>
    </row>
    <row r="393" spans="1:23" x14ac:dyDescent="0.25">
      <c r="A393" s="1">
        <v>45221</v>
      </c>
      <c r="B393" s="2">
        <v>0.92847222222222225</v>
      </c>
      <c r="C393" t="s">
        <v>1368</v>
      </c>
      <c r="D393">
        <v>21</v>
      </c>
      <c r="E393" t="s">
        <v>807</v>
      </c>
      <c r="F393" t="s">
        <v>21</v>
      </c>
      <c r="G393">
        <v>4.2493650000000001</v>
      </c>
      <c r="H393">
        <v>28.355039999999999</v>
      </c>
      <c r="I393" t="s">
        <v>1482</v>
      </c>
      <c r="J393" t="s">
        <v>1483</v>
      </c>
      <c r="K393" t="s">
        <v>20</v>
      </c>
      <c r="L393">
        <v>101</v>
      </c>
      <c r="M393" t="s">
        <v>22</v>
      </c>
      <c r="N393">
        <v>358</v>
      </c>
      <c r="O393">
        <v>29.24</v>
      </c>
      <c r="P393">
        <v>3</v>
      </c>
      <c r="Q393">
        <f>_26_03_2026_Log_Reseau_v15_7[[#This Row],[Durée cumulée_panne_minu]]/60</f>
        <v>5.9666666666666668</v>
      </c>
      <c r="R393">
        <f>ROUND(_26_03_2026_Log_Reseau_v15_7[[#This Row],[Durée_cumulée _ panne_en heure]],0)</f>
        <v>6</v>
      </c>
      <c r="S393">
        <f>_26_03_2026_Log_Reseau_v15_7[[#This Row],[Anciennété_mois]]/12</f>
        <v>8.4166666666666661</v>
      </c>
      <c r="T393">
        <f>ROUND(_26_03_2026_Log_Reseau_v15_7[[#This Row],[anciennete_ en année]],0)</f>
        <v>8</v>
      </c>
      <c r="U39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93" s="3">
        <f>ROUND(_26_03_2026_Log_Reseau_v15_7[[#This Row],[remise 10%_70%_45%]],0)</f>
        <v>0</v>
      </c>
      <c r="W393" s="3">
        <f>_26_03_2026_Log_Reseau_v15_7[[#This Row],[Facture mensuelle]]*_26_03_2026_Log_Reseau_v15_7[[#This Row],[remise 10_70_45]]</f>
        <v>0</v>
      </c>
    </row>
    <row r="394" spans="1:23" x14ac:dyDescent="0.25">
      <c r="A394" s="1">
        <v>45221</v>
      </c>
      <c r="B394" s="2">
        <v>0.77500000000000002</v>
      </c>
      <c r="C394" t="s">
        <v>1369</v>
      </c>
      <c r="D394">
        <v>24</v>
      </c>
      <c r="E394" t="s">
        <v>807</v>
      </c>
      <c r="F394" t="s">
        <v>16</v>
      </c>
      <c r="G394">
        <v>-11.514188000000001</v>
      </c>
      <c r="H394">
        <v>15.971181</v>
      </c>
      <c r="I394" t="s">
        <v>1477</v>
      </c>
      <c r="J394" t="s">
        <v>1478</v>
      </c>
      <c r="K394" t="s">
        <v>15</v>
      </c>
      <c r="L394">
        <v>34</v>
      </c>
      <c r="M394" t="s">
        <v>14</v>
      </c>
      <c r="N394">
        <v>453</v>
      </c>
      <c r="O394">
        <v>56.84</v>
      </c>
      <c r="P394">
        <v>0</v>
      </c>
      <c r="Q394">
        <f>_26_03_2026_Log_Reseau_v15_7[[#This Row],[Durée cumulée_panne_minu]]/60</f>
        <v>7.55</v>
      </c>
      <c r="R394">
        <f>ROUND(_26_03_2026_Log_Reseau_v15_7[[#This Row],[Durée_cumulée _ panne_en heure]],0)</f>
        <v>8</v>
      </c>
      <c r="S394">
        <f>_26_03_2026_Log_Reseau_v15_7[[#This Row],[Anciennété_mois]]/12</f>
        <v>2.8333333333333335</v>
      </c>
      <c r="T394">
        <f>ROUND(_26_03_2026_Log_Reseau_v15_7[[#This Row],[anciennete_ en année]],0)</f>
        <v>3</v>
      </c>
      <c r="U39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394" s="3">
        <f>ROUND(_26_03_2026_Log_Reseau_v15_7[[#This Row],[remise 10%_70%_45%]],0)</f>
        <v>6</v>
      </c>
      <c r="W394" s="3">
        <f>_26_03_2026_Log_Reseau_v15_7[[#This Row],[Facture mensuelle]]*_26_03_2026_Log_Reseau_v15_7[[#This Row],[remise 10_70_45]]</f>
        <v>341.04</v>
      </c>
    </row>
    <row r="395" spans="1:23" x14ac:dyDescent="0.25">
      <c r="A395" s="1">
        <v>45221</v>
      </c>
      <c r="B395" s="2">
        <v>0.91041666666666665</v>
      </c>
      <c r="C395" t="s">
        <v>1402</v>
      </c>
      <c r="D395">
        <v>60</v>
      </c>
      <c r="E395" t="s">
        <v>808</v>
      </c>
      <c r="F395" t="s">
        <v>33</v>
      </c>
      <c r="G395">
        <v>-10.414493</v>
      </c>
      <c r="H395">
        <v>12.333356999999999</v>
      </c>
      <c r="I395" t="s">
        <v>1482</v>
      </c>
      <c r="J395" t="s">
        <v>1478</v>
      </c>
      <c r="K395" t="s">
        <v>32</v>
      </c>
      <c r="L395">
        <v>72</v>
      </c>
      <c r="M395" t="s">
        <v>14</v>
      </c>
      <c r="N395">
        <v>160</v>
      </c>
      <c r="O395">
        <v>90.13</v>
      </c>
      <c r="P395">
        <v>2</v>
      </c>
      <c r="Q395">
        <f>_26_03_2026_Log_Reseau_v15_7[[#This Row],[Durée cumulée_panne_minu]]/60</f>
        <v>2.6666666666666665</v>
      </c>
      <c r="R395">
        <f>ROUND(_26_03_2026_Log_Reseau_v15_7[[#This Row],[Durée_cumulée _ panne_en heure]],0)</f>
        <v>3</v>
      </c>
      <c r="S395">
        <f>_26_03_2026_Log_Reseau_v15_7[[#This Row],[Anciennété_mois]]/12</f>
        <v>6</v>
      </c>
      <c r="T395">
        <f>ROUND(_26_03_2026_Log_Reseau_v15_7[[#This Row],[anciennete_ en année]],0)</f>
        <v>6</v>
      </c>
      <c r="U39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395" s="3">
        <f>ROUND(_26_03_2026_Log_Reseau_v15_7[[#This Row],[remise 10%_70%_45%]],0)</f>
        <v>9</v>
      </c>
      <c r="W395" s="3">
        <f>_26_03_2026_Log_Reseau_v15_7[[#This Row],[Facture mensuelle]]*_26_03_2026_Log_Reseau_v15_7[[#This Row],[remise 10_70_45]]</f>
        <v>811.17</v>
      </c>
    </row>
    <row r="396" spans="1:23" x14ac:dyDescent="0.25">
      <c r="A396" s="1">
        <v>45221</v>
      </c>
      <c r="B396" s="2">
        <v>0.38819444444444445</v>
      </c>
      <c r="C396" t="s">
        <v>1414</v>
      </c>
      <c r="D396">
        <v>64</v>
      </c>
      <c r="E396" t="s">
        <v>808</v>
      </c>
      <c r="F396" t="s">
        <v>73</v>
      </c>
      <c r="G396">
        <v>-12.070842000000001</v>
      </c>
      <c r="H396">
        <v>14.757847</v>
      </c>
      <c r="I396" t="s">
        <v>1480</v>
      </c>
      <c r="J396" t="s">
        <v>1483</v>
      </c>
      <c r="K396" t="s">
        <v>72</v>
      </c>
      <c r="L396">
        <v>6</v>
      </c>
      <c r="M396" t="s">
        <v>11</v>
      </c>
      <c r="N396">
        <v>207</v>
      </c>
      <c r="O396">
        <v>61.55</v>
      </c>
      <c r="P396">
        <v>0</v>
      </c>
      <c r="Q396">
        <f>_26_03_2026_Log_Reseau_v15_7[[#This Row],[Durée cumulée_panne_minu]]/60</f>
        <v>3.45</v>
      </c>
      <c r="R396">
        <f>ROUND(_26_03_2026_Log_Reseau_v15_7[[#This Row],[Durée_cumulée _ panne_en heure]],0)</f>
        <v>3</v>
      </c>
      <c r="S396">
        <f>_26_03_2026_Log_Reseau_v15_7[[#This Row],[Anciennété_mois]]/12</f>
        <v>0.5</v>
      </c>
      <c r="T396">
        <f>ROUND(_26_03_2026_Log_Reseau_v15_7[[#This Row],[anciennete_ en année]],0)</f>
        <v>1</v>
      </c>
      <c r="U39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96" s="3">
        <f>ROUND(_26_03_2026_Log_Reseau_v15_7[[#This Row],[remise 10%_70%_45%]],0)</f>
        <v>0</v>
      </c>
      <c r="W396" s="3">
        <f>_26_03_2026_Log_Reseau_v15_7[[#This Row],[Facture mensuelle]]*_26_03_2026_Log_Reseau_v15_7[[#This Row],[remise 10_70_45]]</f>
        <v>0</v>
      </c>
    </row>
    <row r="397" spans="1:23" x14ac:dyDescent="0.25">
      <c r="A397" s="1">
        <v>45221</v>
      </c>
      <c r="B397" s="2">
        <v>0.8618055555555556</v>
      </c>
      <c r="C397" t="s">
        <v>1419</v>
      </c>
      <c r="D397">
        <v>21</v>
      </c>
      <c r="E397" t="s">
        <v>808</v>
      </c>
      <c r="F397" t="s">
        <v>37</v>
      </c>
      <c r="G397">
        <v>-1.864393</v>
      </c>
      <c r="H397">
        <v>21.453434000000001</v>
      </c>
      <c r="I397" t="s">
        <v>1477</v>
      </c>
      <c r="J397" t="s">
        <v>1478</v>
      </c>
      <c r="K397" t="s">
        <v>36</v>
      </c>
      <c r="L397">
        <v>115</v>
      </c>
      <c r="M397" t="s">
        <v>19</v>
      </c>
      <c r="N397">
        <v>176</v>
      </c>
      <c r="O397">
        <v>33.28</v>
      </c>
      <c r="P397">
        <v>4</v>
      </c>
      <c r="Q397">
        <f>_26_03_2026_Log_Reseau_v15_7[[#This Row],[Durée cumulée_panne_minu]]/60</f>
        <v>2.9333333333333331</v>
      </c>
      <c r="R397">
        <f>ROUND(_26_03_2026_Log_Reseau_v15_7[[#This Row],[Durée_cumulée _ panne_en heure]],0)</f>
        <v>3</v>
      </c>
      <c r="S397">
        <f>_26_03_2026_Log_Reseau_v15_7[[#This Row],[Anciennété_mois]]/12</f>
        <v>9.5833333333333339</v>
      </c>
      <c r="T397">
        <f>ROUND(_26_03_2026_Log_Reseau_v15_7[[#This Row],[anciennete_ en année]],0)</f>
        <v>10</v>
      </c>
      <c r="U39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97" s="3">
        <f>ROUND(_26_03_2026_Log_Reseau_v15_7[[#This Row],[remise 10%_70%_45%]],0)</f>
        <v>0</v>
      </c>
      <c r="W397" s="3">
        <f>_26_03_2026_Log_Reseau_v15_7[[#This Row],[Facture mensuelle]]*_26_03_2026_Log_Reseau_v15_7[[#This Row],[remise 10_70_45]]</f>
        <v>0</v>
      </c>
    </row>
    <row r="398" spans="1:23" x14ac:dyDescent="0.25">
      <c r="A398" s="1">
        <v>45221</v>
      </c>
      <c r="B398" s="2">
        <v>0.31319444444444444</v>
      </c>
      <c r="C398" t="s">
        <v>1425</v>
      </c>
      <c r="D398">
        <v>34</v>
      </c>
      <c r="E398" t="s">
        <v>808</v>
      </c>
      <c r="F398" t="s">
        <v>29</v>
      </c>
      <c r="G398">
        <v>-10.165072</v>
      </c>
      <c r="H398">
        <v>29.428024000000001</v>
      </c>
      <c r="I398" t="s">
        <v>1477</v>
      </c>
      <c r="J398" t="s">
        <v>1481</v>
      </c>
      <c r="K398" t="s">
        <v>28</v>
      </c>
      <c r="L398">
        <v>99</v>
      </c>
      <c r="M398" t="s">
        <v>19</v>
      </c>
      <c r="N398">
        <v>369</v>
      </c>
      <c r="O398">
        <v>67.209999999999994</v>
      </c>
      <c r="P398">
        <v>3</v>
      </c>
      <c r="Q398">
        <f>_26_03_2026_Log_Reseau_v15_7[[#This Row],[Durée cumulée_panne_minu]]/60</f>
        <v>6.15</v>
      </c>
      <c r="R398">
        <f>ROUND(_26_03_2026_Log_Reseau_v15_7[[#This Row],[Durée_cumulée _ panne_en heure]],0)</f>
        <v>6</v>
      </c>
      <c r="S398">
        <f>_26_03_2026_Log_Reseau_v15_7[[#This Row],[Anciennété_mois]]/12</f>
        <v>8.25</v>
      </c>
      <c r="T398">
        <f>ROUND(_26_03_2026_Log_Reseau_v15_7[[#This Row],[anciennete_ en année]],0)</f>
        <v>8</v>
      </c>
      <c r="U39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98" s="3">
        <f>ROUND(_26_03_2026_Log_Reseau_v15_7[[#This Row],[remise 10%_70%_45%]],0)</f>
        <v>0</v>
      </c>
      <c r="W398" s="3">
        <f>_26_03_2026_Log_Reseau_v15_7[[#This Row],[Facture mensuelle]]*_26_03_2026_Log_Reseau_v15_7[[#This Row],[remise 10_70_45]]</f>
        <v>0</v>
      </c>
    </row>
    <row r="399" spans="1:23" x14ac:dyDescent="0.25">
      <c r="A399" s="1">
        <v>45221</v>
      </c>
      <c r="B399" s="2">
        <v>0.71736111111111112</v>
      </c>
      <c r="C399" t="s">
        <v>1426</v>
      </c>
      <c r="D399">
        <v>14</v>
      </c>
      <c r="E399" t="s">
        <v>807</v>
      </c>
      <c r="F399" t="s">
        <v>37</v>
      </c>
      <c r="G399">
        <v>-2.4662510000000002</v>
      </c>
      <c r="H399">
        <v>18.007998000000001</v>
      </c>
      <c r="I399" t="s">
        <v>1477</v>
      </c>
      <c r="J399" t="s">
        <v>1478</v>
      </c>
      <c r="K399" t="s">
        <v>36</v>
      </c>
      <c r="L399">
        <v>115</v>
      </c>
      <c r="M399" t="s">
        <v>19</v>
      </c>
      <c r="N399">
        <v>176</v>
      </c>
      <c r="O399">
        <v>33.28</v>
      </c>
      <c r="P399">
        <v>4</v>
      </c>
      <c r="Q399">
        <f>_26_03_2026_Log_Reseau_v15_7[[#This Row],[Durée cumulée_panne_minu]]/60</f>
        <v>2.9333333333333331</v>
      </c>
      <c r="R399">
        <f>ROUND(_26_03_2026_Log_Reseau_v15_7[[#This Row],[Durée_cumulée _ panne_en heure]],0)</f>
        <v>3</v>
      </c>
      <c r="S399">
        <f>_26_03_2026_Log_Reseau_v15_7[[#This Row],[Anciennété_mois]]/12</f>
        <v>9.5833333333333339</v>
      </c>
      <c r="T399">
        <f>ROUND(_26_03_2026_Log_Reseau_v15_7[[#This Row],[anciennete_ en année]],0)</f>
        <v>10</v>
      </c>
      <c r="U39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399" s="3">
        <f>ROUND(_26_03_2026_Log_Reseau_v15_7[[#This Row],[remise 10%_70%_45%]],0)</f>
        <v>0</v>
      </c>
      <c r="W399" s="3">
        <f>_26_03_2026_Log_Reseau_v15_7[[#This Row],[Facture mensuelle]]*_26_03_2026_Log_Reseau_v15_7[[#This Row],[remise 10_70_45]]</f>
        <v>0</v>
      </c>
    </row>
    <row r="400" spans="1:23" x14ac:dyDescent="0.25">
      <c r="A400" s="1">
        <v>45222</v>
      </c>
      <c r="B400" s="2">
        <v>0.50138888888888888</v>
      </c>
      <c r="C400" t="s">
        <v>814</v>
      </c>
      <c r="D400">
        <v>39</v>
      </c>
      <c r="E400" t="s">
        <v>807</v>
      </c>
      <c r="F400" t="s">
        <v>18</v>
      </c>
      <c r="G400">
        <v>-11.89448</v>
      </c>
      <c r="H400">
        <v>19.216214999999998</v>
      </c>
      <c r="I400" t="s">
        <v>1482</v>
      </c>
      <c r="J400" t="s">
        <v>1483</v>
      </c>
      <c r="K400" t="s">
        <v>17</v>
      </c>
      <c r="L400">
        <v>44</v>
      </c>
      <c r="M400" t="s">
        <v>19</v>
      </c>
      <c r="N400">
        <v>348</v>
      </c>
      <c r="O400">
        <v>58.67</v>
      </c>
      <c r="P400">
        <v>0</v>
      </c>
      <c r="Q400">
        <f>_26_03_2026_Log_Reseau_v15_7[[#This Row],[Durée cumulée_panne_minu]]/60</f>
        <v>5.8</v>
      </c>
      <c r="R400">
        <f>ROUND(_26_03_2026_Log_Reseau_v15_7[[#This Row],[Durée_cumulée _ panne_en heure]],0)</f>
        <v>6</v>
      </c>
      <c r="S400">
        <f>_26_03_2026_Log_Reseau_v15_7[[#This Row],[Anciennété_mois]]/12</f>
        <v>3.6666666666666665</v>
      </c>
      <c r="T400">
        <f>ROUND(_26_03_2026_Log_Reseau_v15_7[[#This Row],[anciennete_ en année]],0)</f>
        <v>4</v>
      </c>
      <c r="U40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00" s="3">
        <f>ROUND(_26_03_2026_Log_Reseau_v15_7[[#This Row],[remise 10%_70%_45%]],0)</f>
        <v>0</v>
      </c>
      <c r="W400" s="3">
        <f>_26_03_2026_Log_Reseau_v15_7[[#This Row],[Facture mensuelle]]*_26_03_2026_Log_Reseau_v15_7[[#This Row],[remise 10_70_45]]</f>
        <v>0</v>
      </c>
    </row>
    <row r="401" spans="1:23" x14ac:dyDescent="0.25">
      <c r="A401" s="1">
        <v>45222</v>
      </c>
      <c r="B401" s="2">
        <v>0.65277777777777779</v>
      </c>
      <c r="C401" t="s">
        <v>827</v>
      </c>
      <c r="D401">
        <v>46</v>
      </c>
      <c r="E401" t="s">
        <v>812</v>
      </c>
      <c r="F401" t="s">
        <v>67</v>
      </c>
      <c r="G401">
        <v>-11.266565999999999</v>
      </c>
      <c r="H401">
        <v>26.245055000000001</v>
      </c>
      <c r="I401" t="s">
        <v>1482</v>
      </c>
      <c r="J401" t="s">
        <v>1478</v>
      </c>
      <c r="K401" t="s">
        <v>66</v>
      </c>
      <c r="L401">
        <v>101</v>
      </c>
      <c r="M401" t="s">
        <v>14</v>
      </c>
      <c r="N401">
        <v>176</v>
      </c>
      <c r="O401">
        <v>86</v>
      </c>
      <c r="P401">
        <v>3</v>
      </c>
      <c r="Q401">
        <f>_26_03_2026_Log_Reseau_v15_7[[#This Row],[Durée cumulée_panne_minu]]/60</f>
        <v>2.9333333333333331</v>
      </c>
      <c r="R401">
        <f>ROUND(_26_03_2026_Log_Reseau_v15_7[[#This Row],[Durée_cumulée _ panne_en heure]],0)</f>
        <v>3</v>
      </c>
      <c r="S401">
        <f>_26_03_2026_Log_Reseau_v15_7[[#This Row],[Anciennété_mois]]/12</f>
        <v>8.4166666666666661</v>
      </c>
      <c r="T401">
        <f>ROUND(_26_03_2026_Log_Reseau_v15_7[[#This Row],[anciennete_ en année]],0)</f>
        <v>8</v>
      </c>
      <c r="U40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401" s="3">
        <f>ROUND(_26_03_2026_Log_Reseau_v15_7[[#This Row],[remise 10%_70%_45%]],0)</f>
        <v>9</v>
      </c>
      <c r="W401" s="3">
        <f>_26_03_2026_Log_Reseau_v15_7[[#This Row],[Facture mensuelle]]*_26_03_2026_Log_Reseau_v15_7[[#This Row],[remise 10_70_45]]</f>
        <v>774</v>
      </c>
    </row>
    <row r="402" spans="1:23" x14ac:dyDescent="0.25">
      <c r="A402" s="1">
        <v>45222</v>
      </c>
      <c r="B402" s="2">
        <v>0.66319444444444442</v>
      </c>
      <c r="C402" t="s">
        <v>872</v>
      </c>
      <c r="D402">
        <v>6</v>
      </c>
      <c r="E402" t="s">
        <v>812</v>
      </c>
      <c r="F402" t="s">
        <v>62</v>
      </c>
      <c r="G402">
        <v>2.975352</v>
      </c>
      <c r="H402">
        <v>22.535886000000001</v>
      </c>
      <c r="I402" t="s">
        <v>1480</v>
      </c>
      <c r="J402" t="s">
        <v>1481</v>
      </c>
      <c r="K402" t="s">
        <v>61</v>
      </c>
      <c r="L402">
        <v>101</v>
      </c>
      <c r="M402" t="s">
        <v>14</v>
      </c>
      <c r="N402">
        <v>333</v>
      </c>
      <c r="O402">
        <v>74.319999999999993</v>
      </c>
      <c r="P402">
        <v>1</v>
      </c>
      <c r="Q402">
        <f>_26_03_2026_Log_Reseau_v15_7[[#This Row],[Durée cumulée_panne_minu]]/60</f>
        <v>5.55</v>
      </c>
      <c r="R402">
        <f>ROUND(_26_03_2026_Log_Reseau_v15_7[[#This Row],[Durée_cumulée _ panne_en heure]],0)</f>
        <v>6</v>
      </c>
      <c r="S402">
        <f>_26_03_2026_Log_Reseau_v15_7[[#This Row],[Anciennété_mois]]/12</f>
        <v>8.4166666666666661</v>
      </c>
      <c r="T402">
        <f>ROUND(_26_03_2026_Log_Reseau_v15_7[[#This Row],[anciennete_ en année]],0)</f>
        <v>8</v>
      </c>
      <c r="U40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402" s="3">
        <f>ROUND(_26_03_2026_Log_Reseau_v15_7[[#This Row],[remise 10%_70%_45%]],0)</f>
        <v>7</v>
      </c>
      <c r="W402" s="3">
        <f>_26_03_2026_Log_Reseau_v15_7[[#This Row],[Facture mensuelle]]*_26_03_2026_Log_Reseau_v15_7[[#This Row],[remise 10_70_45]]</f>
        <v>520.24</v>
      </c>
    </row>
    <row r="403" spans="1:23" x14ac:dyDescent="0.25">
      <c r="A403" s="1">
        <v>45222</v>
      </c>
      <c r="B403" s="2">
        <v>0.47916666666666669</v>
      </c>
      <c r="C403" t="s">
        <v>951</v>
      </c>
      <c r="D403">
        <v>112</v>
      </c>
      <c r="E403" t="s">
        <v>808</v>
      </c>
      <c r="F403" t="s">
        <v>127</v>
      </c>
      <c r="G403">
        <v>-8.8118569999999998</v>
      </c>
      <c r="H403">
        <v>14.465711000000001</v>
      </c>
      <c r="I403" t="s">
        <v>1477</v>
      </c>
      <c r="J403" t="s">
        <v>1490</v>
      </c>
      <c r="K403" t="s">
        <v>126</v>
      </c>
      <c r="L403">
        <v>40</v>
      </c>
      <c r="M403" t="s">
        <v>11</v>
      </c>
      <c r="N403">
        <v>345</v>
      </c>
      <c r="O403">
        <v>89.55</v>
      </c>
      <c r="P403">
        <v>3</v>
      </c>
      <c r="Q403">
        <f>_26_03_2026_Log_Reseau_v15_7[[#This Row],[Durée cumulée_panne_minu]]/60</f>
        <v>5.75</v>
      </c>
      <c r="R403">
        <f>ROUND(_26_03_2026_Log_Reseau_v15_7[[#This Row],[Durée_cumulée _ panne_en heure]],0)</f>
        <v>6</v>
      </c>
      <c r="S403">
        <f>_26_03_2026_Log_Reseau_v15_7[[#This Row],[Anciennété_mois]]/12</f>
        <v>3.3333333333333335</v>
      </c>
      <c r="T403">
        <f>ROUND(_26_03_2026_Log_Reseau_v15_7[[#This Row],[anciennete_ en année]],0)</f>
        <v>3</v>
      </c>
      <c r="U40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03" s="3">
        <f>ROUND(_26_03_2026_Log_Reseau_v15_7[[#This Row],[remise 10%_70%_45%]],0)</f>
        <v>0</v>
      </c>
      <c r="W403" s="3">
        <f>_26_03_2026_Log_Reseau_v15_7[[#This Row],[Facture mensuelle]]*_26_03_2026_Log_Reseau_v15_7[[#This Row],[remise 10_70_45]]</f>
        <v>0</v>
      </c>
    </row>
    <row r="404" spans="1:23" x14ac:dyDescent="0.25">
      <c r="A404" s="1">
        <v>45222</v>
      </c>
      <c r="B404" s="2">
        <v>0.7631944444444444</v>
      </c>
      <c r="C404" t="s">
        <v>1027</v>
      </c>
      <c r="D404">
        <v>91</v>
      </c>
      <c r="E404" t="s">
        <v>812</v>
      </c>
      <c r="F404" t="s">
        <v>26</v>
      </c>
      <c r="G404">
        <v>-3.6945459999999999</v>
      </c>
      <c r="H404">
        <v>16.809108999999999</v>
      </c>
      <c r="I404" t="s">
        <v>1477</v>
      </c>
      <c r="J404" t="s">
        <v>1483</v>
      </c>
      <c r="K404" t="s">
        <v>25</v>
      </c>
      <c r="L404">
        <v>99</v>
      </c>
      <c r="M404" t="s">
        <v>11</v>
      </c>
      <c r="N404">
        <v>447</v>
      </c>
      <c r="O404">
        <v>38.1</v>
      </c>
      <c r="P404">
        <v>3</v>
      </c>
      <c r="Q404">
        <f>_26_03_2026_Log_Reseau_v15_7[[#This Row],[Durée cumulée_panne_minu]]/60</f>
        <v>7.45</v>
      </c>
      <c r="R404">
        <f>ROUND(_26_03_2026_Log_Reseau_v15_7[[#This Row],[Durée_cumulée _ panne_en heure]],0)</f>
        <v>7</v>
      </c>
      <c r="S404">
        <f>_26_03_2026_Log_Reseau_v15_7[[#This Row],[Anciennété_mois]]/12</f>
        <v>8.25</v>
      </c>
      <c r="T404">
        <f>ROUND(_26_03_2026_Log_Reseau_v15_7[[#This Row],[anciennete_ en année]],0)</f>
        <v>8</v>
      </c>
      <c r="U40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04" s="3">
        <f>ROUND(_26_03_2026_Log_Reseau_v15_7[[#This Row],[remise 10%_70%_45%]],0)</f>
        <v>0</v>
      </c>
      <c r="W404" s="3">
        <f>_26_03_2026_Log_Reseau_v15_7[[#This Row],[Facture mensuelle]]*_26_03_2026_Log_Reseau_v15_7[[#This Row],[remise 10_70_45]]</f>
        <v>0</v>
      </c>
    </row>
    <row r="405" spans="1:23" x14ac:dyDescent="0.25">
      <c r="A405" s="1">
        <v>45222</v>
      </c>
      <c r="B405" s="2">
        <v>0.17916666666666667</v>
      </c>
      <c r="C405" t="s">
        <v>1038</v>
      </c>
      <c r="D405">
        <v>28</v>
      </c>
      <c r="E405" t="s">
        <v>808</v>
      </c>
      <c r="F405" t="s">
        <v>64</v>
      </c>
      <c r="G405">
        <v>-0.90854400000000002</v>
      </c>
      <c r="H405">
        <v>17.154896999999998</v>
      </c>
      <c r="I405" t="s">
        <v>1482</v>
      </c>
      <c r="J405" t="s">
        <v>1481</v>
      </c>
      <c r="K405" t="s">
        <v>63</v>
      </c>
      <c r="L405">
        <v>79</v>
      </c>
      <c r="M405" t="s">
        <v>11</v>
      </c>
      <c r="N405">
        <v>226</v>
      </c>
      <c r="O405">
        <v>94.38</v>
      </c>
      <c r="P405">
        <v>3</v>
      </c>
      <c r="Q405">
        <f>_26_03_2026_Log_Reseau_v15_7[[#This Row],[Durée cumulée_panne_minu]]/60</f>
        <v>3.7666666666666666</v>
      </c>
      <c r="R405">
        <f>ROUND(_26_03_2026_Log_Reseau_v15_7[[#This Row],[Durée_cumulée _ panne_en heure]],0)</f>
        <v>4</v>
      </c>
      <c r="S405">
        <f>_26_03_2026_Log_Reseau_v15_7[[#This Row],[Anciennété_mois]]/12</f>
        <v>6.583333333333333</v>
      </c>
      <c r="T405">
        <f>ROUND(_26_03_2026_Log_Reseau_v15_7[[#This Row],[anciennete_ en année]],0)</f>
        <v>7</v>
      </c>
      <c r="U40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05" s="3">
        <f>ROUND(_26_03_2026_Log_Reseau_v15_7[[#This Row],[remise 10%_70%_45%]],0)</f>
        <v>0</v>
      </c>
      <c r="W405" s="3">
        <f>_26_03_2026_Log_Reseau_v15_7[[#This Row],[Facture mensuelle]]*_26_03_2026_Log_Reseau_v15_7[[#This Row],[remise 10_70_45]]</f>
        <v>0</v>
      </c>
    </row>
    <row r="406" spans="1:23" x14ac:dyDescent="0.25">
      <c r="A406" s="1">
        <v>45222</v>
      </c>
      <c r="B406" s="2">
        <v>0.77777777777777779</v>
      </c>
      <c r="C406" t="s">
        <v>1079</v>
      </c>
      <c r="D406">
        <v>102</v>
      </c>
      <c r="E406" t="s">
        <v>812</v>
      </c>
      <c r="F406" t="s">
        <v>18</v>
      </c>
      <c r="G406">
        <v>-1.3938550000000001</v>
      </c>
      <c r="H406">
        <v>15.097554000000001</v>
      </c>
      <c r="I406" t="s">
        <v>1480</v>
      </c>
      <c r="J406" t="s">
        <v>1481</v>
      </c>
      <c r="K406" t="s">
        <v>17</v>
      </c>
      <c r="L406">
        <v>44</v>
      </c>
      <c r="M406" t="s">
        <v>19</v>
      </c>
      <c r="N406">
        <v>348</v>
      </c>
      <c r="O406">
        <v>58.67</v>
      </c>
      <c r="P406">
        <v>0</v>
      </c>
      <c r="Q406">
        <f>_26_03_2026_Log_Reseau_v15_7[[#This Row],[Durée cumulée_panne_minu]]/60</f>
        <v>5.8</v>
      </c>
      <c r="R406">
        <f>ROUND(_26_03_2026_Log_Reseau_v15_7[[#This Row],[Durée_cumulée _ panne_en heure]],0)</f>
        <v>6</v>
      </c>
      <c r="S406">
        <f>_26_03_2026_Log_Reseau_v15_7[[#This Row],[Anciennété_mois]]/12</f>
        <v>3.6666666666666665</v>
      </c>
      <c r="T406">
        <f>ROUND(_26_03_2026_Log_Reseau_v15_7[[#This Row],[anciennete_ en année]],0)</f>
        <v>4</v>
      </c>
      <c r="U40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06" s="3">
        <f>ROUND(_26_03_2026_Log_Reseau_v15_7[[#This Row],[remise 10%_70%_45%]],0)</f>
        <v>0</v>
      </c>
      <c r="W406" s="3">
        <f>_26_03_2026_Log_Reseau_v15_7[[#This Row],[Facture mensuelle]]*_26_03_2026_Log_Reseau_v15_7[[#This Row],[remise 10_70_45]]</f>
        <v>0</v>
      </c>
    </row>
    <row r="407" spans="1:23" x14ac:dyDescent="0.25">
      <c r="A407" s="1">
        <v>45222</v>
      </c>
      <c r="B407" s="2">
        <v>0.94374999999999998</v>
      </c>
      <c r="C407" t="s">
        <v>1109</v>
      </c>
      <c r="D407">
        <v>114</v>
      </c>
      <c r="E407" t="s">
        <v>807</v>
      </c>
      <c r="F407" t="s">
        <v>18</v>
      </c>
      <c r="G407">
        <v>-9.6407190000000007</v>
      </c>
      <c r="H407">
        <v>21.336704999999998</v>
      </c>
      <c r="I407" t="s">
        <v>1480</v>
      </c>
      <c r="J407" t="s">
        <v>1483</v>
      </c>
      <c r="K407" t="s">
        <v>17</v>
      </c>
      <c r="L407">
        <v>44</v>
      </c>
      <c r="M407" t="s">
        <v>19</v>
      </c>
      <c r="N407">
        <v>348</v>
      </c>
      <c r="O407">
        <v>58.67</v>
      </c>
      <c r="P407">
        <v>0</v>
      </c>
      <c r="Q407">
        <f>_26_03_2026_Log_Reseau_v15_7[[#This Row],[Durée cumulée_panne_minu]]/60</f>
        <v>5.8</v>
      </c>
      <c r="R407">
        <f>ROUND(_26_03_2026_Log_Reseau_v15_7[[#This Row],[Durée_cumulée _ panne_en heure]],0)</f>
        <v>6</v>
      </c>
      <c r="S407">
        <f>_26_03_2026_Log_Reseau_v15_7[[#This Row],[Anciennété_mois]]/12</f>
        <v>3.6666666666666665</v>
      </c>
      <c r="T407">
        <f>ROUND(_26_03_2026_Log_Reseau_v15_7[[#This Row],[anciennete_ en année]],0)</f>
        <v>4</v>
      </c>
      <c r="U40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07" s="3">
        <f>ROUND(_26_03_2026_Log_Reseau_v15_7[[#This Row],[remise 10%_70%_45%]],0)</f>
        <v>0</v>
      </c>
      <c r="W407" s="3">
        <f>_26_03_2026_Log_Reseau_v15_7[[#This Row],[Facture mensuelle]]*_26_03_2026_Log_Reseau_v15_7[[#This Row],[remise 10_70_45]]</f>
        <v>0</v>
      </c>
    </row>
    <row r="408" spans="1:23" x14ac:dyDescent="0.25">
      <c r="A408" s="1">
        <v>45222</v>
      </c>
      <c r="B408" s="2">
        <v>0.74861111111111112</v>
      </c>
      <c r="C408" t="s">
        <v>1175</v>
      </c>
      <c r="D408">
        <v>28</v>
      </c>
      <c r="E408" t="s">
        <v>808</v>
      </c>
      <c r="F408" t="s">
        <v>24</v>
      </c>
      <c r="G408">
        <v>-11.468578000000001</v>
      </c>
      <c r="H408">
        <v>16.914501999999999</v>
      </c>
      <c r="I408" t="s">
        <v>1480</v>
      </c>
      <c r="J408" t="s">
        <v>1478</v>
      </c>
      <c r="K408" t="s">
        <v>23</v>
      </c>
      <c r="L408">
        <v>46</v>
      </c>
      <c r="M408" t="s">
        <v>11</v>
      </c>
      <c r="N408">
        <v>283</v>
      </c>
      <c r="O408">
        <v>56.05</v>
      </c>
      <c r="P408">
        <v>1</v>
      </c>
      <c r="Q408">
        <f>_26_03_2026_Log_Reseau_v15_7[[#This Row],[Durée cumulée_panne_minu]]/60</f>
        <v>4.7166666666666668</v>
      </c>
      <c r="R408">
        <f>ROUND(_26_03_2026_Log_Reseau_v15_7[[#This Row],[Durée_cumulée _ panne_en heure]],0)</f>
        <v>5</v>
      </c>
      <c r="S408">
        <f>_26_03_2026_Log_Reseau_v15_7[[#This Row],[Anciennété_mois]]/12</f>
        <v>3.8333333333333335</v>
      </c>
      <c r="T408">
        <f>ROUND(_26_03_2026_Log_Reseau_v15_7[[#This Row],[anciennete_ en année]],0)</f>
        <v>4</v>
      </c>
      <c r="U40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08" s="3">
        <f>ROUND(_26_03_2026_Log_Reseau_v15_7[[#This Row],[remise 10%_70%_45%]],0)</f>
        <v>0</v>
      </c>
      <c r="W408" s="3">
        <f>_26_03_2026_Log_Reseau_v15_7[[#This Row],[Facture mensuelle]]*_26_03_2026_Log_Reseau_v15_7[[#This Row],[remise 10_70_45]]</f>
        <v>0</v>
      </c>
    </row>
    <row r="409" spans="1:23" x14ac:dyDescent="0.25">
      <c r="A409" s="1">
        <v>45222</v>
      </c>
      <c r="B409" s="2">
        <v>0.59722222222222221</v>
      </c>
      <c r="C409" t="s">
        <v>1180</v>
      </c>
      <c r="D409">
        <v>22</v>
      </c>
      <c r="E409" t="s">
        <v>808</v>
      </c>
      <c r="F409" t="s">
        <v>131</v>
      </c>
      <c r="G409">
        <v>-1.8555980000000001</v>
      </c>
      <c r="H409">
        <v>30.421918000000002</v>
      </c>
      <c r="I409" t="s">
        <v>1482</v>
      </c>
      <c r="J409" t="s">
        <v>1483</v>
      </c>
      <c r="K409" t="s">
        <v>130</v>
      </c>
      <c r="L409">
        <v>16</v>
      </c>
      <c r="M409" t="s">
        <v>19</v>
      </c>
      <c r="N409">
        <v>390</v>
      </c>
      <c r="O409">
        <v>98.17</v>
      </c>
      <c r="P409">
        <v>5</v>
      </c>
      <c r="Q409">
        <f>_26_03_2026_Log_Reseau_v15_7[[#This Row],[Durée cumulée_panne_minu]]/60</f>
        <v>6.5</v>
      </c>
      <c r="R409">
        <f>ROUND(_26_03_2026_Log_Reseau_v15_7[[#This Row],[Durée_cumulée _ panne_en heure]],0)</f>
        <v>7</v>
      </c>
      <c r="S409">
        <f>_26_03_2026_Log_Reseau_v15_7[[#This Row],[Anciennété_mois]]/12</f>
        <v>1.3333333333333333</v>
      </c>
      <c r="T409">
        <f>ROUND(_26_03_2026_Log_Reseau_v15_7[[#This Row],[anciennete_ en année]],0)</f>
        <v>1</v>
      </c>
      <c r="U40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09" s="3">
        <f>ROUND(_26_03_2026_Log_Reseau_v15_7[[#This Row],[remise 10%_70%_45%]],0)</f>
        <v>0</v>
      </c>
      <c r="W409" s="3">
        <f>_26_03_2026_Log_Reseau_v15_7[[#This Row],[Facture mensuelle]]*_26_03_2026_Log_Reseau_v15_7[[#This Row],[remise 10_70_45]]</f>
        <v>0</v>
      </c>
    </row>
    <row r="410" spans="1:23" x14ac:dyDescent="0.25">
      <c r="A410" s="1">
        <v>45222</v>
      </c>
      <c r="B410" s="2">
        <v>0.63124999999999998</v>
      </c>
      <c r="C410" t="s">
        <v>1182</v>
      </c>
      <c r="D410">
        <v>90</v>
      </c>
      <c r="E410" t="s">
        <v>807</v>
      </c>
      <c r="F410" t="s">
        <v>37</v>
      </c>
      <c r="G410">
        <v>-2.099631</v>
      </c>
      <c r="H410">
        <v>13.974640000000001</v>
      </c>
      <c r="I410" t="s">
        <v>1482</v>
      </c>
      <c r="J410" t="s">
        <v>1490</v>
      </c>
      <c r="K410" t="s">
        <v>36</v>
      </c>
      <c r="L410">
        <v>115</v>
      </c>
      <c r="M410" t="s">
        <v>19</v>
      </c>
      <c r="N410">
        <v>176</v>
      </c>
      <c r="O410">
        <v>33.28</v>
      </c>
      <c r="P410">
        <v>4</v>
      </c>
      <c r="Q410">
        <f>_26_03_2026_Log_Reseau_v15_7[[#This Row],[Durée cumulée_panne_minu]]/60</f>
        <v>2.9333333333333331</v>
      </c>
      <c r="R410">
        <f>ROUND(_26_03_2026_Log_Reseau_v15_7[[#This Row],[Durée_cumulée _ panne_en heure]],0)</f>
        <v>3</v>
      </c>
      <c r="S410">
        <f>_26_03_2026_Log_Reseau_v15_7[[#This Row],[Anciennété_mois]]/12</f>
        <v>9.5833333333333339</v>
      </c>
      <c r="T410">
        <f>ROUND(_26_03_2026_Log_Reseau_v15_7[[#This Row],[anciennete_ en année]],0)</f>
        <v>10</v>
      </c>
      <c r="U41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10" s="3">
        <f>ROUND(_26_03_2026_Log_Reseau_v15_7[[#This Row],[remise 10%_70%_45%]],0)</f>
        <v>0</v>
      </c>
      <c r="W410" s="3">
        <f>_26_03_2026_Log_Reseau_v15_7[[#This Row],[Facture mensuelle]]*_26_03_2026_Log_Reseau_v15_7[[#This Row],[remise 10_70_45]]</f>
        <v>0</v>
      </c>
    </row>
    <row r="411" spans="1:23" x14ac:dyDescent="0.25">
      <c r="A411" s="1">
        <v>45222</v>
      </c>
      <c r="B411" s="2">
        <v>0.42708333333333331</v>
      </c>
      <c r="C411" t="s">
        <v>1183</v>
      </c>
      <c r="D411">
        <v>82</v>
      </c>
      <c r="E411" t="s">
        <v>807</v>
      </c>
      <c r="F411" t="s">
        <v>26</v>
      </c>
      <c r="G411">
        <v>-4.4697000000000001E-2</v>
      </c>
      <c r="H411">
        <v>22.943373000000001</v>
      </c>
      <c r="I411" t="s">
        <v>1482</v>
      </c>
      <c r="J411" t="s">
        <v>1481</v>
      </c>
      <c r="K411" t="s">
        <v>25</v>
      </c>
      <c r="L411">
        <v>99</v>
      </c>
      <c r="M411" t="s">
        <v>11</v>
      </c>
      <c r="N411">
        <v>447</v>
      </c>
      <c r="O411">
        <v>38.1</v>
      </c>
      <c r="P411">
        <v>3</v>
      </c>
      <c r="Q411">
        <f>_26_03_2026_Log_Reseau_v15_7[[#This Row],[Durée cumulée_panne_minu]]/60</f>
        <v>7.45</v>
      </c>
      <c r="R411">
        <f>ROUND(_26_03_2026_Log_Reseau_v15_7[[#This Row],[Durée_cumulée _ panne_en heure]],0)</f>
        <v>7</v>
      </c>
      <c r="S411">
        <f>_26_03_2026_Log_Reseau_v15_7[[#This Row],[Anciennété_mois]]/12</f>
        <v>8.25</v>
      </c>
      <c r="T411">
        <f>ROUND(_26_03_2026_Log_Reseau_v15_7[[#This Row],[anciennete_ en année]],0)</f>
        <v>8</v>
      </c>
      <c r="U41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11" s="3">
        <f>ROUND(_26_03_2026_Log_Reseau_v15_7[[#This Row],[remise 10%_70%_45%]],0)</f>
        <v>0</v>
      </c>
      <c r="W411" s="3">
        <f>_26_03_2026_Log_Reseau_v15_7[[#This Row],[Facture mensuelle]]*_26_03_2026_Log_Reseau_v15_7[[#This Row],[remise 10_70_45]]</f>
        <v>0</v>
      </c>
    </row>
    <row r="412" spans="1:23" x14ac:dyDescent="0.25">
      <c r="A412" s="1">
        <v>45222</v>
      </c>
      <c r="B412" s="2">
        <v>0.83402777777777781</v>
      </c>
      <c r="C412" t="s">
        <v>1328</v>
      </c>
      <c r="D412">
        <v>109</v>
      </c>
      <c r="E412" t="s">
        <v>808</v>
      </c>
      <c r="F412" t="s">
        <v>24</v>
      </c>
      <c r="G412">
        <v>-2.9417719999999998</v>
      </c>
      <c r="H412">
        <v>18.587305000000001</v>
      </c>
      <c r="I412" t="s">
        <v>1477</v>
      </c>
      <c r="J412" t="s">
        <v>1478</v>
      </c>
      <c r="K412" t="s">
        <v>23</v>
      </c>
      <c r="L412">
        <v>46</v>
      </c>
      <c r="M412" t="s">
        <v>11</v>
      </c>
      <c r="N412">
        <v>283</v>
      </c>
      <c r="O412">
        <v>56.05</v>
      </c>
      <c r="P412">
        <v>1</v>
      </c>
      <c r="Q412">
        <f>_26_03_2026_Log_Reseau_v15_7[[#This Row],[Durée cumulée_panne_minu]]/60</f>
        <v>4.7166666666666668</v>
      </c>
      <c r="R412">
        <f>ROUND(_26_03_2026_Log_Reseau_v15_7[[#This Row],[Durée_cumulée _ panne_en heure]],0)</f>
        <v>5</v>
      </c>
      <c r="S412">
        <f>_26_03_2026_Log_Reseau_v15_7[[#This Row],[Anciennété_mois]]/12</f>
        <v>3.8333333333333335</v>
      </c>
      <c r="T412">
        <f>ROUND(_26_03_2026_Log_Reseau_v15_7[[#This Row],[anciennete_ en année]],0)</f>
        <v>4</v>
      </c>
      <c r="U41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12" s="3">
        <f>ROUND(_26_03_2026_Log_Reseau_v15_7[[#This Row],[remise 10%_70%_45%]],0)</f>
        <v>0</v>
      </c>
      <c r="W412" s="3">
        <f>_26_03_2026_Log_Reseau_v15_7[[#This Row],[Facture mensuelle]]*_26_03_2026_Log_Reseau_v15_7[[#This Row],[remise 10_70_45]]</f>
        <v>0</v>
      </c>
    </row>
    <row r="413" spans="1:23" x14ac:dyDescent="0.25">
      <c r="A413" s="1">
        <v>45222</v>
      </c>
      <c r="B413" s="2">
        <v>0.35347222222222224</v>
      </c>
      <c r="C413" t="s">
        <v>1351</v>
      </c>
      <c r="D413">
        <v>101</v>
      </c>
      <c r="E413" t="s">
        <v>808</v>
      </c>
      <c r="F413" t="s">
        <v>131</v>
      </c>
      <c r="G413">
        <v>-10.846306999999999</v>
      </c>
      <c r="H413">
        <v>19.201827999999999</v>
      </c>
      <c r="I413" t="s">
        <v>1480</v>
      </c>
      <c r="J413" t="s">
        <v>1478</v>
      </c>
      <c r="K413" t="s">
        <v>130</v>
      </c>
      <c r="L413">
        <v>16</v>
      </c>
      <c r="M413" t="s">
        <v>19</v>
      </c>
      <c r="N413">
        <v>390</v>
      </c>
      <c r="O413">
        <v>98.17</v>
      </c>
      <c r="P413">
        <v>5</v>
      </c>
      <c r="Q413">
        <f>_26_03_2026_Log_Reseau_v15_7[[#This Row],[Durée cumulée_panne_minu]]/60</f>
        <v>6.5</v>
      </c>
      <c r="R413">
        <f>ROUND(_26_03_2026_Log_Reseau_v15_7[[#This Row],[Durée_cumulée _ panne_en heure]],0)</f>
        <v>7</v>
      </c>
      <c r="S413">
        <f>_26_03_2026_Log_Reseau_v15_7[[#This Row],[Anciennété_mois]]/12</f>
        <v>1.3333333333333333</v>
      </c>
      <c r="T413">
        <f>ROUND(_26_03_2026_Log_Reseau_v15_7[[#This Row],[anciennete_ en année]],0)</f>
        <v>1</v>
      </c>
      <c r="U41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13" s="3">
        <f>ROUND(_26_03_2026_Log_Reseau_v15_7[[#This Row],[remise 10%_70%_45%]],0)</f>
        <v>0</v>
      </c>
      <c r="W413" s="3">
        <f>_26_03_2026_Log_Reseau_v15_7[[#This Row],[Facture mensuelle]]*_26_03_2026_Log_Reseau_v15_7[[#This Row],[remise 10_70_45]]</f>
        <v>0</v>
      </c>
    </row>
    <row r="414" spans="1:23" x14ac:dyDescent="0.25">
      <c r="A414" s="1">
        <v>45222</v>
      </c>
      <c r="B414" s="2">
        <v>0.18888888888888888</v>
      </c>
      <c r="C414" t="s">
        <v>1358</v>
      </c>
      <c r="D414">
        <v>33</v>
      </c>
      <c r="E414" t="s">
        <v>807</v>
      </c>
      <c r="F414" t="s">
        <v>16</v>
      </c>
      <c r="G414">
        <v>-5.3762689999999997</v>
      </c>
      <c r="H414">
        <v>28.189575999999999</v>
      </c>
      <c r="I414" t="s">
        <v>1477</v>
      </c>
      <c r="J414" t="s">
        <v>1481</v>
      </c>
      <c r="K414" t="s">
        <v>15</v>
      </c>
      <c r="L414">
        <v>34</v>
      </c>
      <c r="M414" t="s">
        <v>14</v>
      </c>
      <c r="N414">
        <v>453</v>
      </c>
      <c r="O414">
        <v>56.84</v>
      </c>
      <c r="P414">
        <v>0</v>
      </c>
      <c r="Q414">
        <f>_26_03_2026_Log_Reseau_v15_7[[#This Row],[Durée cumulée_panne_minu]]/60</f>
        <v>7.55</v>
      </c>
      <c r="R414">
        <f>ROUND(_26_03_2026_Log_Reseau_v15_7[[#This Row],[Durée_cumulée _ panne_en heure]],0)</f>
        <v>8</v>
      </c>
      <c r="S414">
        <f>_26_03_2026_Log_Reseau_v15_7[[#This Row],[Anciennété_mois]]/12</f>
        <v>2.8333333333333335</v>
      </c>
      <c r="T414">
        <f>ROUND(_26_03_2026_Log_Reseau_v15_7[[#This Row],[anciennete_ en année]],0)</f>
        <v>3</v>
      </c>
      <c r="U41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414" s="3">
        <f>ROUND(_26_03_2026_Log_Reseau_v15_7[[#This Row],[remise 10%_70%_45%]],0)</f>
        <v>6</v>
      </c>
      <c r="W414" s="3">
        <f>_26_03_2026_Log_Reseau_v15_7[[#This Row],[Facture mensuelle]]*_26_03_2026_Log_Reseau_v15_7[[#This Row],[remise 10_70_45]]</f>
        <v>341.04</v>
      </c>
    </row>
    <row r="415" spans="1:23" x14ac:dyDescent="0.25">
      <c r="A415" s="1">
        <v>45222</v>
      </c>
      <c r="B415" s="2">
        <v>0.58472222222222225</v>
      </c>
      <c r="C415" t="s">
        <v>1382</v>
      </c>
      <c r="D415">
        <v>15</v>
      </c>
      <c r="E415" t="s">
        <v>812</v>
      </c>
      <c r="F415" t="s">
        <v>60</v>
      </c>
      <c r="G415">
        <v>-9.1215879999999991</v>
      </c>
      <c r="H415">
        <v>16.457916999999998</v>
      </c>
      <c r="I415" t="s">
        <v>1480</v>
      </c>
      <c r="J415" t="s">
        <v>1490</v>
      </c>
      <c r="K415" t="s">
        <v>59</v>
      </c>
      <c r="L415">
        <v>14</v>
      </c>
      <c r="M415" t="s">
        <v>14</v>
      </c>
      <c r="N415">
        <v>316</v>
      </c>
      <c r="O415">
        <v>62.34</v>
      </c>
      <c r="P415">
        <v>4</v>
      </c>
      <c r="Q415">
        <f>_26_03_2026_Log_Reseau_v15_7[[#This Row],[Durée cumulée_panne_minu]]/60</f>
        <v>5.2666666666666666</v>
      </c>
      <c r="R415">
        <f>ROUND(_26_03_2026_Log_Reseau_v15_7[[#This Row],[Durée_cumulée _ panne_en heure]],0)</f>
        <v>5</v>
      </c>
      <c r="S415">
        <f>_26_03_2026_Log_Reseau_v15_7[[#This Row],[Anciennété_mois]]/12</f>
        <v>1.1666666666666667</v>
      </c>
      <c r="T415">
        <f>ROUND(_26_03_2026_Log_Reseau_v15_7[[#This Row],[anciennete_ en année]],0)</f>
        <v>1</v>
      </c>
      <c r="U41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415" s="3">
        <f>ROUND(_26_03_2026_Log_Reseau_v15_7[[#This Row],[remise 10%_70%_45%]],0)</f>
        <v>6</v>
      </c>
      <c r="W415" s="3">
        <f>_26_03_2026_Log_Reseau_v15_7[[#This Row],[Facture mensuelle]]*_26_03_2026_Log_Reseau_v15_7[[#This Row],[remise 10_70_45]]</f>
        <v>374.04</v>
      </c>
    </row>
    <row r="416" spans="1:23" x14ac:dyDescent="0.25">
      <c r="A416" s="1">
        <v>45222</v>
      </c>
      <c r="B416" s="2">
        <v>0.4152777777777778</v>
      </c>
      <c r="C416" t="s">
        <v>1427</v>
      </c>
      <c r="D416">
        <v>73</v>
      </c>
      <c r="E416" t="s">
        <v>807</v>
      </c>
      <c r="F416" t="s">
        <v>89</v>
      </c>
      <c r="G416">
        <v>-4.8128659999999996</v>
      </c>
      <c r="H416">
        <v>18.559304999999998</v>
      </c>
      <c r="I416" t="s">
        <v>1477</v>
      </c>
      <c r="J416" t="s">
        <v>1483</v>
      </c>
      <c r="K416" t="s">
        <v>88</v>
      </c>
      <c r="L416">
        <v>98</v>
      </c>
      <c r="M416" t="s">
        <v>14</v>
      </c>
      <c r="N416">
        <v>482</v>
      </c>
      <c r="O416">
        <v>55.04</v>
      </c>
      <c r="P416">
        <v>5</v>
      </c>
      <c r="Q416">
        <f>_26_03_2026_Log_Reseau_v15_7[[#This Row],[Durée cumulée_panne_minu]]/60</f>
        <v>8.0333333333333332</v>
      </c>
      <c r="R416">
        <f>ROUND(_26_03_2026_Log_Reseau_v15_7[[#This Row],[Durée_cumulée _ panne_en heure]],0)</f>
        <v>8</v>
      </c>
      <c r="S416">
        <f>_26_03_2026_Log_Reseau_v15_7[[#This Row],[Anciennété_mois]]/12</f>
        <v>8.1666666666666661</v>
      </c>
      <c r="T416">
        <f>ROUND(_26_03_2026_Log_Reseau_v15_7[[#This Row],[anciennete_ en année]],0)</f>
        <v>8</v>
      </c>
      <c r="U41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416" s="3">
        <f>ROUND(_26_03_2026_Log_Reseau_v15_7[[#This Row],[remise 10%_70%_45%]],0)</f>
        <v>6</v>
      </c>
      <c r="W416" s="3">
        <f>_26_03_2026_Log_Reseau_v15_7[[#This Row],[Facture mensuelle]]*_26_03_2026_Log_Reseau_v15_7[[#This Row],[remise 10_70_45]]</f>
        <v>330.24</v>
      </c>
    </row>
    <row r="417" spans="1:23" x14ac:dyDescent="0.25">
      <c r="A417" s="1">
        <v>45222</v>
      </c>
      <c r="B417" s="2">
        <v>0.90277777777777779</v>
      </c>
      <c r="C417" t="s">
        <v>1463</v>
      </c>
      <c r="D417">
        <v>31</v>
      </c>
      <c r="E417" t="s">
        <v>812</v>
      </c>
      <c r="F417" t="s">
        <v>35</v>
      </c>
      <c r="G417">
        <v>-7.5969509999999998</v>
      </c>
      <c r="H417">
        <v>22.153986</v>
      </c>
      <c r="I417" t="s">
        <v>1482</v>
      </c>
      <c r="J417" t="s">
        <v>1478</v>
      </c>
      <c r="K417" t="s">
        <v>34</v>
      </c>
      <c r="L417">
        <v>35</v>
      </c>
      <c r="M417" t="s">
        <v>14</v>
      </c>
      <c r="N417">
        <v>465</v>
      </c>
      <c r="O417">
        <v>58.59</v>
      </c>
      <c r="P417">
        <v>5</v>
      </c>
      <c r="Q417">
        <f>_26_03_2026_Log_Reseau_v15_7[[#This Row],[Durée cumulée_panne_minu]]/60</f>
        <v>7.75</v>
      </c>
      <c r="R417">
        <f>ROUND(_26_03_2026_Log_Reseau_v15_7[[#This Row],[Durée_cumulée _ panne_en heure]],0)</f>
        <v>8</v>
      </c>
      <c r="S417">
        <f>_26_03_2026_Log_Reseau_v15_7[[#This Row],[Anciennété_mois]]/12</f>
        <v>2.9166666666666665</v>
      </c>
      <c r="T417">
        <f>ROUND(_26_03_2026_Log_Reseau_v15_7[[#This Row],[anciennete_ en année]],0)</f>
        <v>3</v>
      </c>
      <c r="U41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417" s="3">
        <f>ROUND(_26_03_2026_Log_Reseau_v15_7[[#This Row],[remise 10%_70%_45%]],0)</f>
        <v>6</v>
      </c>
      <c r="W417" s="3">
        <f>_26_03_2026_Log_Reseau_v15_7[[#This Row],[Facture mensuelle]]*_26_03_2026_Log_Reseau_v15_7[[#This Row],[remise 10_70_45]]</f>
        <v>351.54</v>
      </c>
    </row>
    <row r="418" spans="1:23" x14ac:dyDescent="0.25">
      <c r="A418" s="1">
        <v>45223</v>
      </c>
      <c r="B418" s="2">
        <v>0.41875000000000001</v>
      </c>
      <c r="C418" t="s">
        <v>815</v>
      </c>
      <c r="D418">
        <v>89</v>
      </c>
      <c r="E418" t="s">
        <v>807</v>
      </c>
      <c r="F418" t="s">
        <v>24</v>
      </c>
      <c r="G418">
        <v>4.4712560000000003</v>
      </c>
      <c r="H418">
        <v>27.107028</v>
      </c>
      <c r="I418" t="s">
        <v>1482</v>
      </c>
      <c r="J418" t="s">
        <v>1478</v>
      </c>
      <c r="K418" t="s">
        <v>23</v>
      </c>
      <c r="L418">
        <v>46</v>
      </c>
      <c r="M418" t="s">
        <v>11</v>
      </c>
      <c r="N418">
        <v>283</v>
      </c>
      <c r="O418">
        <v>56.05</v>
      </c>
      <c r="P418">
        <v>1</v>
      </c>
      <c r="Q418">
        <f>_26_03_2026_Log_Reseau_v15_7[[#This Row],[Durée cumulée_panne_minu]]/60</f>
        <v>4.7166666666666668</v>
      </c>
      <c r="R418">
        <f>ROUND(_26_03_2026_Log_Reseau_v15_7[[#This Row],[Durée_cumulée _ panne_en heure]],0)</f>
        <v>5</v>
      </c>
      <c r="S418">
        <f>_26_03_2026_Log_Reseau_v15_7[[#This Row],[Anciennété_mois]]/12</f>
        <v>3.8333333333333335</v>
      </c>
      <c r="T418">
        <f>ROUND(_26_03_2026_Log_Reseau_v15_7[[#This Row],[anciennete_ en année]],0)</f>
        <v>4</v>
      </c>
      <c r="U41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18" s="3">
        <f>ROUND(_26_03_2026_Log_Reseau_v15_7[[#This Row],[remise 10%_70%_45%]],0)</f>
        <v>0</v>
      </c>
      <c r="W418" s="3">
        <f>_26_03_2026_Log_Reseau_v15_7[[#This Row],[Facture mensuelle]]*_26_03_2026_Log_Reseau_v15_7[[#This Row],[remise 10_70_45]]</f>
        <v>0</v>
      </c>
    </row>
    <row r="419" spans="1:23" x14ac:dyDescent="0.25">
      <c r="A419" s="1">
        <v>45223</v>
      </c>
      <c r="B419" s="2">
        <v>0.73611111111111116</v>
      </c>
      <c r="C419" t="s">
        <v>834</v>
      </c>
      <c r="D419">
        <v>116</v>
      </c>
      <c r="E419" t="s">
        <v>808</v>
      </c>
      <c r="F419" t="s">
        <v>24</v>
      </c>
      <c r="G419">
        <v>0.16841400000000001</v>
      </c>
      <c r="H419">
        <v>30.029876999999999</v>
      </c>
      <c r="I419" t="s">
        <v>1477</v>
      </c>
      <c r="J419" t="s">
        <v>1481</v>
      </c>
      <c r="K419" t="s">
        <v>23</v>
      </c>
      <c r="L419">
        <v>46</v>
      </c>
      <c r="M419" t="s">
        <v>11</v>
      </c>
      <c r="N419">
        <v>283</v>
      </c>
      <c r="O419">
        <v>56.05</v>
      </c>
      <c r="P419">
        <v>1</v>
      </c>
      <c r="Q419">
        <f>_26_03_2026_Log_Reseau_v15_7[[#This Row],[Durée cumulée_panne_minu]]/60</f>
        <v>4.7166666666666668</v>
      </c>
      <c r="R419">
        <f>ROUND(_26_03_2026_Log_Reseau_v15_7[[#This Row],[Durée_cumulée _ panne_en heure]],0)</f>
        <v>5</v>
      </c>
      <c r="S419">
        <f>_26_03_2026_Log_Reseau_v15_7[[#This Row],[Anciennété_mois]]/12</f>
        <v>3.8333333333333335</v>
      </c>
      <c r="T419">
        <f>ROUND(_26_03_2026_Log_Reseau_v15_7[[#This Row],[anciennete_ en année]],0)</f>
        <v>4</v>
      </c>
      <c r="U41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19" s="3">
        <f>ROUND(_26_03_2026_Log_Reseau_v15_7[[#This Row],[remise 10%_70%_45%]],0)</f>
        <v>0</v>
      </c>
      <c r="W419" s="3">
        <f>_26_03_2026_Log_Reseau_v15_7[[#This Row],[Facture mensuelle]]*_26_03_2026_Log_Reseau_v15_7[[#This Row],[remise 10_70_45]]</f>
        <v>0</v>
      </c>
    </row>
    <row r="420" spans="1:23" x14ac:dyDescent="0.25">
      <c r="A420" s="1">
        <v>45223</v>
      </c>
      <c r="B420" s="2">
        <v>0.40069444444444446</v>
      </c>
      <c r="C420" t="s">
        <v>843</v>
      </c>
      <c r="D420">
        <v>41</v>
      </c>
      <c r="E420" t="s">
        <v>812</v>
      </c>
      <c r="F420" t="s">
        <v>16</v>
      </c>
      <c r="G420">
        <v>-1.231033</v>
      </c>
      <c r="H420">
        <v>28.851388</v>
      </c>
      <c r="I420" t="s">
        <v>1482</v>
      </c>
      <c r="J420" t="s">
        <v>1478</v>
      </c>
      <c r="K420" t="s">
        <v>15</v>
      </c>
      <c r="L420">
        <v>34</v>
      </c>
      <c r="M420" t="s">
        <v>14</v>
      </c>
      <c r="N420">
        <v>453</v>
      </c>
      <c r="O420">
        <v>56.84</v>
      </c>
      <c r="P420">
        <v>0</v>
      </c>
      <c r="Q420">
        <f>_26_03_2026_Log_Reseau_v15_7[[#This Row],[Durée cumulée_panne_minu]]/60</f>
        <v>7.55</v>
      </c>
      <c r="R420">
        <f>ROUND(_26_03_2026_Log_Reseau_v15_7[[#This Row],[Durée_cumulée _ panne_en heure]],0)</f>
        <v>8</v>
      </c>
      <c r="S420">
        <f>_26_03_2026_Log_Reseau_v15_7[[#This Row],[Anciennété_mois]]/12</f>
        <v>2.8333333333333335</v>
      </c>
      <c r="T420">
        <f>ROUND(_26_03_2026_Log_Reseau_v15_7[[#This Row],[anciennete_ en année]],0)</f>
        <v>3</v>
      </c>
      <c r="U42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420" s="3">
        <f>ROUND(_26_03_2026_Log_Reseau_v15_7[[#This Row],[remise 10%_70%_45%]],0)</f>
        <v>6</v>
      </c>
      <c r="W420" s="3">
        <f>_26_03_2026_Log_Reseau_v15_7[[#This Row],[Facture mensuelle]]*_26_03_2026_Log_Reseau_v15_7[[#This Row],[remise 10_70_45]]</f>
        <v>341.04</v>
      </c>
    </row>
    <row r="421" spans="1:23" x14ac:dyDescent="0.25">
      <c r="A421" s="1">
        <v>45223</v>
      </c>
      <c r="B421" s="2">
        <v>0.57013888888888886</v>
      </c>
      <c r="C421" t="s">
        <v>844</v>
      </c>
      <c r="D421">
        <v>10</v>
      </c>
      <c r="E421" t="s">
        <v>808</v>
      </c>
      <c r="F421" t="s">
        <v>44</v>
      </c>
      <c r="G421">
        <v>-9.3652280000000001</v>
      </c>
      <c r="H421">
        <v>18.674116000000001</v>
      </c>
      <c r="I421" t="s">
        <v>1480</v>
      </c>
      <c r="J421" t="s">
        <v>1481</v>
      </c>
      <c r="K421" t="s">
        <v>43</v>
      </c>
      <c r="L421">
        <v>66</v>
      </c>
      <c r="M421" t="s">
        <v>22</v>
      </c>
      <c r="N421">
        <v>270</v>
      </c>
      <c r="O421">
        <v>75.88</v>
      </c>
      <c r="P421">
        <v>3</v>
      </c>
      <c r="Q421">
        <f>_26_03_2026_Log_Reseau_v15_7[[#This Row],[Durée cumulée_panne_minu]]/60</f>
        <v>4.5</v>
      </c>
      <c r="R421">
        <f>ROUND(_26_03_2026_Log_Reseau_v15_7[[#This Row],[Durée_cumulée _ panne_en heure]],0)</f>
        <v>5</v>
      </c>
      <c r="S421">
        <f>_26_03_2026_Log_Reseau_v15_7[[#This Row],[Anciennété_mois]]/12</f>
        <v>5.5</v>
      </c>
      <c r="T421">
        <f>ROUND(_26_03_2026_Log_Reseau_v15_7[[#This Row],[anciennete_ en année]],0)</f>
        <v>6</v>
      </c>
      <c r="U42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21" s="3">
        <f>ROUND(_26_03_2026_Log_Reseau_v15_7[[#This Row],[remise 10%_70%_45%]],0)</f>
        <v>0</v>
      </c>
      <c r="W421" s="3">
        <f>_26_03_2026_Log_Reseau_v15_7[[#This Row],[Facture mensuelle]]*_26_03_2026_Log_Reseau_v15_7[[#This Row],[remise 10_70_45]]</f>
        <v>0</v>
      </c>
    </row>
    <row r="422" spans="1:23" x14ac:dyDescent="0.25">
      <c r="A422" s="1">
        <v>45223</v>
      </c>
      <c r="B422" s="2">
        <v>0.7944444444444444</v>
      </c>
      <c r="C422" t="s">
        <v>879</v>
      </c>
      <c r="D422">
        <v>97</v>
      </c>
      <c r="E422" t="s">
        <v>807</v>
      </c>
      <c r="F422" t="s">
        <v>127</v>
      </c>
      <c r="G422">
        <v>1.0134879999999999</v>
      </c>
      <c r="H422">
        <v>20.363515</v>
      </c>
      <c r="I422" t="s">
        <v>1480</v>
      </c>
      <c r="J422" t="s">
        <v>1490</v>
      </c>
      <c r="K422" t="s">
        <v>126</v>
      </c>
      <c r="L422">
        <v>40</v>
      </c>
      <c r="M422" t="s">
        <v>11</v>
      </c>
      <c r="N422">
        <v>345</v>
      </c>
      <c r="O422">
        <v>89.55</v>
      </c>
      <c r="P422">
        <v>3</v>
      </c>
      <c r="Q422">
        <f>_26_03_2026_Log_Reseau_v15_7[[#This Row],[Durée cumulée_panne_minu]]/60</f>
        <v>5.75</v>
      </c>
      <c r="R422">
        <f>ROUND(_26_03_2026_Log_Reseau_v15_7[[#This Row],[Durée_cumulée _ panne_en heure]],0)</f>
        <v>6</v>
      </c>
      <c r="S422">
        <f>_26_03_2026_Log_Reseau_v15_7[[#This Row],[Anciennété_mois]]/12</f>
        <v>3.3333333333333335</v>
      </c>
      <c r="T422">
        <f>ROUND(_26_03_2026_Log_Reseau_v15_7[[#This Row],[anciennete_ en année]],0)</f>
        <v>3</v>
      </c>
      <c r="U42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22" s="3">
        <f>ROUND(_26_03_2026_Log_Reseau_v15_7[[#This Row],[remise 10%_70%_45%]],0)</f>
        <v>0</v>
      </c>
      <c r="W422" s="3">
        <f>_26_03_2026_Log_Reseau_v15_7[[#This Row],[Facture mensuelle]]*_26_03_2026_Log_Reseau_v15_7[[#This Row],[remise 10_70_45]]</f>
        <v>0</v>
      </c>
    </row>
    <row r="423" spans="1:23" x14ac:dyDescent="0.25">
      <c r="A423" s="1">
        <v>45223</v>
      </c>
      <c r="B423" s="2">
        <v>0.45069444444444445</v>
      </c>
      <c r="C423" t="s">
        <v>1072</v>
      </c>
      <c r="D423">
        <v>14</v>
      </c>
      <c r="E423" t="s">
        <v>812</v>
      </c>
      <c r="F423" t="s">
        <v>13</v>
      </c>
      <c r="G423">
        <v>-2.571777</v>
      </c>
      <c r="H423">
        <v>12.120642</v>
      </c>
      <c r="I423" t="s">
        <v>1482</v>
      </c>
      <c r="J423" t="s">
        <v>1481</v>
      </c>
      <c r="K423" t="s">
        <v>12</v>
      </c>
      <c r="L423">
        <v>63</v>
      </c>
      <c r="M423" t="s">
        <v>14</v>
      </c>
      <c r="N423">
        <v>205</v>
      </c>
      <c r="O423">
        <v>89.19</v>
      </c>
      <c r="P423">
        <v>0</v>
      </c>
      <c r="Q423">
        <f>_26_03_2026_Log_Reseau_v15_7[[#This Row],[Durée cumulée_panne_minu]]/60</f>
        <v>3.4166666666666665</v>
      </c>
      <c r="R423">
        <f>ROUND(_26_03_2026_Log_Reseau_v15_7[[#This Row],[Durée_cumulée _ panne_en heure]],0)</f>
        <v>3</v>
      </c>
      <c r="S423">
        <f>_26_03_2026_Log_Reseau_v15_7[[#This Row],[Anciennété_mois]]/12</f>
        <v>5.25</v>
      </c>
      <c r="T423">
        <f>ROUND(_26_03_2026_Log_Reseau_v15_7[[#This Row],[anciennete_ en année]],0)</f>
        <v>5</v>
      </c>
      <c r="U42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423" s="3">
        <f>ROUND(_26_03_2026_Log_Reseau_v15_7[[#This Row],[remise 10%_70%_45%]],0)</f>
        <v>9</v>
      </c>
      <c r="W423" s="3">
        <f>_26_03_2026_Log_Reseau_v15_7[[#This Row],[Facture mensuelle]]*_26_03_2026_Log_Reseau_v15_7[[#This Row],[remise 10_70_45]]</f>
        <v>802.71</v>
      </c>
    </row>
    <row r="424" spans="1:23" x14ac:dyDescent="0.25">
      <c r="A424" s="1">
        <v>45223</v>
      </c>
      <c r="B424" s="2">
        <v>0.99097222222222225</v>
      </c>
      <c r="C424" t="s">
        <v>1144</v>
      </c>
      <c r="D424">
        <v>23</v>
      </c>
      <c r="E424" t="s">
        <v>807</v>
      </c>
      <c r="F424" t="s">
        <v>35</v>
      </c>
      <c r="G424">
        <v>-8.0922239999999999</v>
      </c>
      <c r="H424">
        <v>15.483708</v>
      </c>
      <c r="I424" t="s">
        <v>1477</v>
      </c>
      <c r="J424" t="s">
        <v>1490</v>
      </c>
      <c r="K424" t="s">
        <v>34</v>
      </c>
      <c r="L424">
        <v>35</v>
      </c>
      <c r="M424" t="s">
        <v>14</v>
      </c>
      <c r="N424">
        <v>465</v>
      </c>
      <c r="O424">
        <v>58.59</v>
      </c>
      <c r="P424">
        <v>5</v>
      </c>
      <c r="Q424">
        <f>_26_03_2026_Log_Reseau_v15_7[[#This Row],[Durée cumulée_panne_minu]]/60</f>
        <v>7.75</v>
      </c>
      <c r="R424">
        <f>ROUND(_26_03_2026_Log_Reseau_v15_7[[#This Row],[Durée_cumulée _ panne_en heure]],0)</f>
        <v>8</v>
      </c>
      <c r="S424">
        <f>_26_03_2026_Log_Reseau_v15_7[[#This Row],[Anciennété_mois]]/12</f>
        <v>2.9166666666666665</v>
      </c>
      <c r="T424">
        <f>ROUND(_26_03_2026_Log_Reseau_v15_7[[#This Row],[anciennete_ en année]],0)</f>
        <v>3</v>
      </c>
      <c r="U42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424" s="3">
        <f>ROUND(_26_03_2026_Log_Reseau_v15_7[[#This Row],[remise 10%_70%_45%]],0)</f>
        <v>6</v>
      </c>
      <c r="W424" s="3">
        <f>_26_03_2026_Log_Reseau_v15_7[[#This Row],[Facture mensuelle]]*_26_03_2026_Log_Reseau_v15_7[[#This Row],[remise 10_70_45]]</f>
        <v>351.54</v>
      </c>
    </row>
    <row r="425" spans="1:23" x14ac:dyDescent="0.25">
      <c r="A425" s="1">
        <v>45223</v>
      </c>
      <c r="B425" s="2">
        <v>0.29375000000000001</v>
      </c>
      <c r="C425" t="s">
        <v>1165</v>
      </c>
      <c r="D425">
        <v>42</v>
      </c>
      <c r="E425" t="s">
        <v>812</v>
      </c>
      <c r="F425" t="s">
        <v>24</v>
      </c>
      <c r="G425">
        <v>-4.4958720000000003</v>
      </c>
      <c r="H425">
        <v>18.514112000000001</v>
      </c>
      <c r="I425" t="s">
        <v>1480</v>
      </c>
      <c r="J425" t="s">
        <v>1490</v>
      </c>
      <c r="K425" t="s">
        <v>23</v>
      </c>
      <c r="L425">
        <v>46</v>
      </c>
      <c r="M425" t="s">
        <v>11</v>
      </c>
      <c r="N425">
        <v>283</v>
      </c>
      <c r="O425">
        <v>56.05</v>
      </c>
      <c r="P425">
        <v>1</v>
      </c>
      <c r="Q425">
        <f>_26_03_2026_Log_Reseau_v15_7[[#This Row],[Durée cumulée_panne_minu]]/60</f>
        <v>4.7166666666666668</v>
      </c>
      <c r="R425">
        <f>ROUND(_26_03_2026_Log_Reseau_v15_7[[#This Row],[Durée_cumulée _ panne_en heure]],0)</f>
        <v>5</v>
      </c>
      <c r="S425">
        <f>_26_03_2026_Log_Reseau_v15_7[[#This Row],[Anciennété_mois]]/12</f>
        <v>3.8333333333333335</v>
      </c>
      <c r="T425">
        <f>ROUND(_26_03_2026_Log_Reseau_v15_7[[#This Row],[anciennete_ en année]],0)</f>
        <v>4</v>
      </c>
      <c r="U42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25" s="3">
        <f>ROUND(_26_03_2026_Log_Reseau_v15_7[[#This Row],[remise 10%_70%_45%]],0)</f>
        <v>0</v>
      </c>
      <c r="W425" s="3">
        <f>_26_03_2026_Log_Reseau_v15_7[[#This Row],[Facture mensuelle]]*_26_03_2026_Log_Reseau_v15_7[[#This Row],[remise 10_70_45]]</f>
        <v>0</v>
      </c>
    </row>
    <row r="426" spans="1:23" x14ac:dyDescent="0.25">
      <c r="A426" s="1">
        <v>45223</v>
      </c>
      <c r="B426" s="2">
        <v>0.5541666666666667</v>
      </c>
      <c r="C426" t="s">
        <v>1281</v>
      </c>
      <c r="D426">
        <v>86</v>
      </c>
      <c r="E426" t="s">
        <v>808</v>
      </c>
      <c r="F426" t="s">
        <v>31</v>
      </c>
      <c r="G426">
        <v>-12.050063</v>
      </c>
      <c r="H426">
        <v>26.636987999999999</v>
      </c>
      <c r="I426" t="s">
        <v>1482</v>
      </c>
      <c r="J426" t="s">
        <v>1490</v>
      </c>
      <c r="K426" t="s">
        <v>30</v>
      </c>
      <c r="L426">
        <v>113</v>
      </c>
      <c r="M426" t="s">
        <v>22</v>
      </c>
      <c r="N426">
        <v>380</v>
      </c>
      <c r="O426">
        <v>12.11</v>
      </c>
      <c r="P426">
        <v>0</v>
      </c>
      <c r="Q426">
        <f>_26_03_2026_Log_Reseau_v15_7[[#This Row],[Durée cumulée_panne_minu]]/60</f>
        <v>6.333333333333333</v>
      </c>
      <c r="R426">
        <f>ROUND(_26_03_2026_Log_Reseau_v15_7[[#This Row],[Durée_cumulée _ panne_en heure]],0)</f>
        <v>6</v>
      </c>
      <c r="S426">
        <f>_26_03_2026_Log_Reseau_v15_7[[#This Row],[Anciennété_mois]]/12</f>
        <v>9.4166666666666661</v>
      </c>
      <c r="T426">
        <f>ROUND(_26_03_2026_Log_Reseau_v15_7[[#This Row],[anciennete_ en année]],0)</f>
        <v>9</v>
      </c>
      <c r="U42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26" s="3">
        <f>ROUND(_26_03_2026_Log_Reseau_v15_7[[#This Row],[remise 10%_70%_45%]],0)</f>
        <v>0</v>
      </c>
      <c r="W426" s="3">
        <f>_26_03_2026_Log_Reseau_v15_7[[#This Row],[Facture mensuelle]]*_26_03_2026_Log_Reseau_v15_7[[#This Row],[remise 10_70_45]]</f>
        <v>0</v>
      </c>
    </row>
    <row r="427" spans="1:23" x14ac:dyDescent="0.25">
      <c r="A427" s="1">
        <v>45223</v>
      </c>
      <c r="B427" s="2">
        <v>0.43611111111111112</v>
      </c>
      <c r="C427" t="s">
        <v>1318</v>
      </c>
      <c r="D427">
        <v>26</v>
      </c>
      <c r="E427" t="s">
        <v>807</v>
      </c>
      <c r="F427" t="s">
        <v>26</v>
      </c>
      <c r="G427">
        <v>1.5278670000000001</v>
      </c>
      <c r="H427">
        <v>13.899388999999999</v>
      </c>
      <c r="I427" t="s">
        <v>1482</v>
      </c>
      <c r="J427" t="s">
        <v>1481</v>
      </c>
      <c r="K427" t="s">
        <v>25</v>
      </c>
      <c r="L427">
        <v>99</v>
      </c>
      <c r="M427" t="s">
        <v>11</v>
      </c>
      <c r="N427">
        <v>447</v>
      </c>
      <c r="O427">
        <v>38.1</v>
      </c>
      <c r="P427">
        <v>3</v>
      </c>
      <c r="Q427">
        <f>_26_03_2026_Log_Reseau_v15_7[[#This Row],[Durée cumulée_panne_minu]]/60</f>
        <v>7.45</v>
      </c>
      <c r="R427">
        <f>ROUND(_26_03_2026_Log_Reseau_v15_7[[#This Row],[Durée_cumulée _ panne_en heure]],0)</f>
        <v>7</v>
      </c>
      <c r="S427">
        <f>_26_03_2026_Log_Reseau_v15_7[[#This Row],[Anciennété_mois]]/12</f>
        <v>8.25</v>
      </c>
      <c r="T427">
        <f>ROUND(_26_03_2026_Log_Reseau_v15_7[[#This Row],[anciennete_ en année]],0)</f>
        <v>8</v>
      </c>
      <c r="U42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27" s="3">
        <f>ROUND(_26_03_2026_Log_Reseau_v15_7[[#This Row],[remise 10%_70%_45%]],0)</f>
        <v>0</v>
      </c>
      <c r="W427" s="3">
        <f>_26_03_2026_Log_Reseau_v15_7[[#This Row],[Facture mensuelle]]*_26_03_2026_Log_Reseau_v15_7[[#This Row],[remise 10_70_45]]</f>
        <v>0</v>
      </c>
    </row>
    <row r="428" spans="1:23" x14ac:dyDescent="0.25">
      <c r="A428" s="1">
        <v>45223</v>
      </c>
      <c r="B428" s="2">
        <v>0.25208333333333333</v>
      </c>
      <c r="C428" t="s">
        <v>1351</v>
      </c>
      <c r="D428">
        <v>12</v>
      </c>
      <c r="E428" t="s">
        <v>808</v>
      </c>
      <c r="F428" t="s">
        <v>131</v>
      </c>
      <c r="G428">
        <v>-10.846306999999999</v>
      </c>
      <c r="H428">
        <v>19.201827999999999</v>
      </c>
      <c r="I428" t="s">
        <v>1480</v>
      </c>
      <c r="J428" t="s">
        <v>1478</v>
      </c>
      <c r="K428" t="s">
        <v>130</v>
      </c>
      <c r="L428">
        <v>16</v>
      </c>
      <c r="M428" t="s">
        <v>19</v>
      </c>
      <c r="N428">
        <v>390</v>
      </c>
      <c r="O428">
        <v>98.17</v>
      </c>
      <c r="P428">
        <v>5</v>
      </c>
      <c r="Q428">
        <f>_26_03_2026_Log_Reseau_v15_7[[#This Row],[Durée cumulée_panne_minu]]/60</f>
        <v>6.5</v>
      </c>
      <c r="R428">
        <f>ROUND(_26_03_2026_Log_Reseau_v15_7[[#This Row],[Durée_cumulée _ panne_en heure]],0)</f>
        <v>7</v>
      </c>
      <c r="S428">
        <f>_26_03_2026_Log_Reseau_v15_7[[#This Row],[Anciennété_mois]]/12</f>
        <v>1.3333333333333333</v>
      </c>
      <c r="T428">
        <f>ROUND(_26_03_2026_Log_Reseau_v15_7[[#This Row],[anciennete_ en année]],0)</f>
        <v>1</v>
      </c>
      <c r="U42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28" s="3">
        <f>ROUND(_26_03_2026_Log_Reseau_v15_7[[#This Row],[remise 10%_70%_45%]],0)</f>
        <v>0</v>
      </c>
      <c r="W428" s="3">
        <f>_26_03_2026_Log_Reseau_v15_7[[#This Row],[Facture mensuelle]]*_26_03_2026_Log_Reseau_v15_7[[#This Row],[remise 10_70_45]]</f>
        <v>0</v>
      </c>
    </row>
    <row r="429" spans="1:23" x14ac:dyDescent="0.25">
      <c r="A429" s="1">
        <v>45223</v>
      </c>
      <c r="B429" s="2">
        <v>0.75972222222222219</v>
      </c>
      <c r="C429" t="s">
        <v>1358</v>
      </c>
      <c r="D429">
        <v>78</v>
      </c>
      <c r="E429" t="s">
        <v>808</v>
      </c>
      <c r="F429" t="s">
        <v>16</v>
      </c>
      <c r="G429">
        <v>-5.3762689999999997</v>
      </c>
      <c r="H429">
        <v>28.189575999999999</v>
      </c>
      <c r="I429" t="s">
        <v>1477</v>
      </c>
      <c r="J429" t="s">
        <v>1481</v>
      </c>
      <c r="K429" t="s">
        <v>15</v>
      </c>
      <c r="L429">
        <v>34</v>
      </c>
      <c r="M429" t="s">
        <v>14</v>
      </c>
      <c r="N429">
        <v>453</v>
      </c>
      <c r="O429">
        <v>56.84</v>
      </c>
      <c r="P429">
        <v>0</v>
      </c>
      <c r="Q429">
        <f>_26_03_2026_Log_Reseau_v15_7[[#This Row],[Durée cumulée_panne_minu]]/60</f>
        <v>7.55</v>
      </c>
      <c r="R429">
        <f>ROUND(_26_03_2026_Log_Reseau_v15_7[[#This Row],[Durée_cumulée _ panne_en heure]],0)</f>
        <v>8</v>
      </c>
      <c r="S429">
        <f>_26_03_2026_Log_Reseau_v15_7[[#This Row],[Anciennété_mois]]/12</f>
        <v>2.8333333333333335</v>
      </c>
      <c r="T429">
        <f>ROUND(_26_03_2026_Log_Reseau_v15_7[[#This Row],[anciennete_ en année]],0)</f>
        <v>3</v>
      </c>
      <c r="U42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429" s="3">
        <f>ROUND(_26_03_2026_Log_Reseau_v15_7[[#This Row],[remise 10%_70%_45%]],0)</f>
        <v>6</v>
      </c>
      <c r="W429" s="3">
        <f>_26_03_2026_Log_Reseau_v15_7[[#This Row],[Facture mensuelle]]*_26_03_2026_Log_Reseau_v15_7[[#This Row],[remise 10_70_45]]</f>
        <v>341.04</v>
      </c>
    </row>
    <row r="430" spans="1:23" x14ac:dyDescent="0.25">
      <c r="A430" s="1">
        <v>45223</v>
      </c>
      <c r="B430" s="2">
        <v>0.61111111111111116</v>
      </c>
      <c r="C430" t="s">
        <v>1381</v>
      </c>
      <c r="D430">
        <v>88</v>
      </c>
      <c r="E430" t="s">
        <v>807</v>
      </c>
      <c r="F430" t="s">
        <v>137</v>
      </c>
      <c r="G430">
        <v>-8.0301989999999996</v>
      </c>
      <c r="H430">
        <v>24.122495000000001</v>
      </c>
      <c r="I430" t="s">
        <v>1477</v>
      </c>
      <c r="J430" t="s">
        <v>1483</v>
      </c>
      <c r="K430" t="s">
        <v>136</v>
      </c>
      <c r="L430">
        <v>80</v>
      </c>
      <c r="M430" t="s">
        <v>22</v>
      </c>
      <c r="N430">
        <v>155</v>
      </c>
      <c r="O430">
        <v>28.96</v>
      </c>
      <c r="P430">
        <v>2</v>
      </c>
      <c r="Q430">
        <f>_26_03_2026_Log_Reseau_v15_7[[#This Row],[Durée cumulée_panne_minu]]/60</f>
        <v>2.5833333333333335</v>
      </c>
      <c r="R430">
        <f>ROUND(_26_03_2026_Log_Reseau_v15_7[[#This Row],[Durée_cumulée _ panne_en heure]],0)</f>
        <v>3</v>
      </c>
      <c r="S430">
        <f>_26_03_2026_Log_Reseau_v15_7[[#This Row],[Anciennété_mois]]/12</f>
        <v>6.666666666666667</v>
      </c>
      <c r="T430">
        <f>ROUND(_26_03_2026_Log_Reseau_v15_7[[#This Row],[anciennete_ en année]],0)</f>
        <v>7</v>
      </c>
      <c r="U43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30" s="3">
        <f>ROUND(_26_03_2026_Log_Reseau_v15_7[[#This Row],[remise 10%_70%_45%]],0)</f>
        <v>0</v>
      </c>
      <c r="W430" s="3">
        <f>_26_03_2026_Log_Reseau_v15_7[[#This Row],[Facture mensuelle]]*_26_03_2026_Log_Reseau_v15_7[[#This Row],[remise 10_70_45]]</f>
        <v>0</v>
      </c>
    </row>
    <row r="431" spans="1:23" x14ac:dyDescent="0.25">
      <c r="A431" s="1">
        <v>45224</v>
      </c>
      <c r="B431" s="2">
        <v>0.56805555555555554</v>
      </c>
      <c r="C431" t="s">
        <v>809</v>
      </c>
      <c r="D431">
        <v>27</v>
      </c>
      <c r="E431" t="s">
        <v>807</v>
      </c>
      <c r="F431" t="s">
        <v>44</v>
      </c>
      <c r="G431">
        <v>-10.442425</v>
      </c>
      <c r="H431">
        <v>23.243632000000002</v>
      </c>
      <c r="I431" t="s">
        <v>1480</v>
      </c>
      <c r="J431" t="s">
        <v>1490</v>
      </c>
      <c r="K431" t="s">
        <v>43</v>
      </c>
      <c r="L431">
        <v>66</v>
      </c>
      <c r="M431" t="s">
        <v>22</v>
      </c>
      <c r="N431">
        <v>270</v>
      </c>
      <c r="O431">
        <v>75.88</v>
      </c>
      <c r="P431">
        <v>3</v>
      </c>
      <c r="Q431">
        <f>_26_03_2026_Log_Reseau_v15_7[[#This Row],[Durée cumulée_panne_minu]]/60</f>
        <v>4.5</v>
      </c>
      <c r="R431">
        <f>ROUND(_26_03_2026_Log_Reseau_v15_7[[#This Row],[Durée_cumulée _ panne_en heure]],0)</f>
        <v>5</v>
      </c>
      <c r="S431">
        <f>_26_03_2026_Log_Reseau_v15_7[[#This Row],[Anciennété_mois]]/12</f>
        <v>5.5</v>
      </c>
      <c r="T431">
        <f>ROUND(_26_03_2026_Log_Reseau_v15_7[[#This Row],[anciennete_ en année]],0)</f>
        <v>6</v>
      </c>
      <c r="U43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31" s="3">
        <f>ROUND(_26_03_2026_Log_Reseau_v15_7[[#This Row],[remise 10%_70%_45%]],0)</f>
        <v>0</v>
      </c>
      <c r="W431" s="3">
        <f>_26_03_2026_Log_Reseau_v15_7[[#This Row],[Facture mensuelle]]*_26_03_2026_Log_Reseau_v15_7[[#This Row],[remise 10_70_45]]</f>
        <v>0</v>
      </c>
    </row>
    <row r="432" spans="1:23" x14ac:dyDescent="0.25">
      <c r="A432" s="1">
        <v>45224</v>
      </c>
      <c r="B432" s="2">
        <v>0.98333333333333328</v>
      </c>
      <c r="C432" t="s">
        <v>844</v>
      </c>
      <c r="D432">
        <v>107</v>
      </c>
      <c r="E432" t="s">
        <v>812</v>
      </c>
      <c r="F432" t="s">
        <v>44</v>
      </c>
      <c r="G432">
        <v>-9.3652280000000001</v>
      </c>
      <c r="H432">
        <v>18.674116000000001</v>
      </c>
      <c r="I432" t="s">
        <v>1480</v>
      </c>
      <c r="J432" t="s">
        <v>1481</v>
      </c>
      <c r="K432" t="s">
        <v>43</v>
      </c>
      <c r="L432">
        <v>66</v>
      </c>
      <c r="M432" t="s">
        <v>22</v>
      </c>
      <c r="N432">
        <v>270</v>
      </c>
      <c r="O432">
        <v>75.88</v>
      </c>
      <c r="P432">
        <v>3</v>
      </c>
      <c r="Q432">
        <f>_26_03_2026_Log_Reseau_v15_7[[#This Row],[Durée cumulée_panne_minu]]/60</f>
        <v>4.5</v>
      </c>
      <c r="R432">
        <f>ROUND(_26_03_2026_Log_Reseau_v15_7[[#This Row],[Durée_cumulée _ panne_en heure]],0)</f>
        <v>5</v>
      </c>
      <c r="S432">
        <f>_26_03_2026_Log_Reseau_v15_7[[#This Row],[Anciennété_mois]]/12</f>
        <v>5.5</v>
      </c>
      <c r="T432">
        <f>ROUND(_26_03_2026_Log_Reseau_v15_7[[#This Row],[anciennete_ en année]],0)</f>
        <v>6</v>
      </c>
      <c r="U43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32" s="3">
        <f>ROUND(_26_03_2026_Log_Reseau_v15_7[[#This Row],[remise 10%_70%_45%]],0)</f>
        <v>0</v>
      </c>
      <c r="W432" s="3">
        <f>_26_03_2026_Log_Reseau_v15_7[[#This Row],[Facture mensuelle]]*_26_03_2026_Log_Reseau_v15_7[[#This Row],[remise 10_70_45]]</f>
        <v>0</v>
      </c>
    </row>
    <row r="433" spans="1:23" x14ac:dyDescent="0.25">
      <c r="A433" s="1">
        <v>45224</v>
      </c>
      <c r="B433" s="2">
        <v>0.2013888888888889</v>
      </c>
      <c r="C433" t="s">
        <v>1002</v>
      </c>
      <c r="D433">
        <v>43</v>
      </c>
      <c r="E433" t="s">
        <v>812</v>
      </c>
      <c r="F433" t="s">
        <v>78</v>
      </c>
      <c r="G433">
        <v>-4.6818410000000004</v>
      </c>
      <c r="H433">
        <v>17.541618</v>
      </c>
      <c r="I433" t="s">
        <v>1480</v>
      </c>
      <c r="J433" t="s">
        <v>1478</v>
      </c>
      <c r="K433" t="s">
        <v>77</v>
      </c>
      <c r="L433">
        <v>81</v>
      </c>
      <c r="M433" t="s">
        <v>14</v>
      </c>
      <c r="N433">
        <v>154</v>
      </c>
      <c r="O433">
        <v>19.47</v>
      </c>
      <c r="P433">
        <v>3</v>
      </c>
      <c r="Q433">
        <f>_26_03_2026_Log_Reseau_v15_7[[#This Row],[Durée cumulée_panne_minu]]/60</f>
        <v>2.5666666666666669</v>
      </c>
      <c r="R433">
        <f>ROUND(_26_03_2026_Log_Reseau_v15_7[[#This Row],[Durée_cumulée _ panne_en heure]],0)</f>
        <v>3</v>
      </c>
      <c r="S433">
        <f>_26_03_2026_Log_Reseau_v15_7[[#This Row],[Anciennété_mois]]/12</f>
        <v>6.75</v>
      </c>
      <c r="T433">
        <f>ROUND(_26_03_2026_Log_Reseau_v15_7[[#This Row],[anciennete_ en année]],0)</f>
        <v>7</v>
      </c>
      <c r="U43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433" s="3">
        <f>ROUND(_26_03_2026_Log_Reseau_v15_7[[#This Row],[remise 10%_70%_45%]],0)</f>
        <v>2</v>
      </c>
      <c r="W433" s="3">
        <f>_26_03_2026_Log_Reseau_v15_7[[#This Row],[Facture mensuelle]]*_26_03_2026_Log_Reseau_v15_7[[#This Row],[remise 10_70_45]]</f>
        <v>38.94</v>
      </c>
    </row>
    <row r="434" spans="1:23" x14ac:dyDescent="0.25">
      <c r="A434" s="1">
        <v>45224</v>
      </c>
      <c r="B434" s="2">
        <v>0.34791666666666665</v>
      </c>
      <c r="C434" t="s">
        <v>1170</v>
      </c>
      <c r="D434">
        <v>14</v>
      </c>
      <c r="E434" t="s">
        <v>807</v>
      </c>
      <c r="F434" t="s">
        <v>13</v>
      </c>
      <c r="G434">
        <v>-7.789663</v>
      </c>
      <c r="H434">
        <v>26.529098000000001</v>
      </c>
      <c r="I434" t="s">
        <v>1477</v>
      </c>
      <c r="J434" t="s">
        <v>1490</v>
      </c>
      <c r="K434" t="s">
        <v>12</v>
      </c>
      <c r="L434">
        <v>63</v>
      </c>
      <c r="M434" t="s">
        <v>14</v>
      </c>
      <c r="N434">
        <v>205</v>
      </c>
      <c r="O434">
        <v>89.19</v>
      </c>
      <c r="P434">
        <v>0</v>
      </c>
      <c r="Q434">
        <f>_26_03_2026_Log_Reseau_v15_7[[#This Row],[Durée cumulée_panne_minu]]/60</f>
        <v>3.4166666666666665</v>
      </c>
      <c r="R434">
        <f>ROUND(_26_03_2026_Log_Reseau_v15_7[[#This Row],[Durée_cumulée _ panne_en heure]],0)</f>
        <v>3</v>
      </c>
      <c r="S434">
        <f>_26_03_2026_Log_Reseau_v15_7[[#This Row],[Anciennété_mois]]/12</f>
        <v>5.25</v>
      </c>
      <c r="T434">
        <f>ROUND(_26_03_2026_Log_Reseau_v15_7[[#This Row],[anciennete_ en année]],0)</f>
        <v>5</v>
      </c>
      <c r="U43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434" s="3">
        <f>ROUND(_26_03_2026_Log_Reseau_v15_7[[#This Row],[remise 10%_70%_45%]],0)</f>
        <v>9</v>
      </c>
      <c r="W434" s="3">
        <f>_26_03_2026_Log_Reseau_v15_7[[#This Row],[Facture mensuelle]]*_26_03_2026_Log_Reseau_v15_7[[#This Row],[remise 10_70_45]]</f>
        <v>802.71</v>
      </c>
    </row>
    <row r="435" spans="1:23" x14ac:dyDescent="0.25">
      <c r="A435" s="1">
        <v>45224</v>
      </c>
      <c r="B435" s="2">
        <v>0.4284722222222222</v>
      </c>
      <c r="C435" t="s">
        <v>1226</v>
      </c>
      <c r="D435">
        <v>65</v>
      </c>
      <c r="E435" t="s">
        <v>808</v>
      </c>
      <c r="F435" t="s">
        <v>24</v>
      </c>
      <c r="G435">
        <v>0.172153</v>
      </c>
      <c r="H435">
        <v>21.091376</v>
      </c>
      <c r="I435" t="s">
        <v>1482</v>
      </c>
      <c r="J435" t="s">
        <v>1478</v>
      </c>
      <c r="K435" t="s">
        <v>23</v>
      </c>
      <c r="L435">
        <v>46</v>
      </c>
      <c r="M435" t="s">
        <v>11</v>
      </c>
      <c r="N435">
        <v>283</v>
      </c>
      <c r="O435">
        <v>56.05</v>
      </c>
      <c r="P435">
        <v>1</v>
      </c>
      <c r="Q435">
        <f>_26_03_2026_Log_Reseau_v15_7[[#This Row],[Durée cumulée_panne_minu]]/60</f>
        <v>4.7166666666666668</v>
      </c>
      <c r="R435">
        <f>ROUND(_26_03_2026_Log_Reseau_v15_7[[#This Row],[Durée_cumulée _ panne_en heure]],0)</f>
        <v>5</v>
      </c>
      <c r="S435">
        <f>_26_03_2026_Log_Reseau_v15_7[[#This Row],[Anciennété_mois]]/12</f>
        <v>3.8333333333333335</v>
      </c>
      <c r="T435">
        <f>ROUND(_26_03_2026_Log_Reseau_v15_7[[#This Row],[anciennete_ en année]],0)</f>
        <v>4</v>
      </c>
      <c r="U43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35" s="3">
        <f>ROUND(_26_03_2026_Log_Reseau_v15_7[[#This Row],[remise 10%_70%_45%]],0)</f>
        <v>0</v>
      </c>
      <c r="W435" s="3">
        <f>_26_03_2026_Log_Reseau_v15_7[[#This Row],[Facture mensuelle]]*_26_03_2026_Log_Reseau_v15_7[[#This Row],[remise 10_70_45]]</f>
        <v>0</v>
      </c>
    </row>
    <row r="436" spans="1:23" x14ac:dyDescent="0.25">
      <c r="A436" s="1">
        <v>45224</v>
      </c>
      <c r="B436" s="2">
        <v>0.4826388888888889</v>
      </c>
      <c r="C436" t="s">
        <v>1236</v>
      </c>
      <c r="D436">
        <v>95</v>
      </c>
      <c r="E436" t="s">
        <v>808</v>
      </c>
      <c r="F436" t="s">
        <v>67</v>
      </c>
      <c r="G436">
        <v>-2.2371569999999998</v>
      </c>
      <c r="H436">
        <v>25.926188</v>
      </c>
      <c r="I436" t="s">
        <v>1482</v>
      </c>
      <c r="J436" t="s">
        <v>1490</v>
      </c>
      <c r="K436" t="s">
        <v>66</v>
      </c>
      <c r="L436">
        <v>101</v>
      </c>
      <c r="M436" t="s">
        <v>14</v>
      </c>
      <c r="N436">
        <v>176</v>
      </c>
      <c r="O436">
        <v>86</v>
      </c>
      <c r="P436">
        <v>3</v>
      </c>
      <c r="Q436">
        <f>_26_03_2026_Log_Reseau_v15_7[[#This Row],[Durée cumulée_panne_minu]]/60</f>
        <v>2.9333333333333331</v>
      </c>
      <c r="R436">
        <f>ROUND(_26_03_2026_Log_Reseau_v15_7[[#This Row],[Durée_cumulée _ panne_en heure]],0)</f>
        <v>3</v>
      </c>
      <c r="S436">
        <f>_26_03_2026_Log_Reseau_v15_7[[#This Row],[Anciennété_mois]]/12</f>
        <v>8.4166666666666661</v>
      </c>
      <c r="T436">
        <f>ROUND(_26_03_2026_Log_Reseau_v15_7[[#This Row],[anciennete_ en année]],0)</f>
        <v>8</v>
      </c>
      <c r="U43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436" s="3">
        <f>ROUND(_26_03_2026_Log_Reseau_v15_7[[#This Row],[remise 10%_70%_45%]],0)</f>
        <v>9</v>
      </c>
      <c r="W436" s="3">
        <f>_26_03_2026_Log_Reseau_v15_7[[#This Row],[Facture mensuelle]]*_26_03_2026_Log_Reseau_v15_7[[#This Row],[remise 10_70_45]]</f>
        <v>774</v>
      </c>
    </row>
    <row r="437" spans="1:23" x14ac:dyDescent="0.25">
      <c r="A437" s="1">
        <v>45224</v>
      </c>
      <c r="B437" s="2">
        <v>0.2298611111111111</v>
      </c>
      <c r="C437" t="s">
        <v>1260</v>
      </c>
      <c r="D437">
        <v>20</v>
      </c>
      <c r="E437" t="s">
        <v>807</v>
      </c>
      <c r="F437" t="s">
        <v>131</v>
      </c>
      <c r="G437">
        <v>-10.298385</v>
      </c>
      <c r="H437">
        <v>29.698117</v>
      </c>
      <c r="I437" t="s">
        <v>1477</v>
      </c>
      <c r="J437" t="s">
        <v>1490</v>
      </c>
      <c r="K437" t="s">
        <v>130</v>
      </c>
      <c r="L437">
        <v>16</v>
      </c>
      <c r="M437" t="s">
        <v>19</v>
      </c>
      <c r="N437">
        <v>390</v>
      </c>
      <c r="O437">
        <v>98.17</v>
      </c>
      <c r="P437">
        <v>5</v>
      </c>
      <c r="Q437">
        <f>_26_03_2026_Log_Reseau_v15_7[[#This Row],[Durée cumulée_panne_minu]]/60</f>
        <v>6.5</v>
      </c>
      <c r="R437">
        <f>ROUND(_26_03_2026_Log_Reseau_v15_7[[#This Row],[Durée_cumulée _ panne_en heure]],0)</f>
        <v>7</v>
      </c>
      <c r="S437">
        <f>_26_03_2026_Log_Reseau_v15_7[[#This Row],[Anciennété_mois]]/12</f>
        <v>1.3333333333333333</v>
      </c>
      <c r="T437">
        <f>ROUND(_26_03_2026_Log_Reseau_v15_7[[#This Row],[anciennete_ en année]],0)</f>
        <v>1</v>
      </c>
      <c r="U43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37" s="3">
        <f>ROUND(_26_03_2026_Log_Reseau_v15_7[[#This Row],[remise 10%_70%_45%]],0)</f>
        <v>0</v>
      </c>
      <c r="W437" s="3">
        <f>_26_03_2026_Log_Reseau_v15_7[[#This Row],[Facture mensuelle]]*_26_03_2026_Log_Reseau_v15_7[[#This Row],[remise 10_70_45]]</f>
        <v>0</v>
      </c>
    </row>
    <row r="438" spans="1:23" x14ac:dyDescent="0.25">
      <c r="A438" s="1">
        <v>45224</v>
      </c>
      <c r="B438" s="2">
        <v>0.10486111111111111</v>
      </c>
      <c r="C438" t="s">
        <v>1274</v>
      </c>
      <c r="D438">
        <v>98</v>
      </c>
      <c r="E438" t="s">
        <v>812</v>
      </c>
      <c r="F438" t="s">
        <v>37</v>
      </c>
      <c r="G438">
        <v>-7.0007840000000003</v>
      </c>
      <c r="H438">
        <v>22.787997000000001</v>
      </c>
      <c r="I438" t="s">
        <v>1477</v>
      </c>
      <c r="J438" t="s">
        <v>1483</v>
      </c>
      <c r="K438" t="s">
        <v>36</v>
      </c>
      <c r="L438">
        <v>115</v>
      </c>
      <c r="M438" t="s">
        <v>19</v>
      </c>
      <c r="N438">
        <v>176</v>
      </c>
      <c r="O438">
        <v>33.28</v>
      </c>
      <c r="P438">
        <v>4</v>
      </c>
      <c r="Q438">
        <f>_26_03_2026_Log_Reseau_v15_7[[#This Row],[Durée cumulée_panne_minu]]/60</f>
        <v>2.9333333333333331</v>
      </c>
      <c r="R438">
        <f>ROUND(_26_03_2026_Log_Reseau_v15_7[[#This Row],[Durée_cumulée _ panne_en heure]],0)</f>
        <v>3</v>
      </c>
      <c r="S438">
        <f>_26_03_2026_Log_Reseau_v15_7[[#This Row],[Anciennété_mois]]/12</f>
        <v>9.5833333333333339</v>
      </c>
      <c r="T438">
        <f>ROUND(_26_03_2026_Log_Reseau_v15_7[[#This Row],[anciennete_ en année]],0)</f>
        <v>10</v>
      </c>
      <c r="U43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38" s="3">
        <f>ROUND(_26_03_2026_Log_Reseau_v15_7[[#This Row],[remise 10%_70%_45%]],0)</f>
        <v>0</v>
      </c>
      <c r="W438" s="3">
        <f>_26_03_2026_Log_Reseau_v15_7[[#This Row],[Facture mensuelle]]*_26_03_2026_Log_Reseau_v15_7[[#This Row],[remise 10_70_45]]</f>
        <v>0</v>
      </c>
    </row>
    <row r="439" spans="1:23" x14ac:dyDescent="0.25">
      <c r="A439" s="1">
        <v>45224</v>
      </c>
      <c r="B439" s="2">
        <v>1.0416666666666666E-2</v>
      </c>
      <c r="C439" t="s">
        <v>1277</v>
      </c>
      <c r="D439">
        <v>114</v>
      </c>
      <c r="E439" t="s">
        <v>812</v>
      </c>
      <c r="F439" t="s">
        <v>40</v>
      </c>
      <c r="G439">
        <v>-9.7712979999999998</v>
      </c>
      <c r="H439">
        <v>19.827895999999999</v>
      </c>
      <c r="I439" t="s">
        <v>1482</v>
      </c>
      <c r="J439" t="s">
        <v>1483</v>
      </c>
      <c r="K439" t="s">
        <v>39</v>
      </c>
      <c r="L439">
        <v>110</v>
      </c>
      <c r="M439" t="s">
        <v>14</v>
      </c>
      <c r="N439">
        <v>423</v>
      </c>
      <c r="O439">
        <v>37.35</v>
      </c>
      <c r="P439">
        <v>4</v>
      </c>
      <c r="Q439">
        <f>_26_03_2026_Log_Reseau_v15_7[[#This Row],[Durée cumulée_panne_minu]]/60</f>
        <v>7.05</v>
      </c>
      <c r="R439">
        <f>ROUND(_26_03_2026_Log_Reseau_v15_7[[#This Row],[Durée_cumulée _ panne_en heure]],0)</f>
        <v>7</v>
      </c>
      <c r="S439">
        <f>_26_03_2026_Log_Reseau_v15_7[[#This Row],[Anciennété_mois]]/12</f>
        <v>9.1666666666666661</v>
      </c>
      <c r="T439">
        <f>ROUND(_26_03_2026_Log_Reseau_v15_7[[#This Row],[anciennete_ en année]],0)</f>
        <v>9</v>
      </c>
      <c r="U43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439" s="3">
        <f>ROUND(_26_03_2026_Log_Reseau_v15_7[[#This Row],[remise 10%_70%_45%]],0)</f>
        <v>4</v>
      </c>
      <c r="W439" s="3">
        <f>_26_03_2026_Log_Reseau_v15_7[[#This Row],[Facture mensuelle]]*_26_03_2026_Log_Reseau_v15_7[[#This Row],[remise 10_70_45]]</f>
        <v>149.4</v>
      </c>
    </row>
    <row r="440" spans="1:23" x14ac:dyDescent="0.25">
      <c r="A440" s="1">
        <v>45224</v>
      </c>
      <c r="B440" s="2">
        <v>0.55277777777777781</v>
      </c>
      <c r="C440" t="s">
        <v>1297</v>
      </c>
      <c r="D440">
        <v>60</v>
      </c>
      <c r="E440" t="s">
        <v>808</v>
      </c>
      <c r="F440" t="s">
        <v>37</v>
      </c>
      <c r="G440">
        <v>-10.439686999999999</v>
      </c>
      <c r="H440">
        <v>20.714210000000001</v>
      </c>
      <c r="I440" t="s">
        <v>1480</v>
      </c>
      <c r="J440" t="s">
        <v>1483</v>
      </c>
      <c r="K440" t="s">
        <v>36</v>
      </c>
      <c r="L440">
        <v>115</v>
      </c>
      <c r="M440" t="s">
        <v>19</v>
      </c>
      <c r="N440">
        <v>176</v>
      </c>
      <c r="O440">
        <v>33.28</v>
      </c>
      <c r="P440">
        <v>4</v>
      </c>
      <c r="Q440">
        <f>_26_03_2026_Log_Reseau_v15_7[[#This Row],[Durée cumulée_panne_minu]]/60</f>
        <v>2.9333333333333331</v>
      </c>
      <c r="R440">
        <f>ROUND(_26_03_2026_Log_Reseau_v15_7[[#This Row],[Durée_cumulée _ panne_en heure]],0)</f>
        <v>3</v>
      </c>
      <c r="S440">
        <f>_26_03_2026_Log_Reseau_v15_7[[#This Row],[Anciennété_mois]]/12</f>
        <v>9.5833333333333339</v>
      </c>
      <c r="T440">
        <f>ROUND(_26_03_2026_Log_Reseau_v15_7[[#This Row],[anciennete_ en année]],0)</f>
        <v>10</v>
      </c>
      <c r="U44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40" s="3">
        <f>ROUND(_26_03_2026_Log_Reseau_v15_7[[#This Row],[remise 10%_70%_45%]],0)</f>
        <v>0</v>
      </c>
      <c r="W440" s="3">
        <f>_26_03_2026_Log_Reseau_v15_7[[#This Row],[Facture mensuelle]]*_26_03_2026_Log_Reseau_v15_7[[#This Row],[remise 10_70_45]]</f>
        <v>0</v>
      </c>
    </row>
    <row r="441" spans="1:23" x14ac:dyDescent="0.25">
      <c r="A441" s="1">
        <v>45224</v>
      </c>
      <c r="B441" s="2">
        <v>0.11527777777777778</v>
      </c>
      <c r="C441" t="s">
        <v>1359</v>
      </c>
      <c r="D441">
        <v>45</v>
      </c>
      <c r="E441" t="s">
        <v>808</v>
      </c>
      <c r="F441" t="s">
        <v>73</v>
      </c>
      <c r="G441">
        <v>-11.265995</v>
      </c>
      <c r="H441">
        <v>28.935514999999999</v>
      </c>
      <c r="I441" t="s">
        <v>1480</v>
      </c>
      <c r="J441" t="s">
        <v>1478</v>
      </c>
      <c r="K441" t="s">
        <v>72</v>
      </c>
      <c r="L441">
        <v>6</v>
      </c>
      <c r="M441" t="s">
        <v>11</v>
      </c>
      <c r="N441">
        <v>207</v>
      </c>
      <c r="O441">
        <v>61.55</v>
      </c>
      <c r="P441">
        <v>0</v>
      </c>
      <c r="Q441">
        <f>_26_03_2026_Log_Reseau_v15_7[[#This Row],[Durée cumulée_panne_minu]]/60</f>
        <v>3.45</v>
      </c>
      <c r="R441">
        <f>ROUND(_26_03_2026_Log_Reseau_v15_7[[#This Row],[Durée_cumulée _ panne_en heure]],0)</f>
        <v>3</v>
      </c>
      <c r="S441">
        <f>_26_03_2026_Log_Reseau_v15_7[[#This Row],[Anciennété_mois]]/12</f>
        <v>0.5</v>
      </c>
      <c r="T441">
        <f>ROUND(_26_03_2026_Log_Reseau_v15_7[[#This Row],[anciennete_ en année]],0)</f>
        <v>1</v>
      </c>
      <c r="U44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41" s="3">
        <f>ROUND(_26_03_2026_Log_Reseau_v15_7[[#This Row],[remise 10%_70%_45%]],0)</f>
        <v>0</v>
      </c>
      <c r="W441" s="3">
        <f>_26_03_2026_Log_Reseau_v15_7[[#This Row],[Facture mensuelle]]*_26_03_2026_Log_Reseau_v15_7[[#This Row],[remise 10_70_45]]</f>
        <v>0</v>
      </c>
    </row>
    <row r="442" spans="1:23" x14ac:dyDescent="0.25">
      <c r="A442" s="1">
        <v>45224</v>
      </c>
      <c r="B442" s="2">
        <v>0.19513888888888889</v>
      </c>
      <c r="C442" t="s">
        <v>1388</v>
      </c>
      <c r="D442">
        <v>81</v>
      </c>
      <c r="E442" t="s">
        <v>808</v>
      </c>
      <c r="F442" t="s">
        <v>26</v>
      </c>
      <c r="G442">
        <v>-1.500685</v>
      </c>
      <c r="H442">
        <v>26.563376000000002</v>
      </c>
      <c r="I442" t="s">
        <v>1477</v>
      </c>
      <c r="J442" t="s">
        <v>1490</v>
      </c>
      <c r="K442" t="s">
        <v>25</v>
      </c>
      <c r="L442">
        <v>99</v>
      </c>
      <c r="M442" t="s">
        <v>11</v>
      </c>
      <c r="N442">
        <v>447</v>
      </c>
      <c r="O442">
        <v>38.1</v>
      </c>
      <c r="P442">
        <v>3</v>
      </c>
      <c r="Q442">
        <f>_26_03_2026_Log_Reseau_v15_7[[#This Row],[Durée cumulée_panne_minu]]/60</f>
        <v>7.45</v>
      </c>
      <c r="R442">
        <f>ROUND(_26_03_2026_Log_Reseau_v15_7[[#This Row],[Durée_cumulée _ panne_en heure]],0)</f>
        <v>7</v>
      </c>
      <c r="S442">
        <f>_26_03_2026_Log_Reseau_v15_7[[#This Row],[Anciennété_mois]]/12</f>
        <v>8.25</v>
      </c>
      <c r="T442">
        <f>ROUND(_26_03_2026_Log_Reseau_v15_7[[#This Row],[anciennete_ en année]],0)</f>
        <v>8</v>
      </c>
      <c r="U44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42" s="3">
        <f>ROUND(_26_03_2026_Log_Reseau_v15_7[[#This Row],[remise 10%_70%_45%]],0)</f>
        <v>0</v>
      </c>
      <c r="W442" s="3">
        <f>_26_03_2026_Log_Reseau_v15_7[[#This Row],[Facture mensuelle]]*_26_03_2026_Log_Reseau_v15_7[[#This Row],[remise 10_70_45]]</f>
        <v>0</v>
      </c>
    </row>
    <row r="443" spans="1:23" x14ac:dyDescent="0.25">
      <c r="A443" s="1">
        <v>45224</v>
      </c>
      <c r="B443" s="2">
        <v>0.77500000000000002</v>
      </c>
      <c r="C443" t="s">
        <v>1458</v>
      </c>
      <c r="D443">
        <v>107</v>
      </c>
      <c r="E443" t="s">
        <v>812</v>
      </c>
      <c r="F443" t="s">
        <v>60</v>
      </c>
      <c r="G443">
        <v>-5.7200150000000001</v>
      </c>
      <c r="H443">
        <v>25.022109</v>
      </c>
      <c r="I443" t="s">
        <v>1477</v>
      </c>
      <c r="J443" t="s">
        <v>1483</v>
      </c>
      <c r="K443" t="s">
        <v>59</v>
      </c>
      <c r="L443">
        <v>14</v>
      </c>
      <c r="M443" t="s">
        <v>14</v>
      </c>
      <c r="N443">
        <v>316</v>
      </c>
      <c r="O443">
        <v>62.34</v>
      </c>
      <c r="P443">
        <v>4</v>
      </c>
      <c r="Q443">
        <f>_26_03_2026_Log_Reseau_v15_7[[#This Row],[Durée cumulée_panne_minu]]/60</f>
        <v>5.2666666666666666</v>
      </c>
      <c r="R443">
        <f>ROUND(_26_03_2026_Log_Reseau_v15_7[[#This Row],[Durée_cumulée _ panne_en heure]],0)</f>
        <v>5</v>
      </c>
      <c r="S443">
        <f>_26_03_2026_Log_Reseau_v15_7[[#This Row],[Anciennété_mois]]/12</f>
        <v>1.1666666666666667</v>
      </c>
      <c r="T443">
        <f>ROUND(_26_03_2026_Log_Reseau_v15_7[[#This Row],[anciennete_ en année]],0)</f>
        <v>1</v>
      </c>
      <c r="U44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443" s="3">
        <f>ROUND(_26_03_2026_Log_Reseau_v15_7[[#This Row],[remise 10%_70%_45%]],0)</f>
        <v>6</v>
      </c>
      <c r="W443" s="3">
        <f>_26_03_2026_Log_Reseau_v15_7[[#This Row],[Facture mensuelle]]*_26_03_2026_Log_Reseau_v15_7[[#This Row],[remise 10_70_45]]</f>
        <v>374.04</v>
      </c>
    </row>
    <row r="444" spans="1:23" x14ac:dyDescent="0.25">
      <c r="A444" s="1">
        <v>45225</v>
      </c>
      <c r="B444" s="2">
        <v>0.22083333333333333</v>
      </c>
      <c r="C444" t="s">
        <v>858</v>
      </c>
      <c r="D444">
        <v>104</v>
      </c>
      <c r="E444" t="s">
        <v>808</v>
      </c>
      <c r="F444" t="s">
        <v>33</v>
      </c>
      <c r="G444">
        <v>-8.0800809999999998</v>
      </c>
      <c r="H444">
        <v>30.147970999999998</v>
      </c>
      <c r="I444" t="s">
        <v>1477</v>
      </c>
      <c r="J444" t="s">
        <v>1481</v>
      </c>
      <c r="K444" t="s">
        <v>32</v>
      </c>
      <c r="L444">
        <v>72</v>
      </c>
      <c r="M444" t="s">
        <v>14</v>
      </c>
      <c r="N444">
        <v>160</v>
      </c>
      <c r="O444">
        <v>90.13</v>
      </c>
      <c r="P444">
        <v>2</v>
      </c>
      <c r="Q444">
        <f>_26_03_2026_Log_Reseau_v15_7[[#This Row],[Durée cumulée_panne_minu]]/60</f>
        <v>2.6666666666666665</v>
      </c>
      <c r="R444">
        <f>ROUND(_26_03_2026_Log_Reseau_v15_7[[#This Row],[Durée_cumulée _ panne_en heure]],0)</f>
        <v>3</v>
      </c>
      <c r="S444">
        <f>_26_03_2026_Log_Reseau_v15_7[[#This Row],[Anciennété_mois]]/12</f>
        <v>6</v>
      </c>
      <c r="T444">
        <f>ROUND(_26_03_2026_Log_Reseau_v15_7[[#This Row],[anciennete_ en année]],0)</f>
        <v>6</v>
      </c>
      <c r="U44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444" s="3">
        <f>ROUND(_26_03_2026_Log_Reseau_v15_7[[#This Row],[remise 10%_70%_45%]],0)</f>
        <v>9</v>
      </c>
      <c r="W444" s="3">
        <f>_26_03_2026_Log_Reseau_v15_7[[#This Row],[Facture mensuelle]]*_26_03_2026_Log_Reseau_v15_7[[#This Row],[remise 10_70_45]]</f>
        <v>811.17</v>
      </c>
    </row>
    <row r="445" spans="1:23" x14ac:dyDescent="0.25">
      <c r="A445" s="1">
        <v>45225</v>
      </c>
      <c r="B445" s="2">
        <v>0.97916666666666663</v>
      </c>
      <c r="C445" t="s">
        <v>864</v>
      </c>
      <c r="D445">
        <v>6</v>
      </c>
      <c r="E445" t="s">
        <v>807</v>
      </c>
      <c r="F445" t="s">
        <v>13</v>
      </c>
      <c r="G445">
        <v>-10.577049000000001</v>
      </c>
      <c r="H445">
        <v>23.721854</v>
      </c>
      <c r="I445" t="s">
        <v>1480</v>
      </c>
      <c r="J445" t="s">
        <v>1483</v>
      </c>
      <c r="K445" t="s">
        <v>12</v>
      </c>
      <c r="L445">
        <v>63</v>
      </c>
      <c r="M445" t="s">
        <v>14</v>
      </c>
      <c r="N445">
        <v>205</v>
      </c>
      <c r="O445">
        <v>89.19</v>
      </c>
      <c r="P445">
        <v>0</v>
      </c>
      <c r="Q445">
        <f>_26_03_2026_Log_Reseau_v15_7[[#This Row],[Durée cumulée_panne_minu]]/60</f>
        <v>3.4166666666666665</v>
      </c>
      <c r="R445">
        <f>ROUND(_26_03_2026_Log_Reseau_v15_7[[#This Row],[Durée_cumulée _ panne_en heure]],0)</f>
        <v>3</v>
      </c>
      <c r="S445">
        <f>_26_03_2026_Log_Reseau_v15_7[[#This Row],[Anciennété_mois]]/12</f>
        <v>5.25</v>
      </c>
      <c r="T445">
        <f>ROUND(_26_03_2026_Log_Reseau_v15_7[[#This Row],[anciennete_ en année]],0)</f>
        <v>5</v>
      </c>
      <c r="U44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445" s="3">
        <f>ROUND(_26_03_2026_Log_Reseau_v15_7[[#This Row],[remise 10%_70%_45%]],0)</f>
        <v>9</v>
      </c>
      <c r="W445" s="3">
        <f>_26_03_2026_Log_Reseau_v15_7[[#This Row],[Facture mensuelle]]*_26_03_2026_Log_Reseau_v15_7[[#This Row],[remise 10_70_45]]</f>
        <v>802.71</v>
      </c>
    </row>
    <row r="446" spans="1:23" x14ac:dyDescent="0.25">
      <c r="A446" s="1">
        <v>45225</v>
      </c>
      <c r="B446" s="2">
        <v>0.14722222222222223</v>
      </c>
      <c r="C446" t="s">
        <v>866</v>
      </c>
      <c r="D446">
        <v>44</v>
      </c>
      <c r="E446" t="s">
        <v>807</v>
      </c>
      <c r="F446" t="s">
        <v>21</v>
      </c>
      <c r="G446">
        <v>4.2904629999999999</v>
      </c>
      <c r="H446">
        <v>26.354195000000001</v>
      </c>
      <c r="I446" t="s">
        <v>1482</v>
      </c>
      <c r="J446" t="s">
        <v>1478</v>
      </c>
      <c r="K446" t="s">
        <v>20</v>
      </c>
      <c r="L446">
        <v>101</v>
      </c>
      <c r="M446" t="s">
        <v>22</v>
      </c>
      <c r="N446">
        <v>358</v>
      </c>
      <c r="O446">
        <v>29.24</v>
      </c>
      <c r="P446">
        <v>3</v>
      </c>
      <c r="Q446">
        <f>_26_03_2026_Log_Reseau_v15_7[[#This Row],[Durée cumulée_panne_minu]]/60</f>
        <v>5.9666666666666668</v>
      </c>
      <c r="R446">
        <f>ROUND(_26_03_2026_Log_Reseau_v15_7[[#This Row],[Durée_cumulée _ panne_en heure]],0)</f>
        <v>6</v>
      </c>
      <c r="S446">
        <f>_26_03_2026_Log_Reseau_v15_7[[#This Row],[Anciennété_mois]]/12</f>
        <v>8.4166666666666661</v>
      </c>
      <c r="T446">
        <f>ROUND(_26_03_2026_Log_Reseau_v15_7[[#This Row],[anciennete_ en année]],0)</f>
        <v>8</v>
      </c>
      <c r="U44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46" s="3">
        <f>ROUND(_26_03_2026_Log_Reseau_v15_7[[#This Row],[remise 10%_70%_45%]],0)</f>
        <v>0</v>
      </c>
      <c r="W446" s="3">
        <f>_26_03_2026_Log_Reseau_v15_7[[#This Row],[Facture mensuelle]]*_26_03_2026_Log_Reseau_v15_7[[#This Row],[remise 10_70_45]]</f>
        <v>0</v>
      </c>
    </row>
    <row r="447" spans="1:23" x14ac:dyDescent="0.25">
      <c r="A447" s="1">
        <v>45225</v>
      </c>
      <c r="B447" s="2">
        <v>0.78194444444444444</v>
      </c>
      <c r="C447" t="s">
        <v>887</v>
      </c>
      <c r="D447">
        <v>113</v>
      </c>
      <c r="E447" t="s">
        <v>808</v>
      </c>
      <c r="F447" t="s">
        <v>37</v>
      </c>
      <c r="G447">
        <v>-7.9425049999999997</v>
      </c>
      <c r="H447">
        <v>24.111059000000001</v>
      </c>
      <c r="I447" t="s">
        <v>1482</v>
      </c>
      <c r="J447" t="s">
        <v>1483</v>
      </c>
      <c r="K447" t="s">
        <v>36</v>
      </c>
      <c r="L447">
        <v>115</v>
      </c>
      <c r="M447" t="s">
        <v>19</v>
      </c>
      <c r="N447">
        <v>176</v>
      </c>
      <c r="O447">
        <v>33.28</v>
      </c>
      <c r="P447">
        <v>4</v>
      </c>
      <c r="Q447">
        <f>_26_03_2026_Log_Reseau_v15_7[[#This Row],[Durée cumulée_panne_minu]]/60</f>
        <v>2.9333333333333331</v>
      </c>
      <c r="R447">
        <f>ROUND(_26_03_2026_Log_Reseau_v15_7[[#This Row],[Durée_cumulée _ panne_en heure]],0)</f>
        <v>3</v>
      </c>
      <c r="S447">
        <f>_26_03_2026_Log_Reseau_v15_7[[#This Row],[Anciennété_mois]]/12</f>
        <v>9.5833333333333339</v>
      </c>
      <c r="T447">
        <f>ROUND(_26_03_2026_Log_Reseau_v15_7[[#This Row],[anciennete_ en année]],0)</f>
        <v>10</v>
      </c>
      <c r="U44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47" s="3">
        <f>ROUND(_26_03_2026_Log_Reseau_v15_7[[#This Row],[remise 10%_70%_45%]],0)</f>
        <v>0</v>
      </c>
      <c r="W447" s="3">
        <f>_26_03_2026_Log_Reseau_v15_7[[#This Row],[Facture mensuelle]]*_26_03_2026_Log_Reseau_v15_7[[#This Row],[remise 10_70_45]]</f>
        <v>0</v>
      </c>
    </row>
    <row r="448" spans="1:23" x14ac:dyDescent="0.25">
      <c r="A448" s="1">
        <v>45225</v>
      </c>
      <c r="B448" s="2">
        <v>0.71250000000000002</v>
      </c>
      <c r="C448" t="s">
        <v>989</v>
      </c>
      <c r="D448">
        <v>25</v>
      </c>
      <c r="E448" t="s">
        <v>807</v>
      </c>
      <c r="F448" t="s">
        <v>24</v>
      </c>
      <c r="G448">
        <v>-5.5445120000000001</v>
      </c>
      <c r="H448">
        <v>27.547335</v>
      </c>
      <c r="I448" t="s">
        <v>1480</v>
      </c>
      <c r="J448" t="s">
        <v>1478</v>
      </c>
      <c r="K448" t="s">
        <v>23</v>
      </c>
      <c r="L448">
        <v>46</v>
      </c>
      <c r="M448" t="s">
        <v>11</v>
      </c>
      <c r="N448">
        <v>283</v>
      </c>
      <c r="O448">
        <v>56.05</v>
      </c>
      <c r="P448">
        <v>1</v>
      </c>
      <c r="Q448">
        <f>_26_03_2026_Log_Reseau_v15_7[[#This Row],[Durée cumulée_panne_minu]]/60</f>
        <v>4.7166666666666668</v>
      </c>
      <c r="R448">
        <f>ROUND(_26_03_2026_Log_Reseau_v15_7[[#This Row],[Durée_cumulée _ panne_en heure]],0)</f>
        <v>5</v>
      </c>
      <c r="S448">
        <f>_26_03_2026_Log_Reseau_v15_7[[#This Row],[Anciennété_mois]]/12</f>
        <v>3.8333333333333335</v>
      </c>
      <c r="T448">
        <f>ROUND(_26_03_2026_Log_Reseau_v15_7[[#This Row],[anciennete_ en année]],0)</f>
        <v>4</v>
      </c>
      <c r="U44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48" s="3">
        <f>ROUND(_26_03_2026_Log_Reseau_v15_7[[#This Row],[remise 10%_70%_45%]],0)</f>
        <v>0</v>
      </c>
      <c r="W448" s="3">
        <f>_26_03_2026_Log_Reseau_v15_7[[#This Row],[Facture mensuelle]]*_26_03_2026_Log_Reseau_v15_7[[#This Row],[remise 10_70_45]]</f>
        <v>0</v>
      </c>
    </row>
    <row r="449" spans="1:23" x14ac:dyDescent="0.25">
      <c r="A449" s="1">
        <v>45225</v>
      </c>
      <c r="B449" s="2">
        <v>0.17152777777777778</v>
      </c>
      <c r="C449" t="s">
        <v>1042</v>
      </c>
      <c r="D449">
        <v>104</v>
      </c>
      <c r="E449" t="s">
        <v>808</v>
      </c>
      <c r="F449" t="s">
        <v>62</v>
      </c>
      <c r="G449">
        <v>1.2463919999999999</v>
      </c>
      <c r="H449">
        <v>13.266916999999999</v>
      </c>
      <c r="I449" t="s">
        <v>1477</v>
      </c>
      <c r="J449" t="s">
        <v>1481</v>
      </c>
      <c r="K449" t="s">
        <v>61</v>
      </c>
      <c r="L449">
        <v>101</v>
      </c>
      <c r="M449" t="s">
        <v>14</v>
      </c>
      <c r="N449">
        <v>333</v>
      </c>
      <c r="O449">
        <v>74.319999999999993</v>
      </c>
      <c r="P449">
        <v>1</v>
      </c>
      <c r="Q449">
        <f>_26_03_2026_Log_Reseau_v15_7[[#This Row],[Durée cumulée_panne_minu]]/60</f>
        <v>5.55</v>
      </c>
      <c r="R449">
        <f>ROUND(_26_03_2026_Log_Reseau_v15_7[[#This Row],[Durée_cumulée _ panne_en heure]],0)</f>
        <v>6</v>
      </c>
      <c r="S449">
        <f>_26_03_2026_Log_Reseau_v15_7[[#This Row],[Anciennété_mois]]/12</f>
        <v>8.4166666666666661</v>
      </c>
      <c r="T449">
        <f>ROUND(_26_03_2026_Log_Reseau_v15_7[[#This Row],[anciennete_ en année]],0)</f>
        <v>8</v>
      </c>
      <c r="U44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449" s="3">
        <f>ROUND(_26_03_2026_Log_Reseau_v15_7[[#This Row],[remise 10%_70%_45%]],0)</f>
        <v>7</v>
      </c>
      <c r="W449" s="3">
        <f>_26_03_2026_Log_Reseau_v15_7[[#This Row],[Facture mensuelle]]*_26_03_2026_Log_Reseau_v15_7[[#This Row],[remise 10_70_45]]</f>
        <v>520.24</v>
      </c>
    </row>
    <row r="450" spans="1:23" x14ac:dyDescent="0.25">
      <c r="A450" s="1">
        <v>45225</v>
      </c>
      <c r="B450" s="2">
        <v>0.21527777777777779</v>
      </c>
      <c r="C450" t="s">
        <v>1048</v>
      </c>
      <c r="D450">
        <v>41</v>
      </c>
      <c r="E450" t="s">
        <v>812</v>
      </c>
      <c r="F450" t="s">
        <v>44</v>
      </c>
      <c r="G450">
        <v>-4.9552579999999997</v>
      </c>
      <c r="H450">
        <v>22.008103999999999</v>
      </c>
      <c r="I450" t="s">
        <v>1480</v>
      </c>
      <c r="J450" t="s">
        <v>1481</v>
      </c>
      <c r="K450" t="s">
        <v>43</v>
      </c>
      <c r="L450">
        <v>66</v>
      </c>
      <c r="M450" t="s">
        <v>22</v>
      </c>
      <c r="N450">
        <v>270</v>
      </c>
      <c r="O450">
        <v>75.88</v>
      </c>
      <c r="P450">
        <v>3</v>
      </c>
      <c r="Q450">
        <f>_26_03_2026_Log_Reseau_v15_7[[#This Row],[Durée cumulée_panne_minu]]/60</f>
        <v>4.5</v>
      </c>
      <c r="R450">
        <f>ROUND(_26_03_2026_Log_Reseau_v15_7[[#This Row],[Durée_cumulée _ panne_en heure]],0)</f>
        <v>5</v>
      </c>
      <c r="S450">
        <f>_26_03_2026_Log_Reseau_v15_7[[#This Row],[Anciennété_mois]]/12</f>
        <v>5.5</v>
      </c>
      <c r="T450">
        <f>ROUND(_26_03_2026_Log_Reseau_v15_7[[#This Row],[anciennete_ en année]],0)</f>
        <v>6</v>
      </c>
      <c r="U45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50" s="3">
        <f>ROUND(_26_03_2026_Log_Reseau_v15_7[[#This Row],[remise 10%_70%_45%]],0)</f>
        <v>0</v>
      </c>
      <c r="W450" s="3">
        <f>_26_03_2026_Log_Reseau_v15_7[[#This Row],[Facture mensuelle]]*_26_03_2026_Log_Reseau_v15_7[[#This Row],[remise 10_70_45]]</f>
        <v>0</v>
      </c>
    </row>
    <row r="451" spans="1:23" x14ac:dyDescent="0.25">
      <c r="A451" s="1">
        <v>45225</v>
      </c>
      <c r="B451" s="2">
        <v>0.94861111111111107</v>
      </c>
      <c r="C451" t="s">
        <v>1057</v>
      </c>
      <c r="D451">
        <v>30</v>
      </c>
      <c r="E451" t="s">
        <v>807</v>
      </c>
      <c r="F451" t="s">
        <v>40</v>
      </c>
      <c r="G451">
        <v>-10.653247</v>
      </c>
      <c r="H451">
        <v>14.685601</v>
      </c>
      <c r="I451" t="s">
        <v>1480</v>
      </c>
      <c r="J451" t="s">
        <v>1478</v>
      </c>
      <c r="K451" t="s">
        <v>39</v>
      </c>
      <c r="L451">
        <v>110</v>
      </c>
      <c r="M451" t="s">
        <v>14</v>
      </c>
      <c r="N451">
        <v>423</v>
      </c>
      <c r="O451">
        <v>37.35</v>
      </c>
      <c r="P451">
        <v>4</v>
      </c>
      <c r="Q451">
        <f>_26_03_2026_Log_Reseau_v15_7[[#This Row],[Durée cumulée_panne_minu]]/60</f>
        <v>7.05</v>
      </c>
      <c r="R451">
        <f>ROUND(_26_03_2026_Log_Reseau_v15_7[[#This Row],[Durée_cumulée _ panne_en heure]],0)</f>
        <v>7</v>
      </c>
      <c r="S451">
        <f>_26_03_2026_Log_Reseau_v15_7[[#This Row],[Anciennété_mois]]/12</f>
        <v>9.1666666666666661</v>
      </c>
      <c r="T451">
        <f>ROUND(_26_03_2026_Log_Reseau_v15_7[[#This Row],[anciennete_ en année]],0)</f>
        <v>9</v>
      </c>
      <c r="U45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451" s="3">
        <f>ROUND(_26_03_2026_Log_Reseau_v15_7[[#This Row],[remise 10%_70%_45%]],0)</f>
        <v>4</v>
      </c>
      <c r="W451" s="3">
        <f>_26_03_2026_Log_Reseau_v15_7[[#This Row],[Facture mensuelle]]*_26_03_2026_Log_Reseau_v15_7[[#This Row],[remise 10_70_45]]</f>
        <v>149.4</v>
      </c>
    </row>
    <row r="452" spans="1:23" x14ac:dyDescent="0.25">
      <c r="A452" s="1">
        <v>45225</v>
      </c>
      <c r="B452" s="2">
        <v>0.62569444444444444</v>
      </c>
      <c r="C452" t="s">
        <v>1063</v>
      </c>
      <c r="D452">
        <v>108</v>
      </c>
      <c r="E452" t="s">
        <v>812</v>
      </c>
      <c r="F452" t="s">
        <v>31</v>
      </c>
      <c r="G452">
        <v>-10.611184</v>
      </c>
      <c r="H452">
        <v>23.022268</v>
      </c>
      <c r="I452" t="s">
        <v>1477</v>
      </c>
      <c r="J452" t="s">
        <v>1483</v>
      </c>
      <c r="K452" t="s">
        <v>30</v>
      </c>
      <c r="L452">
        <v>113</v>
      </c>
      <c r="M452" t="s">
        <v>22</v>
      </c>
      <c r="N452">
        <v>380</v>
      </c>
      <c r="O452">
        <v>12.11</v>
      </c>
      <c r="P452">
        <v>0</v>
      </c>
      <c r="Q452">
        <f>_26_03_2026_Log_Reseau_v15_7[[#This Row],[Durée cumulée_panne_minu]]/60</f>
        <v>6.333333333333333</v>
      </c>
      <c r="R452">
        <f>ROUND(_26_03_2026_Log_Reseau_v15_7[[#This Row],[Durée_cumulée _ panne_en heure]],0)</f>
        <v>6</v>
      </c>
      <c r="S452">
        <f>_26_03_2026_Log_Reseau_v15_7[[#This Row],[Anciennété_mois]]/12</f>
        <v>9.4166666666666661</v>
      </c>
      <c r="T452">
        <f>ROUND(_26_03_2026_Log_Reseau_v15_7[[#This Row],[anciennete_ en année]],0)</f>
        <v>9</v>
      </c>
      <c r="U45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52" s="3">
        <f>ROUND(_26_03_2026_Log_Reseau_v15_7[[#This Row],[remise 10%_70%_45%]],0)</f>
        <v>0</v>
      </c>
      <c r="W452" s="3">
        <f>_26_03_2026_Log_Reseau_v15_7[[#This Row],[Facture mensuelle]]*_26_03_2026_Log_Reseau_v15_7[[#This Row],[remise 10_70_45]]</f>
        <v>0</v>
      </c>
    </row>
    <row r="453" spans="1:23" x14ac:dyDescent="0.25">
      <c r="A453" s="1">
        <v>45225</v>
      </c>
      <c r="B453" s="2">
        <v>0.96527777777777779</v>
      </c>
      <c r="C453" t="s">
        <v>1158</v>
      </c>
      <c r="D453">
        <v>36</v>
      </c>
      <c r="E453" t="s">
        <v>807</v>
      </c>
      <c r="F453" t="s">
        <v>37</v>
      </c>
      <c r="G453">
        <v>-9.002459</v>
      </c>
      <c r="H453">
        <v>25.182109000000001</v>
      </c>
      <c r="I453" t="s">
        <v>1477</v>
      </c>
      <c r="J453" t="s">
        <v>1481</v>
      </c>
      <c r="K453" t="s">
        <v>36</v>
      </c>
      <c r="L453">
        <v>115</v>
      </c>
      <c r="M453" t="s">
        <v>19</v>
      </c>
      <c r="N453">
        <v>176</v>
      </c>
      <c r="O453">
        <v>33.28</v>
      </c>
      <c r="P453">
        <v>4</v>
      </c>
      <c r="Q453">
        <f>_26_03_2026_Log_Reseau_v15_7[[#This Row],[Durée cumulée_panne_minu]]/60</f>
        <v>2.9333333333333331</v>
      </c>
      <c r="R453">
        <f>ROUND(_26_03_2026_Log_Reseau_v15_7[[#This Row],[Durée_cumulée _ panne_en heure]],0)</f>
        <v>3</v>
      </c>
      <c r="S453">
        <f>_26_03_2026_Log_Reseau_v15_7[[#This Row],[Anciennété_mois]]/12</f>
        <v>9.5833333333333339</v>
      </c>
      <c r="T453">
        <f>ROUND(_26_03_2026_Log_Reseau_v15_7[[#This Row],[anciennete_ en année]],0)</f>
        <v>10</v>
      </c>
      <c r="U45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53" s="3">
        <f>ROUND(_26_03_2026_Log_Reseau_v15_7[[#This Row],[remise 10%_70%_45%]],0)</f>
        <v>0</v>
      </c>
      <c r="W453" s="3">
        <f>_26_03_2026_Log_Reseau_v15_7[[#This Row],[Facture mensuelle]]*_26_03_2026_Log_Reseau_v15_7[[#This Row],[remise 10_70_45]]</f>
        <v>0</v>
      </c>
    </row>
    <row r="454" spans="1:23" x14ac:dyDescent="0.25">
      <c r="A454" s="1">
        <v>45225</v>
      </c>
      <c r="B454" s="2">
        <v>0.62361111111111112</v>
      </c>
      <c r="C454" t="s">
        <v>1169</v>
      </c>
      <c r="D454">
        <v>22</v>
      </c>
      <c r="E454" t="s">
        <v>807</v>
      </c>
      <c r="F454" t="s">
        <v>44</v>
      </c>
      <c r="G454">
        <v>-0.47411900000000001</v>
      </c>
      <c r="H454">
        <v>27.184329000000002</v>
      </c>
      <c r="I454" t="s">
        <v>1477</v>
      </c>
      <c r="J454" t="s">
        <v>1483</v>
      </c>
      <c r="K454" t="s">
        <v>43</v>
      </c>
      <c r="L454">
        <v>66</v>
      </c>
      <c r="M454" t="s">
        <v>22</v>
      </c>
      <c r="N454">
        <v>270</v>
      </c>
      <c r="O454">
        <v>75.88</v>
      </c>
      <c r="P454">
        <v>3</v>
      </c>
      <c r="Q454">
        <f>_26_03_2026_Log_Reseau_v15_7[[#This Row],[Durée cumulée_panne_minu]]/60</f>
        <v>4.5</v>
      </c>
      <c r="R454">
        <f>ROUND(_26_03_2026_Log_Reseau_v15_7[[#This Row],[Durée_cumulée _ panne_en heure]],0)</f>
        <v>5</v>
      </c>
      <c r="S454">
        <f>_26_03_2026_Log_Reseau_v15_7[[#This Row],[Anciennété_mois]]/12</f>
        <v>5.5</v>
      </c>
      <c r="T454">
        <f>ROUND(_26_03_2026_Log_Reseau_v15_7[[#This Row],[anciennete_ en année]],0)</f>
        <v>6</v>
      </c>
      <c r="U45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54" s="3">
        <f>ROUND(_26_03_2026_Log_Reseau_v15_7[[#This Row],[remise 10%_70%_45%]],0)</f>
        <v>0</v>
      </c>
      <c r="W454" s="3">
        <f>_26_03_2026_Log_Reseau_v15_7[[#This Row],[Facture mensuelle]]*_26_03_2026_Log_Reseau_v15_7[[#This Row],[remise 10_70_45]]</f>
        <v>0</v>
      </c>
    </row>
    <row r="455" spans="1:23" x14ac:dyDescent="0.25">
      <c r="A455" s="1">
        <v>45225</v>
      </c>
      <c r="B455" s="2">
        <v>0.77638888888888891</v>
      </c>
      <c r="C455" t="s">
        <v>1243</v>
      </c>
      <c r="D455">
        <v>71</v>
      </c>
      <c r="E455" t="s">
        <v>807</v>
      </c>
      <c r="F455" t="s">
        <v>131</v>
      </c>
      <c r="G455">
        <v>0.82868600000000003</v>
      </c>
      <c r="H455">
        <v>26.958843999999999</v>
      </c>
      <c r="I455" t="s">
        <v>1477</v>
      </c>
      <c r="J455" t="s">
        <v>1483</v>
      </c>
      <c r="K455" t="s">
        <v>130</v>
      </c>
      <c r="L455">
        <v>16</v>
      </c>
      <c r="M455" t="s">
        <v>19</v>
      </c>
      <c r="N455">
        <v>390</v>
      </c>
      <c r="O455">
        <v>98.17</v>
      </c>
      <c r="P455">
        <v>5</v>
      </c>
      <c r="Q455">
        <f>_26_03_2026_Log_Reseau_v15_7[[#This Row],[Durée cumulée_panne_minu]]/60</f>
        <v>6.5</v>
      </c>
      <c r="R455">
        <f>ROUND(_26_03_2026_Log_Reseau_v15_7[[#This Row],[Durée_cumulée _ panne_en heure]],0)</f>
        <v>7</v>
      </c>
      <c r="S455">
        <f>_26_03_2026_Log_Reseau_v15_7[[#This Row],[Anciennété_mois]]/12</f>
        <v>1.3333333333333333</v>
      </c>
      <c r="T455">
        <f>ROUND(_26_03_2026_Log_Reseau_v15_7[[#This Row],[anciennete_ en année]],0)</f>
        <v>1</v>
      </c>
      <c r="U45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55" s="3">
        <f>ROUND(_26_03_2026_Log_Reseau_v15_7[[#This Row],[remise 10%_70%_45%]],0)</f>
        <v>0</v>
      </c>
      <c r="W455" s="3">
        <f>_26_03_2026_Log_Reseau_v15_7[[#This Row],[Facture mensuelle]]*_26_03_2026_Log_Reseau_v15_7[[#This Row],[remise 10_70_45]]</f>
        <v>0</v>
      </c>
    </row>
    <row r="456" spans="1:23" x14ac:dyDescent="0.25">
      <c r="A456" s="1">
        <v>45225</v>
      </c>
      <c r="B456" s="2">
        <v>0.40694444444444444</v>
      </c>
      <c r="C456" t="s">
        <v>1259</v>
      </c>
      <c r="D456">
        <v>74</v>
      </c>
      <c r="E456" t="s">
        <v>807</v>
      </c>
      <c r="F456" t="s">
        <v>40</v>
      </c>
      <c r="G456">
        <v>-4.6957509999999996</v>
      </c>
      <c r="H456">
        <v>14.233525999999999</v>
      </c>
      <c r="I456" t="s">
        <v>1480</v>
      </c>
      <c r="J456" t="s">
        <v>1490</v>
      </c>
      <c r="K456" t="s">
        <v>39</v>
      </c>
      <c r="L456">
        <v>110</v>
      </c>
      <c r="M456" t="s">
        <v>14</v>
      </c>
      <c r="N456">
        <v>423</v>
      </c>
      <c r="O456">
        <v>37.35</v>
      </c>
      <c r="P456">
        <v>4</v>
      </c>
      <c r="Q456">
        <f>_26_03_2026_Log_Reseau_v15_7[[#This Row],[Durée cumulée_panne_minu]]/60</f>
        <v>7.05</v>
      </c>
      <c r="R456">
        <f>ROUND(_26_03_2026_Log_Reseau_v15_7[[#This Row],[Durée_cumulée _ panne_en heure]],0)</f>
        <v>7</v>
      </c>
      <c r="S456">
        <f>_26_03_2026_Log_Reseau_v15_7[[#This Row],[Anciennété_mois]]/12</f>
        <v>9.1666666666666661</v>
      </c>
      <c r="T456">
        <f>ROUND(_26_03_2026_Log_Reseau_v15_7[[#This Row],[anciennete_ en année]],0)</f>
        <v>9</v>
      </c>
      <c r="U45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456" s="3">
        <f>ROUND(_26_03_2026_Log_Reseau_v15_7[[#This Row],[remise 10%_70%_45%]],0)</f>
        <v>4</v>
      </c>
      <c r="W456" s="3">
        <f>_26_03_2026_Log_Reseau_v15_7[[#This Row],[Facture mensuelle]]*_26_03_2026_Log_Reseau_v15_7[[#This Row],[remise 10_70_45]]</f>
        <v>149.4</v>
      </c>
    </row>
    <row r="457" spans="1:23" x14ac:dyDescent="0.25">
      <c r="A457" s="1">
        <v>45225</v>
      </c>
      <c r="B457" s="2">
        <v>0.28888888888888886</v>
      </c>
      <c r="C457" t="s">
        <v>1269</v>
      </c>
      <c r="D457">
        <v>89</v>
      </c>
      <c r="E457" t="s">
        <v>807</v>
      </c>
      <c r="F457" t="s">
        <v>18</v>
      </c>
      <c r="G457">
        <v>0.16327700000000001</v>
      </c>
      <c r="H457">
        <v>14.871577</v>
      </c>
      <c r="I457" t="s">
        <v>1480</v>
      </c>
      <c r="J457" t="s">
        <v>1481</v>
      </c>
      <c r="K457" t="s">
        <v>17</v>
      </c>
      <c r="L457">
        <v>44</v>
      </c>
      <c r="M457" t="s">
        <v>19</v>
      </c>
      <c r="N457">
        <v>348</v>
      </c>
      <c r="O457">
        <v>58.67</v>
      </c>
      <c r="P457">
        <v>0</v>
      </c>
      <c r="Q457">
        <f>_26_03_2026_Log_Reseau_v15_7[[#This Row],[Durée cumulée_panne_minu]]/60</f>
        <v>5.8</v>
      </c>
      <c r="R457">
        <f>ROUND(_26_03_2026_Log_Reseau_v15_7[[#This Row],[Durée_cumulée _ panne_en heure]],0)</f>
        <v>6</v>
      </c>
      <c r="S457">
        <f>_26_03_2026_Log_Reseau_v15_7[[#This Row],[Anciennété_mois]]/12</f>
        <v>3.6666666666666665</v>
      </c>
      <c r="T457">
        <f>ROUND(_26_03_2026_Log_Reseau_v15_7[[#This Row],[anciennete_ en année]],0)</f>
        <v>4</v>
      </c>
      <c r="U45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57" s="3">
        <f>ROUND(_26_03_2026_Log_Reseau_v15_7[[#This Row],[remise 10%_70%_45%]],0)</f>
        <v>0</v>
      </c>
      <c r="W457" s="3">
        <f>_26_03_2026_Log_Reseau_v15_7[[#This Row],[Facture mensuelle]]*_26_03_2026_Log_Reseau_v15_7[[#This Row],[remise 10_70_45]]</f>
        <v>0</v>
      </c>
    </row>
    <row r="458" spans="1:23" x14ac:dyDescent="0.25">
      <c r="A458" s="1">
        <v>45225</v>
      </c>
      <c r="B458" s="2">
        <v>0.31736111111111109</v>
      </c>
      <c r="C458" t="s">
        <v>1285</v>
      </c>
      <c r="D458">
        <v>56</v>
      </c>
      <c r="E458" t="s">
        <v>808</v>
      </c>
      <c r="F458" t="s">
        <v>89</v>
      </c>
      <c r="G458">
        <v>-7.9987219999999999</v>
      </c>
      <c r="H458">
        <v>12.779335</v>
      </c>
      <c r="I458" t="s">
        <v>1477</v>
      </c>
      <c r="J458" t="s">
        <v>1490</v>
      </c>
      <c r="K458" t="s">
        <v>88</v>
      </c>
      <c r="L458">
        <v>98</v>
      </c>
      <c r="M458" t="s">
        <v>14</v>
      </c>
      <c r="N458">
        <v>482</v>
      </c>
      <c r="O458">
        <v>55.04</v>
      </c>
      <c r="P458">
        <v>5</v>
      </c>
      <c r="Q458">
        <f>_26_03_2026_Log_Reseau_v15_7[[#This Row],[Durée cumulée_panne_minu]]/60</f>
        <v>8.0333333333333332</v>
      </c>
      <c r="R458">
        <f>ROUND(_26_03_2026_Log_Reseau_v15_7[[#This Row],[Durée_cumulée _ panne_en heure]],0)</f>
        <v>8</v>
      </c>
      <c r="S458">
        <f>_26_03_2026_Log_Reseau_v15_7[[#This Row],[Anciennété_mois]]/12</f>
        <v>8.1666666666666661</v>
      </c>
      <c r="T458">
        <f>ROUND(_26_03_2026_Log_Reseau_v15_7[[#This Row],[anciennete_ en année]],0)</f>
        <v>8</v>
      </c>
      <c r="U45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458" s="3">
        <f>ROUND(_26_03_2026_Log_Reseau_v15_7[[#This Row],[remise 10%_70%_45%]],0)</f>
        <v>6</v>
      </c>
      <c r="W458" s="3">
        <f>_26_03_2026_Log_Reseau_v15_7[[#This Row],[Facture mensuelle]]*_26_03_2026_Log_Reseau_v15_7[[#This Row],[remise 10_70_45]]</f>
        <v>330.24</v>
      </c>
    </row>
    <row r="459" spans="1:23" x14ac:dyDescent="0.25">
      <c r="A459" s="1">
        <v>45225</v>
      </c>
      <c r="B459" s="2">
        <v>0.62291666666666667</v>
      </c>
      <c r="C459" t="s">
        <v>1425</v>
      </c>
      <c r="D459">
        <v>86</v>
      </c>
      <c r="E459" t="s">
        <v>807</v>
      </c>
      <c r="F459" t="s">
        <v>29</v>
      </c>
      <c r="G459">
        <v>-10.165072</v>
      </c>
      <c r="H459">
        <v>29.428024000000001</v>
      </c>
      <c r="I459" t="s">
        <v>1477</v>
      </c>
      <c r="J459" t="s">
        <v>1481</v>
      </c>
      <c r="K459" t="s">
        <v>28</v>
      </c>
      <c r="L459">
        <v>99</v>
      </c>
      <c r="M459" t="s">
        <v>19</v>
      </c>
      <c r="N459">
        <v>369</v>
      </c>
      <c r="O459">
        <v>67.209999999999994</v>
      </c>
      <c r="P459">
        <v>3</v>
      </c>
      <c r="Q459">
        <f>_26_03_2026_Log_Reseau_v15_7[[#This Row],[Durée cumulée_panne_minu]]/60</f>
        <v>6.15</v>
      </c>
      <c r="R459">
        <f>ROUND(_26_03_2026_Log_Reseau_v15_7[[#This Row],[Durée_cumulée _ panne_en heure]],0)</f>
        <v>6</v>
      </c>
      <c r="S459">
        <f>_26_03_2026_Log_Reseau_v15_7[[#This Row],[Anciennété_mois]]/12</f>
        <v>8.25</v>
      </c>
      <c r="T459">
        <f>ROUND(_26_03_2026_Log_Reseau_v15_7[[#This Row],[anciennete_ en année]],0)</f>
        <v>8</v>
      </c>
      <c r="U45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59" s="3">
        <f>ROUND(_26_03_2026_Log_Reseau_v15_7[[#This Row],[remise 10%_70%_45%]],0)</f>
        <v>0</v>
      </c>
      <c r="W459" s="3">
        <f>_26_03_2026_Log_Reseau_v15_7[[#This Row],[Facture mensuelle]]*_26_03_2026_Log_Reseau_v15_7[[#This Row],[remise 10_70_45]]</f>
        <v>0</v>
      </c>
    </row>
    <row r="460" spans="1:23" x14ac:dyDescent="0.25">
      <c r="A460" s="1">
        <v>45225</v>
      </c>
      <c r="B460" s="2">
        <v>5.4166666666666669E-2</v>
      </c>
      <c r="C460" t="s">
        <v>1436</v>
      </c>
      <c r="D460">
        <v>38</v>
      </c>
      <c r="E460" t="s">
        <v>812</v>
      </c>
      <c r="F460" t="s">
        <v>137</v>
      </c>
      <c r="G460">
        <v>-4.2184999999999997</v>
      </c>
      <c r="H460">
        <v>23.077093999999999</v>
      </c>
      <c r="I460" t="s">
        <v>1480</v>
      </c>
      <c r="J460" t="s">
        <v>1478</v>
      </c>
      <c r="K460" t="s">
        <v>136</v>
      </c>
      <c r="L460">
        <v>80</v>
      </c>
      <c r="M460" t="s">
        <v>22</v>
      </c>
      <c r="N460">
        <v>155</v>
      </c>
      <c r="O460">
        <v>28.96</v>
      </c>
      <c r="P460">
        <v>2</v>
      </c>
      <c r="Q460">
        <f>_26_03_2026_Log_Reseau_v15_7[[#This Row],[Durée cumulée_panne_minu]]/60</f>
        <v>2.5833333333333335</v>
      </c>
      <c r="R460">
        <f>ROUND(_26_03_2026_Log_Reseau_v15_7[[#This Row],[Durée_cumulée _ panne_en heure]],0)</f>
        <v>3</v>
      </c>
      <c r="S460">
        <f>_26_03_2026_Log_Reseau_v15_7[[#This Row],[Anciennété_mois]]/12</f>
        <v>6.666666666666667</v>
      </c>
      <c r="T460">
        <f>ROUND(_26_03_2026_Log_Reseau_v15_7[[#This Row],[anciennete_ en année]],0)</f>
        <v>7</v>
      </c>
      <c r="U46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60" s="3">
        <f>ROUND(_26_03_2026_Log_Reseau_v15_7[[#This Row],[remise 10%_70%_45%]],0)</f>
        <v>0</v>
      </c>
      <c r="W460" s="3">
        <f>_26_03_2026_Log_Reseau_v15_7[[#This Row],[Facture mensuelle]]*_26_03_2026_Log_Reseau_v15_7[[#This Row],[remise 10_70_45]]</f>
        <v>0</v>
      </c>
    </row>
    <row r="461" spans="1:23" x14ac:dyDescent="0.25">
      <c r="A461" s="1">
        <v>45225</v>
      </c>
      <c r="B461" s="2">
        <v>0.8881944444444444</v>
      </c>
      <c r="C461" t="s">
        <v>1449</v>
      </c>
      <c r="D461">
        <v>87</v>
      </c>
      <c r="E461" t="s">
        <v>812</v>
      </c>
      <c r="F461" t="s">
        <v>18</v>
      </c>
      <c r="G461">
        <v>-5.8145569999999998</v>
      </c>
      <c r="H461">
        <v>21.942052</v>
      </c>
      <c r="I461" t="s">
        <v>1477</v>
      </c>
      <c r="J461" t="s">
        <v>1481</v>
      </c>
      <c r="K461" t="s">
        <v>17</v>
      </c>
      <c r="L461">
        <v>44</v>
      </c>
      <c r="M461" t="s">
        <v>19</v>
      </c>
      <c r="N461">
        <v>348</v>
      </c>
      <c r="O461">
        <v>58.67</v>
      </c>
      <c r="P461">
        <v>0</v>
      </c>
      <c r="Q461">
        <f>_26_03_2026_Log_Reseau_v15_7[[#This Row],[Durée cumulée_panne_minu]]/60</f>
        <v>5.8</v>
      </c>
      <c r="R461">
        <f>ROUND(_26_03_2026_Log_Reseau_v15_7[[#This Row],[Durée_cumulée _ panne_en heure]],0)</f>
        <v>6</v>
      </c>
      <c r="S461">
        <f>_26_03_2026_Log_Reseau_v15_7[[#This Row],[Anciennété_mois]]/12</f>
        <v>3.6666666666666665</v>
      </c>
      <c r="T461">
        <f>ROUND(_26_03_2026_Log_Reseau_v15_7[[#This Row],[anciennete_ en année]],0)</f>
        <v>4</v>
      </c>
      <c r="U46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61" s="3">
        <f>ROUND(_26_03_2026_Log_Reseau_v15_7[[#This Row],[remise 10%_70%_45%]],0)</f>
        <v>0</v>
      </c>
      <c r="W461" s="3">
        <f>_26_03_2026_Log_Reseau_v15_7[[#This Row],[Facture mensuelle]]*_26_03_2026_Log_Reseau_v15_7[[#This Row],[remise 10_70_45]]</f>
        <v>0</v>
      </c>
    </row>
    <row r="462" spans="1:23" x14ac:dyDescent="0.25">
      <c r="A462" s="1">
        <v>45226</v>
      </c>
      <c r="B462" s="2">
        <v>0.53055555555555556</v>
      </c>
      <c r="C462" t="s">
        <v>873</v>
      </c>
      <c r="D462">
        <v>101</v>
      </c>
      <c r="E462" t="s">
        <v>812</v>
      </c>
      <c r="F462" t="s">
        <v>78</v>
      </c>
      <c r="G462">
        <v>-10.650321</v>
      </c>
      <c r="H462">
        <v>15.917044000000001</v>
      </c>
      <c r="I462" t="s">
        <v>1480</v>
      </c>
      <c r="J462" t="s">
        <v>1490</v>
      </c>
      <c r="K462" t="s">
        <v>77</v>
      </c>
      <c r="L462">
        <v>81</v>
      </c>
      <c r="M462" t="s">
        <v>14</v>
      </c>
      <c r="N462">
        <v>154</v>
      </c>
      <c r="O462">
        <v>19.47</v>
      </c>
      <c r="P462">
        <v>3</v>
      </c>
      <c r="Q462">
        <f>_26_03_2026_Log_Reseau_v15_7[[#This Row],[Durée cumulée_panne_minu]]/60</f>
        <v>2.5666666666666669</v>
      </c>
      <c r="R462">
        <f>ROUND(_26_03_2026_Log_Reseau_v15_7[[#This Row],[Durée_cumulée _ panne_en heure]],0)</f>
        <v>3</v>
      </c>
      <c r="S462">
        <f>_26_03_2026_Log_Reseau_v15_7[[#This Row],[Anciennété_mois]]/12</f>
        <v>6.75</v>
      </c>
      <c r="T462">
        <f>ROUND(_26_03_2026_Log_Reseau_v15_7[[#This Row],[anciennete_ en année]],0)</f>
        <v>7</v>
      </c>
      <c r="U46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1.9470000000000001</v>
      </c>
      <c r="V462" s="3">
        <f>ROUND(_26_03_2026_Log_Reseau_v15_7[[#This Row],[remise 10%_70%_45%]],0)</f>
        <v>2</v>
      </c>
      <c r="W462" s="3">
        <f>_26_03_2026_Log_Reseau_v15_7[[#This Row],[Facture mensuelle]]*_26_03_2026_Log_Reseau_v15_7[[#This Row],[remise 10_70_45]]</f>
        <v>38.94</v>
      </c>
    </row>
    <row r="463" spans="1:23" x14ac:dyDescent="0.25">
      <c r="A463" s="1">
        <v>45226</v>
      </c>
      <c r="B463" s="2">
        <v>0.96944444444444444</v>
      </c>
      <c r="C463" t="s">
        <v>875</v>
      </c>
      <c r="D463">
        <v>68</v>
      </c>
      <c r="E463" t="s">
        <v>807</v>
      </c>
      <c r="F463" t="s">
        <v>73</v>
      </c>
      <c r="G463">
        <v>3.0603760000000002</v>
      </c>
      <c r="H463">
        <v>19.708034000000001</v>
      </c>
      <c r="I463" t="s">
        <v>1482</v>
      </c>
      <c r="J463" t="s">
        <v>1483</v>
      </c>
      <c r="K463" t="s">
        <v>72</v>
      </c>
      <c r="L463">
        <v>6</v>
      </c>
      <c r="M463" t="s">
        <v>11</v>
      </c>
      <c r="N463">
        <v>207</v>
      </c>
      <c r="O463">
        <v>61.55</v>
      </c>
      <c r="P463">
        <v>0</v>
      </c>
      <c r="Q463">
        <f>_26_03_2026_Log_Reseau_v15_7[[#This Row],[Durée cumulée_panne_minu]]/60</f>
        <v>3.45</v>
      </c>
      <c r="R463">
        <f>ROUND(_26_03_2026_Log_Reseau_v15_7[[#This Row],[Durée_cumulée _ panne_en heure]],0)</f>
        <v>3</v>
      </c>
      <c r="S463">
        <f>_26_03_2026_Log_Reseau_v15_7[[#This Row],[Anciennété_mois]]/12</f>
        <v>0.5</v>
      </c>
      <c r="T463">
        <f>ROUND(_26_03_2026_Log_Reseau_v15_7[[#This Row],[anciennete_ en année]],0)</f>
        <v>1</v>
      </c>
      <c r="U46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63" s="3">
        <f>ROUND(_26_03_2026_Log_Reseau_v15_7[[#This Row],[remise 10%_70%_45%]],0)</f>
        <v>0</v>
      </c>
      <c r="W463" s="3">
        <f>_26_03_2026_Log_Reseau_v15_7[[#This Row],[Facture mensuelle]]*_26_03_2026_Log_Reseau_v15_7[[#This Row],[remise 10_70_45]]</f>
        <v>0</v>
      </c>
    </row>
    <row r="464" spans="1:23" x14ac:dyDescent="0.25">
      <c r="A464" s="1">
        <v>45226</v>
      </c>
      <c r="B464" s="2">
        <v>0.84097222222222223</v>
      </c>
      <c r="C464" t="s">
        <v>923</v>
      </c>
      <c r="D464">
        <v>74</v>
      </c>
      <c r="E464" t="s">
        <v>808</v>
      </c>
      <c r="F464" t="s">
        <v>64</v>
      </c>
      <c r="G464">
        <v>-11.389362</v>
      </c>
      <c r="H464">
        <v>22.240174</v>
      </c>
      <c r="I464" t="s">
        <v>1477</v>
      </c>
      <c r="J464" t="s">
        <v>1483</v>
      </c>
      <c r="K464" t="s">
        <v>63</v>
      </c>
      <c r="L464">
        <v>79</v>
      </c>
      <c r="M464" t="s">
        <v>11</v>
      </c>
      <c r="N464">
        <v>226</v>
      </c>
      <c r="O464">
        <v>94.38</v>
      </c>
      <c r="P464">
        <v>3</v>
      </c>
      <c r="Q464">
        <f>_26_03_2026_Log_Reseau_v15_7[[#This Row],[Durée cumulée_panne_minu]]/60</f>
        <v>3.7666666666666666</v>
      </c>
      <c r="R464">
        <f>ROUND(_26_03_2026_Log_Reseau_v15_7[[#This Row],[Durée_cumulée _ panne_en heure]],0)</f>
        <v>4</v>
      </c>
      <c r="S464">
        <f>_26_03_2026_Log_Reseau_v15_7[[#This Row],[Anciennété_mois]]/12</f>
        <v>6.583333333333333</v>
      </c>
      <c r="T464">
        <f>ROUND(_26_03_2026_Log_Reseau_v15_7[[#This Row],[anciennete_ en année]],0)</f>
        <v>7</v>
      </c>
      <c r="U46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64" s="3">
        <f>ROUND(_26_03_2026_Log_Reseau_v15_7[[#This Row],[remise 10%_70%_45%]],0)</f>
        <v>0</v>
      </c>
      <c r="W464" s="3">
        <f>_26_03_2026_Log_Reseau_v15_7[[#This Row],[Facture mensuelle]]*_26_03_2026_Log_Reseau_v15_7[[#This Row],[remise 10_70_45]]</f>
        <v>0</v>
      </c>
    </row>
    <row r="465" spans="1:23" x14ac:dyDescent="0.25">
      <c r="A465" s="1">
        <v>45226</v>
      </c>
      <c r="B465" s="2">
        <v>0.17083333333333334</v>
      </c>
      <c r="C465" t="s">
        <v>981</v>
      </c>
      <c r="D465">
        <v>54</v>
      </c>
      <c r="E465" t="s">
        <v>807</v>
      </c>
      <c r="F465" t="s">
        <v>13</v>
      </c>
      <c r="G465">
        <v>-5.1030600000000002</v>
      </c>
      <c r="H465">
        <v>22.849231</v>
      </c>
      <c r="I465" t="s">
        <v>1477</v>
      </c>
      <c r="J465" t="s">
        <v>1483</v>
      </c>
      <c r="K465" t="s">
        <v>12</v>
      </c>
      <c r="L465">
        <v>63</v>
      </c>
      <c r="M465" t="s">
        <v>14</v>
      </c>
      <c r="N465">
        <v>205</v>
      </c>
      <c r="O465">
        <v>89.19</v>
      </c>
      <c r="P465">
        <v>0</v>
      </c>
      <c r="Q465">
        <f>_26_03_2026_Log_Reseau_v15_7[[#This Row],[Durée cumulée_panne_minu]]/60</f>
        <v>3.4166666666666665</v>
      </c>
      <c r="R465">
        <f>ROUND(_26_03_2026_Log_Reseau_v15_7[[#This Row],[Durée_cumulée _ panne_en heure]],0)</f>
        <v>3</v>
      </c>
      <c r="S465">
        <f>_26_03_2026_Log_Reseau_v15_7[[#This Row],[Anciennété_mois]]/12</f>
        <v>5.25</v>
      </c>
      <c r="T465">
        <f>ROUND(_26_03_2026_Log_Reseau_v15_7[[#This Row],[anciennete_ en année]],0)</f>
        <v>5</v>
      </c>
      <c r="U46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465" s="3">
        <f>ROUND(_26_03_2026_Log_Reseau_v15_7[[#This Row],[remise 10%_70%_45%]],0)</f>
        <v>9</v>
      </c>
      <c r="W465" s="3">
        <f>_26_03_2026_Log_Reseau_v15_7[[#This Row],[Facture mensuelle]]*_26_03_2026_Log_Reseau_v15_7[[#This Row],[remise 10_70_45]]</f>
        <v>802.71</v>
      </c>
    </row>
    <row r="466" spans="1:23" x14ac:dyDescent="0.25">
      <c r="A466" s="1">
        <v>45226</v>
      </c>
      <c r="B466" s="2">
        <v>0.22500000000000001</v>
      </c>
      <c r="C466" t="s">
        <v>984</v>
      </c>
      <c r="D466">
        <v>11</v>
      </c>
      <c r="E466" t="s">
        <v>808</v>
      </c>
      <c r="F466" t="s">
        <v>35</v>
      </c>
      <c r="G466">
        <v>-0.157111</v>
      </c>
      <c r="H466">
        <v>25.415125</v>
      </c>
      <c r="I466" t="s">
        <v>1480</v>
      </c>
      <c r="J466" t="s">
        <v>1478</v>
      </c>
      <c r="K466" t="s">
        <v>34</v>
      </c>
      <c r="L466">
        <v>35</v>
      </c>
      <c r="M466" t="s">
        <v>14</v>
      </c>
      <c r="N466">
        <v>465</v>
      </c>
      <c r="O466">
        <v>58.59</v>
      </c>
      <c r="P466">
        <v>5</v>
      </c>
      <c r="Q466">
        <f>_26_03_2026_Log_Reseau_v15_7[[#This Row],[Durée cumulée_panne_minu]]/60</f>
        <v>7.75</v>
      </c>
      <c r="R466">
        <f>ROUND(_26_03_2026_Log_Reseau_v15_7[[#This Row],[Durée_cumulée _ panne_en heure]],0)</f>
        <v>8</v>
      </c>
      <c r="S466">
        <f>_26_03_2026_Log_Reseau_v15_7[[#This Row],[Anciennété_mois]]/12</f>
        <v>2.9166666666666665</v>
      </c>
      <c r="T466">
        <f>ROUND(_26_03_2026_Log_Reseau_v15_7[[#This Row],[anciennete_ en année]],0)</f>
        <v>3</v>
      </c>
      <c r="U46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466" s="3">
        <f>ROUND(_26_03_2026_Log_Reseau_v15_7[[#This Row],[remise 10%_70%_45%]],0)</f>
        <v>6</v>
      </c>
      <c r="W466" s="3">
        <f>_26_03_2026_Log_Reseau_v15_7[[#This Row],[Facture mensuelle]]*_26_03_2026_Log_Reseau_v15_7[[#This Row],[remise 10_70_45]]</f>
        <v>351.54</v>
      </c>
    </row>
    <row r="467" spans="1:23" x14ac:dyDescent="0.25">
      <c r="A467" s="1">
        <v>45226</v>
      </c>
      <c r="B467" s="2">
        <v>0.3215277777777778</v>
      </c>
      <c r="C467" t="s">
        <v>987</v>
      </c>
      <c r="D467">
        <v>22</v>
      </c>
      <c r="E467" t="s">
        <v>812</v>
      </c>
      <c r="F467" t="s">
        <v>131</v>
      </c>
      <c r="G467">
        <v>-10.25074</v>
      </c>
      <c r="H467">
        <v>26.099086</v>
      </c>
      <c r="I467" t="s">
        <v>1480</v>
      </c>
      <c r="J467" t="s">
        <v>1481</v>
      </c>
      <c r="K467" t="s">
        <v>130</v>
      </c>
      <c r="L467">
        <v>16</v>
      </c>
      <c r="M467" t="s">
        <v>19</v>
      </c>
      <c r="N467">
        <v>390</v>
      </c>
      <c r="O467">
        <v>98.17</v>
      </c>
      <c r="P467">
        <v>5</v>
      </c>
      <c r="Q467">
        <f>_26_03_2026_Log_Reseau_v15_7[[#This Row],[Durée cumulée_panne_minu]]/60</f>
        <v>6.5</v>
      </c>
      <c r="R467">
        <f>ROUND(_26_03_2026_Log_Reseau_v15_7[[#This Row],[Durée_cumulée _ panne_en heure]],0)</f>
        <v>7</v>
      </c>
      <c r="S467">
        <f>_26_03_2026_Log_Reseau_v15_7[[#This Row],[Anciennété_mois]]/12</f>
        <v>1.3333333333333333</v>
      </c>
      <c r="T467">
        <f>ROUND(_26_03_2026_Log_Reseau_v15_7[[#This Row],[anciennete_ en année]],0)</f>
        <v>1</v>
      </c>
      <c r="U46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67" s="3">
        <f>ROUND(_26_03_2026_Log_Reseau_v15_7[[#This Row],[remise 10%_70%_45%]],0)</f>
        <v>0</v>
      </c>
      <c r="W467" s="3">
        <f>_26_03_2026_Log_Reseau_v15_7[[#This Row],[Facture mensuelle]]*_26_03_2026_Log_Reseau_v15_7[[#This Row],[remise 10_70_45]]</f>
        <v>0</v>
      </c>
    </row>
    <row r="468" spans="1:23" x14ac:dyDescent="0.25">
      <c r="A468" s="1">
        <v>45226</v>
      </c>
      <c r="B468" s="2">
        <v>0.10416666666666667</v>
      </c>
      <c r="C468" t="s">
        <v>1076</v>
      </c>
      <c r="D468">
        <v>110</v>
      </c>
      <c r="E468" t="s">
        <v>808</v>
      </c>
      <c r="F468" t="s">
        <v>13</v>
      </c>
      <c r="G468">
        <v>-2.3677800000000002</v>
      </c>
      <c r="H468">
        <v>18.790323999999998</v>
      </c>
      <c r="I468" t="s">
        <v>1477</v>
      </c>
      <c r="J468" t="s">
        <v>1481</v>
      </c>
      <c r="K468" t="s">
        <v>12</v>
      </c>
      <c r="L468">
        <v>63</v>
      </c>
      <c r="M468" t="s">
        <v>14</v>
      </c>
      <c r="N468">
        <v>205</v>
      </c>
      <c r="O468">
        <v>89.19</v>
      </c>
      <c r="P468">
        <v>0</v>
      </c>
      <c r="Q468">
        <f>_26_03_2026_Log_Reseau_v15_7[[#This Row],[Durée cumulée_panne_minu]]/60</f>
        <v>3.4166666666666665</v>
      </c>
      <c r="R468">
        <f>ROUND(_26_03_2026_Log_Reseau_v15_7[[#This Row],[Durée_cumulée _ panne_en heure]],0)</f>
        <v>3</v>
      </c>
      <c r="S468">
        <f>_26_03_2026_Log_Reseau_v15_7[[#This Row],[Anciennété_mois]]/12</f>
        <v>5.25</v>
      </c>
      <c r="T468">
        <f>ROUND(_26_03_2026_Log_Reseau_v15_7[[#This Row],[anciennete_ en année]],0)</f>
        <v>5</v>
      </c>
      <c r="U46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468" s="3">
        <f>ROUND(_26_03_2026_Log_Reseau_v15_7[[#This Row],[remise 10%_70%_45%]],0)</f>
        <v>9</v>
      </c>
      <c r="W468" s="3">
        <f>_26_03_2026_Log_Reseau_v15_7[[#This Row],[Facture mensuelle]]*_26_03_2026_Log_Reseau_v15_7[[#This Row],[remise 10_70_45]]</f>
        <v>802.71</v>
      </c>
    </row>
    <row r="469" spans="1:23" x14ac:dyDescent="0.25">
      <c r="A469" s="1">
        <v>45226</v>
      </c>
      <c r="B469" s="2">
        <v>0.96458333333333335</v>
      </c>
      <c r="C469" t="s">
        <v>1196</v>
      </c>
      <c r="D469">
        <v>27</v>
      </c>
      <c r="E469" t="s">
        <v>808</v>
      </c>
      <c r="F469" t="s">
        <v>137</v>
      </c>
      <c r="G469">
        <v>-11.354772000000001</v>
      </c>
      <c r="H469">
        <v>21.957325999999998</v>
      </c>
      <c r="I469" t="s">
        <v>1482</v>
      </c>
      <c r="J469" t="s">
        <v>1490</v>
      </c>
      <c r="K469" t="s">
        <v>136</v>
      </c>
      <c r="L469">
        <v>80</v>
      </c>
      <c r="M469" t="s">
        <v>22</v>
      </c>
      <c r="N469">
        <v>155</v>
      </c>
      <c r="O469">
        <v>28.96</v>
      </c>
      <c r="P469">
        <v>2</v>
      </c>
      <c r="Q469">
        <f>_26_03_2026_Log_Reseau_v15_7[[#This Row],[Durée cumulée_panne_minu]]/60</f>
        <v>2.5833333333333335</v>
      </c>
      <c r="R469">
        <f>ROUND(_26_03_2026_Log_Reseau_v15_7[[#This Row],[Durée_cumulée _ panne_en heure]],0)</f>
        <v>3</v>
      </c>
      <c r="S469">
        <f>_26_03_2026_Log_Reseau_v15_7[[#This Row],[Anciennété_mois]]/12</f>
        <v>6.666666666666667</v>
      </c>
      <c r="T469">
        <f>ROUND(_26_03_2026_Log_Reseau_v15_7[[#This Row],[anciennete_ en année]],0)</f>
        <v>7</v>
      </c>
      <c r="U46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69" s="3">
        <f>ROUND(_26_03_2026_Log_Reseau_v15_7[[#This Row],[remise 10%_70%_45%]],0)</f>
        <v>0</v>
      </c>
      <c r="W469" s="3">
        <f>_26_03_2026_Log_Reseau_v15_7[[#This Row],[Facture mensuelle]]*_26_03_2026_Log_Reseau_v15_7[[#This Row],[remise 10_70_45]]</f>
        <v>0</v>
      </c>
    </row>
    <row r="470" spans="1:23" x14ac:dyDescent="0.25">
      <c r="A470" s="1">
        <v>45226</v>
      </c>
      <c r="B470" s="2">
        <v>0.20902777777777778</v>
      </c>
      <c r="C470" t="s">
        <v>1213</v>
      </c>
      <c r="D470">
        <v>81</v>
      </c>
      <c r="E470" t="s">
        <v>812</v>
      </c>
      <c r="F470" t="s">
        <v>89</v>
      </c>
      <c r="G470">
        <v>-8.4985189999999999</v>
      </c>
      <c r="H470">
        <v>12.929456999999999</v>
      </c>
      <c r="I470" t="s">
        <v>1480</v>
      </c>
      <c r="J470" t="s">
        <v>1478</v>
      </c>
      <c r="K470" t="s">
        <v>88</v>
      </c>
      <c r="L470">
        <v>98</v>
      </c>
      <c r="M470" t="s">
        <v>14</v>
      </c>
      <c r="N470">
        <v>482</v>
      </c>
      <c r="O470">
        <v>55.04</v>
      </c>
      <c r="P470">
        <v>5</v>
      </c>
      <c r="Q470">
        <f>_26_03_2026_Log_Reseau_v15_7[[#This Row],[Durée cumulée_panne_minu]]/60</f>
        <v>8.0333333333333332</v>
      </c>
      <c r="R470">
        <f>ROUND(_26_03_2026_Log_Reseau_v15_7[[#This Row],[Durée_cumulée _ panne_en heure]],0)</f>
        <v>8</v>
      </c>
      <c r="S470">
        <f>_26_03_2026_Log_Reseau_v15_7[[#This Row],[Anciennété_mois]]/12</f>
        <v>8.1666666666666661</v>
      </c>
      <c r="T470">
        <f>ROUND(_26_03_2026_Log_Reseau_v15_7[[#This Row],[anciennete_ en année]],0)</f>
        <v>8</v>
      </c>
      <c r="U47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470" s="3">
        <f>ROUND(_26_03_2026_Log_Reseau_v15_7[[#This Row],[remise 10%_70%_45%]],0)</f>
        <v>6</v>
      </c>
      <c r="W470" s="3">
        <f>_26_03_2026_Log_Reseau_v15_7[[#This Row],[Facture mensuelle]]*_26_03_2026_Log_Reseau_v15_7[[#This Row],[remise 10_70_45]]</f>
        <v>330.24</v>
      </c>
    </row>
    <row r="471" spans="1:23" x14ac:dyDescent="0.25">
      <c r="A471" s="1">
        <v>45226</v>
      </c>
      <c r="B471" s="2">
        <v>0.58680555555555558</v>
      </c>
      <c r="C471" t="s">
        <v>1241</v>
      </c>
      <c r="D471">
        <v>33</v>
      </c>
      <c r="E471" t="s">
        <v>812</v>
      </c>
      <c r="F471" t="s">
        <v>89</v>
      </c>
      <c r="G471">
        <v>-7.7839049999999999</v>
      </c>
      <c r="H471">
        <v>14.114281999999999</v>
      </c>
      <c r="I471" t="s">
        <v>1482</v>
      </c>
      <c r="J471" t="s">
        <v>1483</v>
      </c>
      <c r="K471" t="s">
        <v>88</v>
      </c>
      <c r="L471">
        <v>98</v>
      </c>
      <c r="M471" t="s">
        <v>14</v>
      </c>
      <c r="N471">
        <v>482</v>
      </c>
      <c r="O471">
        <v>55.04</v>
      </c>
      <c r="P471">
        <v>5</v>
      </c>
      <c r="Q471">
        <f>_26_03_2026_Log_Reseau_v15_7[[#This Row],[Durée cumulée_panne_minu]]/60</f>
        <v>8.0333333333333332</v>
      </c>
      <c r="R471">
        <f>ROUND(_26_03_2026_Log_Reseau_v15_7[[#This Row],[Durée_cumulée _ panne_en heure]],0)</f>
        <v>8</v>
      </c>
      <c r="S471">
        <f>_26_03_2026_Log_Reseau_v15_7[[#This Row],[Anciennété_mois]]/12</f>
        <v>8.1666666666666661</v>
      </c>
      <c r="T471">
        <f>ROUND(_26_03_2026_Log_Reseau_v15_7[[#This Row],[anciennete_ en année]],0)</f>
        <v>8</v>
      </c>
      <c r="U47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471" s="3">
        <f>ROUND(_26_03_2026_Log_Reseau_v15_7[[#This Row],[remise 10%_70%_45%]],0)</f>
        <v>6</v>
      </c>
      <c r="W471" s="3">
        <f>_26_03_2026_Log_Reseau_v15_7[[#This Row],[Facture mensuelle]]*_26_03_2026_Log_Reseau_v15_7[[#This Row],[remise 10_70_45]]</f>
        <v>330.24</v>
      </c>
    </row>
    <row r="472" spans="1:23" x14ac:dyDescent="0.25">
      <c r="A472" s="1">
        <v>45226</v>
      </c>
      <c r="B472" s="2">
        <v>0.99791666666666667</v>
      </c>
      <c r="C472" t="s">
        <v>1255</v>
      </c>
      <c r="D472">
        <v>53</v>
      </c>
      <c r="E472" t="s">
        <v>812</v>
      </c>
      <c r="F472" t="s">
        <v>89</v>
      </c>
      <c r="G472">
        <v>-7.8373179999999998</v>
      </c>
      <c r="H472">
        <v>20.527591999999999</v>
      </c>
      <c r="I472" t="s">
        <v>1480</v>
      </c>
      <c r="J472" t="s">
        <v>1478</v>
      </c>
      <c r="K472" t="s">
        <v>88</v>
      </c>
      <c r="L472">
        <v>98</v>
      </c>
      <c r="M472" t="s">
        <v>14</v>
      </c>
      <c r="N472">
        <v>482</v>
      </c>
      <c r="O472">
        <v>55.04</v>
      </c>
      <c r="P472">
        <v>5</v>
      </c>
      <c r="Q472">
        <f>_26_03_2026_Log_Reseau_v15_7[[#This Row],[Durée cumulée_panne_minu]]/60</f>
        <v>8.0333333333333332</v>
      </c>
      <c r="R472">
        <f>ROUND(_26_03_2026_Log_Reseau_v15_7[[#This Row],[Durée_cumulée _ panne_en heure]],0)</f>
        <v>8</v>
      </c>
      <c r="S472">
        <f>_26_03_2026_Log_Reseau_v15_7[[#This Row],[Anciennété_mois]]/12</f>
        <v>8.1666666666666661</v>
      </c>
      <c r="T472">
        <f>ROUND(_26_03_2026_Log_Reseau_v15_7[[#This Row],[anciennete_ en année]],0)</f>
        <v>8</v>
      </c>
      <c r="U47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472" s="3">
        <f>ROUND(_26_03_2026_Log_Reseau_v15_7[[#This Row],[remise 10%_70%_45%]],0)</f>
        <v>6</v>
      </c>
      <c r="W472" s="3">
        <f>_26_03_2026_Log_Reseau_v15_7[[#This Row],[Facture mensuelle]]*_26_03_2026_Log_Reseau_v15_7[[#This Row],[remise 10_70_45]]</f>
        <v>330.24</v>
      </c>
    </row>
    <row r="473" spans="1:23" x14ac:dyDescent="0.25">
      <c r="A473" s="1">
        <v>45226</v>
      </c>
      <c r="B473" s="2">
        <v>0.31319444444444444</v>
      </c>
      <c r="C473" t="s">
        <v>1273</v>
      </c>
      <c r="D473">
        <v>66</v>
      </c>
      <c r="E473" t="s">
        <v>812</v>
      </c>
      <c r="F473" t="s">
        <v>60</v>
      </c>
      <c r="G473">
        <v>-12.839263000000001</v>
      </c>
      <c r="H473">
        <v>12.355677</v>
      </c>
      <c r="I473" t="s">
        <v>1482</v>
      </c>
      <c r="J473" t="s">
        <v>1481</v>
      </c>
      <c r="K473" t="s">
        <v>59</v>
      </c>
      <c r="L473">
        <v>14</v>
      </c>
      <c r="M473" t="s">
        <v>14</v>
      </c>
      <c r="N473">
        <v>316</v>
      </c>
      <c r="O473">
        <v>62.34</v>
      </c>
      <c r="P473">
        <v>4</v>
      </c>
      <c r="Q473">
        <f>_26_03_2026_Log_Reseau_v15_7[[#This Row],[Durée cumulée_panne_minu]]/60</f>
        <v>5.2666666666666666</v>
      </c>
      <c r="R473">
        <f>ROUND(_26_03_2026_Log_Reseau_v15_7[[#This Row],[Durée_cumulée _ panne_en heure]],0)</f>
        <v>5</v>
      </c>
      <c r="S473">
        <f>_26_03_2026_Log_Reseau_v15_7[[#This Row],[Anciennété_mois]]/12</f>
        <v>1.1666666666666667</v>
      </c>
      <c r="T473">
        <f>ROUND(_26_03_2026_Log_Reseau_v15_7[[#This Row],[anciennete_ en année]],0)</f>
        <v>1</v>
      </c>
      <c r="U47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473" s="3">
        <f>ROUND(_26_03_2026_Log_Reseau_v15_7[[#This Row],[remise 10%_70%_45%]],0)</f>
        <v>6</v>
      </c>
      <c r="W473" s="3">
        <f>_26_03_2026_Log_Reseau_v15_7[[#This Row],[Facture mensuelle]]*_26_03_2026_Log_Reseau_v15_7[[#This Row],[remise 10_70_45]]</f>
        <v>374.04</v>
      </c>
    </row>
    <row r="474" spans="1:23" x14ac:dyDescent="0.25">
      <c r="A474" s="1">
        <v>45226</v>
      </c>
      <c r="B474" s="2">
        <v>0.79027777777777775</v>
      </c>
      <c r="C474" t="s">
        <v>1283</v>
      </c>
      <c r="D474">
        <v>68</v>
      </c>
      <c r="E474" t="s">
        <v>812</v>
      </c>
      <c r="F474" t="s">
        <v>60</v>
      </c>
      <c r="G474">
        <v>-0.37665700000000002</v>
      </c>
      <c r="H474">
        <v>25.154807999999999</v>
      </c>
      <c r="I474" t="s">
        <v>1482</v>
      </c>
      <c r="J474" t="s">
        <v>1490</v>
      </c>
      <c r="K474" t="s">
        <v>59</v>
      </c>
      <c r="L474">
        <v>14</v>
      </c>
      <c r="M474" t="s">
        <v>14</v>
      </c>
      <c r="N474">
        <v>316</v>
      </c>
      <c r="O474">
        <v>62.34</v>
      </c>
      <c r="P474">
        <v>4</v>
      </c>
      <c r="Q474">
        <f>_26_03_2026_Log_Reseau_v15_7[[#This Row],[Durée cumulée_panne_minu]]/60</f>
        <v>5.2666666666666666</v>
      </c>
      <c r="R474">
        <f>ROUND(_26_03_2026_Log_Reseau_v15_7[[#This Row],[Durée_cumulée _ panne_en heure]],0)</f>
        <v>5</v>
      </c>
      <c r="S474">
        <f>_26_03_2026_Log_Reseau_v15_7[[#This Row],[Anciennété_mois]]/12</f>
        <v>1.1666666666666667</v>
      </c>
      <c r="T474">
        <f>ROUND(_26_03_2026_Log_Reseau_v15_7[[#This Row],[anciennete_ en année]],0)</f>
        <v>1</v>
      </c>
      <c r="U47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474" s="3">
        <f>ROUND(_26_03_2026_Log_Reseau_v15_7[[#This Row],[remise 10%_70%_45%]],0)</f>
        <v>6</v>
      </c>
      <c r="W474" s="3">
        <f>_26_03_2026_Log_Reseau_v15_7[[#This Row],[Facture mensuelle]]*_26_03_2026_Log_Reseau_v15_7[[#This Row],[remise 10_70_45]]</f>
        <v>374.04</v>
      </c>
    </row>
    <row r="475" spans="1:23" x14ac:dyDescent="0.25">
      <c r="A475" s="1">
        <v>45226</v>
      </c>
      <c r="B475" s="2">
        <v>0.62361111111111112</v>
      </c>
      <c r="C475" t="s">
        <v>1285</v>
      </c>
      <c r="D475">
        <v>98</v>
      </c>
      <c r="E475" t="s">
        <v>812</v>
      </c>
      <c r="F475" t="s">
        <v>89</v>
      </c>
      <c r="G475">
        <v>-7.9987219999999999</v>
      </c>
      <c r="H475">
        <v>12.779335</v>
      </c>
      <c r="I475" t="s">
        <v>1477</v>
      </c>
      <c r="J475" t="s">
        <v>1490</v>
      </c>
      <c r="K475" t="s">
        <v>88</v>
      </c>
      <c r="L475">
        <v>98</v>
      </c>
      <c r="M475" t="s">
        <v>14</v>
      </c>
      <c r="N475">
        <v>482</v>
      </c>
      <c r="O475">
        <v>55.04</v>
      </c>
      <c r="P475">
        <v>5</v>
      </c>
      <c r="Q475">
        <f>_26_03_2026_Log_Reseau_v15_7[[#This Row],[Durée cumulée_panne_minu]]/60</f>
        <v>8.0333333333333332</v>
      </c>
      <c r="R475">
        <f>ROUND(_26_03_2026_Log_Reseau_v15_7[[#This Row],[Durée_cumulée _ panne_en heure]],0)</f>
        <v>8</v>
      </c>
      <c r="S475">
        <f>_26_03_2026_Log_Reseau_v15_7[[#This Row],[Anciennété_mois]]/12</f>
        <v>8.1666666666666661</v>
      </c>
      <c r="T475">
        <f>ROUND(_26_03_2026_Log_Reseau_v15_7[[#This Row],[anciennete_ en année]],0)</f>
        <v>8</v>
      </c>
      <c r="U47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475" s="3">
        <f>ROUND(_26_03_2026_Log_Reseau_v15_7[[#This Row],[remise 10%_70%_45%]],0)</f>
        <v>6</v>
      </c>
      <c r="W475" s="3">
        <f>_26_03_2026_Log_Reseau_v15_7[[#This Row],[Facture mensuelle]]*_26_03_2026_Log_Reseau_v15_7[[#This Row],[remise 10_70_45]]</f>
        <v>330.24</v>
      </c>
    </row>
    <row r="476" spans="1:23" x14ac:dyDescent="0.25">
      <c r="A476" s="1">
        <v>45226</v>
      </c>
      <c r="B476" s="2">
        <v>0.37777777777777777</v>
      </c>
      <c r="C476" t="s">
        <v>1353</v>
      </c>
      <c r="D476">
        <v>74</v>
      </c>
      <c r="E476" t="s">
        <v>812</v>
      </c>
      <c r="F476" t="s">
        <v>16</v>
      </c>
      <c r="G476">
        <v>4.6809229999999999</v>
      </c>
      <c r="H476">
        <v>28.934242000000001</v>
      </c>
      <c r="I476" t="s">
        <v>1477</v>
      </c>
      <c r="J476" t="s">
        <v>1490</v>
      </c>
      <c r="K476" t="s">
        <v>15</v>
      </c>
      <c r="L476">
        <v>34</v>
      </c>
      <c r="M476" t="s">
        <v>14</v>
      </c>
      <c r="N476">
        <v>453</v>
      </c>
      <c r="O476">
        <v>56.84</v>
      </c>
      <c r="P476">
        <v>0</v>
      </c>
      <c r="Q476">
        <f>_26_03_2026_Log_Reseau_v15_7[[#This Row],[Durée cumulée_panne_minu]]/60</f>
        <v>7.55</v>
      </c>
      <c r="R476">
        <f>ROUND(_26_03_2026_Log_Reseau_v15_7[[#This Row],[Durée_cumulée _ panne_en heure]],0)</f>
        <v>8</v>
      </c>
      <c r="S476">
        <f>_26_03_2026_Log_Reseau_v15_7[[#This Row],[Anciennété_mois]]/12</f>
        <v>2.8333333333333335</v>
      </c>
      <c r="T476">
        <f>ROUND(_26_03_2026_Log_Reseau_v15_7[[#This Row],[anciennete_ en année]],0)</f>
        <v>3</v>
      </c>
      <c r="U47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476" s="3">
        <f>ROUND(_26_03_2026_Log_Reseau_v15_7[[#This Row],[remise 10%_70%_45%]],0)</f>
        <v>6</v>
      </c>
      <c r="W476" s="3">
        <f>_26_03_2026_Log_Reseau_v15_7[[#This Row],[Facture mensuelle]]*_26_03_2026_Log_Reseau_v15_7[[#This Row],[remise 10_70_45]]</f>
        <v>341.04</v>
      </c>
    </row>
    <row r="477" spans="1:23" x14ac:dyDescent="0.25">
      <c r="A477" s="1">
        <v>45226</v>
      </c>
      <c r="B477" s="2">
        <v>7.7083333333333337E-2</v>
      </c>
      <c r="C477" t="s">
        <v>1368</v>
      </c>
      <c r="D477">
        <v>101</v>
      </c>
      <c r="E477" t="s">
        <v>807</v>
      </c>
      <c r="F477" t="s">
        <v>21</v>
      </c>
      <c r="G477">
        <v>4.2493650000000001</v>
      </c>
      <c r="H477">
        <v>28.355039999999999</v>
      </c>
      <c r="I477" t="s">
        <v>1482</v>
      </c>
      <c r="J477" t="s">
        <v>1483</v>
      </c>
      <c r="K477" t="s">
        <v>20</v>
      </c>
      <c r="L477">
        <v>101</v>
      </c>
      <c r="M477" t="s">
        <v>22</v>
      </c>
      <c r="N477">
        <v>358</v>
      </c>
      <c r="O477">
        <v>29.24</v>
      </c>
      <c r="P477">
        <v>3</v>
      </c>
      <c r="Q477">
        <f>_26_03_2026_Log_Reseau_v15_7[[#This Row],[Durée cumulée_panne_minu]]/60</f>
        <v>5.9666666666666668</v>
      </c>
      <c r="R477">
        <f>ROUND(_26_03_2026_Log_Reseau_v15_7[[#This Row],[Durée_cumulée _ panne_en heure]],0)</f>
        <v>6</v>
      </c>
      <c r="S477">
        <f>_26_03_2026_Log_Reseau_v15_7[[#This Row],[Anciennété_mois]]/12</f>
        <v>8.4166666666666661</v>
      </c>
      <c r="T477">
        <f>ROUND(_26_03_2026_Log_Reseau_v15_7[[#This Row],[anciennete_ en année]],0)</f>
        <v>8</v>
      </c>
      <c r="U47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77" s="3">
        <f>ROUND(_26_03_2026_Log_Reseau_v15_7[[#This Row],[remise 10%_70%_45%]],0)</f>
        <v>0</v>
      </c>
      <c r="W477" s="3">
        <f>_26_03_2026_Log_Reseau_v15_7[[#This Row],[Facture mensuelle]]*_26_03_2026_Log_Reseau_v15_7[[#This Row],[remise 10_70_45]]</f>
        <v>0</v>
      </c>
    </row>
    <row r="478" spans="1:23" x14ac:dyDescent="0.25">
      <c r="A478" s="1">
        <v>45226</v>
      </c>
      <c r="B478" s="2">
        <v>0.11597222222222223</v>
      </c>
      <c r="C478" t="s">
        <v>1383</v>
      </c>
      <c r="D478">
        <v>5</v>
      </c>
      <c r="E478" t="s">
        <v>812</v>
      </c>
      <c r="F478" t="s">
        <v>57</v>
      </c>
      <c r="G478">
        <v>2.486888</v>
      </c>
      <c r="H478">
        <v>23.798074</v>
      </c>
      <c r="I478" t="s">
        <v>1477</v>
      </c>
      <c r="J478" t="s">
        <v>1483</v>
      </c>
      <c r="K478" t="s">
        <v>56</v>
      </c>
      <c r="L478">
        <v>97</v>
      </c>
      <c r="M478" t="s">
        <v>14</v>
      </c>
      <c r="N478">
        <v>319</v>
      </c>
      <c r="O478">
        <v>31.25</v>
      </c>
      <c r="P478">
        <v>1</v>
      </c>
      <c r="Q478">
        <f>_26_03_2026_Log_Reseau_v15_7[[#This Row],[Durée cumulée_panne_minu]]/60</f>
        <v>5.3166666666666664</v>
      </c>
      <c r="R478">
        <f>ROUND(_26_03_2026_Log_Reseau_v15_7[[#This Row],[Durée_cumulée _ panne_en heure]],0)</f>
        <v>5</v>
      </c>
      <c r="S478">
        <f>_26_03_2026_Log_Reseau_v15_7[[#This Row],[Anciennété_mois]]/12</f>
        <v>8.0833333333333339</v>
      </c>
      <c r="T478">
        <f>ROUND(_26_03_2026_Log_Reseau_v15_7[[#This Row],[anciennete_ en année]],0)</f>
        <v>8</v>
      </c>
      <c r="U47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3.125</v>
      </c>
      <c r="V478" s="3">
        <f>ROUND(_26_03_2026_Log_Reseau_v15_7[[#This Row],[remise 10%_70%_45%]],0)</f>
        <v>3</v>
      </c>
      <c r="W478" s="3">
        <f>_26_03_2026_Log_Reseau_v15_7[[#This Row],[Facture mensuelle]]*_26_03_2026_Log_Reseau_v15_7[[#This Row],[remise 10_70_45]]</f>
        <v>93.75</v>
      </c>
    </row>
    <row r="479" spans="1:23" x14ac:dyDescent="0.25">
      <c r="A479" s="1">
        <v>45226</v>
      </c>
      <c r="B479" s="2">
        <v>0.65972222222222221</v>
      </c>
      <c r="C479" t="s">
        <v>1459</v>
      </c>
      <c r="D479">
        <v>65</v>
      </c>
      <c r="E479" t="s">
        <v>808</v>
      </c>
      <c r="F479" t="s">
        <v>24</v>
      </c>
      <c r="G479">
        <v>-11.594525000000001</v>
      </c>
      <c r="H479">
        <v>29.744895</v>
      </c>
      <c r="I479" t="s">
        <v>1482</v>
      </c>
      <c r="J479" t="s">
        <v>1483</v>
      </c>
      <c r="K479" t="s">
        <v>23</v>
      </c>
      <c r="L479">
        <v>46</v>
      </c>
      <c r="M479" t="s">
        <v>11</v>
      </c>
      <c r="N479">
        <v>283</v>
      </c>
      <c r="O479">
        <v>56.05</v>
      </c>
      <c r="P479">
        <v>1</v>
      </c>
      <c r="Q479">
        <f>_26_03_2026_Log_Reseau_v15_7[[#This Row],[Durée cumulée_panne_minu]]/60</f>
        <v>4.7166666666666668</v>
      </c>
      <c r="R479">
        <f>ROUND(_26_03_2026_Log_Reseau_v15_7[[#This Row],[Durée_cumulée _ panne_en heure]],0)</f>
        <v>5</v>
      </c>
      <c r="S479">
        <f>_26_03_2026_Log_Reseau_v15_7[[#This Row],[Anciennété_mois]]/12</f>
        <v>3.8333333333333335</v>
      </c>
      <c r="T479">
        <f>ROUND(_26_03_2026_Log_Reseau_v15_7[[#This Row],[anciennete_ en année]],0)</f>
        <v>4</v>
      </c>
      <c r="U47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79" s="3">
        <f>ROUND(_26_03_2026_Log_Reseau_v15_7[[#This Row],[remise 10%_70%_45%]],0)</f>
        <v>0</v>
      </c>
      <c r="W479" s="3">
        <f>_26_03_2026_Log_Reseau_v15_7[[#This Row],[Facture mensuelle]]*_26_03_2026_Log_Reseau_v15_7[[#This Row],[remise 10_70_45]]</f>
        <v>0</v>
      </c>
    </row>
    <row r="480" spans="1:23" x14ac:dyDescent="0.25">
      <c r="A480" s="1">
        <v>45226</v>
      </c>
      <c r="B480" s="2">
        <v>0.10069444444444445</v>
      </c>
      <c r="C480" t="s">
        <v>1462</v>
      </c>
      <c r="D480">
        <v>110</v>
      </c>
      <c r="E480" t="s">
        <v>808</v>
      </c>
      <c r="F480" t="s">
        <v>67</v>
      </c>
      <c r="G480">
        <v>-2.2681789999999999</v>
      </c>
      <c r="H480">
        <v>25.699068</v>
      </c>
      <c r="I480" t="s">
        <v>1482</v>
      </c>
      <c r="J480" t="s">
        <v>1483</v>
      </c>
      <c r="K480" t="s">
        <v>66</v>
      </c>
      <c r="L480">
        <v>101</v>
      </c>
      <c r="M480" t="s">
        <v>14</v>
      </c>
      <c r="N480">
        <v>176</v>
      </c>
      <c r="O480">
        <v>86</v>
      </c>
      <c r="P480">
        <v>3</v>
      </c>
      <c r="Q480">
        <f>_26_03_2026_Log_Reseau_v15_7[[#This Row],[Durée cumulée_panne_minu]]/60</f>
        <v>2.9333333333333331</v>
      </c>
      <c r="R480">
        <f>ROUND(_26_03_2026_Log_Reseau_v15_7[[#This Row],[Durée_cumulée _ panne_en heure]],0)</f>
        <v>3</v>
      </c>
      <c r="S480">
        <f>_26_03_2026_Log_Reseau_v15_7[[#This Row],[Anciennété_mois]]/12</f>
        <v>8.4166666666666661</v>
      </c>
      <c r="T480">
        <f>ROUND(_26_03_2026_Log_Reseau_v15_7[[#This Row],[anciennete_ en année]],0)</f>
        <v>8</v>
      </c>
      <c r="U48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480" s="3">
        <f>ROUND(_26_03_2026_Log_Reseau_v15_7[[#This Row],[remise 10%_70%_45%]],0)</f>
        <v>9</v>
      </c>
      <c r="W480" s="3">
        <f>_26_03_2026_Log_Reseau_v15_7[[#This Row],[Facture mensuelle]]*_26_03_2026_Log_Reseau_v15_7[[#This Row],[remise 10_70_45]]</f>
        <v>774</v>
      </c>
    </row>
    <row r="481" spans="1:23" x14ac:dyDescent="0.25">
      <c r="A481" s="1">
        <v>45227</v>
      </c>
      <c r="B481" s="2">
        <v>0.44791666666666669</v>
      </c>
      <c r="C481" t="s">
        <v>920</v>
      </c>
      <c r="D481">
        <v>84</v>
      </c>
      <c r="E481" t="s">
        <v>808</v>
      </c>
      <c r="F481" t="s">
        <v>21</v>
      </c>
      <c r="G481">
        <v>2.4414509999999998</v>
      </c>
      <c r="H481">
        <v>30.167489</v>
      </c>
      <c r="I481" t="s">
        <v>1477</v>
      </c>
      <c r="J481" t="s">
        <v>1490</v>
      </c>
      <c r="K481" t="s">
        <v>20</v>
      </c>
      <c r="L481">
        <v>101</v>
      </c>
      <c r="M481" t="s">
        <v>22</v>
      </c>
      <c r="N481">
        <v>358</v>
      </c>
      <c r="O481">
        <v>29.24</v>
      </c>
      <c r="P481">
        <v>3</v>
      </c>
      <c r="Q481">
        <f>_26_03_2026_Log_Reseau_v15_7[[#This Row],[Durée cumulée_panne_minu]]/60</f>
        <v>5.9666666666666668</v>
      </c>
      <c r="R481">
        <f>ROUND(_26_03_2026_Log_Reseau_v15_7[[#This Row],[Durée_cumulée _ panne_en heure]],0)</f>
        <v>6</v>
      </c>
      <c r="S481">
        <f>_26_03_2026_Log_Reseau_v15_7[[#This Row],[Anciennété_mois]]/12</f>
        <v>8.4166666666666661</v>
      </c>
      <c r="T481">
        <f>ROUND(_26_03_2026_Log_Reseau_v15_7[[#This Row],[anciennete_ en année]],0)</f>
        <v>8</v>
      </c>
      <c r="U48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81" s="3">
        <f>ROUND(_26_03_2026_Log_Reseau_v15_7[[#This Row],[remise 10%_70%_45%]],0)</f>
        <v>0</v>
      </c>
      <c r="W481" s="3">
        <f>_26_03_2026_Log_Reseau_v15_7[[#This Row],[Facture mensuelle]]*_26_03_2026_Log_Reseau_v15_7[[#This Row],[remise 10_70_45]]</f>
        <v>0</v>
      </c>
    </row>
    <row r="482" spans="1:23" x14ac:dyDescent="0.25">
      <c r="A482" s="1">
        <v>45227</v>
      </c>
      <c r="B482" s="2">
        <v>0.14444444444444443</v>
      </c>
      <c r="C482" t="s">
        <v>929</v>
      </c>
      <c r="D482">
        <v>11</v>
      </c>
      <c r="E482" t="s">
        <v>808</v>
      </c>
      <c r="F482" t="s">
        <v>73</v>
      </c>
      <c r="G482">
        <v>2.4425979999999998</v>
      </c>
      <c r="H482">
        <v>24.924308</v>
      </c>
      <c r="I482" t="s">
        <v>1477</v>
      </c>
      <c r="J482" t="s">
        <v>1478</v>
      </c>
      <c r="K482" t="s">
        <v>72</v>
      </c>
      <c r="L482">
        <v>6</v>
      </c>
      <c r="M482" t="s">
        <v>11</v>
      </c>
      <c r="N482">
        <v>207</v>
      </c>
      <c r="O482">
        <v>61.55</v>
      </c>
      <c r="P482">
        <v>0</v>
      </c>
      <c r="Q482">
        <f>_26_03_2026_Log_Reseau_v15_7[[#This Row],[Durée cumulée_panne_minu]]/60</f>
        <v>3.45</v>
      </c>
      <c r="R482">
        <f>ROUND(_26_03_2026_Log_Reseau_v15_7[[#This Row],[Durée_cumulée _ panne_en heure]],0)</f>
        <v>3</v>
      </c>
      <c r="S482">
        <f>_26_03_2026_Log_Reseau_v15_7[[#This Row],[Anciennété_mois]]/12</f>
        <v>0.5</v>
      </c>
      <c r="T482">
        <f>ROUND(_26_03_2026_Log_Reseau_v15_7[[#This Row],[anciennete_ en année]],0)</f>
        <v>1</v>
      </c>
      <c r="U48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82" s="3">
        <f>ROUND(_26_03_2026_Log_Reseau_v15_7[[#This Row],[remise 10%_70%_45%]],0)</f>
        <v>0</v>
      </c>
      <c r="W482" s="3">
        <f>_26_03_2026_Log_Reseau_v15_7[[#This Row],[Facture mensuelle]]*_26_03_2026_Log_Reseau_v15_7[[#This Row],[remise 10_70_45]]</f>
        <v>0</v>
      </c>
    </row>
    <row r="483" spans="1:23" x14ac:dyDescent="0.25">
      <c r="A483" s="1">
        <v>45227</v>
      </c>
      <c r="B483" s="2">
        <v>9.166666666666666E-2</v>
      </c>
      <c r="C483" t="s">
        <v>931</v>
      </c>
      <c r="D483">
        <v>112</v>
      </c>
      <c r="E483" t="s">
        <v>807</v>
      </c>
      <c r="F483" t="s">
        <v>51</v>
      </c>
      <c r="G483">
        <v>-10.161428000000001</v>
      </c>
      <c r="H483">
        <v>19.362325999999999</v>
      </c>
      <c r="I483" t="s">
        <v>1482</v>
      </c>
      <c r="J483" t="s">
        <v>1490</v>
      </c>
      <c r="K483" t="s">
        <v>50</v>
      </c>
      <c r="L483">
        <v>119</v>
      </c>
      <c r="M483" t="s">
        <v>22</v>
      </c>
      <c r="N483">
        <v>228</v>
      </c>
      <c r="O483">
        <v>94.72</v>
      </c>
      <c r="P483">
        <v>3</v>
      </c>
      <c r="Q483">
        <f>_26_03_2026_Log_Reseau_v15_7[[#This Row],[Durée cumulée_panne_minu]]/60</f>
        <v>3.8</v>
      </c>
      <c r="R483">
        <f>ROUND(_26_03_2026_Log_Reseau_v15_7[[#This Row],[Durée_cumulée _ panne_en heure]],0)</f>
        <v>4</v>
      </c>
      <c r="S483">
        <f>_26_03_2026_Log_Reseau_v15_7[[#This Row],[Anciennété_mois]]/12</f>
        <v>9.9166666666666661</v>
      </c>
      <c r="T483">
        <f>ROUND(_26_03_2026_Log_Reseau_v15_7[[#This Row],[anciennete_ en année]],0)</f>
        <v>10</v>
      </c>
      <c r="U48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83" s="3">
        <f>ROUND(_26_03_2026_Log_Reseau_v15_7[[#This Row],[remise 10%_70%_45%]],0)</f>
        <v>0</v>
      </c>
      <c r="W483" s="3">
        <f>_26_03_2026_Log_Reseau_v15_7[[#This Row],[Facture mensuelle]]*_26_03_2026_Log_Reseau_v15_7[[#This Row],[remise 10_70_45]]</f>
        <v>0</v>
      </c>
    </row>
    <row r="484" spans="1:23" x14ac:dyDescent="0.25">
      <c r="A484" s="1">
        <v>45227</v>
      </c>
      <c r="B484" s="2">
        <v>0.92291666666666672</v>
      </c>
      <c r="C484" t="s">
        <v>987</v>
      </c>
      <c r="D484">
        <v>26</v>
      </c>
      <c r="E484" t="s">
        <v>812</v>
      </c>
      <c r="F484" t="s">
        <v>131</v>
      </c>
      <c r="G484">
        <v>-10.25074</v>
      </c>
      <c r="H484">
        <v>26.099086</v>
      </c>
      <c r="I484" t="s">
        <v>1480</v>
      </c>
      <c r="J484" t="s">
        <v>1481</v>
      </c>
      <c r="K484" t="s">
        <v>130</v>
      </c>
      <c r="L484">
        <v>16</v>
      </c>
      <c r="M484" t="s">
        <v>19</v>
      </c>
      <c r="N484">
        <v>390</v>
      </c>
      <c r="O484">
        <v>98.17</v>
      </c>
      <c r="P484">
        <v>5</v>
      </c>
      <c r="Q484">
        <f>_26_03_2026_Log_Reseau_v15_7[[#This Row],[Durée cumulée_panne_minu]]/60</f>
        <v>6.5</v>
      </c>
      <c r="R484">
        <f>ROUND(_26_03_2026_Log_Reseau_v15_7[[#This Row],[Durée_cumulée _ panne_en heure]],0)</f>
        <v>7</v>
      </c>
      <c r="S484">
        <f>_26_03_2026_Log_Reseau_v15_7[[#This Row],[Anciennété_mois]]/12</f>
        <v>1.3333333333333333</v>
      </c>
      <c r="T484">
        <f>ROUND(_26_03_2026_Log_Reseau_v15_7[[#This Row],[anciennete_ en année]],0)</f>
        <v>1</v>
      </c>
      <c r="U48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84" s="3">
        <f>ROUND(_26_03_2026_Log_Reseau_v15_7[[#This Row],[remise 10%_70%_45%]],0)</f>
        <v>0</v>
      </c>
      <c r="W484" s="3">
        <f>_26_03_2026_Log_Reseau_v15_7[[#This Row],[Facture mensuelle]]*_26_03_2026_Log_Reseau_v15_7[[#This Row],[remise 10_70_45]]</f>
        <v>0</v>
      </c>
    </row>
    <row r="485" spans="1:23" x14ac:dyDescent="0.25">
      <c r="A485" s="1">
        <v>45227</v>
      </c>
      <c r="B485" s="2">
        <v>0.19583333333333333</v>
      </c>
      <c r="C485" t="s">
        <v>1073</v>
      </c>
      <c r="D485">
        <v>113</v>
      </c>
      <c r="E485" t="s">
        <v>808</v>
      </c>
      <c r="F485" t="s">
        <v>64</v>
      </c>
      <c r="G485">
        <v>-7.5418399999999997</v>
      </c>
      <c r="H485">
        <v>16.931206</v>
      </c>
      <c r="I485" t="s">
        <v>1482</v>
      </c>
      <c r="J485" t="s">
        <v>1490</v>
      </c>
      <c r="K485" t="s">
        <v>63</v>
      </c>
      <c r="L485">
        <v>79</v>
      </c>
      <c r="M485" t="s">
        <v>11</v>
      </c>
      <c r="N485">
        <v>226</v>
      </c>
      <c r="O485">
        <v>94.38</v>
      </c>
      <c r="P485">
        <v>3</v>
      </c>
      <c r="Q485">
        <f>_26_03_2026_Log_Reseau_v15_7[[#This Row],[Durée cumulée_panne_minu]]/60</f>
        <v>3.7666666666666666</v>
      </c>
      <c r="R485">
        <f>ROUND(_26_03_2026_Log_Reseau_v15_7[[#This Row],[Durée_cumulée _ panne_en heure]],0)</f>
        <v>4</v>
      </c>
      <c r="S485">
        <f>_26_03_2026_Log_Reseau_v15_7[[#This Row],[Anciennété_mois]]/12</f>
        <v>6.583333333333333</v>
      </c>
      <c r="T485">
        <f>ROUND(_26_03_2026_Log_Reseau_v15_7[[#This Row],[anciennete_ en année]],0)</f>
        <v>7</v>
      </c>
      <c r="U48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85" s="3">
        <f>ROUND(_26_03_2026_Log_Reseau_v15_7[[#This Row],[remise 10%_70%_45%]],0)</f>
        <v>0</v>
      </c>
      <c r="W485" s="3">
        <f>_26_03_2026_Log_Reseau_v15_7[[#This Row],[Facture mensuelle]]*_26_03_2026_Log_Reseau_v15_7[[#This Row],[remise 10_70_45]]</f>
        <v>0</v>
      </c>
    </row>
    <row r="486" spans="1:23" x14ac:dyDescent="0.25">
      <c r="A486" s="1">
        <v>45227</v>
      </c>
      <c r="B486" s="2">
        <v>0.57777777777777772</v>
      </c>
      <c r="C486" t="s">
        <v>1089</v>
      </c>
      <c r="D486">
        <v>50</v>
      </c>
      <c r="E486" t="s">
        <v>812</v>
      </c>
      <c r="F486" t="s">
        <v>73</v>
      </c>
      <c r="G486">
        <v>-4.5603610000000003</v>
      </c>
      <c r="H486">
        <v>24.113918999999999</v>
      </c>
      <c r="I486" t="s">
        <v>1477</v>
      </c>
      <c r="J486" t="s">
        <v>1483</v>
      </c>
      <c r="K486" t="s">
        <v>72</v>
      </c>
      <c r="L486">
        <v>6</v>
      </c>
      <c r="M486" t="s">
        <v>11</v>
      </c>
      <c r="N486">
        <v>207</v>
      </c>
      <c r="O486">
        <v>61.55</v>
      </c>
      <c r="P486">
        <v>0</v>
      </c>
      <c r="Q486">
        <f>_26_03_2026_Log_Reseau_v15_7[[#This Row],[Durée cumulée_panne_minu]]/60</f>
        <v>3.45</v>
      </c>
      <c r="R486">
        <f>ROUND(_26_03_2026_Log_Reseau_v15_7[[#This Row],[Durée_cumulée _ panne_en heure]],0)</f>
        <v>3</v>
      </c>
      <c r="S486">
        <f>_26_03_2026_Log_Reseau_v15_7[[#This Row],[Anciennété_mois]]/12</f>
        <v>0.5</v>
      </c>
      <c r="T486">
        <f>ROUND(_26_03_2026_Log_Reseau_v15_7[[#This Row],[anciennete_ en année]],0)</f>
        <v>1</v>
      </c>
      <c r="U48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86" s="3">
        <f>ROUND(_26_03_2026_Log_Reseau_v15_7[[#This Row],[remise 10%_70%_45%]],0)</f>
        <v>0</v>
      </c>
      <c r="W486" s="3">
        <f>_26_03_2026_Log_Reseau_v15_7[[#This Row],[Facture mensuelle]]*_26_03_2026_Log_Reseau_v15_7[[#This Row],[remise 10_70_45]]</f>
        <v>0</v>
      </c>
    </row>
    <row r="487" spans="1:23" x14ac:dyDescent="0.25">
      <c r="A487" s="1">
        <v>45227</v>
      </c>
      <c r="B487" s="2">
        <v>0.52708333333333335</v>
      </c>
      <c r="C487" t="s">
        <v>1142</v>
      </c>
      <c r="D487">
        <v>107</v>
      </c>
      <c r="E487" t="s">
        <v>808</v>
      </c>
      <c r="F487" t="s">
        <v>37</v>
      </c>
      <c r="G487">
        <v>-1.50664</v>
      </c>
      <c r="H487">
        <v>27.795642000000001</v>
      </c>
      <c r="I487" t="s">
        <v>1477</v>
      </c>
      <c r="J487" t="s">
        <v>1483</v>
      </c>
      <c r="K487" t="s">
        <v>36</v>
      </c>
      <c r="L487">
        <v>115</v>
      </c>
      <c r="M487" t="s">
        <v>19</v>
      </c>
      <c r="N487">
        <v>176</v>
      </c>
      <c r="O487">
        <v>33.28</v>
      </c>
      <c r="P487">
        <v>4</v>
      </c>
      <c r="Q487">
        <f>_26_03_2026_Log_Reseau_v15_7[[#This Row],[Durée cumulée_panne_minu]]/60</f>
        <v>2.9333333333333331</v>
      </c>
      <c r="R487">
        <f>ROUND(_26_03_2026_Log_Reseau_v15_7[[#This Row],[Durée_cumulée _ panne_en heure]],0)</f>
        <v>3</v>
      </c>
      <c r="S487">
        <f>_26_03_2026_Log_Reseau_v15_7[[#This Row],[Anciennété_mois]]/12</f>
        <v>9.5833333333333339</v>
      </c>
      <c r="T487">
        <f>ROUND(_26_03_2026_Log_Reseau_v15_7[[#This Row],[anciennete_ en année]],0)</f>
        <v>10</v>
      </c>
      <c r="U48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87" s="3">
        <f>ROUND(_26_03_2026_Log_Reseau_v15_7[[#This Row],[remise 10%_70%_45%]],0)</f>
        <v>0</v>
      </c>
      <c r="W487" s="3">
        <f>_26_03_2026_Log_Reseau_v15_7[[#This Row],[Facture mensuelle]]*_26_03_2026_Log_Reseau_v15_7[[#This Row],[remise 10_70_45]]</f>
        <v>0</v>
      </c>
    </row>
    <row r="488" spans="1:23" x14ac:dyDescent="0.25">
      <c r="A488" s="1">
        <v>45227</v>
      </c>
      <c r="B488" s="2">
        <v>0.77847222222222223</v>
      </c>
      <c r="C488" t="s">
        <v>1169</v>
      </c>
      <c r="D488">
        <v>67</v>
      </c>
      <c r="E488" t="s">
        <v>812</v>
      </c>
      <c r="F488" t="s">
        <v>44</v>
      </c>
      <c r="G488">
        <v>-0.47411900000000001</v>
      </c>
      <c r="H488">
        <v>27.184329000000002</v>
      </c>
      <c r="I488" t="s">
        <v>1477</v>
      </c>
      <c r="J488" t="s">
        <v>1483</v>
      </c>
      <c r="K488" t="s">
        <v>43</v>
      </c>
      <c r="L488">
        <v>66</v>
      </c>
      <c r="M488" t="s">
        <v>22</v>
      </c>
      <c r="N488">
        <v>270</v>
      </c>
      <c r="O488">
        <v>75.88</v>
      </c>
      <c r="P488">
        <v>3</v>
      </c>
      <c r="Q488">
        <f>_26_03_2026_Log_Reseau_v15_7[[#This Row],[Durée cumulée_panne_minu]]/60</f>
        <v>4.5</v>
      </c>
      <c r="R488">
        <f>ROUND(_26_03_2026_Log_Reseau_v15_7[[#This Row],[Durée_cumulée _ panne_en heure]],0)</f>
        <v>5</v>
      </c>
      <c r="S488">
        <f>_26_03_2026_Log_Reseau_v15_7[[#This Row],[Anciennété_mois]]/12</f>
        <v>5.5</v>
      </c>
      <c r="T488">
        <f>ROUND(_26_03_2026_Log_Reseau_v15_7[[#This Row],[anciennete_ en année]],0)</f>
        <v>6</v>
      </c>
      <c r="U48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88" s="3">
        <f>ROUND(_26_03_2026_Log_Reseau_v15_7[[#This Row],[remise 10%_70%_45%]],0)</f>
        <v>0</v>
      </c>
      <c r="W488" s="3">
        <f>_26_03_2026_Log_Reseau_v15_7[[#This Row],[Facture mensuelle]]*_26_03_2026_Log_Reseau_v15_7[[#This Row],[remise 10_70_45]]</f>
        <v>0</v>
      </c>
    </row>
    <row r="489" spans="1:23" x14ac:dyDescent="0.25">
      <c r="A489" s="1">
        <v>45227</v>
      </c>
      <c r="B489" s="2">
        <v>0.58750000000000002</v>
      </c>
      <c r="C489" t="s">
        <v>1249</v>
      </c>
      <c r="D489">
        <v>50</v>
      </c>
      <c r="E489" t="s">
        <v>808</v>
      </c>
      <c r="F489" t="s">
        <v>89</v>
      </c>
      <c r="G489">
        <v>-1.342476</v>
      </c>
      <c r="H489">
        <v>15.986086</v>
      </c>
      <c r="I489" t="s">
        <v>1480</v>
      </c>
      <c r="J489" t="s">
        <v>1478</v>
      </c>
      <c r="K489" t="s">
        <v>88</v>
      </c>
      <c r="L489">
        <v>98</v>
      </c>
      <c r="M489" t="s">
        <v>14</v>
      </c>
      <c r="N489">
        <v>482</v>
      </c>
      <c r="O489">
        <v>55.04</v>
      </c>
      <c r="P489">
        <v>5</v>
      </c>
      <c r="Q489">
        <f>_26_03_2026_Log_Reseau_v15_7[[#This Row],[Durée cumulée_panne_minu]]/60</f>
        <v>8.0333333333333332</v>
      </c>
      <c r="R489">
        <f>ROUND(_26_03_2026_Log_Reseau_v15_7[[#This Row],[Durée_cumulée _ panne_en heure]],0)</f>
        <v>8</v>
      </c>
      <c r="S489">
        <f>_26_03_2026_Log_Reseau_v15_7[[#This Row],[Anciennété_mois]]/12</f>
        <v>8.1666666666666661</v>
      </c>
      <c r="T489">
        <f>ROUND(_26_03_2026_Log_Reseau_v15_7[[#This Row],[anciennete_ en année]],0)</f>
        <v>8</v>
      </c>
      <c r="U48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489" s="3">
        <f>ROUND(_26_03_2026_Log_Reseau_v15_7[[#This Row],[remise 10%_70%_45%]],0)</f>
        <v>6</v>
      </c>
      <c r="W489" s="3">
        <f>_26_03_2026_Log_Reseau_v15_7[[#This Row],[Facture mensuelle]]*_26_03_2026_Log_Reseau_v15_7[[#This Row],[remise 10_70_45]]</f>
        <v>330.24</v>
      </c>
    </row>
    <row r="490" spans="1:23" x14ac:dyDescent="0.25">
      <c r="A490" s="1">
        <v>45227</v>
      </c>
      <c r="B490" s="2">
        <v>0.29722222222222222</v>
      </c>
      <c r="C490" t="s">
        <v>1250</v>
      </c>
      <c r="D490">
        <v>92</v>
      </c>
      <c r="E490" t="s">
        <v>812</v>
      </c>
      <c r="F490" t="s">
        <v>18</v>
      </c>
      <c r="G490">
        <v>-5.5559329999999996</v>
      </c>
      <c r="H490">
        <v>13.508692999999999</v>
      </c>
      <c r="I490" t="s">
        <v>1482</v>
      </c>
      <c r="J490" t="s">
        <v>1490</v>
      </c>
      <c r="K490" t="s">
        <v>17</v>
      </c>
      <c r="L490">
        <v>44</v>
      </c>
      <c r="M490" t="s">
        <v>19</v>
      </c>
      <c r="N490">
        <v>348</v>
      </c>
      <c r="O490">
        <v>58.67</v>
      </c>
      <c r="P490">
        <v>0</v>
      </c>
      <c r="Q490">
        <f>_26_03_2026_Log_Reseau_v15_7[[#This Row],[Durée cumulée_panne_minu]]/60</f>
        <v>5.8</v>
      </c>
      <c r="R490">
        <f>ROUND(_26_03_2026_Log_Reseau_v15_7[[#This Row],[Durée_cumulée _ panne_en heure]],0)</f>
        <v>6</v>
      </c>
      <c r="S490">
        <f>_26_03_2026_Log_Reseau_v15_7[[#This Row],[Anciennété_mois]]/12</f>
        <v>3.6666666666666665</v>
      </c>
      <c r="T490">
        <f>ROUND(_26_03_2026_Log_Reseau_v15_7[[#This Row],[anciennete_ en année]],0)</f>
        <v>4</v>
      </c>
      <c r="U49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90" s="3">
        <f>ROUND(_26_03_2026_Log_Reseau_v15_7[[#This Row],[remise 10%_70%_45%]],0)</f>
        <v>0</v>
      </c>
      <c r="W490" s="3">
        <f>_26_03_2026_Log_Reseau_v15_7[[#This Row],[Facture mensuelle]]*_26_03_2026_Log_Reseau_v15_7[[#This Row],[remise 10_70_45]]</f>
        <v>0</v>
      </c>
    </row>
    <row r="491" spans="1:23" x14ac:dyDescent="0.25">
      <c r="A491" s="1">
        <v>45227</v>
      </c>
      <c r="B491" s="2">
        <v>0.75138888888888888</v>
      </c>
      <c r="C491" t="s">
        <v>1281</v>
      </c>
      <c r="D491">
        <v>42</v>
      </c>
      <c r="E491" t="s">
        <v>807</v>
      </c>
      <c r="F491" t="s">
        <v>31</v>
      </c>
      <c r="G491">
        <v>-12.050063</v>
      </c>
      <c r="H491">
        <v>26.636987999999999</v>
      </c>
      <c r="I491" t="s">
        <v>1482</v>
      </c>
      <c r="J491" t="s">
        <v>1490</v>
      </c>
      <c r="K491" t="s">
        <v>30</v>
      </c>
      <c r="L491">
        <v>113</v>
      </c>
      <c r="M491" t="s">
        <v>22</v>
      </c>
      <c r="N491">
        <v>380</v>
      </c>
      <c r="O491">
        <v>12.11</v>
      </c>
      <c r="P491">
        <v>0</v>
      </c>
      <c r="Q491">
        <f>_26_03_2026_Log_Reseau_v15_7[[#This Row],[Durée cumulée_panne_minu]]/60</f>
        <v>6.333333333333333</v>
      </c>
      <c r="R491">
        <f>ROUND(_26_03_2026_Log_Reseau_v15_7[[#This Row],[Durée_cumulée _ panne_en heure]],0)</f>
        <v>6</v>
      </c>
      <c r="S491">
        <f>_26_03_2026_Log_Reseau_v15_7[[#This Row],[Anciennété_mois]]/12</f>
        <v>9.4166666666666661</v>
      </c>
      <c r="T491">
        <f>ROUND(_26_03_2026_Log_Reseau_v15_7[[#This Row],[anciennete_ en année]],0)</f>
        <v>9</v>
      </c>
      <c r="U49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91" s="3">
        <f>ROUND(_26_03_2026_Log_Reseau_v15_7[[#This Row],[remise 10%_70%_45%]],0)</f>
        <v>0</v>
      </c>
      <c r="W491" s="3">
        <f>_26_03_2026_Log_Reseau_v15_7[[#This Row],[Facture mensuelle]]*_26_03_2026_Log_Reseau_v15_7[[#This Row],[remise 10_70_45]]</f>
        <v>0</v>
      </c>
    </row>
    <row r="492" spans="1:23" x14ac:dyDescent="0.25">
      <c r="A492" s="1">
        <v>45227</v>
      </c>
      <c r="B492" s="2">
        <v>0.66041666666666665</v>
      </c>
      <c r="C492" t="s">
        <v>1342</v>
      </c>
      <c r="D492">
        <v>67</v>
      </c>
      <c r="E492" t="s">
        <v>812</v>
      </c>
      <c r="F492" t="s">
        <v>29</v>
      </c>
      <c r="G492">
        <v>-5.125</v>
      </c>
      <c r="H492">
        <v>23.513119</v>
      </c>
      <c r="I492" t="s">
        <v>1477</v>
      </c>
      <c r="J492" t="s">
        <v>1481</v>
      </c>
      <c r="K492" t="s">
        <v>28</v>
      </c>
      <c r="L492">
        <v>99</v>
      </c>
      <c r="M492" t="s">
        <v>19</v>
      </c>
      <c r="N492">
        <v>369</v>
      </c>
      <c r="O492">
        <v>67.209999999999994</v>
      </c>
      <c r="P492">
        <v>3</v>
      </c>
      <c r="Q492">
        <f>_26_03_2026_Log_Reseau_v15_7[[#This Row],[Durée cumulée_panne_minu]]/60</f>
        <v>6.15</v>
      </c>
      <c r="R492">
        <f>ROUND(_26_03_2026_Log_Reseau_v15_7[[#This Row],[Durée_cumulée _ panne_en heure]],0)</f>
        <v>6</v>
      </c>
      <c r="S492">
        <f>_26_03_2026_Log_Reseau_v15_7[[#This Row],[Anciennété_mois]]/12</f>
        <v>8.25</v>
      </c>
      <c r="T492">
        <f>ROUND(_26_03_2026_Log_Reseau_v15_7[[#This Row],[anciennete_ en année]],0)</f>
        <v>8</v>
      </c>
      <c r="U49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92" s="3">
        <f>ROUND(_26_03_2026_Log_Reseau_v15_7[[#This Row],[remise 10%_70%_45%]],0)</f>
        <v>0</v>
      </c>
      <c r="W492" s="3">
        <f>_26_03_2026_Log_Reseau_v15_7[[#This Row],[Facture mensuelle]]*_26_03_2026_Log_Reseau_v15_7[[#This Row],[remise 10_70_45]]</f>
        <v>0</v>
      </c>
    </row>
    <row r="493" spans="1:23" x14ac:dyDescent="0.25">
      <c r="A493" s="1">
        <v>45227</v>
      </c>
      <c r="B493" s="2">
        <v>0.91527777777777775</v>
      </c>
      <c r="C493" t="s">
        <v>1349</v>
      </c>
      <c r="D493">
        <v>26</v>
      </c>
      <c r="E493" t="s">
        <v>808</v>
      </c>
      <c r="F493" t="s">
        <v>10</v>
      </c>
      <c r="G493">
        <v>-3.7720639999999999</v>
      </c>
      <c r="H493">
        <v>16.006277999999998</v>
      </c>
      <c r="I493" t="s">
        <v>1477</v>
      </c>
      <c r="J493" t="s">
        <v>1483</v>
      </c>
      <c r="K493" t="s">
        <v>9</v>
      </c>
      <c r="L493">
        <v>29</v>
      </c>
      <c r="M493" t="s">
        <v>11</v>
      </c>
      <c r="N493">
        <v>214</v>
      </c>
      <c r="O493">
        <v>74.7</v>
      </c>
      <c r="P493">
        <v>3</v>
      </c>
      <c r="Q493">
        <f>_26_03_2026_Log_Reseau_v15_7[[#This Row],[Durée cumulée_panne_minu]]/60</f>
        <v>3.5666666666666669</v>
      </c>
      <c r="R493">
        <f>ROUND(_26_03_2026_Log_Reseau_v15_7[[#This Row],[Durée_cumulée _ panne_en heure]],0)</f>
        <v>4</v>
      </c>
      <c r="S493">
        <f>_26_03_2026_Log_Reseau_v15_7[[#This Row],[Anciennété_mois]]/12</f>
        <v>2.4166666666666665</v>
      </c>
      <c r="T493">
        <f>ROUND(_26_03_2026_Log_Reseau_v15_7[[#This Row],[anciennete_ en année]],0)</f>
        <v>2</v>
      </c>
      <c r="U49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93" s="3">
        <f>ROUND(_26_03_2026_Log_Reseau_v15_7[[#This Row],[remise 10%_70%_45%]],0)</f>
        <v>0</v>
      </c>
      <c r="W493" s="3">
        <f>_26_03_2026_Log_Reseau_v15_7[[#This Row],[Facture mensuelle]]*_26_03_2026_Log_Reseau_v15_7[[#This Row],[remise 10_70_45]]</f>
        <v>0</v>
      </c>
    </row>
    <row r="494" spans="1:23" x14ac:dyDescent="0.25">
      <c r="A494" s="1">
        <v>45227</v>
      </c>
      <c r="B494" s="2">
        <v>0.8979166666666667</v>
      </c>
      <c r="C494" t="s">
        <v>1364</v>
      </c>
      <c r="D494">
        <v>61</v>
      </c>
      <c r="E494" t="s">
        <v>807</v>
      </c>
      <c r="F494" t="s">
        <v>64</v>
      </c>
      <c r="G494">
        <v>-7.1079169999999996</v>
      </c>
      <c r="H494">
        <v>13.636272</v>
      </c>
      <c r="I494" t="s">
        <v>1477</v>
      </c>
      <c r="J494" t="s">
        <v>1490</v>
      </c>
      <c r="K494" t="s">
        <v>63</v>
      </c>
      <c r="L494">
        <v>79</v>
      </c>
      <c r="M494" t="s">
        <v>11</v>
      </c>
      <c r="N494">
        <v>226</v>
      </c>
      <c r="O494">
        <v>94.38</v>
      </c>
      <c r="P494">
        <v>3</v>
      </c>
      <c r="Q494">
        <f>_26_03_2026_Log_Reseau_v15_7[[#This Row],[Durée cumulée_panne_minu]]/60</f>
        <v>3.7666666666666666</v>
      </c>
      <c r="R494">
        <f>ROUND(_26_03_2026_Log_Reseau_v15_7[[#This Row],[Durée_cumulée _ panne_en heure]],0)</f>
        <v>4</v>
      </c>
      <c r="S494">
        <f>_26_03_2026_Log_Reseau_v15_7[[#This Row],[Anciennété_mois]]/12</f>
        <v>6.583333333333333</v>
      </c>
      <c r="T494">
        <f>ROUND(_26_03_2026_Log_Reseau_v15_7[[#This Row],[anciennete_ en année]],0)</f>
        <v>7</v>
      </c>
      <c r="U49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94" s="3">
        <f>ROUND(_26_03_2026_Log_Reseau_v15_7[[#This Row],[remise 10%_70%_45%]],0)</f>
        <v>0</v>
      </c>
      <c r="W494" s="3">
        <f>_26_03_2026_Log_Reseau_v15_7[[#This Row],[Facture mensuelle]]*_26_03_2026_Log_Reseau_v15_7[[#This Row],[remise 10_70_45]]</f>
        <v>0</v>
      </c>
    </row>
    <row r="495" spans="1:23" x14ac:dyDescent="0.25">
      <c r="A495" s="1">
        <v>45227</v>
      </c>
      <c r="B495" s="2">
        <v>0.30902777777777779</v>
      </c>
      <c r="C495" t="s">
        <v>1417</v>
      </c>
      <c r="D495">
        <v>118</v>
      </c>
      <c r="E495" t="s">
        <v>812</v>
      </c>
      <c r="F495" t="s">
        <v>31</v>
      </c>
      <c r="G495">
        <v>-10.914952</v>
      </c>
      <c r="H495">
        <v>26.409648000000001</v>
      </c>
      <c r="I495" t="s">
        <v>1480</v>
      </c>
      <c r="J495" t="s">
        <v>1481</v>
      </c>
      <c r="K495" t="s">
        <v>30</v>
      </c>
      <c r="L495">
        <v>113</v>
      </c>
      <c r="M495" t="s">
        <v>22</v>
      </c>
      <c r="N495">
        <v>380</v>
      </c>
      <c r="O495">
        <v>12.11</v>
      </c>
      <c r="P495">
        <v>0</v>
      </c>
      <c r="Q495">
        <f>_26_03_2026_Log_Reseau_v15_7[[#This Row],[Durée cumulée_panne_minu]]/60</f>
        <v>6.333333333333333</v>
      </c>
      <c r="R495">
        <f>ROUND(_26_03_2026_Log_Reseau_v15_7[[#This Row],[Durée_cumulée _ panne_en heure]],0)</f>
        <v>6</v>
      </c>
      <c r="S495">
        <f>_26_03_2026_Log_Reseau_v15_7[[#This Row],[Anciennété_mois]]/12</f>
        <v>9.4166666666666661</v>
      </c>
      <c r="T495">
        <f>ROUND(_26_03_2026_Log_Reseau_v15_7[[#This Row],[anciennete_ en année]],0)</f>
        <v>9</v>
      </c>
      <c r="U49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95" s="3">
        <f>ROUND(_26_03_2026_Log_Reseau_v15_7[[#This Row],[remise 10%_70%_45%]],0)</f>
        <v>0</v>
      </c>
      <c r="W495" s="3">
        <f>_26_03_2026_Log_Reseau_v15_7[[#This Row],[Facture mensuelle]]*_26_03_2026_Log_Reseau_v15_7[[#This Row],[remise 10_70_45]]</f>
        <v>0</v>
      </c>
    </row>
    <row r="496" spans="1:23" x14ac:dyDescent="0.25">
      <c r="A496" s="1">
        <v>45227</v>
      </c>
      <c r="B496" s="2">
        <v>3.3333333333333333E-2</v>
      </c>
      <c r="C496" t="s">
        <v>1424</v>
      </c>
      <c r="D496">
        <v>68</v>
      </c>
      <c r="E496" t="s">
        <v>812</v>
      </c>
      <c r="F496" t="s">
        <v>89</v>
      </c>
      <c r="G496">
        <v>-10.375266999999999</v>
      </c>
      <c r="H496">
        <v>17.993663000000002</v>
      </c>
      <c r="I496" t="s">
        <v>1477</v>
      </c>
      <c r="J496" t="s">
        <v>1483</v>
      </c>
      <c r="K496" t="s">
        <v>88</v>
      </c>
      <c r="L496">
        <v>98</v>
      </c>
      <c r="M496" t="s">
        <v>14</v>
      </c>
      <c r="N496">
        <v>482</v>
      </c>
      <c r="O496">
        <v>55.04</v>
      </c>
      <c r="P496">
        <v>5</v>
      </c>
      <c r="Q496">
        <f>_26_03_2026_Log_Reseau_v15_7[[#This Row],[Durée cumulée_panne_minu]]/60</f>
        <v>8.0333333333333332</v>
      </c>
      <c r="R496">
        <f>ROUND(_26_03_2026_Log_Reseau_v15_7[[#This Row],[Durée_cumulée _ panne_en heure]],0)</f>
        <v>8</v>
      </c>
      <c r="S496">
        <f>_26_03_2026_Log_Reseau_v15_7[[#This Row],[Anciennété_mois]]/12</f>
        <v>8.1666666666666661</v>
      </c>
      <c r="T496">
        <f>ROUND(_26_03_2026_Log_Reseau_v15_7[[#This Row],[anciennete_ en année]],0)</f>
        <v>8</v>
      </c>
      <c r="U49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496" s="3">
        <f>ROUND(_26_03_2026_Log_Reseau_v15_7[[#This Row],[remise 10%_70%_45%]],0)</f>
        <v>6</v>
      </c>
      <c r="W496" s="3">
        <f>_26_03_2026_Log_Reseau_v15_7[[#This Row],[Facture mensuelle]]*_26_03_2026_Log_Reseau_v15_7[[#This Row],[remise 10_70_45]]</f>
        <v>330.24</v>
      </c>
    </row>
    <row r="497" spans="1:23" x14ac:dyDescent="0.25">
      <c r="A497" s="1">
        <v>45228</v>
      </c>
      <c r="B497" s="2">
        <v>0.62152777777777779</v>
      </c>
      <c r="C497" t="s">
        <v>904</v>
      </c>
      <c r="D497">
        <v>98</v>
      </c>
      <c r="E497" t="s">
        <v>812</v>
      </c>
      <c r="F497" t="s">
        <v>40</v>
      </c>
      <c r="G497">
        <v>-10.963041</v>
      </c>
      <c r="H497">
        <v>12.269857</v>
      </c>
      <c r="I497" t="s">
        <v>1480</v>
      </c>
      <c r="J497" t="s">
        <v>1481</v>
      </c>
      <c r="K497" t="s">
        <v>39</v>
      </c>
      <c r="L497">
        <v>110</v>
      </c>
      <c r="M497" t="s">
        <v>14</v>
      </c>
      <c r="N497">
        <v>423</v>
      </c>
      <c r="O497">
        <v>37.35</v>
      </c>
      <c r="P497">
        <v>4</v>
      </c>
      <c r="Q497">
        <f>_26_03_2026_Log_Reseau_v15_7[[#This Row],[Durée cumulée_panne_minu]]/60</f>
        <v>7.05</v>
      </c>
      <c r="R497">
        <f>ROUND(_26_03_2026_Log_Reseau_v15_7[[#This Row],[Durée_cumulée _ panne_en heure]],0)</f>
        <v>7</v>
      </c>
      <c r="S497">
        <f>_26_03_2026_Log_Reseau_v15_7[[#This Row],[Anciennété_mois]]/12</f>
        <v>9.1666666666666661</v>
      </c>
      <c r="T497">
        <f>ROUND(_26_03_2026_Log_Reseau_v15_7[[#This Row],[anciennete_ en année]],0)</f>
        <v>9</v>
      </c>
      <c r="U49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3.7350000000000003</v>
      </c>
      <c r="V497" s="3">
        <f>ROUND(_26_03_2026_Log_Reseau_v15_7[[#This Row],[remise 10%_70%_45%]],0)</f>
        <v>4</v>
      </c>
      <c r="W497" s="3">
        <f>_26_03_2026_Log_Reseau_v15_7[[#This Row],[Facture mensuelle]]*_26_03_2026_Log_Reseau_v15_7[[#This Row],[remise 10_70_45]]</f>
        <v>149.4</v>
      </c>
    </row>
    <row r="498" spans="1:23" x14ac:dyDescent="0.25">
      <c r="A498" s="1">
        <v>45228</v>
      </c>
      <c r="B498" s="2">
        <v>1.3888888888888889E-3</v>
      </c>
      <c r="C498" t="s">
        <v>906</v>
      </c>
      <c r="D498">
        <v>100</v>
      </c>
      <c r="E498" t="s">
        <v>808</v>
      </c>
      <c r="F498" t="s">
        <v>21</v>
      </c>
      <c r="G498">
        <v>-9.3900009999999998</v>
      </c>
      <c r="H498">
        <v>30.001517</v>
      </c>
      <c r="I498" t="s">
        <v>1482</v>
      </c>
      <c r="J498" t="s">
        <v>1490</v>
      </c>
      <c r="K498" t="s">
        <v>20</v>
      </c>
      <c r="L498">
        <v>101</v>
      </c>
      <c r="M498" t="s">
        <v>22</v>
      </c>
      <c r="N498">
        <v>358</v>
      </c>
      <c r="O498">
        <v>29.24</v>
      </c>
      <c r="P498">
        <v>3</v>
      </c>
      <c r="Q498">
        <f>_26_03_2026_Log_Reseau_v15_7[[#This Row],[Durée cumulée_panne_minu]]/60</f>
        <v>5.9666666666666668</v>
      </c>
      <c r="R498">
        <f>ROUND(_26_03_2026_Log_Reseau_v15_7[[#This Row],[Durée_cumulée _ panne_en heure]],0)</f>
        <v>6</v>
      </c>
      <c r="S498">
        <f>_26_03_2026_Log_Reseau_v15_7[[#This Row],[Anciennété_mois]]/12</f>
        <v>8.4166666666666661</v>
      </c>
      <c r="T498">
        <f>ROUND(_26_03_2026_Log_Reseau_v15_7[[#This Row],[anciennete_ en année]],0)</f>
        <v>8</v>
      </c>
      <c r="U49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98" s="3">
        <f>ROUND(_26_03_2026_Log_Reseau_v15_7[[#This Row],[remise 10%_70%_45%]],0)</f>
        <v>0</v>
      </c>
      <c r="W498" s="3">
        <f>_26_03_2026_Log_Reseau_v15_7[[#This Row],[Facture mensuelle]]*_26_03_2026_Log_Reseau_v15_7[[#This Row],[remise 10_70_45]]</f>
        <v>0</v>
      </c>
    </row>
    <row r="499" spans="1:23" x14ac:dyDescent="0.25">
      <c r="A499" s="1">
        <v>45228</v>
      </c>
      <c r="B499" s="2">
        <v>0.67222222222222228</v>
      </c>
      <c r="C499" t="s">
        <v>956</v>
      </c>
      <c r="D499">
        <v>106</v>
      </c>
      <c r="E499" t="s">
        <v>807</v>
      </c>
      <c r="F499" t="s">
        <v>137</v>
      </c>
      <c r="G499">
        <v>2.0392079999999999</v>
      </c>
      <c r="H499">
        <v>19.090841999999999</v>
      </c>
      <c r="I499" t="s">
        <v>1480</v>
      </c>
      <c r="J499" t="s">
        <v>1490</v>
      </c>
      <c r="K499" t="s">
        <v>136</v>
      </c>
      <c r="L499">
        <v>80</v>
      </c>
      <c r="M499" t="s">
        <v>22</v>
      </c>
      <c r="N499">
        <v>155</v>
      </c>
      <c r="O499">
        <v>28.96</v>
      </c>
      <c r="P499">
        <v>2</v>
      </c>
      <c r="Q499">
        <f>_26_03_2026_Log_Reseau_v15_7[[#This Row],[Durée cumulée_panne_minu]]/60</f>
        <v>2.5833333333333335</v>
      </c>
      <c r="R499">
        <f>ROUND(_26_03_2026_Log_Reseau_v15_7[[#This Row],[Durée_cumulée _ panne_en heure]],0)</f>
        <v>3</v>
      </c>
      <c r="S499">
        <f>_26_03_2026_Log_Reseau_v15_7[[#This Row],[Anciennété_mois]]/12</f>
        <v>6.666666666666667</v>
      </c>
      <c r="T499">
        <f>ROUND(_26_03_2026_Log_Reseau_v15_7[[#This Row],[anciennete_ en année]],0)</f>
        <v>7</v>
      </c>
      <c r="U49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499" s="3">
        <f>ROUND(_26_03_2026_Log_Reseau_v15_7[[#This Row],[remise 10%_70%_45%]],0)</f>
        <v>0</v>
      </c>
      <c r="W499" s="3">
        <f>_26_03_2026_Log_Reseau_v15_7[[#This Row],[Facture mensuelle]]*_26_03_2026_Log_Reseau_v15_7[[#This Row],[remise 10_70_45]]</f>
        <v>0</v>
      </c>
    </row>
    <row r="500" spans="1:23" x14ac:dyDescent="0.25">
      <c r="A500" s="1">
        <v>45228</v>
      </c>
      <c r="B500" s="2">
        <v>0.15902777777777777</v>
      </c>
      <c r="C500" t="s">
        <v>959</v>
      </c>
      <c r="D500">
        <v>30</v>
      </c>
      <c r="E500" t="s">
        <v>807</v>
      </c>
      <c r="F500" t="s">
        <v>51</v>
      </c>
      <c r="G500">
        <v>0.62055499999999997</v>
      </c>
      <c r="H500">
        <v>21.222035000000002</v>
      </c>
      <c r="I500" t="s">
        <v>1477</v>
      </c>
      <c r="J500" t="s">
        <v>1490</v>
      </c>
      <c r="K500" t="s">
        <v>50</v>
      </c>
      <c r="L500">
        <v>119</v>
      </c>
      <c r="M500" t="s">
        <v>22</v>
      </c>
      <c r="N500">
        <v>228</v>
      </c>
      <c r="O500">
        <v>94.72</v>
      </c>
      <c r="P500">
        <v>3</v>
      </c>
      <c r="Q500">
        <f>_26_03_2026_Log_Reseau_v15_7[[#This Row],[Durée cumulée_panne_minu]]/60</f>
        <v>3.8</v>
      </c>
      <c r="R500">
        <f>ROUND(_26_03_2026_Log_Reseau_v15_7[[#This Row],[Durée_cumulée _ panne_en heure]],0)</f>
        <v>4</v>
      </c>
      <c r="S500">
        <f>_26_03_2026_Log_Reseau_v15_7[[#This Row],[Anciennété_mois]]/12</f>
        <v>9.9166666666666661</v>
      </c>
      <c r="T500">
        <f>ROUND(_26_03_2026_Log_Reseau_v15_7[[#This Row],[anciennete_ en année]],0)</f>
        <v>10</v>
      </c>
      <c r="U50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00" s="3">
        <f>ROUND(_26_03_2026_Log_Reseau_v15_7[[#This Row],[remise 10%_70%_45%]],0)</f>
        <v>0</v>
      </c>
      <c r="W500" s="3">
        <f>_26_03_2026_Log_Reseau_v15_7[[#This Row],[Facture mensuelle]]*_26_03_2026_Log_Reseau_v15_7[[#This Row],[remise 10_70_45]]</f>
        <v>0</v>
      </c>
    </row>
    <row r="501" spans="1:23" x14ac:dyDescent="0.25">
      <c r="A501" s="1">
        <v>45228</v>
      </c>
      <c r="B501" s="2">
        <v>0.51180555555555551</v>
      </c>
      <c r="C501" t="s">
        <v>968</v>
      </c>
      <c r="D501">
        <v>64</v>
      </c>
      <c r="E501" t="s">
        <v>808</v>
      </c>
      <c r="F501" t="s">
        <v>127</v>
      </c>
      <c r="G501">
        <v>-4.4351269999999996</v>
      </c>
      <c r="H501">
        <v>24.825467</v>
      </c>
      <c r="I501" t="s">
        <v>1480</v>
      </c>
      <c r="J501" t="s">
        <v>1481</v>
      </c>
      <c r="K501" t="s">
        <v>126</v>
      </c>
      <c r="L501">
        <v>40</v>
      </c>
      <c r="M501" t="s">
        <v>11</v>
      </c>
      <c r="N501">
        <v>345</v>
      </c>
      <c r="O501">
        <v>89.55</v>
      </c>
      <c r="P501">
        <v>3</v>
      </c>
      <c r="Q501">
        <f>_26_03_2026_Log_Reseau_v15_7[[#This Row],[Durée cumulée_panne_minu]]/60</f>
        <v>5.75</v>
      </c>
      <c r="R501">
        <f>ROUND(_26_03_2026_Log_Reseau_v15_7[[#This Row],[Durée_cumulée _ panne_en heure]],0)</f>
        <v>6</v>
      </c>
      <c r="S501">
        <f>_26_03_2026_Log_Reseau_v15_7[[#This Row],[Anciennété_mois]]/12</f>
        <v>3.3333333333333335</v>
      </c>
      <c r="T501">
        <f>ROUND(_26_03_2026_Log_Reseau_v15_7[[#This Row],[anciennete_ en année]],0)</f>
        <v>3</v>
      </c>
      <c r="U50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01" s="3">
        <f>ROUND(_26_03_2026_Log_Reseau_v15_7[[#This Row],[remise 10%_70%_45%]],0)</f>
        <v>0</v>
      </c>
      <c r="W501" s="3">
        <f>_26_03_2026_Log_Reseau_v15_7[[#This Row],[Facture mensuelle]]*_26_03_2026_Log_Reseau_v15_7[[#This Row],[remise 10_70_45]]</f>
        <v>0</v>
      </c>
    </row>
    <row r="502" spans="1:23" x14ac:dyDescent="0.25">
      <c r="A502" s="1">
        <v>45228</v>
      </c>
      <c r="B502" s="2">
        <v>8.611111111111111E-2</v>
      </c>
      <c r="C502" t="s">
        <v>971</v>
      </c>
      <c r="D502">
        <v>43</v>
      </c>
      <c r="E502" t="s">
        <v>812</v>
      </c>
      <c r="F502" t="s">
        <v>35</v>
      </c>
      <c r="G502">
        <v>-6.4883290000000002</v>
      </c>
      <c r="H502">
        <v>25.103404000000001</v>
      </c>
      <c r="I502" t="s">
        <v>1477</v>
      </c>
      <c r="J502" t="s">
        <v>1483</v>
      </c>
      <c r="K502" t="s">
        <v>34</v>
      </c>
      <c r="L502">
        <v>35</v>
      </c>
      <c r="M502" t="s">
        <v>14</v>
      </c>
      <c r="N502">
        <v>465</v>
      </c>
      <c r="O502">
        <v>58.59</v>
      </c>
      <c r="P502">
        <v>5</v>
      </c>
      <c r="Q502">
        <f>_26_03_2026_Log_Reseau_v15_7[[#This Row],[Durée cumulée_panne_minu]]/60</f>
        <v>7.75</v>
      </c>
      <c r="R502">
        <f>ROUND(_26_03_2026_Log_Reseau_v15_7[[#This Row],[Durée_cumulée _ panne_en heure]],0)</f>
        <v>8</v>
      </c>
      <c r="S502">
        <f>_26_03_2026_Log_Reseau_v15_7[[#This Row],[Anciennété_mois]]/12</f>
        <v>2.9166666666666665</v>
      </c>
      <c r="T502">
        <f>ROUND(_26_03_2026_Log_Reseau_v15_7[[#This Row],[anciennete_ en année]],0)</f>
        <v>3</v>
      </c>
      <c r="U50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5.8590000000000009</v>
      </c>
      <c r="V502" s="3">
        <f>ROUND(_26_03_2026_Log_Reseau_v15_7[[#This Row],[remise 10%_70%_45%]],0)</f>
        <v>6</v>
      </c>
      <c r="W502" s="3">
        <f>_26_03_2026_Log_Reseau_v15_7[[#This Row],[Facture mensuelle]]*_26_03_2026_Log_Reseau_v15_7[[#This Row],[remise 10_70_45]]</f>
        <v>351.54</v>
      </c>
    </row>
    <row r="503" spans="1:23" x14ac:dyDescent="0.25">
      <c r="A503" s="1">
        <v>45228</v>
      </c>
      <c r="B503" s="2">
        <v>0.61458333333333337</v>
      </c>
      <c r="C503" t="s">
        <v>1027</v>
      </c>
      <c r="D503">
        <v>48</v>
      </c>
      <c r="E503" t="s">
        <v>808</v>
      </c>
      <c r="F503" t="s">
        <v>26</v>
      </c>
      <c r="G503">
        <v>-3.6945459999999999</v>
      </c>
      <c r="H503">
        <v>16.809108999999999</v>
      </c>
      <c r="I503" t="s">
        <v>1477</v>
      </c>
      <c r="J503" t="s">
        <v>1483</v>
      </c>
      <c r="K503" t="s">
        <v>25</v>
      </c>
      <c r="L503">
        <v>99</v>
      </c>
      <c r="M503" t="s">
        <v>11</v>
      </c>
      <c r="N503">
        <v>447</v>
      </c>
      <c r="O503">
        <v>38.1</v>
      </c>
      <c r="P503">
        <v>3</v>
      </c>
      <c r="Q503">
        <f>_26_03_2026_Log_Reseau_v15_7[[#This Row],[Durée cumulée_panne_minu]]/60</f>
        <v>7.45</v>
      </c>
      <c r="R503">
        <f>ROUND(_26_03_2026_Log_Reseau_v15_7[[#This Row],[Durée_cumulée _ panne_en heure]],0)</f>
        <v>7</v>
      </c>
      <c r="S503">
        <f>_26_03_2026_Log_Reseau_v15_7[[#This Row],[Anciennété_mois]]/12</f>
        <v>8.25</v>
      </c>
      <c r="T503">
        <f>ROUND(_26_03_2026_Log_Reseau_v15_7[[#This Row],[anciennete_ en année]],0)</f>
        <v>8</v>
      </c>
      <c r="U50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03" s="3">
        <f>ROUND(_26_03_2026_Log_Reseau_v15_7[[#This Row],[remise 10%_70%_45%]],0)</f>
        <v>0</v>
      </c>
      <c r="W503" s="3">
        <f>_26_03_2026_Log_Reseau_v15_7[[#This Row],[Facture mensuelle]]*_26_03_2026_Log_Reseau_v15_7[[#This Row],[remise 10_70_45]]</f>
        <v>0</v>
      </c>
    </row>
    <row r="504" spans="1:23" x14ac:dyDescent="0.25">
      <c r="A504" s="1">
        <v>45228</v>
      </c>
      <c r="B504" s="2">
        <v>0.79166666666666663</v>
      </c>
      <c r="C504" t="s">
        <v>1108</v>
      </c>
      <c r="D504">
        <v>63</v>
      </c>
      <c r="E504" t="s">
        <v>807</v>
      </c>
      <c r="F504" t="s">
        <v>37</v>
      </c>
      <c r="G504">
        <v>-11.144149000000001</v>
      </c>
      <c r="H504">
        <v>27.244658999999999</v>
      </c>
      <c r="I504" t="s">
        <v>1480</v>
      </c>
      <c r="J504" t="s">
        <v>1490</v>
      </c>
      <c r="K504" t="s">
        <v>36</v>
      </c>
      <c r="L504">
        <v>115</v>
      </c>
      <c r="M504" t="s">
        <v>19</v>
      </c>
      <c r="N504">
        <v>176</v>
      </c>
      <c r="O504">
        <v>33.28</v>
      </c>
      <c r="P504">
        <v>4</v>
      </c>
      <c r="Q504">
        <f>_26_03_2026_Log_Reseau_v15_7[[#This Row],[Durée cumulée_panne_minu]]/60</f>
        <v>2.9333333333333331</v>
      </c>
      <c r="R504">
        <f>ROUND(_26_03_2026_Log_Reseau_v15_7[[#This Row],[Durée_cumulée _ panne_en heure]],0)</f>
        <v>3</v>
      </c>
      <c r="S504">
        <f>_26_03_2026_Log_Reseau_v15_7[[#This Row],[Anciennété_mois]]/12</f>
        <v>9.5833333333333339</v>
      </c>
      <c r="T504">
        <f>ROUND(_26_03_2026_Log_Reseau_v15_7[[#This Row],[anciennete_ en année]],0)</f>
        <v>10</v>
      </c>
      <c r="U50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04" s="3">
        <f>ROUND(_26_03_2026_Log_Reseau_v15_7[[#This Row],[remise 10%_70%_45%]],0)</f>
        <v>0</v>
      </c>
      <c r="W504" s="3">
        <f>_26_03_2026_Log_Reseau_v15_7[[#This Row],[Facture mensuelle]]*_26_03_2026_Log_Reseau_v15_7[[#This Row],[remise 10_70_45]]</f>
        <v>0</v>
      </c>
    </row>
    <row r="505" spans="1:23" x14ac:dyDescent="0.25">
      <c r="A505" s="1">
        <v>45228</v>
      </c>
      <c r="B505" s="2">
        <v>0.57708333333333328</v>
      </c>
      <c r="C505" t="s">
        <v>1133</v>
      </c>
      <c r="D505">
        <v>80</v>
      </c>
      <c r="E505" t="s">
        <v>812</v>
      </c>
      <c r="F505" t="s">
        <v>127</v>
      </c>
      <c r="G505">
        <v>-1.8045979999999999</v>
      </c>
      <c r="H505">
        <v>12.511096999999999</v>
      </c>
      <c r="I505" t="s">
        <v>1482</v>
      </c>
      <c r="J505" t="s">
        <v>1481</v>
      </c>
      <c r="K505" t="s">
        <v>126</v>
      </c>
      <c r="L505">
        <v>40</v>
      </c>
      <c r="M505" t="s">
        <v>11</v>
      </c>
      <c r="N505">
        <v>345</v>
      </c>
      <c r="O505">
        <v>89.55</v>
      </c>
      <c r="P505">
        <v>3</v>
      </c>
      <c r="Q505">
        <f>_26_03_2026_Log_Reseau_v15_7[[#This Row],[Durée cumulée_panne_minu]]/60</f>
        <v>5.75</v>
      </c>
      <c r="R505">
        <f>ROUND(_26_03_2026_Log_Reseau_v15_7[[#This Row],[Durée_cumulée _ panne_en heure]],0)</f>
        <v>6</v>
      </c>
      <c r="S505">
        <f>_26_03_2026_Log_Reseau_v15_7[[#This Row],[Anciennété_mois]]/12</f>
        <v>3.3333333333333335</v>
      </c>
      <c r="T505">
        <f>ROUND(_26_03_2026_Log_Reseau_v15_7[[#This Row],[anciennete_ en année]],0)</f>
        <v>3</v>
      </c>
      <c r="U50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05" s="3">
        <f>ROUND(_26_03_2026_Log_Reseau_v15_7[[#This Row],[remise 10%_70%_45%]],0)</f>
        <v>0</v>
      </c>
      <c r="W505" s="3">
        <f>_26_03_2026_Log_Reseau_v15_7[[#This Row],[Facture mensuelle]]*_26_03_2026_Log_Reseau_v15_7[[#This Row],[remise 10_70_45]]</f>
        <v>0</v>
      </c>
    </row>
    <row r="506" spans="1:23" x14ac:dyDescent="0.25">
      <c r="A506" s="1">
        <v>45228</v>
      </c>
      <c r="B506" s="2">
        <v>0.51527777777777772</v>
      </c>
      <c r="C506" t="s">
        <v>1159</v>
      </c>
      <c r="D506">
        <v>105</v>
      </c>
      <c r="E506" t="s">
        <v>807</v>
      </c>
      <c r="F506" t="s">
        <v>73</v>
      </c>
      <c r="G506">
        <v>-0.919767</v>
      </c>
      <c r="H506">
        <v>18.905538</v>
      </c>
      <c r="I506" t="s">
        <v>1477</v>
      </c>
      <c r="J506" t="s">
        <v>1478</v>
      </c>
      <c r="K506" t="s">
        <v>72</v>
      </c>
      <c r="L506">
        <v>6</v>
      </c>
      <c r="M506" t="s">
        <v>11</v>
      </c>
      <c r="N506">
        <v>207</v>
      </c>
      <c r="O506">
        <v>61.55</v>
      </c>
      <c r="P506">
        <v>0</v>
      </c>
      <c r="Q506">
        <f>_26_03_2026_Log_Reseau_v15_7[[#This Row],[Durée cumulée_panne_minu]]/60</f>
        <v>3.45</v>
      </c>
      <c r="R506">
        <f>ROUND(_26_03_2026_Log_Reseau_v15_7[[#This Row],[Durée_cumulée _ panne_en heure]],0)</f>
        <v>3</v>
      </c>
      <c r="S506">
        <f>_26_03_2026_Log_Reseau_v15_7[[#This Row],[Anciennété_mois]]/12</f>
        <v>0.5</v>
      </c>
      <c r="T506">
        <f>ROUND(_26_03_2026_Log_Reseau_v15_7[[#This Row],[anciennete_ en année]],0)</f>
        <v>1</v>
      </c>
      <c r="U50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06" s="3">
        <f>ROUND(_26_03_2026_Log_Reseau_v15_7[[#This Row],[remise 10%_70%_45%]],0)</f>
        <v>0</v>
      </c>
      <c r="W506" s="3">
        <f>_26_03_2026_Log_Reseau_v15_7[[#This Row],[Facture mensuelle]]*_26_03_2026_Log_Reseau_v15_7[[#This Row],[remise 10_70_45]]</f>
        <v>0</v>
      </c>
    </row>
    <row r="507" spans="1:23" x14ac:dyDescent="0.25">
      <c r="A507" s="1">
        <v>45228</v>
      </c>
      <c r="B507" s="2">
        <v>0.73611111111111116</v>
      </c>
      <c r="C507" t="s">
        <v>1203</v>
      </c>
      <c r="D507">
        <v>66</v>
      </c>
      <c r="E507" t="s">
        <v>812</v>
      </c>
      <c r="F507" t="s">
        <v>57</v>
      </c>
      <c r="G507">
        <v>-4.4831099999999999</v>
      </c>
      <c r="H507">
        <v>25.406548000000001</v>
      </c>
      <c r="I507" t="s">
        <v>1477</v>
      </c>
      <c r="J507" t="s">
        <v>1490</v>
      </c>
      <c r="K507" t="s">
        <v>56</v>
      </c>
      <c r="L507">
        <v>97</v>
      </c>
      <c r="M507" t="s">
        <v>14</v>
      </c>
      <c r="N507">
        <v>319</v>
      </c>
      <c r="O507">
        <v>31.25</v>
      </c>
      <c r="P507">
        <v>1</v>
      </c>
      <c r="Q507">
        <f>_26_03_2026_Log_Reseau_v15_7[[#This Row],[Durée cumulée_panne_minu]]/60</f>
        <v>5.3166666666666664</v>
      </c>
      <c r="R507">
        <f>ROUND(_26_03_2026_Log_Reseau_v15_7[[#This Row],[Durée_cumulée _ panne_en heure]],0)</f>
        <v>5</v>
      </c>
      <c r="S507">
        <f>_26_03_2026_Log_Reseau_v15_7[[#This Row],[Anciennété_mois]]/12</f>
        <v>8.0833333333333339</v>
      </c>
      <c r="T507">
        <f>ROUND(_26_03_2026_Log_Reseau_v15_7[[#This Row],[anciennete_ en année]],0)</f>
        <v>8</v>
      </c>
      <c r="U50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3.125</v>
      </c>
      <c r="V507" s="3">
        <f>ROUND(_26_03_2026_Log_Reseau_v15_7[[#This Row],[remise 10%_70%_45%]],0)</f>
        <v>3</v>
      </c>
      <c r="W507" s="3">
        <f>_26_03_2026_Log_Reseau_v15_7[[#This Row],[Facture mensuelle]]*_26_03_2026_Log_Reseau_v15_7[[#This Row],[remise 10_70_45]]</f>
        <v>93.75</v>
      </c>
    </row>
    <row r="508" spans="1:23" x14ac:dyDescent="0.25">
      <c r="A508" s="1">
        <v>45228</v>
      </c>
      <c r="B508" s="2">
        <v>0.88055555555555554</v>
      </c>
      <c r="C508" t="s">
        <v>1337</v>
      </c>
      <c r="D508">
        <v>112</v>
      </c>
      <c r="E508" t="s">
        <v>812</v>
      </c>
      <c r="F508" t="s">
        <v>10</v>
      </c>
      <c r="G508">
        <v>-4.1250960000000001</v>
      </c>
      <c r="H508">
        <v>27.799897999999999</v>
      </c>
      <c r="I508" t="s">
        <v>1482</v>
      </c>
      <c r="J508" t="s">
        <v>1490</v>
      </c>
      <c r="K508" t="s">
        <v>9</v>
      </c>
      <c r="L508">
        <v>29</v>
      </c>
      <c r="M508" t="s">
        <v>11</v>
      </c>
      <c r="N508">
        <v>214</v>
      </c>
      <c r="O508">
        <v>74.7</v>
      </c>
      <c r="P508">
        <v>3</v>
      </c>
      <c r="Q508">
        <f>_26_03_2026_Log_Reseau_v15_7[[#This Row],[Durée cumulée_panne_minu]]/60</f>
        <v>3.5666666666666669</v>
      </c>
      <c r="R508">
        <f>ROUND(_26_03_2026_Log_Reseau_v15_7[[#This Row],[Durée_cumulée _ panne_en heure]],0)</f>
        <v>4</v>
      </c>
      <c r="S508">
        <f>_26_03_2026_Log_Reseau_v15_7[[#This Row],[Anciennété_mois]]/12</f>
        <v>2.4166666666666665</v>
      </c>
      <c r="T508">
        <f>ROUND(_26_03_2026_Log_Reseau_v15_7[[#This Row],[anciennete_ en année]],0)</f>
        <v>2</v>
      </c>
      <c r="U50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08" s="3">
        <f>ROUND(_26_03_2026_Log_Reseau_v15_7[[#This Row],[remise 10%_70%_45%]],0)</f>
        <v>0</v>
      </c>
      <c r="W508" s="3">
        <f>_26_03_2026_Log_Reseau_v15_7[[#This Row],[Facture mensuelle]]*_26_03_2026_Log_Reseau_v15_7[[#This Row],[remise 10_70_45]]</f>
        <v>0</v>
      </c>
    </row>
    <row r="509" spans="1:23" x14ac:dyDescent="0.25">
      <c r="A509" s="1">
        <v>45228</v>
      </c>
      <c r="B509" s="2">
        <v>0.56319444444444444</v>
      </c>
      <c r="C509" t="s">
        <v>1359</v>
      </c>
      <c r="D509">
        <v>44</v>
      </c>
      <c r="E509" t="s">
        <v>807</v>
      </c>
      <c r="F509" t="s">
        <v>73</v>
      </c>
      <c r="G509">
        <v>-11.265995</v>
      </c>
      <c r="H509">
        <v>28.935514999999999</v>
      </c>
      <c r="I509" t="s">
        <v>1480</v>
      </c>
      <c r="J509" t="s">
        <v>1478</v>
      </c>
      <c r="K509" t="s">
        <v>72</v>
      </c>
      <c r="L509">
        <v>6</v>
      </c>
      <c r="M509" t="s">
        <v>11</v>
      </c>
      <c r="N509">
        <v>207</v>
      </c>
      <c r="O509">
        <v>61.55</v>
      </c>
      <c r="P509">
        <v>0</v>
      </c>
      <c r="Q509">
        <f>_26_03_2026_Log_Reseau_v15_7[[#This Row],[Durée cumulée_panne_minu]]/60</f>
        <v>3.45</v>
      </c>
      <c r="R509">
        <f>ROUND(_26_03_2026_Log_Reseau_v15_7[[#This Row],[Durée_cumulée _ panne_en heure]],0)</f>
        <v>3</v>
      </c>
      <c r="S509">
        <f>_26_03_2026_Log_Reseau_v15_7[[#This Row],[Anciennété_mois]]/12</f>
        <v>0.5</v>
      </c>
      <c r="T509">
        <f>ROUND(_26_03_2026_Log_Reseau_v15_7[[#This Row],[anciennete_ en année]],0)</f>
        <v>1</v>
      </c>
      <c r="U50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09" s="3">
        <f>ROUND(_26_03_2026_Log_Reseau_v15_7[[#This Row],[remise 10%_70%_45%]],0)</f>
        <v>0</v>
      </c>
      <c r="W509" s="3">
        <f>_26_03_2026_Log_Reseau_v15_7[[#This Row],[Facture mensuelle]]*_26_03_2026_Log_Reseau_v15_7[[#This Row],[remise 10_70_45]]</f>
        <v>0</v>
      </c>
    </row>
    <row r="510" spans="1:23" x14ac:dyDescent="0.25">
      <c r="A510" s="1">
        <v>45228</v>
      </c>
      <c r="B510" s="2">
        <v>0.74791666666666667</v>
      </c>
      <c r="C510" t="s">
        <v>1381</v>
      </c>
      <c r="D510">
        <v>27</v>
      </c>
      <c r="E510" t="s">
        <v>807</v>
      </c>
      <c r="F510" t="s">
        <v>137</v>
      </c>
      <c r="G510">
        <v>-8.0301989999999996</v>
      </c>
      <c r="H510">
        <v>24.122495000000001</v>
      </c>
      <c r="I510" t="s">
        <v>1477</v>
      </c>
      <c r="J510" t="s">
        <v>1483</v>
      </c>
      <c r="K510" t="s">
        <v>136</v>
      </c>
      <c r="L510">
        <v>80</v>
      </c>
      <c r="M510" t="s">
        <v>22</v>
      </c>
      <c r="N510">
        <v>155</v>
      </c>
      <c r="O510">
        <v>28.96</v>
      </c>
      <c r="P510">
        <v>2</v>
      </c>
      <c r="Q510">
        <f>_26_03_2026_Log_Reseau_v15_7[[#This Row],[Durée cumulée_panne_minu]]/60</f>
        <v>2.5833333333333335</v>
      </c>
      <c r="R510">
        <f>ROUND(_26_03_2026_Log_Reseau_v15_7[[#This Row],[Durée_cumulée _ panne_en heure]],0)</f>
        <v>3</v>
      </c>
      <c r="S510">
        <f>_26_03_2026_Log_Reseau_v15_7[[#This Row],[Anciennété_mois]]/12</f>
        <v>6.666666666666667</v>
      </c>
      <c r="T510">
        <f>ROUND(_26_03_2026_Log_Reseau_v15_7[[#This Row],[anciennete_ en année]],0)</f>
        <v>7</v>
      </c>
      <c r="U51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10" s="3">
        <f>ROUND(_26_03_2026_Log_Reseau_v15_7[[#This Row],[remise 10%_70%_45%]],0)</f>
        <v>0</v>
      </c>
      <c r="W510" s="3">
        <f>_26_03_2026_Log_Reseau_v15_7[[#This Row],[Facture mensuelle]]*_26_03_2026_Log_Reseau_v15_7[[#This Row],[remise 10_70_45]]</f>
        <v>0</v>
      </c>
    </row>
    <row r="511" spans="1:23" x14ac:dyDescent="0.25">
      <c r="A511" s="1">
        <v>45228</v>
      </c>
      <c r="B511" s="2">
        <v>0.85347222222222219</v>
      </c>
      <c r="C511" t="s">
        <v>1400</v>
      </c>
      <c r="D511">
        <v>42</v>
      </c>
      <c r="E511" t="s">
        <v>807</v>
      </c>
      <c r="F511" t="s">
        <v>37</v>
      </c>
      <c r="G511">
        <v>-10.776204</v>
      </c>
      <c r="H511">
        <v>24.672934000000001</v>
      </c>
      <c r="I511" t="s">
        <v>1480</v>
      </c>
      <c r="J511" t="s">
        <v>1478</v>
      </c>
      <c r="K511" t="s">
        <v>36</v>
      </c>
      <c r="L511">
        <v>115</v>
      </c>
      <c r="M511" t="s">
        <v>19</v>
      </c>
      <c r="N511">
        <v>176</v>
      </c>
      <c r="O511">
        <v>33.28</v>
      </c>
      <c r="P511">
        <v>4</v>
      </c>
      <c r="Q511">
        <f>_26_03_2026_Log_Reseau_v15_7[[#This Row],[Durée cumulée_panne_minu]]/60</f>
        <v>2.9333333333333331</v>
      </c>
      <c r="R511">
        <f>ROUND(_26_03_2026_Log_Reseau_v15_7[[#This Row],[Durée_cumulée _ panne_en heure]],0)</f>
        <v>3</v>
      </c>
      <c r="S511">
        <f>_26_03_2026_Log_Reseau_v15_7[[#This Row],[Anciennété_mois]]/12</f>
        <v>9.5833333333333339</v>
      </c>
      <c r="T511">
        <f>ROUND(_26_03_2026_Log_Reseau_v15_7[[#This Row],[anciennete_ en année]],0)</f>
        <v>10</v>
      </c>
      <c r="U51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11" s="3">
        <f>ROUND(_26_03_2026_Log_Reseau_v15_7[[#This Row],[remise 10%_70%_45%]],0)</f>
        <v>0</v>
      </c>
      <c r="W511" s="3">
        <f>_26_03_2026_Log_Reseau_v15_7[[#This Row],[Facture mensuelle]]*_26_03_2026_Log_Reseau_v15_7[[#This Row],[remise 10_70_45]]</f>
        <v>0</v>
      </c>
    </row>
    <row r="512" spans="1:23" x14ac:dyDescent="0.25">
      <c r="A512" s="1">
        <v>45228</v>
      </c>
      <c r="B512" s="2">
        <v>0.65138888888888891</v>
      </c>
      <c r="C512" t="s">
        <v>1470</v>
      </c>
      <c r="D512">
        <v>119</v>
      </c>
      <c r="E512" t="s">
        <v>807</v>
      </c>
      <c r="F512" t="s">
        <v>21</v>
      </c>
      <c r="G512">
        <v>2.453036</v>
      </c>
      <c r="H512">
        <v>20.555484</v>
      </c>
      <c r="I512" t="s">
        <v>1477</v>
      </c>
      <c r="J512" t="s">
        <v>1478</v>
      </c>
      <c r="K512" t="s">
        <v>20</v>
      </c>
      <c r="L512">
        <v>101</v>
      </c>
      <c r="M512" t="s">
        <v>22</v>
      </c>
      <c r="N512">
        <v>358</v>
      </c>
      <c r="O512">
        <v>29.24</v>
      </c>
      <c r="P512">
        <v>3</v>
      </c>
      <c r="Q512">
        <f>_26_03_2026_Log_Reseau_v15_7[[#This Row],[Durée cumulée_panne_minu]]/60</f>
        <v>5.9666666666666668</v>
      </c>
      <c r="R512">
        <f>ROUND(_26_03_2026_Log_Reseau_v15_7[[#This Row],[Durée_cumulée _ panne_en heure]],0)</f>
        <v>6</v>
      </c>
      <c r="S512">
        <f>_26_03_2026_Log_Reseau_v15_7[[#This Row],[Anciennété_mois]]/12</f>
        <v>8.4166666666666661</v>
      </c>
      <c r="T512">
        <f>ROUND(_26_03_2026_Log_Reseau_v15_7[[#This Row],[anciennete_ en année]],0)</f>
        <v>8</v>
      </c>
      <c r="U51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12" s="3">
        <f>ROUND(_26_03_2026_Log_Reseau_v15_7[[#This Row],[remise 10%_70%_45%]],0)</f>
        <v>0</v>
      </c>
      <c r="W512" s="3">
        <f>_26_03_2026_Log_Reseau_v15_7[[#This Row],[Facture mensuelle]]*_26_03_2026_Log_Reseau_v15_7[[#This Row],[remise 10_70_45]]</f>
        <v>0</v>
      </c>
    </row>
    <row r="513" spans="1:23" x14ac:dyDescent="0.25">
      <c r="A513" s="1">
        <v>45229</v>
      </c>
      <c r="B513" s="2">
        <v>0.59583333333333333</v>
      </c>
      <c r="C513" t="s">
        <v>925</v>
      </c>
      <c r="D513">
        <v>88</v>
      </c>
      <c r="E513" t="s">
        <v>812</v>
      </c>
      <c r="F513" t="s">
        <v>31</v>
      </c>
      <c r="G513">
        <v>-10.56448</v>
      </c>
      <c r="H513">
        <v>19.792876</v>
      </c>
      <c r="I513" t="s">
        <v>1477</v>
      </c>
      <c r="J513" t="s">
        <v>1478</v>
      </c>
      <c r="K513" t="s">
        <v>30</v>
      </c>
      <c r="L513">
        <v>113</v>
      </c>
      <c r="M513" t="s">
        <v>22</v>
      </c>
      <c r="N513">
        <v>380</v>
      </c>
      <c r="O513">
        <v>12.11</v>
      </c>
      <c r="P513">
        <v>0</v>
      </c>
      <c r="Q513">
        <f>_26_03_2026_Log_Reseau_v15_7[[#This Row],[Durée cumulée_panne_minu]]/60</f>
        <v>6.333333333333333</v>
      </c>
      <c r="R513">
        <f>ROUND(_26_03_2026_Log_Reseau_v15_7[[#This Row],[Durée_cumulée _ panne_en heure]],0)</f>
        <v>6</v>
      </c>
      <c r="S513">
        <f>_26_03_2026_Log_Reseau_v15_7[[#This Row],[Anciennété_mois]]/12</f>
        <v>9.4166666666666661</v>
      </c>
      <c r="T513">
        <f>ROUND(_26_03_2026_Log_Reseau_v15_7[[#This Row],[anciennete_ en année]],0)</f>
        <v>9</v>
      </c>
      <c r="U51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13" s="3">
        <f>ROUND(_26_03_2026_Log_Reseau_v15_7[[#This Row],[remise 10%_70%_45%]],0)</f>
        <v>0</v>
      </c>
      <c r="W513" s="3">
        <f>_26_03_2026_Log_Reseau_v15_7[[#This Row],[Facture mensuelle]]*_26_03_2026_Log_Reseau_v15_7[[#This Row],[remise 10_70_45]]</f>
        <v>0</v>
      </c>
    </row>
    <row r="514" spans="1:23" x14ac:dyDescent="0.25">
      <c r="A514" s="1">
        <v>45229</v>
      </c>
      <c r="B514" s="2">
        <v>0.39166666666666666</v>
      </c>
      <c r="C514" t="s">
        <v>1143</v>
      </c>
      <c r="D514">
        <v>28</v>
      </c>
      <c r="E514" t="s">
        <v>812</v>
      </c>
      <c r="F514" t="s">
        <v>137</v>
      </c>
      <c r="G514">
        <v>-10.967288</v>
      </c>
      <c r="H514">
        <v>17.617781000000001</v>
      </c>
      <c r="I514" t="s">
        <v>1480</v>
      </c>
      <c r="J514" t="s">
        <v>1478</v>
      </c>
      <c r="K514" t="s">
        <v>136</v>
      </c>
      <c r="L514">
        <v>80</v>
      </c>
      <c r="M514" t="s">
        <v>22</v>
      </c>
      <c r="N514">
        <v>155</v>
      </c>
      <c r="O514">
        <v>28.96</v>
      </c>
      <c r="P514">
        <v>2</v>
      </c>
      <c r="Q514">
        <f>_26_03_2026_Log_Reseau_v15_7[[#This Row],[Durée cumulée_panne_minu]]/60</f>
        <v>2.5833333333333335</v>
      </c>
      <c r="R514">
        <f>ROUND(_26_03_2026_Log_Reseau_v15_7[[#This Row],[Durée_cumulée _ panne_en heure]],0)</f>
        <v>3</v>
      </c>
      <c r="S514">
        <f>_26_03_2026_Log_Reseau_v15_7[[#This Row],[Anciennété_mois]]/12</f>
        <v>6.666666666666667</v>
      </c>
      <c r="T514">
        <f>ROUND(_26_03_2026_Log_Reseau_v15_7[[#This Row],[anciennete_ en année]],0)</f>
        <v>7</v>
      </c>
      <c r="U51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14" s="3">
        <f>ROUND(_26_03_2026_Log_Reseau_v15_7[[#This Row],[remise 10%_70%_45%]],0)</f>
        <v>0</v>
      </c>
      <c r="W514" s="3">
        <f>_26_03_2026_Log_Reseau_v15_7[[#This Row],[Facture mensuelle]]*_26_03_2026_Log_Reseau_v15_7[[#This Row],[remise 10_70_45]]</f>
        <v>0</v>
      </c>
    </row>
    <row r="515" spans="1:23" x14ac:dyDescent="0.25">
      <c r="A515" s="1">
        <v>45229</v>
      </c>
      <c r="B515" s="2">
        <v>0.97222222222222221</v>
      </c>
      <c r="C515" t="s">
        <v>1213</v>
      </c>
      <c r="D515">
        <v>5</v>
      </c>
      <c r="E515" t="s">
        <v>812</v>
      </c>
      <c r="F515" t="s">
        <v>89</v>
      </c>
      <c r="G515">
        <v>-8.4985189999999999</v>
      </c>
      <c r="H515">
        <v>12.929456999999999</v>
      </c>
      <c r="I515" t="s">
        <v>1480</v>
      </c>
      <c r="J515" t="s">
        <v>1478</v>
      </c>
      <c r="K515" t="s">
        <v>88</v>
      </c>
      <c r="L515">
        <v>98</v>
      </c>
      <c r="M515" t="s">
        <v>14</v>
      </c>
      <c r="N515">
        <v>482</v>
      </c>
      <c r="O515">
        <v>55.04</v>
      </c>
      <c r="P515">
        <v>5</v>
      </c>
      <c r="Q515">
        <f>_26_03_2026_Log_Reseau_v15_7[[#This Row],[Durée cumulée_panne_minu]]/60</f>
        <v>8.0333333333333332</v>
      </c>
      <c r="R515">
        <f>ROUND(_26_03_2026_Log_Reseau_v15_7[[#This Row],[Durée_cumulée _ panne_en heure]],0)</f>
        <v>8</v>
      </c>
      <c r="S515">
        <f>_26_03_2026_Log_Reseau_v15_7[[#This Row],[Anciennété_mois]]/12</f>
        <v>8.1666666666666661</v>
      </c>
      <c r="T515">
        <f>ROUND(_26_03_2026_Log_Reseau_v15_7[[#This Row],[anciennete_ en année]],0)</f>
        <v>8</v>
      </c>
      <c r="U51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515" s="3">
        <f>ROUND(_26_03_2026_Log_Reseau_v15_7[[#This Row],[remise 10%_70%_45%]],0)</f>
        <v>6</v>
      </c>
      <c r="W515" s="3">
        <f>_26_03_2026_Log_Reseau_v15_7[[#This Row],[Facture mensuelle]]*_26_03_2026_Log_Reseau_v15_7[[#This Row],[remise 10_70_45]]</f>
        <v>330.24</v>
      </c>
    </row>
    <row r="516" spans="1:23" x14ac:dyDescent="0.25">
      <c r="A516" s="1">
        <v>45229</v>
      </c>
      <c r="B516" s="2">
        <v>6.5972222222222224E-2</v>
      </c>
      <c r="C516" t="s">
        <v>1243</v>
      </c>
      <c r="D516">
        <v>93</v>
      </c>
      <c r="E516" t="s">
        <v>807</v>
      </c>
      <c r="F516" t="s">
        <v>131</v>
      </c>
      <c r="G516">
        <v>0.82868600000000003</v>
      </c>
      <c r="H516">
        <v>26.958843999999999</v>
      </c>
      <c r="I516" t="s">
        <v>1477</v>
      </c>
      <c r="J516" t="s">
        <v>1483</v>
      </c>
      <c r="K516" t="s">
        <v>130</v>
      </c>
      <c r="L516">
        <v>16</v>
      </c>
      <c r="M516" t="s">
        <v>19</v>
      </c>
      <c r="N516">
        <v>390</v>
      </c>
      <c r="O516">
        <v>98.17</v>
      </c>
      <c r="P516">
        <v>5</v>
      </c>
      <c r="Q516">
        <f>_26_03_2026_Log_Reseau_v15_7[[#This Row],[Durée cumulée_panne_minu]]/60</f>
        <v>6.5</v>
      </c>
      <c r="R516">
        <f>ROUND(_26_03_2026_Log_Reseau_v15_7[[#This Row],[Durée_cumulée _ panne_en heure]],0)</f>
        <v>7</v>
      </c>
      <c r="S516">
        <f>_26_03_2026_Log_Reseau_v15_7[[#This Row],[Anciennété_mois]]/12</f>
        <v>1.3333333333333333</v>
      </c>
      <c r="T516">
        <f>ROUND(_26_03_2026_Log_Reseau_v15_7[[#This Row],[anciennete_ en année]],0)</f>
        <v>1</v>
      </c>
      <c r="U51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16" s="3">
        <f>ROUND(_26_03_2026_Log_Reseau_v15_7[[#This Row],[remise 10%_70%_45%]],0)</f>
        <v>0</v>
      </c>
      <c r="W516" s="3">
        <f>_26_03_2026_Log_Reseau_v15_7[[#This Row],[Facture mensuelle]]*_26_03_2026_Log_Reseau_v15_7[[#This Row],[remise 10_70_45]]</f>
        <v>0</v>
      </c>
    </row>
    <row r="517" spans="1:23" x14ac:dyDescent="0.25">
      <c r="A517" s="1">
        <v>45229</v>
      </c>
      <c r="B517" s="2">
        <v>0.72291666666666665</v>
      </c>
      <c r="C517" t="s">
        <v>1249</v>
      </c>
      <c r="D517">
        <v>76</v>
      </c>
      <c r="E517" t="s">
        <v>808</v>
      </c>
      <c r="F517" t="s">
        <v>89</v>
      </c>
      <c r="G517">
        <v>-1.342476</v>
      </c>
      <c r="H517">
        <v>15.986086</v>
      </c>
      <c r="I517" t="s">
        <v>1480</v>
      </c>
      <c r="J517" t="s">
        <v>1478</v>
      </c>
      <c r="K517" t="s">
        <v>88</v>
      </c>
      <c r="L517">
        <v>98</v>
      </c>
      <c r="M517" t="s">
        <v>14</v>
      </c>
      <c r="N517">
        <v>482</v>
      </c>
      <c r="O517">
        <v>55.04</v>
      </c>
      <c r="P517">
        <v>5</v>
      </c>
      <c r="Q517">
        <f>_26_03_2026_Log_Reseau_v15_7[[#This Row],[Durée cumulée_panne_minu]]/60</f>
        <v>8.0333333333333332</v>
      </c>
      <c r="R517">
        <f>ROUND(_26_03_2026_Log_Reseau_v15_7[[#This Row],[Durée_cumulée _ panne_en heure]],0)</f>
        <v>8</v>
      </c>
      <c r="S517">
        <f>_26_03_2026_Log_Reseau_v15_7[[#This Row],[Anciennété_mois]]/12</f>
        <v>8.1666666666666661</v>
      </c>
      <c r="T517">
        <f>ROUND(_26_03_2026_Log_Reseau_v15_7[[#This Row],[anciennete_ en année]],0)</f>
        <v>8</v>
      </c>
      <c r="U51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517" s="3">
        <f>ROUND(_26_03_2026_Log_Reseau_v15_7[[#This Row],[remise 10%_70%_45%]],0)</f>
        <v>6</v>
      </c>
      <c r="W517" s="3">
        <f>_26_03_2026_Log_Reseau_v15_7[[#This Row],[Facture mensuelle]]*_26_03_2026_Log_Reseau_v15_7[[#This Row],[remise 10_70_45]]</f>
        <v>330.24</v>
      </c>
    </row>
    <row r="518" spans="1:23" x14ac:dyDescent="0.25">
      <c r="A518" s="1">
        <v>45229</v>
      </c>
      <c r="B518" s="2">
        <v>0.63124999999999998</v>
      </c>
      <c r="C518" t="s">
        <v>1264</v>
      </c>
      <c r="D518">
        <v>81</v>
      </c>
      <c r="E518" t="s">
        <v>807</v>
      </c>
      <c r="F518" t="s">
        <v>13</v>
      </c>
      <c r="G518">
        <v>-10.574821</v>
      </c>
      <c r="H518">
        <v>25.324966</v>
      </c>
      <c r="I518" t="s">
        <v>1477</v>
      </c>
      <c r="J518" t="s">
        <v>1478</v>
      </c>
      <c r="K518" t="s">
        <v>12</v>
      </c>
      <c r="L518">
        <v>63</v>
      </c>
      <c r="M518" t="s">
        <v>14</v>
      </c>
      <c r="N518">
        <v>205</v>
      </c>
      <c r="O518">
        <v>89.19</v>
      </c>
      <c r="P518">
        <v>0</v>
      </c>
      <c r="Q518">
        <f>_26_03_2026_Log_Reseau_v15_7[[#This Row],[Durée cumulée_panne_minu]]/60</f>
        <v>3.4166666666666665</v>
      </c>
      <c r="R518">
        <f>ROUND(_26_03_2026_Log_Reseau_v15_7[[#This Row],[Durée_cumulée _ panne_en heure]],0)</f>
        <v>3</v>
      </c>
      <c r="S518">
        <f>_26_03_2026_Log_Reseau_v15_7[[#This Row],[Anciennété_mois]]/12</f>
        <v>5.25</v>
      </c>
      <c r="T518">
        <f>ROUND(_26_03_2026_Log_Reseau_v15_7[[#This Row],[anciennete_ en année]],0)</f>
        <v>5</v>
      </c>
      <c r="U51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518" s="3">
        <f>ROUND(_26_03_2026_Log_Reseau_v15_7[[#This Row],[remise 10%_70%_45%]],0)</f>
        <v>9</v>
      </c>
      <c r="W518" s="3">
        <f>_26_03_2026_Log_Reseau_v15_7[[#This Row],[Facture mensuelle]]*_26_03_2026_Log_Reseau_v15_7[[#This Row],[remise 10_70_45]]</f>
        <v>802.71</v>
      </c>
    </row>
    <row r="519" spans="1:23" x14ac:dyDescent="0.25">
      <c r="A519" s="1">
        <v>45229</v>
      </c>
      <c r="B519" s="2">
        <v>0.62083333333333335</v>
      </c>
      <c r="C519" t="s">
        <v>1268</v>
      </c>
      <c r="D519">
        <v>74</v>
      </c>
      <c r="E519" t="s">
        <v>812</v>
      </c>
      <c r="F519" t="s">
        <v>127</v>
      </c>
      <c r="G519">
        <v>-12.488033</v>
      </c>
      <c r="H519">
        <v>16.139648000000001</v>
      </c>
      <c r="I519" t="s">
        <v>1480</v>
      </c>
      <c r="J519" t="s">
        <v>1481</v>
      </c>
      <c r="K519" t="s">
        <v>126</v>
      </c>
      <c r="L519">
        <v>40</v>
      </c>
      <c r="M519" t="s">
        <v>11</v>
      </c>
      <c r="N519">
        <v>345</v>
      </c>
      <c r="O519">
        <v>89.55</v>
      </c>
      <c r="P519">
        <v>3</v>
      </c>
      <c r="Q519">
        <f>_26_03_2026_Log_Reseau_v15_7[[#This Row],[Durée cumulée_panne_minu]]/60</f>
        <v>5.75</v>
      </c>
      <c r="R519">
        <f>ROUND(_26_03_2026_Log_Reseau_v15_7[[#This Row],[Durée_cumulée _ panne_en heure]],0)</f>
        <v>6</v>
      </c>
      <c r="S519">
        <f>_26_03_2026_Log_Reseau_v15_7[[#This Row],[Anciennété_mois]]/12</f>
        <v>3.3333333333333335</v>
      </c>
      <c r="T519">
        <f>ROUND(_26_03_2026_Log_Reseau_v15_7[[#This Row],[anciennete_ en année]],0)</f>
        <v>3</v>
      </c>
      <c r="U51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19" s="3">
        <f>ROUND(_26_03_2026_Log_Reseau_v15_7[[#This Row],[remise 10%_70%_45%]],0)</f>
        <v>0</v>
      </c>
      <c r="W519" s="3">
        <f>_26_03_2026_Log_Reseau_v15_7[[#This Row],[Facture mensuelle]]*_26_03_2026_Log_Reseau_v15_7[[#This Row],[remise 10_70_45]]</f>
        <v>0</v>
      </c>
    </row>
    <row r="520" spans="1:23" x14ac:dyDescent="0.25">
      <c r="A520" s="1">
        <v>45229</v>
      </c>
      <c r="B520" s="2">
        <v>0.73819444444444449</v>
      </c>
      <c r="C520" t="s">
        <v>1408</v>
      </c>
      <c r="D520">
        <v>36</v>
      </c>
      <c r="E520" t="s">
        <v>808</v>
      </c>
      <c r="F520" t="s">
        <v>67</v>
      </c>
      <c r="G520">
        <v>-11.218453999999999</v>
      </c>
      <c r="H520">
        <v>28.230025000000001</v>
      </c>
      <c r="I520" t="s">
        <v>1477</v>
      </c>
      <c r="J520" t="s">
        <v>1483</v>
      </c>
      <c r="K520" t="s">
        <v>66</v>
      </c>
      <c r="L520">
        <v>101</v>
      </c>
      <c r="M520" t="s">
        <v>14</v>
      </c>
      <c r="N520">
        <v>176</v>
      </c>
      <c r="O520">
        <v>86</v>
      </c>
      <c r="P520">
        <v>3</v>
      </c>
      <c r="Q520">
        <f>_26_03_2026_Log_Reseau_v15_7[[#This Row],[Durée cumulée_panne_minu]]/60</f>
        <v>2.9333333333333331</v>
      </c>
      <c r="R520">
        <f>ROUND(_26_03_2026_Log_Reseau_v15_7[[#This Row],[Durée_cumulée _ panne_en heure]],0)</f>
        <v>3</v>
      </c>
      <c r="S520">
        <f>_26_03_2026_Log_Reseau_v15_7[[#This Row],[Anciennété_mois]]/12</f>
        <v>8.4166666666666661</v>
      </c>
      <c r="T520">
        <f>ROUND(_26_03_2026_Log_Reseau_v15_7[[#This Row],[anciennete_ en année]],0)</f>
        <v>8</v>
      </c>
      <c r="U52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520" s="3">
        <f>ROUND(_26_03_2026_Log_Reseau_v15_7[[#This Row],[remise 10%_70%_45%]],0)</f>
        <v>9</v>
      </c>
      <c r="W520" s="3">
        <f>_26_03_2026_Log_Reseau_v15_7[[#This Row],[Facture mensuelle]]*_26_03_2026_Log_Reseau_v15_7[[#This Row],[remise 10_70_45]]</f>
        <v>774</v>
      </c>
    </row>
    <row r="521" spans="1:23" x14ac:dyDescent="0.25">
      <c r="A521" s="1">
        <v>45229</v>
      </c>
      <c r="B521" s="2">
        <v>0.44374999999999998</v>
      </c>
      <c r="C521" t="s">
        <v>1420</v>
      </c>
      <c r="D521">
        <v>5</v>
      </c>
      <c r="E521" t="s">
        <v>807</v>
      </c>
      <c r="F521" t="s">
        <v>33</v>
      </c>
      <c r="G521">
        <v>-6.6803710000000001</v>
      </c>
      <c r="H521">
        <v>21.955673000000001</v>
      </c>
      <c r="I521" t="s">
        <v>1480</v>
      </c>
      <c r="J521" t="s">
        <v>1490</v>
      </c>
      <c r="K521" t="s">
        <v>32</v>
      </c>
      <c r="L521">
        <v>72</v>
      </c>
      <c r="M521" t="s">
        <v>14</v>
      </c>
      <c r="N521">
        <v>160</v>
      </c>
      <c r="O521">
        <v>90.13</v>
      </c>
      <c r="P521">
        <v>2</v>
      </c>
      <c r="Q521">
        <f>_26_03_2026_Log_Reseau_v15_7[[#This Row],[Durée cumulée_panne_minu]]/60</f>
        <v>2.6666666666666665</v>
      </c>
      <c r="R521">
        <f>ROUND(_26_03_2026_Log_Reseau_v15_7[[#This Row],[Durée_cumulée _ panne_en heure]],0)</f>
        <v>3</v>
      </c>
      <c r="S521">
        <f>_26_03_2026_Log_Reseau_v15_7[[#This Row],[Anciennété_mois]]/12</f>
        <v>6</v>
      </c>
      <c r="T521">
        <f>ROUND(_26_03_2026_Log_Reseau_v15_7[[#This Row],[anciennete_ en année]],0)</f>
        <v>6</v>
      </c>
      <c r="U52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9.0129999999999999</v>
      </c>
      <c r="V521" s="3">
        <f>ROUND(_26_03_2026_Log_Reseau_v15_7[[#This Row],[remise 10%_70%_45%]],0)</f>
        <v>9</v>
      </c>
      <c r="W521" s="3">
        <f>_26_03_2026_Log_Reseau_v15_7[[#This Row],[Facture mensuelle]]*_26_03_2026_Log_Reseau_v15_7[[#This Row],[remise 10_70_45]]</f>
        <v>811.17</v>
      </c>
    </row>
    <row r="522" spans="1:23" x14ac:dyDescent="0.25">
      <c r="A522" s="1">
        <v>45229</v>
      </c>
      <c r="B522" s="2">
        <v>0.67013888888888884</v>
      </c>
      <c r="C522" t="s">
        <v>1434</v>
      </c>
      <c r="D522">
        <v>41</v>
      </c>
      <c r="E522" t="s">
        <v>812</v>
      </c>
      <c r="F522" t="s">
        <v>18</v>
      </c>
      <c r="G522">
        <v>-7.1785899999999998</v>
      </c>
      <c r="H522">
        <v>24.4404</v>
      </c>
      <c r="I522" t="s">
        <v>1480</v>
      </c>
      <c r="J522" t="s">
        <v>1490</v>
      </c>
      <c r="K522" t="s">
        <v>17</v>
      </c>
      <c r="L522">
        <v>44</v>
      </c>
      <c r="M522" t="s">
        <v>19</v>
      </c>
      <c r="N522">
        <v>348</v>
      </c>
      <c r="O522">
        <v>58.67</v>
      </c>
      <c r="P522">
        <v>0</v>
      </c>
      <c r="Q522">
        <f>_26_03_2026_Log_Reseau_v15_7[[#This Row],[Durée cumulée_panne_minu]]/60</f>
        <v>5.8</v>
      </c>
      <c r="R522">
        <f>ROUND(_26_03_2026_Log_Reseau_v15_7[[#This Row],[Durée_cumulée _ panne_en heure]],0)</f>
        <v>6</v>
      </c>
      <c r="S522">
        <f>_26_03_2026_Log_Reseau_v15_7[[#This Row],[Anciennété_mois]]/12</f>
        <v>3.6666666666666665</v>
      </c>
      <c r="T522">
        <f>ROUND(_26_03_2026_Log_Reseau_v15_7[[#This Row],[anciennete_ en année]],0)</f>
        <v>4</v>
      </c>
      <c r="U52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22" s="3">
        <f>ROUND(_26_03_2026_Log_Reseau_v15_7[[#This Row],[remise 10%_70%_45%]],0)</f>
        <v>0</v>
      </c>
      <c r="W522" s="3">
        <f>_26_03_2026_Log_Reseau_v15_7[[#This Row],[Facture mensuelle]]*_26_03_2026_Log_Reseau_v15_7[[#This Row],[remise 10_70_45]]</f>
        <v>0</v>
      </c>
    </row>
    <row r="523" spans="1:23" x14ac:dyDescent="0.25">
      <c r="A523" s="1">
        <v>45230</v>
      </c>
      <c r="B523" s="2">
        <v>0.86805555555555558</v>
      </c>
      <c r="C523" t="s">
        <v>811</v>
      </c>
      <c r="D523">
        <v>103</v>
      </c>
      <c r="E523" t="s">
        <v>812</v>
      </c>
      <c r="F523" t="s">
        <v>26</v>
      </c>
      <c r="G523">
        <v>-2.8532869999999999</v>
      </c>
      <c r="H523">
        <v>22.117896000000002</v>
      </c>
      <c r="I523" t="s">
        <v>1477</v>
      </c>
      <c r="J523" t="s">
        <v>1481</v>
      </c>
      <c r="K523" t="s">
        <v>25</v>
      </c>
      <c r="L523">
        <v>99</v>
      </c>
      <c r="M523" t="s">
        <v>11</v>
      </c>
      <c r="N523">
        <v>447</v>
      </c>
      <c r="O523">
        <v>38.1</v>
      </c>
      <c r="P523">
        <v>3</v>
      </c>
      <c r="Q523">
        <f>_26_03_2026_Log_Reseau_v15_7[[#This Row],[Durée cumulée_panne_minu]]/60</f>
        <v>7.45</v>
      </c>
      <c r="R523">
        <f>ROUND(_26_03_2026_Log_Reseau_v15_7[[#This Row],[Durée_cumulée _ panne_en heure]],0)</f>
        <v>7</v>
      </c>
      <c r="S523">
        <f>_26_03_2026_Log_Reseau_v15_7[[#This Row],[Anciennété_mois]]/12</f>
        <v>8.25</v>
      </c>
      <c r="T523">
        <f>ROUND(_26_03_2026_Log_Reseau_v15_7[[#This Row],[anciennete_ en année]],0)</f>
        <v>8</v>
      </c>
      <c r="U52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23" s="3">
        <f>ROUND(_26_03_2026_Log_Reseau_v15_7[[#This Row],[remise 10%_70%_45%]],0)</f>
        <v>0</v>
      </c>
      <c r="W523" s="3">
        <f>_26_03_2026_Log_Reseau_v15_7[[#This Row],[Facture mensuelle]]*_26_03_2026_Log_Reseau_v15_7[[#This Row],[remise 10_70_45]]</f>
        <v>0</v>
      </c>
    </row>
    <row r="524" spans="1:23" x14ac:dyDescent="0.25">
      <c r="A524" s="1">
        <v>45230</v>
      </c>
      <c r="B524" s="2">
        <v>0.42916666666666664</v>
      </c>
      <c r="C524" t="s">
        <v>811</v>
      </c>
      <c r="D524">
        <v>11</v>
      </c>
      <c r="E524" t="s">
        <v>812</v>
      </c>
      <c r="F524" t="s">
        <v>26</v>
      </c>
      <c r="G524">
        <v>-2.8532869999999999</v>
      </c>
      <c r="H524">
        <v>22.117896000000002</v>
      </c>
      <c r="I524" t="s">
        <v>1477</v>
      </c>
      <c r="J524" t="s">
        <v>1481</v>
      </c>
      <c r="K524" t="s">
        <v>25</v>
      </c>
      <c r="L524">
        <v>99</v>
      </c>
      <c r="M524" t="s">
        <v>11</v>
      </c>
      <c r="N524">
        <v>447</v>
      </c>
      <c r="O524">
        <v>38.1</v>
      </c>
      <c r="P524">
        <v>3</v>
      </c>
      <c r="Q524">
        <f>_26_03_2026_Log_Reseau_v15_7[[#This Row],[Durée cumulée_panne_minu]]/60</f>
        <v>7.45</v>
      </c>
      <c r="R524">
        <f>ROUND(_26_03_2026_Log_Reseau_v15_7[[#This Row],[Durée_cumulée _ panne_en heure]],0)</f>
        <v>7</v>
      </c>
      <c r="S524">
        <f>_26_03_2026_Log_Reseau_v15_7[[#This Row],[Anciennété_mois]]/12</f>
        <v>8.25</v>
      </c>
      <c r="T524">
        <f>ROUND(_26_03_2026_Log_Reseau_v15_7[[#This Row],[anciennete_ en année]],0)</f>
        <v>8</v>
      </c>
      <c r="U52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24" s="3">
        <f>ROUND(_26_03_2026_Log_Reseau_v15_7[[#This Row],[remise 10%_70%_45%]],0)</f>
        <v>0</v>
      </c>
      <c r="W524" s="3">
        <f>_26_03_2026_Log_Reseau_v15_7[[#This Row],[Facture mensuelle]]*_26_03_2026_Log_Reseau_v15_7[[#This Row],[remise 10_70_45]]</f>
        <v>0</v>
      </c>
    </row>
    <row r="525" spans="1:23" x14ac:dyDescent="0.25">
      <c r="A525" s="1">
        <v>45230</v>
      </c>
      <c r="B525" s="2">
        <v>0.83958333333333335</v>
      </c>
      <c r="C525" t="s">
        <v>881</v>
      </c>
      <c r="D525">
        <v>83</v>
      </c>
      <c r="E525" t="s">
        <v>812</v>
      </c>
      <c r="F525" t="s">
        <v>60</v>
      </c>
      <c r="G525">
        <v>-0.79459900000000006</v>
      </c>
      <c r="H525">
        <v>26.775570999999999</v>
      </c>
      <c r="I525" t="s">
        <v>1477</v>
      </c>
      <c r="J525" t="s">
        <v>1481</v>
      </c>
      <c r="K525" t="s">
        <v>59</v>
      </c>
      <c r="L525">
        <v>14</v>
      </c>
      <c r="M525" t="s">
        <v>14</v>
      </c>
      <c r="N525">
        <v>316</v>
      </c>
      <c r="O525">
        <v>62.34</v>
      </c>
      <c r="P525">
        <v>4</v>
      </c>
      <c r="Q525">
        <f>_26_03_2026_Log_Reseau_v15_7[[#This Row],[Durée cumulée_panne_minu]]/60</f>
        <v>5.2666666666666666</v>
      </c>
      <c r="R525">
        <f>ROUND(_26_03_2026_Log_Reseau_v15_7[[#This Row],[Durée_cumulée _ panne_en heure]],0)</f>
        <v>5</v>
      </c>
      <c r="S525">
        <f>_26_03_2026_Log_Reseau_v15_7[[#This Row],[Anciennété_mois]]/12</f>
        <v>1.1666666666666667</v>
      </c>
      <c r="T525">
        <f>ROUND(_26_03_2026_Log_Reseau_v15_7[[#This Row],[anciennete_ en année]],0)</f>
        <v>1</v>
      </c>
      <c r="U52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525" s="3">
        <f>ROUND(_26_03_2026_Log_Reseau_v15_7[[#This Row],[remise 10%_70%_45%]],0)</f>
        <v>6</v>
      </c>
      <c r="W525" s="3">
        <f>_26_03_2026_Log_Reseau_v15_7[[#This Row],[Facture mensuelle]]*_26_03_2026_Log_Reseau_v15_7[[#This Row],[remise 10_70_45]]</f>
        <v>374.04</v>
      </c>
    </row>
    <row r="526" spans="1:23" x14ac:dyDescent="0.25">
      <c r="A526" s="1">
        <v>45230</v>
      </c>
      <c r="B526" s="2">
        <v>0.39513888888888887</v>
      </c>
      <c r="C526" t="s">
        <v>894</v>
      </c>
      <c r="D526">
        <v>89</v>
      </c>
      <c r="E526" t="s">
        <v>812</v>
      </c>
      <c r="F526" t="s">
        <v>26</v>
      </c>
      <c r="G526">
        <v>-7.3952039999999997</v>
      </c>
      <c r="H526">
        <v>21.651043999999999</v>
      </c>
      <c r="I526" t="s">
        <v>1480</v>
      </c>
      <c r="J526" t="s">
        <v>1481</v>
      </c>
      <c r="K526" t="s">
        <v>25</v>
      </c>
      <c r="L526">
        <v>99</v>
      </c>
      <c r="M526" t="s">
        <v>11</v>
      </c>
      <c r="N526">
        <v>447</v>
      </c>
      <c r="O526">
        <v>38.1</v>
      </c>
      <c r="P526">
        <v>3</v>
      </c>
      <c r="Q526">
        <f>_26_03_2026_Log_Reseau_v15_7[[#This Row],[Durée cumulée_panne_minu]]/60</f>
        <v>7.45</v>
      </c>
      <c r="R526">
        <f>ROUND(_26_03_2026_Log_Reseau_v15_7[[#This Row],[Durée_cumulée _ panne_en heure]],0)</f>
        <v>7</v>
      </c>
      <c r="S526">
        <f>_26_03_2026_Log_Reseau_v15_7[[#This Row],[Anciennété_mois]]/12</f>
        <v>8.25</v>
      </c>
      <c r="T526">
        <f>ROUND(_26_03_2026_Log_Reseau_v15_7[[#This Row],[anciennete_ en année]],0)</f>
        <v>8</v>
      </c>
      <c r="U52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26" s="3">
        <f>ROUND(_26_03_2026_Log_Reseau_v15_7[[#This Row],[remise 10%_70%_45%]],0)</f>
        <v>0</v>
      </c>
      <c r="W526" s="3">
        <f>_26_03_2026_Log_Reseau_v15_7[[#This Row],[Facture mensuelle]]*_26_03_2026_Log_Reseau_v15_7[[#This Row],[remise 10_70_45]]</f>
        <v>0</v>
      </c>
    </row>
    <row r="527" spans="1:23" x14ac:dyDescent="0.25">
      <c r="A527" s="1">
        <v>45230</v>
      </c>
      <c r="B527" s="2">
        <v>9.0277777777777769E-3</v>
      </c>
      <c r="C527" t="s">
        <v>915</v>
      </c>
      <c r="D527">
        <v>11</v>
      </c>
      <c r="E527" t="s">
        <v>808</v>
      </c>
      <c r="F527" t="s">
        <v>89</v>
      </c>
      <c r="G527">
        <v>0.94539899999999999</v>
      </c>
      <c r="H527">
        <v>14.401821999999999</v>
      </c>
      <c r="I527" t="s">
        <v>1477</v>
      </c>
      <c r="J527" t="s">
        <v>1490</v>
      </c>
      <c r="K527" t="s">
        <v>88</v>
      </c>
      <c r="L527">
        <v>98</v>
      </c>
      <c r="M527" t="s">
        <v>14</v>
      </c>
      <c r="N527">
        <v>482</v>
      </c>
      <c r="O527">
        <v>55.04</v>
      </c>
      <c r="P527">
        <v>5</v>
      </c>
      <c r="Q527">
        <f>_26_03_2026_Log_Reseau_v15_7[[#This Row],[Durée cumulée_panne_minu]]/60</f>
        <v>8.0333333333333332</v>
      </c>
      <c r="R527">
        <f>ROUND(_26_03_2026_Log_Reseau_v15_7[[#This Row],[Durée_cumulée _ panne_en heure]],0)</f>
        <v>8</v>
      </c>
      <c r="S527">
        <f>_26_03_2026_Log_Reseau_v15_7[[#This Row],[Anciennété_mois]]/12</f>
        <v>8.1666666666666661</v>
      </c>
      <c r="T527">
        <f>ROUND(_26_03_2026_Log_Reseau_v15_7[[#This Row],[anciennete_ en année]],0)</f>
        <v>8</v>
      </c>
      <c r="U52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527" s="3">
        <f>ROUND(_26_03_2026_Log_Reseau_v15_7[[#This Row],[remise 10%_70%_45%]],0)</f>
        <v>6</v>
      </c>
      <c r="W527" s="3">
        <f>_26_03_2026_Log_Reseau_v15_7[[#This Row],[Facture mensuelle]]*_26_03_2026_Log_Reseau_v15_7[[#This Row],[remise 10_70_45]]</f>
        <v>330.24</v>
      </c>
    </row>
    <row r="528" spans="1:23" x14ac:dyDescent="0.25">
      <c r="A528" s="1">
        <v>45230</v>
      </c>
      <c r="B528" s="2">
        <v>0.91319444444444442</v>
      </c>
      <c r="C528" t="s">
        <v>954</v>
      </c>
      <c r="D528">
        <v>62</v>
      </c>
      <c r="E528" t="s">
        <v>807</v>
      </c>
      <c r="F528" t="s">
        <v>13</v>
      </c>
      <c r="G528">
        <v>-1.9540519999999999</v>
      </c>
      <c r="H528">
        <v>12.667945</v>
      </c>
      <c r="I528" t="s">
        <v>1480</v>
      </c>
      <c r="J528" t="s">
        <v>1481</v>
      </c>
      <c r="K528" t="s">
        <v>12</v>
      </c>
      <c r="L528">
        <v>63</v>
      </c>
      <c r="M528" t="s">
        <v>14</v>
      </c>
      <c r="N528">
        <v>205</v>
      </c>
      <c r="O528">
        <v>89.19</v>
      </c>
      <c r="P528">
        <v>0</v>
      </c>
      <c r="Q528">
        <f>_26_03_2026_Log_Reseau_v15_7[[#This Row],[Durée cumulée_panne_minu]]/60</f>
        <v>3.4166666666666665</v>
      </c>
      <c r="R528">
        <f>ROUND(_26_03_2026_Log_Reseau_v15_7[[#This Row],[Durée_cumulée _ panne_en heure]],0)</f>
        <v>3</v>
      </c>
      <c r="S528">
        <f>_26_03_2026_Log_Reseau_v15_7[[#This Row],[Anciennété_mois]]/12</f>
        <v>5.25</v>
      </c>
      <c r="T528">
        <f>ROUND(_26_03_2026_Log_Reseau_v15_7[[#This Row],[anciennete_ en année]],0)</f>
        <v>5</v>
      </c>
      <c r="U52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8.9190000000000005</v>
      </c>
      <c r="V528" s="3">
        <f>ROUND(_26_03_2026_Log_Reseau_v15_7[[#This Row],[remise 10%_70%_45%]],0)</f>
        <v>9</v>
      </c>
      <c r="W528" s="3">
        <f>_26_03_2026_Log_Reseau_v15_7[[#This Row],[Facture mensuelle]]*_26_03_2026_Log_Reseau_v15_7[[#This Row],[remise 10_70_45]]</f>
        <v>802.71</v>
      </c>
    </row>
    <row r="529" spans="1:23" x14ac:dyDescent="0.25">
      <c r="A529" s="1">
        <v>45230</v>
      </c>
      <c r="B529" s="2">
        <v>0.40902777777777777</v>
      </c>
      <c r="C529" t="s">
        <v>959</v>
      </c>
      <c r="D529">
        <v>80</v>
      </c>
      <c r="E529" t="s">
        <v>808</v>
      </c>
      <c r="F529" t="s">
        <v>51</v>
      </c>
      <c r="G529">
        <v>0.62055499999999997</v>
      </c>
      <c r="H529">
        <v>21.222035000000002</v>
      </c>
      <c r="I529" t="s">
        <v>1477</v>
      </c>
      <c r="J529" t="s">
        <v>1490</v>
      </c>
      <c r="K529" t="s">
        <v>50</v>
      </c>
      <c r="L529">
        <v>119</v>
      </c>
      <c r="M529" t="s">
        <v>22</v>
      </c>
      <c r="N529">
        <v>228</v>
      </c>
      <c r="O529">
        <v>94.72</v>
      </c>
      <c r="P529">
        <v>3</v>
      </c>
      <c r="Q529">
        <f>_26_03_2026_Log_Reseau_v15_7[[#This Row],[Durée cumulée_panne_minu]]/60</f>
        <v>3.8</v>
      </c>
      <c r="R529">
        <f>ROUND(_26_03_2026_Log_Reseau_v15_7[[#This Row],[Durée_cumulée _ panne_en heure]],0)</f>
        <v>4</v>
      </c>
      <c r="S529">
        <f>_26_03_2026_Log_Reseau_v15_7[[#This Row],[Anciennété_mois]]/12</f>
        <v>9.9166666666666661</v>
      </c>
      <c r="T529">
        <f>ROUND(_26_03_2026_Log_Reseau_v15_7[[#This Row],[anciennete_ en année]],0)</f>
        <v>10</v>
      </c>
      <c r="U52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29" s="3">
        <f>ROUND(_26_03_2026_Log_Reseau_v15_7[[#This Row],[remise 10%_70%_45%]],0)</f>
        <v>0</v>
      </c>
      <c r="W529" s="3">
        <f>_26_03_2026_Log_Reseau_v15_7[[#This Row],[Facture mensuelle]]*_26_03_2026_Log_Reseau_v15_7[[#This Row],[remise 10_70_45]]</f>
        <v>0</v>
      </c>
    </row>
    <row r="530" spans="1:23" x14ac:dyDescent="0.25">
      <c r="A530" s="1">
        <v>45230</v>
      </c>
      <c r="B530" s="2">
        <v>0.32361111111111113</v>
      </c>
      <c r="C530" t="s">
        <v>968</v>
      </c>
      <c r="D530">
        <v>105</v>
      </c>
      <c r="E530" t="s">
        <v>807</v>
      </c>
      <c r="F530" t="s">
        <v>127</v>
      </c>
      <c r="G530">
        <v>-4.4351269999999996</v>
      </c>
      <c r="H530">
        <v>24.825467</v>
      </c>
      <c r="I530" t="s">
        <v>1480</v>
      </c>
      <c r="J530" t="s">
        <v>1481</v>
      </c>
      <c r="K530" t="s">
        <v>126</v>
      </c>
      <c r="L530">
        <v>40</v>
      </c>
      <c r="M530" t="s">
        <v>11</v>
      </c>
      <c r="N530">
        <v>345</v>
      </c>
      <c r="O530">
        <v>89.55</v>
      </c>
      <c r="P530">
        <v>3</v>
      </c>
      <c r="Q530">
        <f>_26_03_2026_Log_Reseau_v15_7[[#This Row],[Durée cumulée_panne_minu]]/60</f>
        <v>5.75</v>
      </c>
      <c r="R530">
        <f>ROUND(_26_03_2026_Log_Reseau_v15_7[[#This Row],[Durée_cumulée _ panne_en heure]],0)</f>
        <v>6</v>
      </c>
      <c r="S530">
        <f>_26_03_2026_Log_Reseau_v15_7[[#This Row],[Anciennété_mois]]/12</f>
        <v>3.3333333333333335</v>
      </c>
      <c r="T530">
        <f>ROUND(_26_03_2026_Log_Reseau_v15_7[[#This Row],[anciennete_ en année]],0)</f>
        <v>3</v>
      </c>
      <c r="U53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30" s="3">
        <f>ROUND(_26_03_2026_Log_Reseau_v15_7[[#This Row],[remise 10%_70%_45%]],0)</f>
        <v>0</v>
      </c>
      <c r="W530" s="3">
        <f>_26_03_2026_Log_Reseau_v15_7[[#This Row],[Facture mensuelle]]*_26_03_2026_Log_Reseau_v15_7[[#This Row],[remise 10_70_45]]</f>
        <v>0</v>
      </c>
    </row>
    <row r="531" spans="1:23" x14ac:dyDescent="0.25">
      <c r="A531" s="1">
        <v>45230</v>
      </c>
      <c r="B531" s="2">
        <v>0.86388888888888893</v>
      </c>
      <c r="C531" t="s">
        <v>972</v>
      </c>
      <c r="D531">
        <v>57</v>
      </c>
      <c r="E531" t="s">
        <v>807</v>
      </c>
      <c r="F531" t="s">
        <v>21</v>
      </c>
      <c r="G531">
        <v>-4.1694589999999998</v>
      </c>
      <c r="H531">
        <v>23.376487000000001</v>
      </c>
      <c r="I531" t="s">
        <v>1482</v>
      </c>
      <c r="J531" t="s">
        <v>1490</v>
      </c>
      <c r="K531" t="s">
        <v>20</v>
      </c>
      <c r="L531">
        <v>101</v>
      </c>
      <c r="M531" t="s">
        <v>22</v>
      </c>
      <c r="N531">
        <v>358</v>
      </c>
      <c r="O531">
        <v>29.24</v>
      </c>
      <c r="P531">
        <v>3</v>
      </c>
      <c r="Q531">
        <f>_26_03_2026_Log_Reseau_v15_7[[#This Row],[Durée cumulée_panne_minu]]/60</f>
        <v>5.9666666666666668</v>
      </c>
      <c r="R531">
        <f>ROUND(_26_03_2026_Log_Reseau_v15_7[[#This Row],[Durée_cumulée _ panne_en heure]],0)</f>
        <v>6</v>
      </c>
      <c r="S531">
        <f>_26_03_2026_Log_Reseau_v15_7[[#This Row],[Anciennété_mois]]/12</f>
        <v>8.4166666666666661</v>
      </c>
      <c r="T531">
        <f>ROUND(_26_03_2026_Log_Reseau_v15_7[[#This Row],[anciennete_ en année]],0)</f>
        <v>8</v>
      </c>
      <c r="U53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31" s="3">
        <f>ROUND(_26_03_2026_Log_Reseau_v15_7[[#This Row],[remise 10%_70%_45%]],0)</f>
        <v>0</v>
      </c>
      <c r="W531" s="3">
        <f>_26_03_2026_Log_Reseau_v15_7[[#This Row],[Facture mensuelle]]*_26_03_2026_Log_Reseau_v15_7[[#This Row],[remise 10_70_45]]</f>
        <v>0</v>
      </c>
    </row>
    <row r="532" spans="1:23" x14ac:dyDescent="0.25">
      <c r="A532" s="1">
        <v>45230</v>
      </c>
      <c r="B532" s="2">
        <v>0.64166666666666672</v>
      </c>
      <c r="C532" t="s">
        <v>985</v>
      </c>
      <c r="D532">
        <v>106</v>
      </c>
      <c r="E532" t="s">
        <v>807</v>
      </c>
      <c r="F532" t="s">
        <v>89</v>
      </c>
      <c r="G532">
        <v>-6.8149179999999996</v>
      </c>
      <c r="H532">
        <v>23.258102000000001</v>
      </c>
      <c r="I532" t="s">
        <v>1477</v>
      </c>
      <c r="J532" t="s">
        <v>1481</v>
      </c>
      <c r="K532" t="s">
        <v>88</v>
      </c>
      <c r="L532">
        <v>98</v>
      </c>
      <c r="M532" t="s">
        <v>14</v>
      </c>
      <c r="N532">
        <v>482</v>
      </c>
      <c r="O532">
        <v>55.04</v>
      </c>
      <c r="P532">
        <v>5</v>
      </c>
      <c r="Q532">
        <f>_26_03_2026_Log_Reseau_v15_7[[#This Row],[Durée cumulée_panne_minu]]/60</f>
        <v>8.0333333333333332</v>
      </c>
      <c r="R532">
        <f>ROUND(_26_03_2026_Log_Reseau_v15_7[[#This Row],[Durée_cumulée _ panne_en heure]],0)</f>
        <v>8</v>
      </c>
      <c r="S532">
        <f>_26_03_2026_Log_Reseau_v15_7[[#This Row],[Anciennété_mois]]/12</f>
        <v>8.1666666666666661</v>
      </c>
      <c r="T532">
        <f>ROUND(_26_03_2026_Log_Reseau_v15_7[[#This Row],[anciennete_ en année]],0)</f>
        <v>8</v>
      </c>
      <c r="U53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5.5040000000000004</v>
      </c>
      <c r="V532" s="3">
        <f>ROUND(_26_03_2026_Log_Reseau_v15_7[[#This Row],[remise 10%_70%_45%]],0)</f>
        <v>6</v>
      </c>
      <c r="W532" s="3">
        <f>_26_03_2026_Log_Reseau_v15_7[[#This Row],[Facture mensuelle]]*_26_03_2026_Log_Reseau_v15_7[[#This Row],[remise 10_70_45]]</f>
        <v>330.24</v>
      </c>
    </row>
    <row r="533" spans="1:23" x14ac:dyDescent="0.25">
      <c r="A533" s="1">
        <v>45230</v>
      </c>
      <c r="B533" s="2">
        <v>0.22847222222222222</v>
      </c>
      <c r="C533" t="s">
        <v>996</v>
      </c>
      <c r="D533">
        <v>39</v>
      </c>
      <c r="E533" t="s">
        <v>812</v>
      </c>
      <c r="F533" t="s">
        <v>67</v>
      </c>
      <c r="G533">
        <v>-5.7035130000000001</v>
      </c>
      <c r="H533">
        <v>14.331479</v>
      </c>
      <c r="I533" t="s">
        <v>1477</v>
      </c>
      <c r="J533" t="s">
        <v>1490</v>
      </c>
      <c r="K533" t="s">
        <v>66</v>
      </c>
      <c r="L533">
        <v>101</v>
      </c>
      <c r="M533" t="s">
        <v>14</v>
      </c>
      <c r="N533">
        <v>176</v>
      </c>
      <c r="O533">
        <v>86</v>
      </c>
      <c r="P533">
        <v>3</v>
      </c>
      <c r="Q533">
        <f>_26_03_2026_Log_Reseau_v15_7[[#This Row],[Durée cumulée_panne_minu]]/60</f>
        <v>2.9333333333333331</v>
      </c>
      <c r="R533">
        <f>ROUND(_26_03_2026_Log_Reseau_v15_7[[#This Row],[Durée_cumulée _ panne_en heure]],0)</f>
        <v>3</v>
      </c>
      <c r="S533">
        <f>_26_03_2026_Log_Reseau_v15_7[[#This Row],[Anciennété_mois]]/12</f>
        <v>8.4166666666666661</v>
      </c>
      <c r="T533">
        <f>ROUND(_26_03_2026_Log_Reseau_v15_7[[#This Row],[anciennete_ en année]],0)</f>
        <v>8</v>
      </c>
      <c r="U53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8.6</v>
      </c>
      <c r="V533" s="3">
        <f>ROUND(_26_03_2026_Log_Reseau_v15_7[[#This Row],[remise 10%_70%_45%]],0)</f>
        <v>9</v>
      </c>
      <c r="W533" s="3">
        <f>_26_03_2026_Log_Reseau_v15_7[[#This Row],[Facture mensuelle]]*_26_03_2026_Log_Reseau_v15_7[[#This Row],[remise 10_70_45]]</f>
        <v>774</v>
      </c>
    </row>
    <row r="534" spans="1:23" x14ac:dyDescent="0.25">
      <c r="A534" s="1">
        <v>45230</v>
      </c>
      <c r="B534" s="2">
        <v>0.11944444444444445</v>
      </c>
      <c r="C534" t="s">
        <v>1080</v>
      </c>
      <c r="D534">
        <v>8</v>
      </c>
      <c r="E534" t="s">
        <v>808</v>
      </c>
      <c r="F534" t="s">
        <v>137</v>
      </c>
      <c r="G534">
        <v>-9.5243310000000001</v>
      </c>
      <c r="H534">
        <v>30.541212000000002</v>
      </c>
      <c r="I534" t="s">
        <v>1482</v>
      </c>
      <c r="J534" t="s">
        <v>1478</v>
      </c>
      <c r="K534" t="s">
        <v>136</v>
      </c>
      <c r="L534">
        <v>80</v>
      </c>
      <c r="M534" t="s">
        <v>22</v>
      </c>
      <c r="N534">
        <v>155</v>
      </c>
      <c r="O534">
        <v>28.96</v>
      </c>
      <c r="P534">
        <v>2</v>
      </c>
      <c r="Q534">
        <f>_26_03_2026_Log_Reseau_v15_7[[#This Row],[Durée cumulée_panne_minu]]/60</f>
        <v>2.5833333333333335</v>
      </c>
      <c r="R534">
        <f>ROUND(_26_03_2026_Log_Reseau_v15_7[[#This Row],[Durée_cumulée _ panne_en heure]],0)</f>
        <v>3</v>
      </c>
      <c r="S534">
        <f>_26_03_2026_Log_Reseau_v15_7[[#This Row],[Anciennété_mois]]/12</f>
        <v>6.666666666666667</v>
      </c>
      <c r="T534">
        <f>ROUND(_26_03_2026_Log_Reseau_v15_7[[#This Row],[anciennete_ en année]],0)</f>
        <v>7</v>
      </c>
      <c r="U53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34" s="3">
        <f>ROUND(_26_03_2026_Log_Reseau_v15_7[[#This Row],[remise 10%_70%_45%]],0)</f>
        <v>0</v>
      </c>
      <c r="W534" s="3">
        <f>_26_03_2026_Log_Reseau_v15_7[[#This Row],[Facture mensuelle]]*_26_03_2026_Log_Reseau_v15_7[[#This Row],[remise 10_70_45]]</f>
        <v>0</v>
      </c>
    </row>
    <row r="535" spans="1:23" x14ac:dyDescent="0.25">
      <c r="A535" s="1">
        <v>45230</v>
      </c>
      <c r="B535" s="2">
        <v>0.48402777777777778</v>
      </c>
      <c r="C535" t="s">
        <v>1129</v>
      </c>
      <c r="D535">
        <v>37</v>
      </c>
      <c r="E535" t="s">
        <v>808</v>
      </c>
      <c r="F535" t="s">
        <v>62</v>
      </c>
      <c r="G535">
        <v>-12.564277000000001</v>
      </c>
      <c r="H535">
        <v>28.480798</v>
      </c>
      <c r="I535" t="s">
        <v>1477</v>
      </c>
      <c r="J535" t="s">
        <v>1483</v>
      </c>
      <c r="K535" t="s">
        <v>61</v>
      </c>
      <c r="L535">
        <v>101</v>
      </c>
      <c r="M535" t="s">
        <v>14</v>
      </c>
      <c r="N535">
        <v>333</v>
      </c>
      <c r="O535">
        <v>74.319999999999993</v>
      </c>
      <c r="P535">
        <v>1</v>
      </c>
      <c r="Q535">
        <f>_26_03_2026_Log_Reseau_v15_7[[#This Row],[Durée cumulée_panne_minu]]/60</f>
        <v>5.55</v>
      </c>
      <c r="R535">
        <f>ROUND(_26_03_2026_Log_Reseau_v15_7[[#This Row],[Durée_cumulée _ panne_en heure]],0)</f>
        <v>6</v>
      </c>
      <c r="S535">
        <f>_26_03_2026_Log_Reseau_v15_7[[#This Row],[Anciennété_mois]]/12</f>
        <v>8.4166666666666661</v>
      </c>
      <c r="T535">
        <f>ROUND(_26_03_2026_Log_Reseau_v15_7[[#This Row],[anciennete_ en année]],0)</f>
        <v>8</v>
      </c>
      <c r="U53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535" s="3">
        <f>ROUND(_26_03_2026_Log_Reseau_v15_7[[#This Row],[remise 10%_70%_45%]],0)</f>
        <v>7</v>
      </c>
      <c r="W535" s="3">
        <f>_26_03_2026_Log_Reseau_v15_7[[#This Row],[Facture mensuelle]]*_26_03_2026_Log_Reseau_v15_7[[#This Row],[remise 10_70_45]]</f>
        <v>520.24</v>
      </c>
    </row>
    <row r="536" spans="1:23" x14ac:dyDescent="0.25">
      <c r="A536" s="1">
        <v>45230</v>
      </c>
      <c r="B536" s="2">
        <v>0.26458333333333334</v>
      </c>
      <c r="C536" t="s">
        <v>1154</v>
      </c>
      <c r="D536">
        <v>62</v>
      </c>
      <c r="E536" t="s">
        <v>807</v>
      </c>
      <c r="F536" t="s">
        <v>16</v>
      </c>
      <c r="G536">
        <v>3.6344850000000002</v>
      </c>
      <c r="H536">
        <v>12.158348999999999</v>
      </c>
      <c r="I536" t="s">
        <v>1477</v>
      </c>
      <c r="J536" t="s">
        <v>1478</v>
      </c>
      <c r="K536" t="s">
        <v>15</v>
      </c>
      <c r="L536">
        <v>34</v>
      </c>
      <c r="M536" t="s">
        <v>14</v>
      </c>
      <c r="N536">
        <v>453</v>
      </c>
      <c r="O536">
        <v>56.84</v>
      </c>
      <c r="P536">
        <v>0</v>
      </c>
      <c r="Q536">
        <f>_26_03_2026_Log_Reseau_v15_7[[#This Row],[Durée cumulée_panne_minu]]/60</f>
        <v>7.55</v>
      </c>
      <c r="R536">
        <f>ROUND(_26_03_2026_Log_Reseau_v15_7[[#This Row],[Durée_cumulée _ panne_en heure]],0)</f>
        <v>8</v>
      </c>
      <c r="S536">
        <f>_26_03_2026_Log_Reseau_v15_7[[#This Row],[Anciennété_mois]]/12</f>
        <v>2.8333333333333335</v>
      </c>
      <c r="T536">
        <f>ROUND(_26_03_2026_Log_Reseau_v15_7[[#This Row],[anciennete_ en année]],0)</f>
        <v>3</v>
      </c>
      <c r="U53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5.6840000000000011</v>
      </c>
      <c r="V536" s="3">
        <f>ROUND(_26_03_2026_Log_Reseau_v15_7[[#This Row],[remise 10%_70%_45%]],0)</f>
        <v>6</v>
      </c>
      <c r="W536" s="3">
        <f>_26_03_2026_Log_Reseau_v15_7[[#This Row],[Facture mensuelle]]*_26_03_2026_Log_Reseau_v15_7[[#This Row],[remise 10_70_45]]</f>
        <v>341.04</v>
      </c>
    </row>
    <row r="537" spans="1:23" x14ac:dyDescent="0.25">
      <c r="A537" s="1">
        <v>45230</v>
      </c>
      <c r="B537" s="2">
        <v>0.4861111111111111</v>
      </c>
      <c r="C537" t="s">
        <v>1181</v>
      </c>
      <c r="D537">
        <v>38</v>
      </c>
      <c r="E537" t="s">
        <v>807</v>
      </c>
      <c r="F537" t="s">
        <v>131</v>
      </c>
      <c r="G537">
        <v>-12.336202</v>
      </c>
      <c r="H537">
        <v>13.693683999999999</v>
      </c>
      <c r="I537" t="s">
        <v>1477</v>
      </c>
      <c r="J537" t="s">
        <v>1481</v>
      </c>
      <c r="K537" t="s">
        <v>130</v>
      </c>
      <c r="L537">
        <v>16</v>
      </c>
      <c r="M537" t="s">
        <v>19</v>
      </c>
      <c r="N537">
        <v>390</v>
      </c>
      <c r="O537">
        <v>98.17</v>
      </c>
      <c r="P537">
        <v>5</v>
      </c>
      <c r="Q537">
        <f>_26_03_2026_Log_Reseau_v15_7[[#This Row],[Durée cumulée_panne_minu]]/60</f>
        <v>6.5</v>
      </c>
      <c r="R537">
        <f>ROUND(_26_03_2026_Log_Reseau_v15_7[[#This Row],[Durée_cumulée _ panne_en heure]],0)</f>
        <v>7</v>
      </c>
      <c r="S537">
        <f>_26_03_2026_Log_Reseau_v15_7[[#This Row],[Anciennété_mois]]/12</f>
        <v>1.3333333333333333</v>
      </c>
      <c r="T537">
        <f>ROUND(_26_03_2026_Log_Reseau_v15_7[[#This Row],[anciennete_ en année]],0)</f>
        <v>1</v>
      </c>
      <c r="U53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37" s="3">
        <f>ROUND(_26_03_2026_Log_Reseau_v15_7[[#This Row],[remise 10%_70%_45%]],0)</f>
        <v>0</v>
      </c>
      <c r="W537" s="3">
        <f>_26_03_2026_Log_Reseau_v15_7[[#This Row],[Facture mensuelle]]*_26_03_2026_Log_Reseau_v15_7[[#This Row],[remise 10_70_45]]</f>
        <v>0</v>
      </c>
    </row>
    <row r="538" spans="1:23" x14ac:dyDescent="0.25">
      <c r="A538" s="1">
        <v>45230</v>
      </c>
      <c r="B538" s="2">
        <v>0.86250000000000004</v>
      </c>
      <c r="C538" t="s">
        <v>1182</v>
      </c>
      <c r="D538">
        <v>67</v>
      </c>
      <c r="E538" t="s">
        <v>807</v>
      </c>
      <c r="F538" t="s">
        <v>37</v>
      </c>
      <c r="G538">
        <v>-2.099631</v>
      </c>
      <c r="H538">
        <v>13.974640000000001</v>
      </c>
      <c r="I538" t="s">
        <v>1482</v>
      </c>
      <c r="J538" t="s">
        <v>1490</v>
      </c>
      <c r="K538" t="s">
        <v>36</v>
      </c>
      <c r="L538">
        <v>115</v>
      </c>
      <c r="M538" t="s">
        <v>19</v>
      </c>
      <c r="N538">
        <v>176</v>
      </c>
      <c r="O538">
        <v>33.28</v>
      </c>
      <c r="P538">
        <v>4</v>
      </c>
      <c r="Q538">
        <f>_26_03_2026_Log_Reseau_v15_7[[#This Row],[Durée cumulée_panne_minu]]/60</f>
        <v>2.9333333333333331</v>
      </c>
      <c r="R538">
        <f>ROUND(_26_03_2026_Log_Reseau_v15_7[[#This Row],[Durée_cumulée _ panne_en heure]],0)</f>
        <v>3</v>
      </c>
      <c r="S538">
        <f>_26_03_2026_Log_Reseau_v15_7[[#This Row],[Anciennété_mois]]/12</f>
        <v>9.5833333333333339</v>
      </c>
      <c r="T538">
        <f>ROUND(_26_03_2026_Log_Reseau_v15_7[[#This Row],[anciennete_ en année]],0)</f>
        <v>10</v>
      </c>
      <c r="U53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38" s="3">
        <f>ROUND(_26_03_2026_Log_Reseau_v15_7[[#This Row],[remise 10%_70%_45%]],0)</f>
        <v>0</v>
      </c>
      <c r="W538" s="3">
        <f>_26_03_2026_Log_Reseau_v15_7[[#This Row],[Facture mensuelle]]*_26_03_2026_Log_Reseau_v15_7[[#This Row],[remise 10_70_45]]</f>
        <v>0</v>
      </c>
    </row>
    <row r="539" spans="1:23" x14ac:dyDescent="0.25">
      <c r="A539" s="1">
        <v>45230</v>
      </c>
      <c r="B539" s="2">
        <v>4.8611111111111112E-3</v>
      </c>
      <c r="C539" t="s">
        <v>1189</v>
      </c>
      <c r="D539">
        <v>58</v>
      </c>
      <c r="E539" t="s">
        <v>807</v>
      </c>
      <c r="F539" t="s">
        <v>137</v>
      </c>
      <c r="G539">
        <v>-7.4608439999999998</v>
      </c>
      <c r="H539">
        <v>23.268619999999999</v>
      </c>
      <c r="I539" t="s">
        <v>1480</v>
      </c>
      <c r="J539" t="s">
        <v>1481</v>
      </c>
      <c r="K539" t="s">
        <v>136</v>
      </c>
      <c r="L539">
        <v>80</v>
      </c>
      <c r="M539" t="s">
        <v>22</v>
      </c>
      <c r="N539">
        <v>155</v>
      </c>
      <c r="O539">
        <v>28.96</v>
      </c>
      <c r="P539">
        <v>2</v>
      </c>
      <c r="Q539">
        <f>_26_03_2026_Log_Reseau_v15_7[[#This Row],[Durée cumulée_panne_minu]]/60</f>
        <v>2.5833333333333335</v>
      </c>
      <c r="R539">
        <f>ROUND(_26_03_2026_Log_Reseau_v15_7[[#This Row],[Durée_cumulée _ panne_en heure]],0)</f>
        <v>3</v>
      </c>
      <c r="S539">
        <f>_26_03_2026_Log_Reseau_v15_7[[#This Row],[Anciennété_mois]]/12</f>
        <v>6.666666666666667</v>
      </c>
      <c r="T539">
        <f>ROUND(_26_03_2026_Log_Reseau_v15_7[[#This Row],[anciennete_ en année]],0)</f>
        <v>7</v>
      </c>
      <c r="U539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39" s="3">
        <f>ROUND(_26_03_2026_Log_Reseau_v15_7[[#This Row],[remise 10%_70%_45%]],0)</f>
        <v>0</v>
      </c>
      <c r="W539" s="3">
        <f>_26_03_2026_Log_Reseau_v15_7[[#This Row],[Facture mensuelle]]*_26_03_2026_Log_Reseau_v15_7[[#This Row],[remise 10_70_45]]</f>
        <v>0</v>
      </c>
    </row>
    <row r="540" spans="1:23" x14ac:dyDescent="0.25">
      <c r="A540" s="1">
        <v>45230</v>
      </c>
      <c r="B540" s="2">
        <v>0.12777777777777777</v>
      </c>
      <c r="C540" t="s">
        <v>1201</v>
      </c>
      <c r="D540">
        <v>87</v>
      </c>
      <c r="E540" t="s">
        <v>812</v>
      </c>
      <c r="F540" t="s">
        <v>24</v>
      </c>
      <c r="G540">
        <v>-10.945031</v>
      </c>
      <c r="H540">
        <v>27.922274000000002</v>
      </c>
      <c r="I540" t="s">
        <v>1480</v>
      </c>
      <c r="J540" t="s">
        <v>1478</v>
      </c>
      <c r="K540" t="s">
        <v>23</v>
      </c>
      <c r="L540">
        <v>46</v>
      </c>
      <c r="M540" t="s">
        <v>11</v>
      </c>
      <c r="N540">
        <v>283</v>
      </c>
      <c r="O540">
        <v>56.05</v>
      </c>
      <c r="P540">
        <v>1</v>
      </c>
      <c r="Q540">
        <f>_26_03_2026_Log_Reseau_v15_7[[#This Row],[Durée cumulée_panne_minu]]/60</f>
        <v>4.7166666666666668</v>
      </c>
      <c r="R540">
        <f>ROUND(_26_03_2026_Log_Reseau_v15_7[[#This Row],[Durée_cumulée _ panne_en heure]],0)</f>
        <v>5</v>
      </c>
      <c r="S540">
        <f>_26_03_2026_Log_Reseau_v15_7[[#This Row],[Anciennété_mois]]/12</f>
        <v>3.8333333333333335</v>
      </c>
      <c r="T540">
        <f>ROUND(_26_03_2026_Log_Reseau_v15_7[[#This Row],[anciennete_ en année]],0)</f>
        <v>4</v>
      </c>
      <c r="U540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40" s="3">
        <f>ROUND(_26_03_2026_Log_Reseau_v15_7[[#This Row],[remise 10%_70%_45%]],0)</f>
        <v>0</v>
      </c>
      <c r="W540" s="3">
        <f>_26_03_2026_Log_Reseau_v15_7[[#This Row],[Facture mensuelle]]*_26_03_2026_Log_Reseau_v15_7[[#This Row],[remise 10_70_45]]</f>
        <v>0</v>
      </c>
    </row>
    <row r="541" spans="1:23" x14ac:dyDescent="0.25">
      <c r="A541" s="1">
        <v>45230</v>
      </c>
      <c r="B541" s="2">
        <v>0.3034722222222222</v>
      </c>
      <c r="C541" t="s">
        <v>1252</v>
      </c>
      <c r="D541">
        <v>83</v>
      </c>
      <c r="E541" t="s">
        <v>812</v>
      </c>
      <c r="F541" t="s">
        <v>62</v>
      </c>
      <c r="G541">
        <v>-9.8208710000000004</v>
      </c>
      <c r="H541">
        <v>23.229807000000001</v>
      </c>
      <c r="I541" t="s">
        <v>1477</v>
      </c>
      <c r="J541" t="s">
        <v>1490</v>
      </c>
      <c r="K541" t="s">
        <v>61</v>
      </c>
      <c r="L541">
        <v>101</v>
      </c>
      <c r="M541" t="s">
        <v>14</v>
      </c>
      <c r="N541">
        <v>333</v>
      </c>
      <c r="O541">
        <v>74.319999999999993</v>
      </c>
      <c r="P541">
        <v>1</v>
      </c>
      <c r="Q541">
        <f>_26_03_2026_Log_Reseau_v15_7[[#This Row],[Durée cumulée_panne_minu]]/60</f>
        <v>5.55</v>
      </c>
      <c r="R541">
        <f>ROUND(_26_03_2026_Log_Reseau_v15_7[[#This Row],[Durée_cumulée _ panne_en heure]],0)</f>
        <v>6</v>
      </c>
      <c r="S541">
        <f>_26_03_2026_Log_Reseau_v15_7[[#This Row],[Anciennété_mois]]/12</f>
        <v>8.4166666666666661</v>
      </c>
      <c r="T541">
        <f>ROUND(_26_03_2026_Log_Reseau_v15_7[[#This Row],[anciennete_ en année]],0)</f>
        <v>8</v>
      </c>
      <c r="U541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541" s="3">
        <f>ROUND(_26_03_2026_Log_Reseau_v15_7[[#This Row],[remise 10%_70%_45%]],0)</f>
        <v>7</v>
      </c>
      <c r="W541" s="3">
        <f>_26_03_2026_Log_Reseau_v15_7[[#This Row],[Facture mensuelle]]*_26_03_2026_Log_Reseau_v15_7[[#This Row],[remise 10_70_45]]</f>
        <v>520.24</v>
      </c>
    </row>
    <row r="542" spans="1:23" x14ac:dyDescent="0.25">
      <c r="A542" s="1">
        <v>45230</v>
      </c>
      <c r="B542" s="2">
        <v>3.9583333333333331E-2</v>
      </c>
      <c r="C542" t="s">
        <v>1284</v>
      </c>
      <c r="D542">
        <v>117</v>
      </c>
      <c r="E542" t="s">
        <v>808</v>
      </c>
      <c r="F542" t="s">
        <v>62</v>
      </c>
      <c r="G542">
        <v>1.981107</v>
      </c>
      <c r="H542">
        <v>23.932569000000001</v>
      </c>
      <c r="I542" t="s">
        <v>1482</v>
      </c>
      <c r="J542" t="s">
        <v>1490</v>
      </c>
      <c r="K542" t="s">
        <v>61</v>
      </c>
      <c r="L542">
        <v>101</v>
      </c>
      <c r="M542" t="s">
        <v>14</v>
      </c>
      <c r="N542">
        <v>333</v>
      </c>
      <c r="O542">
        <v>74.319999999999993</v>
      </c>
      <c r="P542">
        <v>1</v>
      </c>
      <c r="Q542">
        <f>_26_03_2026_Log_Reseau_v15_7[[#This Row],[Durée cumulée_panne_minu]]/60</f>
        <v>5.55</v>
      </c>
      <c r="R542">
        <f>ROUND(_26_03_2026_Log_Reseau_v15_7[[#This Row],[Durée_cumulée _ panne_en heure]],0)</f>
        <v>6</v>
      </c>
      <c r="S542">
        <f>_26_03_2026_Log_Reseau_v15_7[[#This Row],[Anciennété_mois]]/12</f>
        <v>8.4166666666666661</v>
      </c>
      <c r="T542">
        <f>ROUND(_26_03_2026_Log_Reseau_v15_7[[#This Row],[anciennete_ en année]],0)</f>
        <v>8</v>
      </c>
      <c r="U542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7.4319999999999995</v>
      </c>
      <c r="V542" s="3">
        <f>ROUND(_26_03_2026_Log_Reseau_v15_7[[#This Row],[remise 10%_70%_45%]],0)</f>
        <v>7</v>
      </c>
      <c r="W542" s="3">
        <f>_26_03_2026_Log_Reseau_v15_7[[#This Row],[Facture mensuelle]]*_26_03_2026_Log_Reseau_v15_7[[#This Row],[remise 10_70_45]]</f>
        <v>520.24</v>
      </c>
    </row>
    <row r="543" spans="1:23" x14ac:dyDescent="0.25">
      <c r="A543" s="1">
        <v>45230</v>
      </c>
      <c r="B543" s="2">
        <v>0.59513888888888888</v>
      </c>
      <c r="C543" t="s">
        <v>1364</v>
      </c>
      <c r="D543">
        <v>14</v>
      </c>
      <c r="E543" t="s">
        <v>807</v>
      </c>
      <c r="F543" t="s">
        <v>64</v>
      </c>
      <c r="G543">
        <v>-7.1079169999999996</v>
      </c>
      <c r="H543">
        <v>13.636272</v>
      </c>
      <c r="I543" t="s">
        <v>1477</v>
      </c>
      <c r="J543" t="s">
        <v>1490</v>
      </c>
      <c r="K543" t="s">
        <v>63</v>
      </c>
      <c r="L543">
        <v>79</v>
      </c>
      <c r="M543" t="s">
        <v>11</v>
      </c>
      <c r="N543">
        <v>226</v>
      </c>
      <c r="O543">
        <v>94.38</v>
      </c>
      <c r="P543">
        <v>3</v>
      </c>
      <c r="Q543">
        <f>_26_03_2026_Log_Reseau_v15_7[[#This Row],[Durée cumulée_panne_minu]]/60</f>
        <v>3.7666666666666666</v>
      </c>
      <c r="R543">
        <f>ROUND(_26_03_2026_Log_Reseau_v15_7[[#This Row],[Durée_cumulée _ panne_en heure]],0)</f>
        <v>4</v>
      </c>
      <c r="S543">
        <f>_26_03_2026_Log_Reseau_v15_7[[#This Row],[Anciennété_mois]]/12</f>
        <v>6.583333333333333</v>
      </c>
      <c r="T543">
        <f>ROUND(_26_03_2026_Log_Reseau_v15_7[[#This Row],[anciennete_ en année]],0)</f>
        <v>7</v>
      </c>
      <c r="U543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43" s="3">
        <f>ROUND(_26_03_2026_Log_Reseau_v15_7[[#This Row],[remise 10%_70%_45%]],0)</f>
        <v>0</v>
      </c>
      <c r="W543" s="3">
        <f>_26_03_2026_Log_Reseau_v15_7[[#This Row],[Facture mensuelle]]*_26_03_2026_Log_Reseau_v15_7[[#This Row],[remise 10_70_45]]</f>
        <v>0</v>
      </c>
    </row>
    <row r="544" spans="1:23" x14ac:dyDescent="0.25">
      <c r="A544" s="1">
        <v>45230</v>
      </c>
      <c r="B544" s="2">
        <v>0.84722222222222221</v>
      </c>
      <c r="C544" t="s">
        <v>1366</v>
      </c>
      <c r="D544">
        <v>58</v>
      </c>
      <c r="E544" t="s">
        <v>812</v>
      </c>
      <c r="F544" t="s">
        <v>51</v>
      </c>
      <c r="G544">
        <v>-5.9021970000000001</v>
      </c>
      <c r="H544">
        <v>20.551169999999999</v>
      </c>
      <c r="I544" t="s">
        <v>1482</v>
      </c>
      <c r="J544" t="s">
        <v>1481</v>
      </c>
      <c r="K544" t="s">
        <v>50</v>
      </c>
      <c r="L544">
        <v>119</v>
      </c>
      <c r="M544" t="s">
        <v>22</v>
      </c>
      <c r="N544">
        <v>228</v>
      </c>
      <c r="O544">
        <v>94.72</v>
      </c>
      <c r="P544">
        <v>3</v>
      </c>
      <c r="Q544">
        <f>_26_03_2026_Log_Reseau_v15_7[[#This Row],[Durée cumulée_panne_minu]]/60</f>
        <v>3.8</v>
      </c>
      <c r="R544">
        <f>ROUND(_26_03_2026_Log_Reseau_v15_7[[#This Row],[Durée_cumulée _ panne_en heure]],0)</f>
        <v>4</v>
      </c>
      <c r="S544">
        <f>_26_03_2026_Log_Reseau_v15_7[[#This Row],[Anciennété_mois]]/12</f>
        <v>9.9166666666666661</v>
      </c>
      <c r="T544">
        <f>ROUND(_26_03_2026_Log_Reseau_v15_7[[#This Row],[anciennete_ en année]],0)</f>
        <v>10</v>
      </c>
      <c r="U544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44" s="3">
        <f>ROUND(_26_03_2026_Log_Reseau_v15_7[[#This Row],[remise 10%_70%_45%]],0)</f>
        <v>0</v>
      </c>
      <c r="W544" s="3">
        <f>_26_03_2026_Log_Reseau_v15_7[[#This Row],[Facture mensuelle]]*_26_03_2026_Log_Reseau_v15_7[[#This Row],[remise 10_70_45]]</f>
        <v>0</v>
      </c>
    </row>
    <row r="545" spans="1:23" x14ac:dyDescent="0.25">
      <c r="A545" s="1">
        <v>45230</v>
      </c>
      <c r="B545" s="2">
        <v>0.99791666666666667</v>
      </c>
      <c r="C545" t="s">
        <v>1370</v>
      </c>
      <c r="D545">
        <v>72</v>
      </c>
      <c r="E545" t="s">
        <v>812</v>
      </c>
      <c r="F545" t="s">
        <v>10</v>
      </c>
      <c r="G545">
        <v>-1.9120569999999999</v>
      </c>
      <c r="H545">
        <v>15.236072999999999</v>
      </c>
      <c r="I545" t="s">
        <v>1477</v>
      </c>
      <c r="J545" t="s">
        <v>1481</v>
      </c>
      <c r="K545" t="s">
        <v>9</v>
      </c>
      <c r="L545">
        <v>29</v>
      </c>
      <c r="M545" t="s">
        <v>11</v>
      </c>
      <c r="N545">
        <v>214</v>
      </c>
      <c r="O545">
        <v>74.7</v>
      </c>
      <c r="P545">
        <v>3</v>
      </c>
      <c r="Q545">
        <f>_26_03_2026_Log_Reseau_v15_7[[#This Row],[Durée cumulée_panne_minu]]/60</f>
        <v>3.5666666666666669</v>
      </c>
      <c r="R545">
        <f>ROUND(_26_03_2026_Log_Reseau_v15_7[[#This Row],[Durée_cumulée _ panne_en heure]],0)</f>
        <v>4</v>
      </c>
      <c r="S545">
        <f>_26_03_2026_Log_Reseau_v15_7[[#This Row],[Anciennété_mois]]/12</f>
        <v>2.4166666666666665</v>
      </c>
      <c r="T545">
        <f>ROUND(_26_03_2026_Log_Reseau_v15_7[[#This Row],[anciennete_ en année]],0)</f>
        <v>2</v>
      </c>
      <c r="U545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45" s="3">
        <f>ROUND(_26_03_2026_Log_Reseau_v15_7[[#This Row],[remise 10%_70%_45%]],0)</f>
        <v>0</v>
      </c>
      <c r="W545" s="3">
        <f>_26_03_2026_Log_Reseau_v15_7[[#This Row],[Facture mensuelle]]*_26_03_2026_Log_Reseau_v15_7[[#This Row],[remise 10_70_45]]</f>
        <v>0</v>
      </c>
    </row>
    <row r="546" spans="1:23" x14ac:dyDescent="0.25">
      <c r="A546" s="1">
        <v>45230</v>
      </c>
      <c r="B546" s="2">
        <v>0.6333333333333333</v>
      </c>
      <c r="C546" t="s">
        <v>1383</v>
      </c>
      <c r="D546">
        <v>34</v>
      </c>
      <c r="E546" t="s">
        <v>807</v>
      </c>
      <c r="F546" t="s">
        <v>57</v>
      </c>
      <c r="G546">
        <v>2.486888</v>
      </c>
      <c r="H546">
        <v>23.798074</v>
      </c>
      <c r="I546" t="s">
        <v>1477</v>
      </c>
      <c r="J546" t="s">
        <v>1483</v>
      </c>
      <c r="K546" t="s">
        <v>56</v>
      </c>
      <c r="L546">
        <v>97</v>
      </c>
      <c r="M546" t="s">
        <v>14</v>
      </c>
      <c r="N546">
        <v>319</v>
      </c>
      <c r="O546">
        <v>31.25</v>
      </c>
      <c r="P546">
        <v>1</v>
      </c>
      <c r="Q546">
        <f>_26_03_2026_Log_Reseau_v15_7[[#This Row],[Durée cumulée_panne_minu]]/60</f>
        <v>5.3166666666666664</v>
      </c>
      <c r="R546">
        <f>ROUND(_26_03_2026_Log_Reseau_v15_7[[#This Row],[Durée_cumulée _ panne_en heure]],0)</f>
        <v>5</v>
      </c>
      <c r="S546">
        <f>_26_03_2026_Log_Reseau_v15_7[[#This Row],[Anciennété_mois]]/12</f>
        <v>8.0833333333333339</v>
      </c>
      <c r="T546">
        <f>ROUND(_26_03_2026_Log_Reseau_v15_7[[#This Row],[anciennete_ en année]],0)</f>
        <v>8</v>
      </c>
      <c r="U546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3.125</v>
      </c>
      <c r="V546" s="3">
        <f>ROUND(_26_03_2026_Log_Reseau_v15_7[[#This Row],[remise 10%_70%_45%]],0)</f>
        <v>3</v>
      </c>
      <c r="W546" s="3">
        <f>_26_03_2026_Log_Reseau_v15_7[[#This Row],[Facture mensuelle]]*_26_03_2026_Log_Reseau_v15_7[[#This Row],[remise 10_70_45]]</f>
        <v>93.75</v>
      </c>
    </row>
    <row r="547" spans="1:23" x14ac:dyDescent="0.25">
      <c r="A547" s="1">
        <v>45230</v>
      </c>
      <c r="B547" s="2">
        <v>0.63888888888888884</v>
      </c>
      <c r="C547" t="s">
        <v>1439</v>
      </c>
      <c r="D547">
        <v>77</v>
      </c>
      <c r="E547" t="s">
        <v>808</v>
      </c>
      <c r="F547" t="s">
        <v>64</v>
      </c>
      <c r="G547">
        <v>-0.57104900000000003</v>
      </c>
      <c r="H547">
        <v>15.317663</v>
      </c>
      <c r="I547" t="s">
        <v>1477</v>
      </c>
      <c r="J547" t="s">
        <v>1490</v>
      </c>
      <c r="K547" t="s">
        <v>63</v>
      </c>
      <c r="L547">
        <v>79</v>
      </c>
      <c r="M547" t="s">
        <v>11</v>
      </c>
      <c r="N547">
        <v>226</v>
      </c>
      <c r="O547">
        <v>94.38</v>
      </c>
      <c r="P547">
        <v>3</v>
      </c>
      <c r="Q547">
        <f>_26_03_2026_Log_Reseau_v15_7[[#This Row],[Durée cumulée_panne_minu]]/60</f>
        <v>3.7666666666666666</v>
      </c>
      <c r="R547">
        <f>ROUND(_26_03_2026_Log_Reseau_v15_7[[#This Row],[Durée_cumulée _ panne_en heure]],0)</f>
        <v>4</v>
      </c>
      <c r="S547">
        <f>_26_03_2026_Log_Reseau_v15_7[[#This Row],[Anciennété_mois]]/12</f>
        <v>6.583333333333333</v>
      </c>
      <c r="T547">
        <f>ROUND(_26_03_2026_Log_Reseau_v15_7[[#This Row],[anciennete_ en année]],0)</f>
        <v>7</v>
      </c>
      <c r="U547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0</v>
      </c>
      <c r="V547" s="3">
        <f>ROUND(_26_03_2026_Log_Reseau_v15_7[[#This Row],[remise 10%_70%_45%]],0)</f>
        <v>0</v>
      </c>
      <c r="W547" s="3">
        <f>_26_03_2026_Log_Reseau_v15_7[[#This Row],[Facture mensuelle]]*_26_03_2026_Log_Reseau_v15_7[[#This Row],[remise 10_70_45]]</f>
        <v>0</v>
      </c>
    </row>
    <row r="548" spans="1:23" x14ac:dyDescent="0.25">
      <c r="A548" s="1">
        <v>45230</v>
      </c>
      <c r="B548" s="2">
        <v>0.50277777777777777</v>
      </c>
      <c r="C548" t="s">
        <v>1458</v>
      </c>
      <c r="D548">
        <v>99</v>
      </c>
      <c r="E548" t="s">
        <v>807</v>
      </c>
      <c r="F548" t="s">
        <v>60</v>
      </c>
      <c r="G548">
        <v>-5.7200150000000001</v>
      </c>
      <c r="H548">
        <v>25.022109</v>
      </c>
      <c r="I548" t="s">
        <v>1477</v>
      </c>
      <c r="J548" t="s">
        <v>1483</v>
      </c>
      <c r="K548" t="s">
        <v>59</v>
      </c>
      <c r="L548">
        <v>14</v>
      </c>
      <c r="M548" t="s">
        <v>14</v>
      </c>
      <c r="N548">
        <v>316</v>
      </c>
      <c r="O548">
        <v>62.34</v>
      </c>
      <c r="P548">
        <v>4</v>
      </c>
      <c r="Q548">
        <f>_26_03_2026_Log_Reseau_v15_7[[#This Row],[Durée cumulée_panne_minu]]/60</f>
        <v>5.2666666666666666</v>
      </c>
      <c r="R548">
        <f>ROUND(_26_03_2026_Log_Reseau_v15_7[[#This Row],[Durée_cumulée _ panne_en heure]],0)</f>
        <v>5</v>
      </c>
      <c r="S548">
        <f>_26_03_2026_Log_Reseau_v15_7[[#This Row],[Anciennété_mois]]/12</f>
        <v>1.1666666666666667</v>
      </c>
      <c r="T548">
        <f>ROUND(_26_03_2026_Log_Reseau_v15_7[[#This Row],[anciennete_ en année]],0)</f>
        <v>1</v>
      </c>
      <c r="U548" s="3">
        <f>IF(_26_03_2026_Log_Reseau_v15_7[[#This Row],[Type de forfait]]="Pro Monde",_26_03_2026_Log_Reseau_v15_7[[#This Row],[Facture mensuelle]]*10%,IF(AND(_26_03_2026_Log_Reseau_v15_7[[#This Row],[Durée_cumulée _ panne_en heure2]]&gt;12,_26_03_2026_Log_Reseau_v15_7[[#This Row],[anciennete_en année]]&gt;5),_26_03_2026_Log_Reseau_v15_7[[#This Row],[Facture mensuelle]]*70%,IF(AND(_26_03_2026_Log_Reseau_v15_7[[#This Row],[Durée_cumulée _ panne_en heure2]]&gt;=4,_26_03_2026_Log_Reseau_v15_7[[#This Row],[Durée_cumulée _ panne_en heure2]]&lt;=12,_26_03_2026_Log_Reseau_v15_7[[#This Row],[anciennete_en année]]&lt;5,_26_03_2026_Log_Reseau_v15_7[[#This Row],[Type de forfait]]="Premium"),_26_03_2026_Log_Reseau_v15_7[[#This Row],[Facture mensuelle]]*45%,0%)))</f>
        <v>6.2340000000000009</v>
      </c>
      <c r="V548" s="3">
        <f>ROUND(_26_03_2026_Log_Reseau_v15_7[[#This Row],[remise 10%_70%_45%]],0)</f>
        <v>6</v>
      </c>
      <c r="W548" s="3">
        <f>_26_03_2026_Log_Reseau_v15_7[[#This Row],[Facture mensuelle]]*_26_03_2026_Log_Reseau_v15_7[[#This Row],[remise 10_70_45]]</f>
        <v>374.04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A35C-2BC4-473D-94E8-2F4D0089A14B}">
  <dimension ref="A1:P1075"/>
  <sheetViews>
    <sheetView workbookViewId="0">
      <selection activeCell="K1" sqref="A1:XFD1048576"/>
    </sheetView>
  </sheetViews>
  <sheetFormatPr defaultRowHeight="15" x14ac:dyDescent="0.25"/>
  <cols>
    <col min="1" max="2" width="21.5703125" bestFit="1" customWidth="1"/>
    <col min="3" max="3" width="9.28515625" bestFit="1" customWidth="1"/>
    <col min="4" max="4" width="19.140625" bestFit="1" customWidth="1"/>
    <col min="5" max="5" width="18.7109375" bestFit="1" customWidth="1"/>
    <col min="6" max="6" width="19.5703125" customWidth="1"/>
    <col min="7" max="7" width="17.140625" customWidth="1"/>
    <col min="8" max="8" width="15.85546875" customWidth="1"/>
    <col min="9" max="9" width="15.28515625" customWidth="1"/>
    <col min="10" max="10" width="16.7109375" customWidth="1"/>
    <col min="11" max="11" width="13.28515625" customWidth="1"/>
    <col min="12" max="12" width="19.5703125" customWidth="1"/>
    <col min="13" max="13" width="18.7109375" customWidth="1"/>
    <col min="14" max="14" width="30.140625" customWidth="1"/>
    <col min="15" max="15" width="19.85546875" customWidth="1"/>
    <col min="16" max="16" width="25.28515625" customWidth="1"/>
  </cols>
  <sheetData>
    <row r="1" spans="1:16" x14ac:dyDescent="0.25">
      <c r="A1" t="s">
        <v>801</v>
      </c>
      <c r="B1" t="s">
        <v>802</v>
      </c>
      <c r="C1" t="s">
        <v>803</v>
      </c>
      <c r="D1" t="s">
        <v>804</v>
      </c>
      <c r="E1" t="s">
        <v>805</v>
      </c>
      <c r="F1" t="s">
        <v>1660</v>
      </c>
      <c r="G1" t="s">
        <v>1473</v>
      </c>
      <c r="H1" t="s">
        <v>1474</v>
      </c>
      <c r="I1" t="s">
        <v>1475</v>
      </c>
      <c r="J1" t="s">
        <v>1476</v>
      </c>
      <c r="K1" t="s">
        <v>1666</v>
      </c>
      <c r="L1" t="s">
        <v>1661</v>
      </c>
      <c r="M1" t="s">
        <v>1662</v>
      </c>
      <c r="N1" t="s">
        <v>1663</v>
      </c>
      <c r="O1" t="s">
        <v>1664</v>
      </c>
      <c r="P1" t="s">
        <v>1665</v>
      </c>
    </row>
    <row r="2" spans="1:16" x14ac:dyDescent="0.25">
      <c r="A2" s="1">
        <v>45203</v>
      </c>
      <c r="B2" s="2">
        <v>0.51736111111111116</v>
      </c>
      <c r="C2" t="s">
        <v>806</v>
      </c>
      <c r="D2">
        <v>26</v>
      </c>
      <c r="E2" t="s">
        <v>807</v>
      </c>
      <c r="F2" t="str">
        <f>_xlfn.XLOOKUP(_26_03_2026_Log_Reseau_v15[[#This Row],[Cell_ID]],_26_03_2026_Registre_Maintenance_v1[ID_Antenne],_26_03_2026_Registre_Maintenance_v1[zone],"pas trouvé")</f>
        <v>Nord-Ubangi</v>
      </c>
      <c r="G2">
        <f>_xlfn.XLOOKUP(_26_03_2026_Log_Reseau_v15[[#This Row],[Cell_ID]],_26_03_2026_Registre_Maintenance_v1[ID_Antenne],_26_03_2026_Registre_Maintenance_v1[Latitude],"non trouvé")</f>
        <v>-8.1437910000000002</v>
      </c>
      <c r="H2">
        <f>_xlfn.XLOOKUP(_26_03_2026_Log_Reseau_v15[[#This Row],[Cell_ID]],_26_03_2026_Registre_Maintenance_v1[ID_Antenne],_26_03_2026_Registre_Maintenance_v1[Longitude],"pas trouvé")</f>
        <v>28.946161</v>
      </c>
      <c r="I2" t="str">
        <f>_xlfn.XLOOKUP(_26_03_2026_Log_Reseau_v15[[#This Row],[Cell_ID]],_26_03_2026_Registre_Maintenance_v1[ID_Antenne],_26_03_2026_Registre_Maintenance_v1[Technologie],"non trouvé")</f>
        <v>4G</v>
      </c>
      <c r="J2" t="str">
        <f>_xlfn.XLOOKUP(_26_03_2026_Log_Reseau_v15[[#This Row],[Cell_ID]],_26_03_2026_Registre_Maintenance_v1[ID_Antenne],_26_03_2026_Registre_Maintenance_v1[Equipementier],"pas trouvé")</f>
        <v>ZTE</v>
      </c>
      <c r="K2" t="str">
        <f>_xlfn.XLOOKUP(_26_03_2026_Log_Reseau_v15[[#This Row],[province RDC]],_26_03_2026_Client_Churn_v1[Province_Client],_26_03_2026_Client_Churn_v1[ID_Client],"non trouvé")</f>
        <v>CLI-01170</v>
      </c>
      <c r="L2">
        <f>_xlfn.XLOOKUP(_26_03_2026_Log_Reseau_v15[[#This Row],[province RDC]],_26_03_2026_Client_Churn_v1[Province_Client],_26_03_2026_Client_Churn_v1[Anciennete_Mois],"non trouvé")</f>
        <v>98</v>
      </c>
      <c r="M2" t="str">
        <f>_xlfn.XLOOKUP(_26_03_2026_Log_Reseau_v15[[#This Row],[province RDC]],_26_03_2026_Client_Churn_v1[Province_Client],_26_03_2026_Client_Churn_v1[Type_Forfait],"non trouvé")</f>
        <v>Pro Monde</v>
      </c>
      <c r="N2">
        <f>_xlfn.XLOOKUP(_26_03_2026_Log_Reseau_v15[[#This Row],[province RDC]],_26_03_2026_Client_Churn_v1[Province_Client],_26_03_2026_Client_Churn_v1[Duree_Cumulee_Panne_Min],"non trouvé")</f>
        <v>482</v>
      </c>
      <c r="O2">
        <f>_xlfn.XLOOKUP(_26_03_2026_Log_Reseau_v15[[#This Row],[province RDC]],_26_03_2026_Client_Churn_v1[Province_Client],_26_03_2026_Client_Churn_v1[Facture_Mensuelle],"non trouvé")</f>
        <v>55.04</v>
      </c>
      <c r="P2">
        <f>_xlfn.XLOOKUP(_26_03_2026_Log_Reseau_v15[[#This Row],[province RDC]],_26_03_2026_Client_Churn_v1[Province_Client],_26_03_2026_Client_Churn_v1[Plaintes_Service_Client],"non trouvé")</f>
        <v>5</v>
      </c>
    </row>
    <row r="3" spans="1:16" x14ac:dyDescent="0.25">
      <c r="A3" s="1">
        <v>45205</v>
      </c>
      <c r="B3" s="2">
        <v>1.3888888888888888E-2</v>
      </c>
      <c r="C3" t="s">
        <v>806</v>
      </c>
      <c r="D3">
        <v>35</v>
      </c>
      <c r="E3" t="s">
        <v>808</v>
      </c>
      <c r="F3" t="str">
        <f>_xlfn.XLOOKUP(_26_03_2026_Log_Reseau_v15[[#This Row],[Cell_ID]],_26_03_2026_Registre_Maintenance_v1[ID_Antenne],_26_03_2026_Registre_Maintenance_v1[zone],"pas trouvé")</f>
        <v>Nord-Ubangi</v>
      </c>
      <c r="G3">
        <f>_xlfn.XLOOKUP(_26_03_2026_Log_Reseau_v15[[#This Row],[Cell_ID]],_26_03_2026_Registre_Maintenance_v1[ID_Antenne],_26_03_2026_Registre_Maintenance_v1[Latitude],"non trouvé")</f>
        <v>-8.1437910000000002</v>
      </c>
      <c r="H3">
        <f>_xlfn.XLOOKUP(_26_03_2026_Log_Reseau_v15[[#This Row],[Cell_ID]],_26_03_2026_Registre_Maintenance_v1[ID_Antenne],_26_03_2026_Registre_Maintenance_v1[Longitude],"pas trouvé")</f>
        <v>28.946161</v>
      </c>
      <c r="I3" t="str">
        <f>_xlfn.XLOOKUP(_26_03_2026_Log_Reseau_v15[[#This Row],[Cell_ID]],_26_03_2026_Registre_Maintenance_v1[ID_Antenne],_26_03_2026_Registre_Maintenance_v1[Technologie],"non trouvé")</f>
        <v>4G</v>
      </c>
      <c r="J3" t="str">
        <f>_xlfn.XLOOKUP(_26_03_2026_Log_Reseau_v15[[#This Row],[Cell_ID]],_26_03_2026_Registre_Maintenance_v1[ID_Antenne],_26_03_2026_Registre_Maintenance_v1[Equipementier],"pas trouvé")</f>
        <v>ZTE</v>
      </c>
      <c r="K3" t="str">
        <f>_xlfn.XLOOKUP(_26_03_2026_Log_Reseau_v15[[#This Row],[province RDC]],_26_03_2026_Client_Churn_v1[Province_Client],_26_03_2026_Client_Churn_v1[ID_Client],"non trouvé")</f>
        <v>CLI-01170</v>
      </c>
      <c r="L3">
        <f>_xlfn.XLOOKUP(_26_03_2026_Log_Reseau_v15[[#This Row],[province RDC]],_26_03_2026_Client_Churn_v1[Province_Client],_26_03_2026_Client_Churn_v1[Anciennete_Mois],"non trouvé")</f>
        <v>98</v>
      </c>
      <c r="M3" t="str">
        <f>_xlfn.XLOOKUP(_26_03_2026_Log_Reseau_v15[[#This Row],[province RDC]],_26_03_2026_Client_Churn_v1[Province_Client],_26_03_2026_Client_Churn_v1[Type_Forfait],"non trouvé")</f>
        <v>Pro Monde</v>
      </c>
      <c r="N3">
        <f>_xlfn.XLOOKUP(_26_03_2026_Log_Reseau_v15[[#This Row],[province RDC]],_26_03_2026_Client_Churn_v1[Province_Client],_26_03_2026_Client_Churn_v1[Duree_Cumulee_Panne_Min],"non trouvé")</f>
        <v>482</v>
      </c>
      <c r="O3">
        <f>_xlfn.XLOOKUP(_26_03_2026_Log_Reseau_v15[[#This Row],[province RDC]],_26_03_2026_Client_Churn_v1[Province_Client],_26_03_2026_Client_Churn_v1[Facture_Mensuelle],"non trouvé")</f>
        <v>55.04</v>
      </c>
      <c r="P3">
        <f>_xlfn.XLOOKUP(_26_03_2026_Log_Reseau_v15[[#This Row],[province RDC]],_26_03_2026_Client_Churn_v1[Province_Client],_26_03_2026_Client_Churn_v1[Plaintes_Service_Client],"non trouvé")</f>
        <v>5</v>
      </c>
    </row>
    <row r="4" spans="1:16" x14ac:dyDescent="0.25">
      <c r="A4" s="1">
        <v>45211</v>
      </c>
      <c r="B4" s="2">
        <v>0.27916666666666667</v>
      </c>
      <c r="C4" t="s">
        <v>806</v>
      </c>
      <c r="D4">
        <v>75</v>
      </c>
      <c r="E4" t="s">
        <v>807</v>
      </c>
      <c r="F4" t="str">
        <f>_xlfn.XLOOKUP(_26_03_2026_Log_Reseau_v15[[#This Row],[Cell_ID]],_26_03_2026_Registre_Maintenance_v1[ID_Antenne],_26_03_2026_Registre_Maintenance_v1[zone],"pas trouvé")</f>
        <v>Nord-Ubangi</v>
      </c>
      <c r="G4">
        <f>_xlfn.XLOOKUP(_26_03_2026_Log_Reseau_v15[[#This Row],[Cell_ID]],_26_03_2026_Registre_Maintenance_v1[ID_Antenne],_26_03_2026_Registre_Maintenance_v1[Latitude],"non trouvé")</f>
        <v>-8.1437910000000002</v>
      </c>
      <c r="H4">
        <f>_xlfn.XLOOKUP(_26_03_2026_Log_Reseau_v15[[#This Row],[Cell_ID]],_26_03_2026_Registre_Maintenance_v1[ID_Antenne],_26_03_2026_Registre_Maintenance_v1[Longitude],"pas trouvé")</f>
        <v>28.946161</v>
      </c>
      <c r="I4" t="str">
        <f>_xlfn.XLOOKUP(_26_03_2026_Log_Reseau_v15[[#This Row],[Cell_ID]],_26_03_2026_Registre_Maintenance_v1[ID_Antenne],_26_03_2026_Registre_Maintenance_v1[Technologie],"non trouvé")</f>
        <v>4G</v>
      </c>
      <c r="J4" t="str">
        <f>_xlfn.XLOOKUP(_26_03_2026_Log_Reseau_v15[[#This Row],[Cell_ID]],_26_03_2026_Registre_Maintenance_v1[ID_Antenne],_26_03_2026_Registre_Maintenance_v1[Equipementier],"pas trouvé")</f>
        <v>ZTE</v>
      </c>
      <c r="K4" t="str">
        <f>_xlfn.XLOOKUP(_26_03_2026_Log_Reseau_v15[[#This Row],[province RDC]],_26_03_2026_Client_Churn_v1[Province_Client],_26_03_2026_Client_Churn_v1[ID_Client],"non trouvé")</f>
        <v>CLI-01170</v>
      </c>
      <c r="L4">
        <f>_xlfn.XLOOKUP(_26_03_2026_Log_Reseau_v15[[#This Row],[province RDC]],_26_03_2026_Client_Churn_v1[Province_Client],_26_03_2026_Client_Churn_v1[Anciennete_Mois],"non trouvé")</f>
        <v>98</v>
      </c>
      <c r="M4" t="str">
        <f>_xlfn.XLOOKUP(_26_03_2026_Log_Reseau_v15[[#This Row],[province RDC]],_26_03_2026_Client_Churn_v1[Province_Client],_26_03_2026_Client_Churn_v1[Type_Forfait],"non trouvé")</f>
        <v>Pro Monde</v>
      </c>
      <c r="N4">
        <f>_xlfn.XLOOKUP(_26_03_2026_Log_Reseau_v15[[#This Row],[province RDC]],_26_03_2026_Client_Churn_v1[Province_Client],_26_03_2026_Client_Churn_v1[Duree_Cumulee_Panne_Min],"non trouvé")</f>
        <v>482</v>
      </c>
      <c r="O4">
        <f>_xlfn.XLOOKUP(_26_03_2026_Log_Reseau_v15[[#This Row],[province RDC]],_26_03_2026_Client_Churn_v1[Province_Client],_26_03_2026_Client_Churn_v1[Facture_Mensuelle],"non trouvé")</f>
        <v>55.04</v>
      </c>
      <c r="P4">
        <f>_xlfn.XLOOKUP(_26_03_2026_Log_Reseau_v15[[#This Row],[province RDC]],_26_03_2026_Client_Churn_v1[Province_Client],_26_03_2026_Client_Churn_v1[Plaintes_Service_Client],"non trouvé")</f>
        <v>5</v>
      </c>
    </row>
    <row r="5" spans="1:16" x14ac:dyDescent="0.25">
      <c r="A5" s="1">
        <v>45224</v>
      </c>
      <c r="B5" s="2">
        <v>0.56805555555555554</v>
      </c>
      <c r="C5" t="s">
        <v>809</v>
      </c>
      <c r="D5">
        <v>27</v>
      </c>
      <c r="E5" t="s">
        <v>807</v>
      </c>
      <c r="F5" t="str">
        <f>_xlfn.XLOOKUP(_26_03_2026_Log_Reseau_v15[[#This Row],[Cell_ID]],_26_03_2026_Registre_Maintenance_v1[ID_Antenne],_26_03_2026_Registre_Maintenance_v1[zone],"pas trouvé")</f>
        <v>Mai-Ndombe</v>
      </c>
      <c r="G5">
        <f>_xlfn.XLOOKUP(_26_03_2026_Log_Reseau_v15[[#This Row],[Cell_ID]],_26_03_2026_Registre_Maintenance_v1[ID_Antenne],_26_03_2026_Registre_Maintenance_v1[Latitude],"non trouvé")</f>
        <v>-10.442425</v>
      </c>
      <c r="H5">
        <f>_xlfn.XLOOKUP(_26_03_2026_Log_Reseau_v15[[#This Row],[Cell_ID]],_26_03_2026_Registre_Maintenance_v1[ID_Antenne],_26_03_2026_Registre_Maintenance_v1[Longitude],"pas trouvé")</f>
        <v>23.243632000000002</v>
      </c>
      <c r="I5" t="str">
        <f>_xlfn.XLOOKUP(_26_03_2026_Log_Reseau_v15[[#This Row],[Cell_ID]],_26_03_2026_Registre_Maintenance_v1[ID_Antenne],_26_03_2026_Registre_Maintenance_v1[Technologie],"non trouvé")</f>
        <v>4G</v>
      </c>
      <c r="J5" t="str">
        <f>_xlfn.XLOOKUP(_26_03_2026_Log_Reseau_v15[[#This Row],[Cell_ID]],_26_03_2026_Registre_Maintenance_v1[ID_Antenne],_26_03_2026_Registre_Maintenance_v1[Equipementier],"pas trouvé")</f>
        <v>Nokia</v>
      </c>
      <c r="K5" t="str">
        <f>_xlfn.XLOOKUP(_26_03_2026_Log_Reseau_v15[[#This Row],[province RDC]],_26_03_2026_Client_Churn_v1[Province_Client],_26_03_2026_Client_Churn_v1[ID_Client],"non trouvé")</f>
        <v>CLI-00361</v>
      </c>
      <c r="L5">
        <f>_xlfn.XLOOKUP(_26_03_2026_Log_Reseau_v15[[#This Row],[province RDC]],_26_03_2026_Client_Churn_v1[Province_Client],_26_03_2026_Client_Churn_v1[Anciennete_Mois],"non trouvé")</f>
        <v>66</v>
      </c>
      <c r="M5" t="str">
        <f>_xlfn.XLOOKUP(_26_03_2026_Log_Reseau_v15[[#This Row],[province RDC]],_26_03_2026_Client_Churn_v1[Province_Client],_26_03_2026_Client_Churn_v1[Type_Forfait],"non trouvé")</f>
        <v>Illimité 50Go</v>
      </c>
      <c r="N5">
        <f>_xlfn.XLOOKUP(_26_03_2026_Log_Reseau_v15[[#This Row],[province RDC]],_26_03_2026_Client_Churn_v1[Province_Client],_26_03_2026_Client_Churn_v1[Duree_Cumulee_Panne_Min],"non trouvé")</f>
        <v>270</v>
      </c>
      <c r="O5">
        <f>_xlfn.XLOOKUP(_26_03_2026_Log_Reseau_v15[[#This Row],[province RDC]],_26_03_2026_Client_Churn_v1[Province_Client],_26_03_2026_Client_Churn_v1[Facture_Mensuelle],"non trouvé")</f>
        <v>75.88</v>
      </c>
      <c r="P5">
        <f>_xlfn.XLOOKUP(_26_03_2026_Log_Reseau_v15[[#This Row],[province RDC]],_26_03_2026_Client_Churn_v1[Province_Client],_26_03_2026_Client_Churn_v1[Plaintes_Service_Client],"non trouvé")</f>
        <v>3</v>
      </c>
    </row>
    <row r="6" spans="1:16" hidden="1" x14ac:dyDescent="0.25">
      <c r="A6" s="1">
        <v>45208</v>
      </c>
      <c r="B6" s="2">
        <v>0.30138888888888887</v>
      </c>
      <c r="C6" t="s">
        <v>810</v>
      </c>
      <c r="D6">
        <v>38</v>
      </c>
      <c r="E6" t="s">
        <v>807</v>
      </c>
      <c r="F6" t="str">
        <f>_xlfn.XLOOKUP(_26_03_2026_Log_Reseau_v15[[#This Row],[Cell_ID]],_26_03_2026_Registre_Maintenance_v1[ID_Antenne],_26_03_2026_Registre_Maintenance_v1[zone],"pas trouvé")</f>
        <v>pas trouvé</v>
      </c>
      <c r="G6" t="str">
        <f>_xlfn.XLOOKUP(_26_03_2026_Log_Reseau_v15[[#This Row],[Cell_ID]],_26_03_2026_Registre_Maintenance_v1[ID_Antenne],_26_03_2026_Registre_Maintenance_v1[Latitude],"non trouvé")</f>
        <v>non trouvé</v>
      </c>
      <c r="H6" t="str">
        <f>_xlfn.XLOOKUP(_26_03_2026_Log_Reseau_v15[[#This Row],[Cell_ID]],_26_03_2026_Registre_Maintenance_v1[ID_Antenne],_26_03_2026_Registre_Maintenance_v1[Longitude],"pas trouvé")</f>
        <v>pas trouvé</v>
      </c>
      <c r="I6" t="str">
        <f>_xlfn.XLOOKUP(_26_03_2026_Log_Reseau_v15[[#This Row],[Cell_ID]],_26_03_2026_Registre_Maintenance_v1[ID_Antenne],_26_03_2026_Registre_Maintenance_v1[Technologie],"non trouvé")</f>
        <v>non trouvé</v>
      </c>
      <c r="J6" t="str">
        <f>_xlfn.XLOOKUP(_26_03_2026_Log_Reseau_v15[[#This Row],[Cell_ID]],_26_03_2026_Registre_Maintenance_v1[ID_Antenne],_26_03_2026_Registre_Maintenance_v1[Equipementier],"pas trouvé")</f>
        <v>pas trouvé</v>
      </c>
      <c r="K6" t="str">
        <f>_xlfn.XLOOKUP(_26_03_2026_Log_Reseau_v15[[#This Row],[province RDC]],_26_03_2026_Client_Churn_v1[Province_Client],_26_03_2026_Client_Churn_v1[ID_Client],"non trouvé")</f>
        <v>non trouvé</v>
      </c>
      <c r="L6" t="str">
        <f>_xlfn.XLOOKUP(_26_03_2026_Log_Reseau_v15[[#This Row],[province RDC]],_26_03_2026_Client_Churn_v1[Province_Client],_26_03_2026_Client_Churn_v1[Anciennete_Mois],"non trouvé")</f>
        <v>non trouvé</v>
      </c>
      <c r="M6" t="str">
        <f>_xlfn.XLOOKUP(_26_03_2026_Log_Reseau_v15[[#This Row],[province RDC]],_26_03_2026_Client_Churn_v1[Province_Client],_26_03_2026_Client_Churn_v1[Type_Forfait],"non trouvé")</f>
        <v>non trouvé</v>
      </c>
      <c r="N6" t="str">
        <f>_xlfn.XLOOKUP(_26_03_2026_Log_Reseau_v15[[#This Row],[province RDC]],_26_03_2026_Client_Churn_v1[Province_Client],_26_03_2026_Client_Churn_v1[Duree_Cumulee_Panne_Min],"non trouvé")</f>
        <v>non trouvé</v>
      </c>
      <c r="O6" t="str">
        <f>_xlfn.XLOOKUP(_26_03_2026_Log_Reseau_v15[[#This Row],[province RDC]],_26_03_2026_Client_Churn_v1[Province_Client],_26_03_2026_Client_Churn_v1[Facture_Mensuelle],"non trouvé")</f>
        <v>non trouvé</v>
      </c>
      <c r="P6" t="str">
        <f>_xlfn.XLOOKUP(_26_03_2026_Log_Reseau_v15[[#This Row],[province RDC]],_26_03_2026_Client_Churn_v1[Province_Client],_26_03_2026_Client_Churn_v1[Plaintes_Service_Client],"non trouvé")</f>
        <v>non trouvé</v>
      </c>
    </row>
    <row r="7" spans="1:16" hidden="1" x14ac:dyDescent="0.25">
      <c r="A7" s="1">
        <v>45226</v>
      </c>
      <c r="B7" s="2">
        <v>3.472222222222222E-3</v>
      </c>
      <c r="C7" t="s">
        <v>810</v>
      </c>
      <c r="D7">
        <v>111</v>
      </c>
      <c r="E7" t="s">
        <v>807</v>
      </c>
      <c r="F7" t="str">
        <f>_xlfn.XLOOKUP(_26_03_2026_Log_Reseau_v15[[#This Row],[Cell_ID]],_26_03_2026_Registre_Maintenance_v1[ID_Antenne],_26_03_2026_Registre_Maintenance_v1[zone],"pas trouvé")</f>
        <v>pas trouvé</v>
      </c>
      <c r="G7" t="str">
        <f>_xlfn.XLOOKUP(_26_03_2026_Log_Reseau_v15[[#This Row],[Cell_ID]],_26_03_2026_Registre_Maintenance_v1[ID_Antenne],_26_03_2026_Registre_Maintenance_v1[Latitude],"non trouvé")</f>
        <v>non trouvé</v>
      </c>
      <c r="H7" t="str">
        <f>_xlfn.XLOOKUP(_26_03_2026_Log_Reseau_v15[[#This Row],[Cell_ID]],_26_03_2026_Registre_Maintenance_v1[ID_Antenne],_26_03_2026_Registre_Maintenance_v1[Longitude],"pas trouvé")</f>
        <v>pas trouvé</v>
      </c>
      <c r="I7" t="str">
        <f>_xlfn.XLOOKUP(_26_03_2026_Log_Reseau_v15[[#This Row],[Cell_ID]],_26_03_2026_Registre_Maintenance_v1[ID_Antenne],_26_03_2026_Registre_Maintenance_v1[Technologie],"non trouvé")</f>
        <v>non trouvé</v>
      </c>
      <c r="J7" t="str">
        <f>_xlfn.XLOOKUP(_26_03_2026_Log_Reseau_v15[[#This Row],[Cell_ID]],_26_03_2026_Registre_Maintenance_v1[ID_Antenne],_26_03_2026_Registre_Maintenance_v1[Equipementier],"pas trouvé")</f>
        <v>pas trouvé</v>
      </c>
      <c r="K7" t="str">
        <f>_xlfn.XLOOKUP(_26_03_2026_Log_Reseau_v15[[#This Row],[province RDC]],_26_03_2026_Client_Churn_v1[Province_Client],_26_03_2026_Client_Churn_v1[ID_Client],"non trouvé")</f>
        <v>non trouvé</v>
      </c>
      <c r="L7" t="str">
        <f>_xlfn.XLOOKUP(_26_03_2026_Log_Reseau_v15[[#This Row],[province RDC]],_26_03_2026_Client_Churn_v1[Province_Client],_26_03_2026_Client_Churn_v1[Anciennete_Mois],"non trouvé")</f>
        <v>non trouvé</v>
      </c>
      <c r="M7" t="str">
        <f>_xlfn.XLOOKUP(_26_03_2026_Log_Reseau_v15[[#This Row],[province RDC]],_26_03_2026_Client_Churn_v1[Province_Client],_26_03_2026_Client_Churn_v1[Type_Forfait],"non trouvé")</f>
        <v>non trouvé</v>
      </c>
      <c r="N7" t="str">
        <f>_xlfn.XLOOKUP(_26_03_2026_Log_Reseau_v15[[#This Row],[province RDC]],_26_03_2026_Client_Churn_v1[Province_Client],_26_03_2026_Client_Churn_v1[Duree_Cumulee_Panne_Min],"non trouvé")</f>
        <v>non trouvé</v>
      </c>
      <c r="O7" t="str">
        <f>_xlfn.XLOOKUP(_26_03_2026_Log_Reseau_v15[[#This Row],[province RDC]],_26_03_2026_Client_Churn_v1[Province_Client],_26_03_2026_Client_Churn_v1[Facture_Mensuelle],"non trouvé")</f>
        <v>non trouvé</v>
      </c>
      <c r="P7" t="str">
        <f>_xlfn.XLOOKUP(_26_03_2026_Log_Reseau_v15[[#This Row],[province RDC]],_26_03_2026_Client_Churn_v1[Province_Client],_26_03_2026_Client_Churn_v1[Plaintes_Service_Client],"non trouvé")</f>
        <v>non trouvé</v>
      </c>
    </row>
    <row r="8" spans="1:16" hidden="1" x14ac:dyDescent="0.25">
      <c r="A8" s="1">
        <v>45216</v>
      </c>
      <c r="B8" s="2">
        <v>0.9506944444444444</v>
      </c>
      <c r="C8" t="s">
        <v>810</v>
      </c>
      <c r="D8">
        <v>12</v>
      </c>
      <c r="E8" t="s">
        <v>807</v>
      </c>
      <c r="F8" t="str">
        <f>_xlfn.XLOOKUP(_26_03_2026_Log_Reseau_v15[[#This Row],[Cell_ID]],_26_03_2026_Registre_Maintenance_v1[ID_Antenne],_26_03_2026_Registre_Maintenance_v1[zone],"pas trouvé")</f>
        <v>pas trouvé</v>
      </c>
      <c r="G8" t="str">
        <f>_xlfn.XLOOKUP(_26_03_2026_Log_Reseau_v15[[#This Row],[Cell_ID]],_26_03_2026_Registre_Maintenance_v1[ID_Antenne],_26_03_2026_Registre_Maintenance_v1[Latitude],"non trouvé")</f>
        <v>non trouvé</v>
      </c>
      <c r="H8" t="str">
        <f>_xlfn.XLOOKUP(_26_03_2026_Log_Reseau_v15[[#This Row],[Cell_ID]],_26_03_2026_Registre_Maintenance_v1[ID_Antenne],_26_03_2026_Registre_Maintenance_v1[Longitude],"pas trouvé")</f>
        <v>pas trouvé</v>
      </c>
      <c r="I8" t="str">
        <f>_xlfn.XLOOKUP(_26_03_2026_Log_Reseau_v15[[#This Row],[Cell_ID]],_26_03_2026_Registre_Maintenance_v1[ID_Antenne],_26_03_2026_Registre_Maintenance_v1[Technologie],"non trouvé")</f>
        <v>non trouvé</v>
      </c>
      <c r="J8" t="str">
        <f>_xlfn.XLOOKUP(_26_03_2026_Log_Reseau_v15[[#This Row],[Cell_ID]],_26_03_2026_Registre_Maintenance_v1[ID_Antenne],_26_03_2026_Registre_Maintenance_v1[Equipementier],"pas trouvé")</f>
        <v>pas trouvé</v>
      </c>
      <c r="K8" t="str">
        <f>_xlfn.XLOOKUP(_26_03_2026_Log_Reseau_v15[[#This Row],[province RDC]],_26_03_2026_Client_Churn_v1[Province_Client],_26_03_2026_Client_Churn_v1[ID_Client],"non trouvé")</f>
        <v>non trouvé</v>
      </c>
      <c r="L8" t="str">
        <f>_xlfn.XLOOKUP(_26_03_2026_Log_Reseau_v15[[#This Row],[province RDC]],_26_03_2026_Client_Churn_v1[Province_Client],_26_03_2026_Client_Churn_v1[Anciennete_Mois],"non trouvé")</f>
        <v>non trouvé</v>
      </c>
      <c r="M8" t="str">
        <f>_xlfn.XLOOKUP(_26_03_2026_Log_Reseau_v15[[#This Row],[province RDC]],_26_03_2026_Client_Churn_v1[Province_Client],_26_03_2026_Client_Churn_v1[Type_Forfait],"non trouvé")</f>
        <v>non trouvé</v>
      </c>
      <c r="N8" t="str">
        <f>_xlfn.XLOOKUP(_26_03_2026_Log_Reseau_v15[[#This Row],[province RDC]],_26_03_2026_Client_Churn_v1[Province_Client],_26_03_2026_Client_Churn_v1[Duree_Cumulee_Panne_Min],"non trouvé")</f>
        <v>non trouvé</v>
      </c>
      <c r="O8" t="str">
        <f>_xlfn.XLOOKUP(_26_03_2026_Log_Reseau_v15[[#This Row],[province RDC]],_26_03_2026_Client_Churn_v1[Province_Client],_26_03_2026_Client_Churn_v1[Facture_Mensuelle],"non trouvé")</f>
        <v>non trouvé</v>
      </c>
      <c r="P8" t="str">
        <f>_xlfn.XLOOKUP(_26_03_2026_Log_Reseau_v15[[#This Row],[province RDC]],_26_03_2026_Client_Churn_v1[Province_Client],_26_03_2026_Client_Churn_v1[Plaintes_Service_Client],"non trouvé")</f>
        <v>non trouvé</v>
      </c>
    </row>
    <row r="9" spans="1:16" x14ac:dyDescent="0.25">
      <c r="A9" s="1">
        <v>45230</v>
      </c>
      <c r="B9" s="2">
        <v>0.86805555555555558</v>
      </c>
      <c r="C9" t="s">
        <v>811</v>
      </c>
      <c r="D9">
        <v>103</v>
      </c>
      <c r="E9" t="s">
        <v>812</v>
      </c>
      <c r="F9" t="str">
        <f>_xlfn.XLOOKUP(_26_03_2026_Log_Reseau_v15[[#This Row],[Cell_ID]],_26_03_2026_Registre_Maintenance_v1[ID_Antenne],_26_03_2026_Registre_Maintenance_v1[zone],"pas trouvé")</f>
        <v>Bas-Uele</v>
      </c>
      <c r="G9">
        <f>_xlfn.XLOOKUP(_26_03_2026_Log_Reseau_v15[[#This Row],[Cell_ID]],_26_03_2026_Registre_Maintenance_v1[ID_Antenne],_26_03_2026_Registre_Maintenance_v1[Latitude],"non trouvé")</f>
        <v>-2.8532869999999999</v>
      </c>
      <c r="H9">
        <f>_xlfn.XLOOKUP(_26_03_2026_Log_Reseau_v15[[#This Row],[Cell_ID]],_26_03_2026_Registre_Maintenance_v1[ID_Antenne],_26_03_2026_Registre_Maintenance_v1[Longitude],"pas trouvé")</f>
        <v>22.117896000000002</v>
      </c>
      <c r="I9" t="str">
        <f>_xlfn.XLOOKUP(_26_03_2026_Log_Reseau_v15[[#This Row],[Cell_ID]],_26_03_2026_Registre_Maintenance_v1[ID_Antenne],_26_03_2026_Registre_Maintenance_v1[Technologie],"non trouvé")</f>
        <v>5G</v>
      </c>
      <c r="J9" t="str">
        <f>_xlfn.XLOOKUP(_26_03_2026_Log_Reseau_v15[[#This Row],[Cell_ID]],_26_03_2026_Registre_Maintenance_v1[ID_Antenne],_26_03_2026_Registre_Maintenance_v1[Equipementier],"pas trouvé")</f>
        <v>Huawei</v>
      </c>
      <c r="K9" t="str">
        <f>_xlfn.XLOOKUP(_26_03_2026_Log_Reseau_v15[[#This Row],[province RDC]],_26_03_2026_Client_Churn_v1[Province_Client],_26_03_2026_Client_Churn_v1[ID_Client],"non trouvé")</f>
        <v>CLI-00414</v>
      </c>
      <c r="L9">
        <f>_xlfn.XLOOKUP(_26_03_2026_Log_Reseau_v15[[#This Row],[province RDC]],_26_03_2026_Client_Churn_v1[Province_Client],_26_03_2026_Client_Churn_v1[Anciennete_Mois],"non trouvé")</f>
        <v>99</v>
      </c>
      <c r="M9" t="str">
        <f>_xlfn.XLOOKUP(_26_03_2026_Log_Reseau_v15[[#This Row],[province RDC]],_26_03_2026_Client_Churn_v1[Province_Client],_26_03_2026_Client_Churn_v1[Type_Forfait],"non trouvé")</f>
        <v>Premium 5G 150Go</v>
      </c>
      <c r="N9">
        <f>_xlfn.XLOOKUP(_26_03_2026_Log_Reseau_v15[[#This Row],[province RDC]],_26_03_2026_Client_Churn_v1[Province_Client],_26_03_2026_Client_Churn_v1[Duree_Cumulee_Panne_Min],"non trouvé")</f>
        <v>447</v>
      </c>
      <c r="O9">
        <f>_xlfn.XLOOKUP(_26_03_2026_Log_Reseau_v15[[#This Row],[province RDC]],_26_03_2026_Client_Churn_v1[Province_Client],_26_03_2026_Client_Churn_v1[Facture_Mensuelle],"non trouvé")</f>
        <v>38.1</v>
      </c>
      <c r="P9">
        <f>_xlfn.XLOOKUP(_26_03_2026_Log_Reseau_v15[[#This Row],[province RDC]],_26_03_2026_Client_Churn_v1[Province_Client],_26_03_2026_Client_Churn_v1[Plaintes_Service_Client],"non trouvé")</f>
        <v>3</v>
      </c>
    </row>
    <row r="10" spans="1:16" x14ac:dyDescent="0.25">
      <c r="A10" s="1">
        <v>45230</v>
      </c>
      <c r="B10" s="2">
        <v>0.42916666666666664</v>
      </c>
      <c r="C10" t="s">
        <v>811</v>
      </c>
      <c r="D10">
        <v>11</v>
      </c>
      <c r="E10" t="s">
        <v>812</v>
      </c>
      <c r="F10" t="str">
        <f>_xlfn.XLOOKUP(_26_03_2026_Log_Reseau_v15[[#This Row],[Cell_ID]],_26_03_2026_Registre_Maintenance_v1[ID_Antenne],_26_03_2026_Registre_Maintenance_v1[zone],"pas trouvé")</f>
        <v>Bas-Uele</v>
      </c>
      <c r="G10">
        <f>_xlfn.XLOOKUP(_26_03_2026_Log_Reseau_v15[[#This Row],[Cell_ID]],_26_03_2026_Registre_Maintenance_v1[ID_Antenne],_26_03_2026_Registre_Maintenance_v1[Latitude],"non trouvé")</f>
        <v>-2.8532869999999999</v>
      </c>
      <c r="H10">
        <f>_xlfn.XLOOKUP(_26_03_2026_Log_Reseau_v15[[#This Row],[Cell_ID]],_26_03_2026_Registre_Maintenance_v1[ID_Antenne],_26_03_2026_Registre_Maintenance_v1[Longitude],"pas trouvé")</f>
        <v>22.117896000000002</v>
      </c>
      <c r="I10" t="str">
        <f>_xlfn.XLOOKUP(_26_03_2026_Log_Reseau_v15[[#This Row],[Cell_ID]],_26_03_2026_Registre_Maintenance_v1[ID_Antenne],_26_03_2026_Registre_Maintenance_v1[Technologie],"non trouvé")</f>
        <v>5G</v>
      </c>
      <c r="J10" t="str">
        <f>_xlfn.XLOOKUP(_26_03_2026_Log_Reseau_v15[[#This Row],[Cell_ID]],_26_03_2026_Registre_Maintenance_v1[ID_Antenne],_26_03_2026_Registre_Maintenance_v1[Equipementier],"pas trouvé")</f>
        <v>Huawei</v>
      </c>
      <c r="K10" t="str">
        <f>_xlfn.XLOOKUP(_26_03_2026_Log_Reseau_v15[[#This Row],[province RDC]],_26_03_2026_Client_Churn_v1[Province_Client],_26_03_2026_Client_Churn_v1[ID_Client],"non trouvé")</f>
        <v>CLI-00414</v>
      </c>
      <c r="L10">
        <f>_xlfn.XLOOKUP(_26_03_2026_Log_Reseau_v15[[#This Row],[province RDC]],_26_03_2026_Client_Churn_v1[Province_Client],_26_03_2026_Client_Churn_v1[Anciennete_Mois],"non trouvé")</f>
        <v>99</v>
      </c>
      <c r="M10" t="str">
        <f>_xlfn.XLOOKUP(_26_03_2026_Log_Reseau_v15[[#This Row],[province RDC]],_26_03_2026_Client_Churn_v1[Province_Client],_26_03_2026_Client_Churn_v1[Type_Forfait],"non trouvé")</f>
        <v>Premium 5G 150Go</v>
      </c>
      <c r="N10">
        <f>_xlfn.XLOOKUP(_26_03_2026_Log_Reseau_v15[[#This Row],[province RDC]],_26_03_2026_Client_Churn_v1[Province_Client],_26_03_2026_Client_Churn_v1[Duree_Cumulee_Panne_Min],"non trouvé")</f>
        <v>447</v>
      </c>
      <c r="O10">
        <f>_xlfn.XLOOKUP(_26_03_2026_Log_Reseau_v15[[#This Row],[province RDC]],_26_03_2026_Client_Churn_v1[Province_Client],_26_03_2026_Client_Churn_v1[Facture_Mensuelle],"non trouvé")</f>
        <v>38.1</v>
      </c>
      <c r="P10">
        <f>_xlfn.XLOOKUP(_26_03_2026_Log_Reseau_v15[[#This Row],[province RDC]],_26_03_2026_Client_Churn_v1[Province_Client],_26_03_2026_Client_Churn_v1[Plaintes_Service_Client],"non trouvé")</f>
        <v>3</v>
      </c>
    </row>
    <row r="11" spans="1:16" x14ac:dyDescent="0.25">
      <c r="A11" s="1">
        <v>45221</v>
      </c>
      <c r="B11" s="2">
        <v>0.56597222222222221</v>
      </c>
      <c r="C11" t="s">
        <v>813</v>
      </c>
      <c r="D11">
        <v>87</v>
      </c>
      <c r="E11" t="s">
        <v>808</v>
      </c>
      <c r="F11" t="str">
        <f>_xlfn.XLOOKUP(_26_03_2026_Log_Reseau_v15[[#This Row],[Cell_ID]],_26_03_2026_Registre_Maintenance_v1[ID_Antenne],_26_03_2026_Registre_Maintenance_v1[zone],"pas trouvé")</f>
        <v>Tshopo</v>
      </c>
      <c r="G11">
        <f>_xlfn.XLOOKUP(_26_03_2026_Log_Reseau_v15[[#This Row],[Cell_ID]],_26_03_2026_Registre_Maintenance_v1[ID_Antenne],_26_03_2026_Registre_Maintenance_v1[Latitude],"non trouvé")</f>
        <v>4.7777349999999998</v>
      </c>
      <c r="H11">
        <f>_xlfn.XLOOKUP(_26_03_2026_Log_Reseau_v15[[#This Row],[Cell_ID]],_26_03_2026_Registre_Maintenance_v1[ID_Antenne],_26_03_2026_Registre_Maintenance_v1[Longitude],"pas trouvé")</f>
        <v>16.392204</v>
      </c>
      <c r="I11" t="str">
        <f>_xlfn.XLOOKUP(_26_03_2026_Log_Reseau_v15[[#This Row],[Cell_ID]],_26_03_2026_Registre_Maintenance_v1[ID_Antenne],_26_03_2026_Registre_Maintenance_v1[Technologie],"non trouvé")</f>
        <v>5G</v>
      </c>
      <c r="J11" t="str">
        <f>_xlfn.XLOOKUP(_26_03_2026_Log_Reseau_v15[[#This Row],[Cell_ID]],_26_03_2026_Registre_Maintenance_v1[ID_Antenne],_26_03_2026_Registre_Maintenance_v1[Equipementier],"pas trouvé")</f>
        <v>ZTE</v>
      </c>
      <c r="K11" t="str">
        <f>_xlfn.XLOOKUP(_26_03_2026_Log_Reseau_v15[[#This Row],[province RDC]],_26_03_2026_Client_Churn_v1[Province_Client],_26_03_2026_Client_Churn_v1[ID_Client],"non trouvé")</f>
        <v>CLI-00745</v>
      </c>
      <c r="L11">
        <f>_xlfn.XLOOKUP(_26_03_2026_Log_Reseau_v15[[#This Row],[province RDC]],_26_03_2026_Client_Churn_v1[Province_Client],_26_03_2026_Client_Churn_v1[Anciennete_Mois],"non trouvé")</f>
        <v>6</v>
      </c>
      <c r="M11" t="str">
        <f>_xlfn.XLOOKUP(_26_03_2026_Log_Reseau_v15[[#This Row],[province RDC]],_26_03_2026_Client_Churn_v1[Province_Client],_26_03_2026_Client_Churn_v1[Type_Forfait],"non trouvé")</f>
        <v>Premium 5G 150Go</v>
      </c>
      <c r="N11">
        <f>_xlfn.XLOOKUP(_26_03_2026_Log_Reseau_v15[[#This Row],[province RDC]],_26_03_2026_Client_Churn_v1[Province_Client],_26_03_2026_Client_Churn_v1[Duree_Cumulee_Panne_Min],"non trouvé")</f>
        <v>207</v>
      </c>
      <c r="O11">
        <f>_xlfn.XLOOKUP(_26_03_2026_Log_Reseau_v15[[#This Row],[province RDC]],_26_03_2026_Client_Churn_v1[Province_Client],_26_03_2026_Client_Churn_v1[Facture_Mensuelle],"non trouvé")</f>
        <v>61.55</v>
      </c>
      <c r="P11">
        <f>_xlfn.XLOOKUP(_26_03_2026_Log_Reseau_v15[[#This Row],[province RDC]],_26_03_2026_Client_Churn_v1[Province_Client],_26_03_2026_Client_Churn_v1[Plaintes_Service_Client],"non trouvé")</f>
        <v>0</v>
      </c>
    </row>
    <row r="12" spans="1:16" x14ac:dyDescent="0.25">
      <c r="A12" s="1">
        <v>45222</v>
      </c>
      <c r="B12" s="2">
        <v>0.50138888888888888</v>
      </c>
      <c r="C12" t="s">
        <v>814</v>
      </c>
      <c r="D12">
        <v>39</v>
      </c>
      <c r="E12" t="s">
        <v>807</v>
      </c>
      <c r="F12" t="str">
        <f>_xlfn.XLOOKUP(_26_03_2026_Log_Reseau_v15[[#This Row],[Cell_ID]],_26_03_2026_Registre_Maintenance_v1[ID_Antenne],_26_03_2026_Registre_Maintenance_v1[zone],"pas trouvé")</f>
        <v>Haut-Lomami</v>
      </c>
      <c r="G12">
        <f>_xlfn.XLOOKUP(_26_03_2026_Log_Reseau_v15[[#This Row],[Cell_ID]],_26_03_2026_Registre_Maintenance_v1[ID_Antenne],_26_03_2026_Registre_Maintenance_v1[Latitude],"non trouvé")</f>
        <v>-11.89448</v>
      </c>
      <c r="H12">
        <f>_xlfn.XLOOKUP(_26_03_2026_Log_Reseau_v15[[#This Row],[Cell_ID]],_26_03_2026_Registre_Maintenance_v1[ID_Antenne],_26_03_2026_Registre_Maintenance_v1[Longitude],"pas trouvé")</f>
        <v>19.216214999999998</v>
      </c>
      <c r="I12" t="str">
        <f>_xlfn.XLOOKUP(_26_03_2026_Log_Reseau_v15[[#This Row],[Cell_ID]],_26_03_2026_Registre_Maintenance_v1[ID_Antenne],_26_03_2026_Registre_Maintenance_v1[Technologie],"non trouvé")</f>
        <v>3G</v>
      </c>
      <c r="J12" t="str">
        <f>_xlfn.XLOOKUP(_26_03_2026_Log_Reseau_v15[[#This Row],[Cell_ID]],_26_03_2026_Registre_Maintenance_v1[ID_Antenne],_26_03_2026_Registre_Maintenance_v1[Equipementier],"pas trouvé")</f>
        <v>ZTE</v>
      </c>
      <c r="K12" t="str">
        <f>_xlfn.XLOOKUP(_26_03_2026_Log_Reseau_v15[[#This Row],[province RDC]],_26_03_2026_Client_Churn_v1[Province_Client],_26_03_2026_Client_Churn_v1[ID_Client],"non trouvé")</f>
        <v>CLI-01325</v>
      </c>
      <c r="L12">
        <f>_xlfn.XLOOKUP(_26_03_2026_Log_Reseau_v15[[#This Row],[province RDC]],_26_03_2026_Client_Churn_v1[Province_Client],_26_03_2026_Client_Churn_v1[Anciennete_Mois],"non trouvé")</f>
        <v>44</v>
      </c>
      <c r="M12" t="str">
        <f>_xlfn.XLOOKUP(_26_03_2026_Log_Reseau_v15[[#This Row],[province RDC]],_26_03_2026_Client_Churn_v1[Province_Client],_26_03_2026_Client_Churn_v1[Type_Forfait],"non trouvé")</f>
        <v>Bloqué 5Go</v>
      </c>
      <c r="N12">
        <f>_xlfn.XLOOKUP(_26_03_2026_Log_Reseau_v15[[#This Row],[province RDC]],_26_03_2026_Client_Churn_v1[Province_Client],_26_03_2026_Client_Churn_v1[Duree_Cumulee_Panne_Min],"non trouvé")</f>
        <v>348</v>
      </c>
      <c r="O12">
        <f>_xlfn.XLOOKUP(_26_03_2026_Log_Reseau_v15[[#This Row],[province RDC]],_26_03_2026_Client_Churn_v1[Province_Client],_26_03_2026_Client_Churn_v1[Facture_Mensuelle],"non trouvé")</f>
        <v>58.67</v>
      </c>
      <c r="P12">
        <f>_xlfn.XLOOKUP(_26_03_2026_Log_Reseau_v15[[#This Row],[province RDC]],_26_03_2026_Client_Churn_v1[Province_Client],_26_03_2026_Client_Churn_v1[Plaintes_Service_Client],"non trouvé")</f>
        <v>0</v>
      </c>
    </row>
    <row r="13" spans="1:16" x14ac:dyDescent="0.25">
      <c r="A13" s="1">
        <v>45210</v>
      </c>
      <c r="B13" s="2">
        <v>0.8354166666666667</v>
      </c>
      <c r="C13" t="s">
        <v>815</v>
      </c>
      <c r="D13">
        <v>80</v>
      </c>
      <c r="E13" t="s">
        <v>808</v>
      </c>
      <c r="F13" t="str">
        <f>_xlfn.XLOOKUP(_26_03_2026_Log_Reseau_v15[[#This Row],[Cell_ID]],_26_03_2026_Registre_Maintenance_v1[ID_Antenne],_26_03_2026_Registre_Maintenance_v1[zone],"pas trouvé")</f>
        <v>Haut-Katanga</v>
      </c>
      <c r="G13">
        <f>_xlfn.XLOOKUP(_26_03_2026_Log_Reseau_v15[[#This Row],[Cell_ID]],_26_03_2026_Registre_Maintenance_v1[ID_Antenne],_26_03_2026_Registre_Maintenance_v1[Latitude],"non trouvé")</f>
        <v>4.4712560000000003</v>
      </c>
      <c r="H13">
        <f>_xlfn.XLOOKUP(_26_03_2026_Log_Reseau_v15[[#This Row],[Cell_ID]],_26_03_2026_Registre_Maintenance_v1[ID_Antenne],_26_03_2026_Registre_Maintenance_v1[Longitude],"pas trouvé")</f>
        <v>27.107028</v>
      </c>
      <c r="I13" t="str">
        <f>_xlfn.XLOOKUP(_26_03_2026_Log_Reseau_v15[[#This Row],[Cell_ID]],_26_03_2026_Registre_Maintenance_v1[ID_Antenne],_26_03_2026_Registre_Maintenance_v1[Technologie],"non trouvé")</f>
        <v>3G</v>
      </c>
      <c r="J13" t="str">
        <f>_xlfn.XLOOKUP(_26_03_2026_Log_Reseau_v15[[#This Row],[Cell_ID]],_26_03_2026_Registre_Maintenance_v1[ID_Antenne],_26_03_2026_Registre_Maintenance_v1[Equipementier],"pas trouvé")</f>
        <v>Ericsson</v>
      </c>
      <c r="K13" t="str">
        <f>_xlfn.XLOOKUP(_26_03_2026_Log_Reseau_v15[[#This Row],[province RDC]],_26_03_2026_Client_Churn_v1[Province_Client],_26_03_2026_Client_Churn_v1[ID_Client],"non trouvé")</f>
        <v>CLI-00076</v>
      </c>
      <c r="L13">
        <f>_xlfn.XLOOKUP(_26_03_2026_Log_Reseau_v15[[#This Row],[province RDC]],_26_03_2026_Client_Churn_v1[Province_Client],_26_03_2026_Client_Churn_v1[Anciennete_Mois],"non trouvé")</f>
        <v>46</v>
      </c>
      <c r="M13" t="str">
        <f>_xlfn.XLOOKUP(_26_03_2026_Log_Reseau_v15[[#This Row],[province RDC]],_26_03_2026_Client_Churn_v1[Province_Client],_26_03_2026_Client_Churn_v1[Type_Forfait],"non trouvé")</f>
        <v>Premium 5G 150Go</v>
      </c>
      <c r="N13">
        <f>_xlfn.XLOOKUP(_26_03_2026_Log_Reseau_v15[[#This Row],[province RDC]],_26_03_2026_Client_Churn_v1[Province_Client],_26_03_2026_Client_Churn_v1[Duree_Cumulee_Panne_Min],"non trouvé")</f>
        <v>283</v>
      </c>
      <c r="O13">
        <f>_xlfn.XLOOKUP(_26_03_2026_Log_Reseau_v15[[#This Row],[province RDC]],_26_03_2026_Client_Churn_v1[Province_Client],_26_03_2026_Client_Churn_v1[Facture_Mensuelle],"non trouvé")</f>
        <v>56.05</v>
      </c>
      <c r="P13">
        <f>_xlfn.XLOOKUP(_26_03_2026_Log_Reseau_v15[[#This Row],[province RDC]],_26_03_2026_Client_Churn_v1[Province_Client],_26_03_2026_Client_Churn_v1[Plaintes_Service_Client],"non trouvé")</f>
        <v>1</v>
      </c>
    </row>
    <row r="14" spans="1:16" x14ac:dyDescent="0.25">
      <c r="A14" s="1">
        <v>45223</v>
      </c>
      <c r="B14" s="2">
        <v>0.41875000000000001</v>
      </c>
      <c r="C14" t="s">
        <v>815</v>
      </c>
      <c r="D14">
        <v>89</v>
      </c>
      <c r="E14" t="s">
        <v>807</v>
      </c>
      <c r="F14" t="str">
        <f>_xlfn.XLOOKUP(_26_03_2026_Log_Reseau_v15[[#This Row],[Cell_ID]],_26_03_2026_Registre_Maintenance_v1[ID_Antenne],_26_03_2026_Registre_Maintenance_v1[zone],"pas trouvé")</f>
        <v>Haut-Katanga</v>
      </c>
      <c r="G14">
        <f>_xlfn.XLOOKUP(_26_03_2026_Log_Reseau_v15[[#This Row],[Cell_ID]],_26_03_2026_Registre_Maintenance_v1[ID_Antenne],_26_03_2026_Registre_Maintenance_v1[Latitude],"non trouvé")</f>
        <v>4.4712560000000003</v>
      </c>
      <c r="H14">
        <f>_xlfn.XLOOKUP(_26_03_2026_Log_Reseau_v15[[#This Row],[Cell_ID]],_26_03_2026_Registre_Maintenance_v1[ID_Antenne],_26_03_2026_Registre_Maintenance_v1[Longitude],"pas trouvé")</f>
        <v>27.107028</v>
      </c>
      <c r="I14" t="str">
        <f>_xlfn.XLOOKUP(_26_03_2026_Log_Reseau_v15[[#This Row],[Cell_ID]],_26_03_2026_Registre_Maintenance_v1[ID_Antenne],_26_03_2026_Registre_Maintenance_v1[Technologie],"non trouvé")</f>
        <v>3G</v>
      </c>
      <c r="J14" t="str">
        <f>_xlfn.XLOOKUP(_26_03_2026_Log_Reseau_v15[[#This Row],[Cell_ID]],_26_03_2026_Registre_Maintenance_v1[ID_Antenne],_26_03_2026_Registre_Maintenance_v1[Equipementier],"pas trouvé")</f>
        <v>Ericsson</v>
      </c>
      <c r="K14" t="str">
        <f>_xlfn.XLOOKUP(_26_03_2026_Log_Reseau_v15[[#This Row],[province RDC]],_26_03_2026_Client_Churn_v1[Province_Client],_26_03_2026_Client_Churn_v1[ID_Client],"non trouvé")</f>
        <v>CLI-00076</v>
      </c>
      <c r="L14">
        <f>_xlfn.XLOOKUP(_26_03_2026_Log_Reseau_v15[[#This Row],[province RDC]],_26_03_2026_Client_Churn_v1[Province_Client],_26_03_2026_Client_Churn_v1[Anciennete_Mois],"non trouvé")</f>
        <v>46</v>
      </c>
      <c r="M14" t="str">
        <f>_xlfn.XLOOKUP(_26_03_2026_Log_Reseau_v15[[#This Row],[province RDC]],_26_03_2026_Client_Churn_v1[Province_Client],_26_03_2026_Client_Churn_v1[Type_Forfait],"non trouvé")</f>
        <v>Premium 5G 150Go</v>
      </c>
      <c r="N14">
        <f>_xlfn.XLOOKUP(_26_03_2026_Log_Reseau_v15[[#This Row],[province RDC]],_26_03_2026_Client_Churn_v1[Province_Client],_26_03_2026_Client_Churn_v1[Duree_Cumulee_Panne_Min],"non trouvé")</f>
        <v>283</v>
      </c>
      <c r="O14">
        <f>_xlfn.XLOOKUP(_26_03_2026_Log_Reseau_v15[[#This Row],[province RDC]],_26_03_2026_Client_Churn_v1[Province_Client],_26_03_2026_Client_Churn_v1[Facture_Mensuelle],"non trouvé")</f>
        <v>56.05</v>
      </c>
      <c r="P14">
        <f>_xlfn.XLOOKUP(_26_03_2026_Log_Reseau_v15[[#This Row],[province RDC]],_26_03_2026_Client_Churn_v1[Province_Client],_26_03_2026_Client_Churn_v1[Plaintes_Service_Client],"non trouvé")</f>
        <v>1</v>
      </c>
    </row>
    <row r="15" spans="1:16" x14ac:dyDescent="0.25">
      <c r="A15" s="1">
        <v>45202</v>
      </c>
      <c r="B15" s="2">
        <v>0.8520833333333333</v>
      </c>
      <c r="C15" t="s">
        <v>816</v>
      </c>
      <c r="D15">
        <v>83</v>
      </c>
      <c r="E15" t="s">
        <v>807</v>
      </c>
      <c r="F15" t="str">
        <f>_xlfn.XLOOKUP(_26_03_2026_Log_Reseau_v15[[#This Row],[Cell_ID]],_26_03_2026_Registre_Maintenance_v1[ID_Antenne],_26_03_2026_Registre_Maintenance_v1[zone],"pas trouvé")</f>
        <v>Mai-Ndombe</v>
      </c>
      <c r="G15">
        <f>_xlfn.XLOOKUP(_26_03_2026_Log_Reseau_v15[[#This Row],[Cell_ID]],_26_03_2026_Registre_Maintenance_v1[ID_Antenne],_26_03_2026_Registre_Maintenance_v1[Latitude],"non trouvé")</f>
        <v>-1.607639</v>
      </c>
      <c r="H15">
        <f>_xlfn.XLOOKUP(_26_03_2026_Log_Reseau_v15[[#This Row],[Cell_ID]],_26_03_2026_Registre_Maintenance_v1[ID_Antenne],_26_03_2026_Registre_Maintenance_v1[Longitude],"pas trouvé")</f>
        <v>17.003636</v>
      </c>
      <c r="I15" t="str">
        <f>_xlfn.XLOOKUP(_26_03_2026_Log_Reseau_v15[[#This Row],[Cell_ID]],_26_03_2026_Registre_Maintenance_v1[ID_Antenne],_26_03_2026_Registre_Maintenance_v1[Technologie],"non trouvé")</f>
        <v>4G</v>
      </c>
      <c r="J15" t="str">
        <f>_xlfn.XLOOKUP(_26_03_2026_Log_Reseau_v15[[#This Row],[Cell_ID]],_26_03_2026_Registre_Maintenance_v1[ID_Antenne],_26_03_2026_Registre_Maintenance_v1[Equipementier],"pas trouvé")</f>
        <v>Ericsson</v>
      </c>
      <c r="K15" t="str">
        <f>_xlfn.XLOOKUP(_26_03_2026_Log_Reseau_v15[[#This Row],[province RDC]],_26_03_2026_Client_Churn_v1[Province_Client],_26_03_2026_Client_Churn_v1[ID_Client],"non trouvé")</f>
        <v>CLI-00361</v>
      </c>
      <c r="L15">
        <f>_xlfn.XLOOKUP(_26_03_2026_Log_Reseau_v15[[#This Row],[province RDC]],_26_03_2026_Client_Churn_v1[Province_Client],_26_03_2026_Client_Churn_v1[Anciennete_Mois],"non trouvé")</f>
        <v>66</v>
      </c>
      <c r="M15" t="str">
        <f>_xlfn.XLOOKUP(_26_03_2026_Log_Reseau_v15[[#This Row],[province RDC]],_26_03_2026_Client_Churn_v1[Province_Client],_26_03_2026_Client_Churn_v1[Type_Forfait],"non trouvé")</f>
        <v>Illimité 50Go</v>
      </c>
      <c r="N15">
        <f>_xlfn.XLOOKUP(_26_03_2026_Log_Reseau_v15[[#This Row],[province RDC]],_26_03_2026_Client_Churn_v1[Province_Client],_26_03_2026_Client_Churn_v1[Duree_Cumulee_Panne_Min],"non trouvé")</f>
        <v>270</v>
      </c>
      <c r="O15">
        <f>_xlfn.XLOOKUP(_26_03_2026_Log_Reseau_v15[[#This Row],[province RDC]],_26_03_2026_Client_Churn_v1[Province_Client],_26_03_2026_Client_Churn_v1[Facture_Mensuelle],"non trouvé")</f>
        <v>75.88</v>
      </c>
      <c r="P15">
        <f>_xlfn.XLOOKUP(_26_03_2026_Log_Reseau_v15[[#This Row],[province RDC]],_26_03_2026_Client_Churn_v1[Province_Client],_26_03_2026_Client_Churn_v1[Plaintes_Service_Client],"non trouvé")</f>
        <v>3</v>
      </c>
    </row>
    <row r="16" spans="1:16" hidden="1" x14ac:dyDescent="0.25">
      <c r="A16" s="1">
        <v>45213</v>
      </c>
      <c r="B16" s="2">
        <v>0.92222222222222228</v>
      </c>
      <c r="C16" t="s">
        <v>817</v>
      </c>
      <c r="D16">
        <v>40</v>
      </c>
      <c r="E16" t="s">
        <v>807</v>
      </c>
      <c r="F16" t="str">
        <f>_xlfn.XLOOKUP(_26_03_2026_Log_Reseau_v15[[#This Row],[Cell_ID]],_26_03_2026_Registre_Maintenance_v1[ID_Antenne],_26_03_2026_Registre_Maintenance_v1[zone],"pas trouvé")</f>
        <v>pas trouvé</v>
      </c>
      <c r="G16" t="str">
        <f>_xlfn.XLOOKUP(_26_03_2026_Log_Reseau_v15[[#This Row],[Cell_ID]],_26_03_2026_Registre_Maintenance_v1[ID_Antenne],_26_03_2026_Registre_Maintenance_v1[Latitude],"non trouvé")</f>
        <v>non trouvé</v>
      </c>
      <c r="H16" t="str">
        <f>_xlfn.XLOOKUP(_26_03_2026_Log_Reseau_v15[[#This Row],[Cell_ID]],_26_03_2026_Registre_Maintenance_v1[ID_Antenne],_26_03_2026_Registre_Maintenance_v1[Longitude],"pas trouvé")</f>
        <v>pas trouvé</v>
      </c>
      <c r="I16" t="str">
        <f>_xlfn.XLOOKUP(_26_03_2026_Log_Reseau_v15[[#This Row],[Cell_ID]],_26_03_2026_Registre_Maintenance_v1[ID_Antenne],_26_03_2026_Registre_Maintenance_v1[Technologie],"non trouvé")</f>
        <v>non trouvé</v>
      </c>
      <c r="J16" t="str">
        <f>_xlfn.XLOOKUP(_26_03_2026_Log_Reseau_v15[[#This Row],[Cell_ID]],_26_03_2026_Registre_Maintenance_v1[ID_Antenne],_26_03_2026_Registre_Maintenance_v1[Equipementier],"pas trouvé")</f>
        <v>pas trouvé</v>
      </c>
      <c r="K16" t="str">
        <f>_xlfn.XLOOKUP(_26_03_2026_Log_Reseau_v15[[#This Row],[province RDC]],_26_03_2026_Client_Churn_v1[Province_Client],_26_03_2026_Client_Churn_v1[ID_Client],"non trouvé")</f>
        <v>non trouvé</v>
      </c>
      <c r="L16" t="str">
        <f>_xlfn.XLOOKUP(_26_03_2026_Log_Reseau_v15[[#This Row],[province RDC]],_26_03_2026_Client_Churn_v1[Province_Client],_26_03_2026_Client_Churn_v1[Anciennete_Mois],"non trouvé")</f>
        <v>non trouvé</v>
      </c>
      <c r="M16" t="str">
        <f>_xlfn.XLOOKUP(_26_03_2026_Log_Reseau_v15[[#This Row],[province RDC]],_26_03_2026_Client_Churn_v1[Province_Client],_26_03_2026_Client_Churn_v1[Type_Forfait],"non trouvé")</f>
        <v>non trouvé</v>
      </c>
      <c r="N16" t="str">
        <f>_xlfn.XLOOKUP(_26_03_2026_Log_Reseau_v15[[#This Row],[province RDC]],_26_03_2026_Client_Churn_v1[Province_Client],_26_03_2026_Client_Churn_v1[Duree_Cumulee_Panne_Min],"non trouvé")</f>
        <v>non trouvé</v>
      </c>
      <c r="O16" t="str">
        <f>_xlfn.XLOOKUP(_26_03_2026_Log_Reseau_v15[[#This Row],[province RDC]],_26_03_2026_Client_Churn_v1[Province_Client],_26_03_2026_Client_Churn_v1[Facture_Mensuelle],"non trouvé")</f>
        <v>non trouvé</v>
      </c>
      <c r="P16" t="str">
        <f>_xlfn.XLOOKUP(_26_03_2026_Log_Reseau_v15[[#This Row],[province RDC]],_26_03_2026_Client_Churn_v1[Province_Client],_26_03_2026_Client_Churn_v1[Plaintes_Service_Client],"non trouvé")</f>
        <v>non trouvé</v>
      </c>
    </row>
    <row r="17" spans="1:16" hidden="1" x14ac:dyDescent="0.25">
      <c r="A17" s="1">
        <v>45222</v>
      </c>
      <c r="B17" s="2">
        <v>0.55972222222222223</v>
      </c>
      <c r="C17" t="s">
        <v>817</v>
      </c>
      <c r="D17">
        <v>26</v>
      </c>
      <c r="E17" t="s">
        <v>812</v>
      </c>
      <c r="F17" t="str">
        <f>_xlfn.XLOOKUP(_26_03_2026_Log_Reseau_v15[[#This Row],[Cell_ID]],_26_03_2026_Registre_Maintenance_v1[ID_Antenne],_26_03_2026_Registre_Maintenance_v1[zone],"pas trouvé")</f>
        <v>pas trouvé</v>
      </c>
      <c r="G17" t="str">
        <f>_xlfn.XLOOKUP(_26_03_2026_Log_Reseau_v15[[#This Row],[Cell_ID]],_26_03_2026_Registre_Maintenance_v1[ID_Antenne],_26_03_2026_Registre_Maintenance_v1[Latitude],"non trouvé")</f>
        <v>non trouvé</v>
      </c>
      <c r="H17" t="str">
        <f>_xlfn.XLOOKUP(_26_03_2026_Log_Reseau_v15[[#This Row],[Cell_ID]],_26_03_2026_Registre_Maintenance_v1[ID_Antenne],_26_03_2026_Registre_Maintenance_v1[Longitude],"pas trouvé")</f>
        <v>pas trouvé</v>
      </c>
      <c r="I17" t="str">
        <f>_xlfn.XLOOKUP(_26_03_2026_Log_Reseau_v15[[#This Row],[Cell_ID]],_26_03_2026_Registre_Maintenance_v1[ID_Antenne],_26_03_2026_Registre_Maintenance_v1[Technologie],"non trouvé")</f>
        <v>non trouvé</v>
      </c>
      <c r="J17" t="str">
        <f>_xlfn.XLOOKUP(_26_03_2026_Log_Reseau_v15[[#This Row],[Cell_ID]],_26_03_2026_Registre_Maintenance_v1[ID_Antenne],_26_03_2026_Registre_Maintenance_v1[Equipementier],"pas trouvé")</f>
        <v>pas trouvé</v>
      </c>
      <c r="K17" t="str">
        <f>_xlfn.XLOOKUP(_26_03_2026_Log_Reseau_v15[[#This Row],[province RDC]],_26_03_2026_Client_Churn_v1[Province_Client],_26_03_2026_Client_Churn_v1[ID_Client],"non trouvé")</f>
        <v>non trouvé</v>
      </c>
      <c r="L17" t="str">
        <f>_xlfn.XLOOKUP(_26_03_2026_Log_Reseau_v15[[#This Row],[province RDC]],_26_03_2026_Client_Churn_v1[Province_Client],_26_03_2026_Client_Churn_v1[Anciennete_Mois],"non trouvé")</f>
        <v>non trouvé</v>
      </c>
      <c r="M17" t="str">
        <f>_xlfn.XLOOKUP(_26_03_2026_Log_Reseau_v15[[#This Row],[province RDC]],_26_03_2026_Client_Churn_v1[Province_Client],_26_03_2026_Client_Churn_v1[Type_Forfait],"non trouvé")</f>
        <v>non trouvé</v>
      </c>
      <c r="N17" t="str">
        <f>_xlfn.XLOOKUP(_26_03_2026_Log_Reseau_v15[[#This Row],[province RDC]],_26_03_2026_Client_Churn_v1[Province_Client],_26_03_2026_Client_Churn_v1[Duree_Cumulee_Panne_Min],"non trouvé")</f>
        <v>non trouvé</v>
      </c>
      <c r="O17" t="str">
        <f>_xlfn.XLOOKUP(_26_03_2026_Log_Reseau_v15[[#This Row],[province RDC]],_26_03_2026_Client_Churn_v1[Province_Client],_26_03_2026_Client_Churn_v1[Facture_Mensuelle],"non trouvé")</f>
        <v>non trouvé</v>
      </c>
      <c r="P17" t="str">
        <f>_xlfn.XLOOKUP(_26_03_2026_Log_Reseau_v15[[#This Row],[province RDC]],_26_03_2026_Client_Churn_v1[Province_Client],_26_03_2026_Client_Churn_v1[Plaintes_Service_Client],"non trouvé")</f>
        <v>non trouvé</v>
      </c>
    </row>
    <row r="18" spans="1:16" hidden="1" x14ac:dyDescent="0.25">
      <c r="A18" s="1">
        <v>45219</v>
      </c>
      <c r="B18" s="2">
        <v>0.98958333333333337</v>
      </c>
      <c r="C18" t="s">
        <v>818</v>
      </c>
      <c r="D18">
        <v>36</v>
      </c>
      <c r="E18" t="s">
        <v>807</v>
      </c>
      <c r="F18" t="str">
        <f>_xlfn.XLOOKUP(_26_03_2026_Log_Reseau_v15[[#This Row],[Cell_ID]],_26_03_2026_Registre_Maintenance_v1[ID_Antenne],_26_03_2026_Registre_Maintenance_v1[zone],"pas trouvé")</f>
        <v>pas trouvé</v>
      </c>
      <c r="G18" t="str">
        <f>_xlfn.XLOOKUP(_26_03_2026_Log_Reseau_v15[[#This Row],[Cell_ID]],_26_03_2026_Registre_Maintenance_v1[ID_Antenne],_26_03_2026_Registre_Maintenance_v1[Latitude],"non trouvé")</f>
        <v>non trouvé</v>
      </c>
      <c r="H18" t="str">
        <f>_xlfn.XLOOKUP(_26_03_2026_Log_Reseau_v15[[#This Row],[Cell_ID]],_26_03_2026_Registre_Maintenance_v1[ID_Antenne],_26_03_2026_Registre_Maintenance_v1[Longitude],"pas trouvé")</f>
        <v>pas trouvé</v>
      </c>
      <c r="I18" t="str">
        <f>_xlfn.XLOOKUP(_26_03_2026_Log_Reseau_v15[[#This Row],[Cell_ID]],_26_03_2026_Registre_Maintenance_v1[ID_Antenne],_26_03_2026_Registre_Maintenance_v1[Technologie],"non trouvé")</f>
        <v>non trouvé</v>
      </c>
      <c r="J18" t="str">
        <f>_xlfn.XLOOKUP(_26_03_2026_Log_Reseau_v15[[#This Row],[Cell_ID]],_26_03_2026_Registre_Maintenance_v1[ID_Antenne],_26_03_2026_Registre_Maintenance_v1[Equipementier],"pas trouvé")</f>
        <v>pas trouvé</v>
      </c>
      <c r="K18" t="str">
        <f>_xlfn.XLOOKUP(_26_03_2026_Log_Reseau_v15[[#This Row],[province RDC]],_26_03_2026_Client_Churn_v1[Province_Client],_26_03_2026_Client_Churn_v1[ID_Client],"non trouvé")</f>
        <v>non trouvé</v>
      </c>
      <c r="L18" t="str">
        <f>_xlfn.XLOOKUP(_26_03_2026_Log_Reseau_v15[[#This Row],[province RDC]],_26_03_2026_Client_Churn_v1[Province_Client],_26_03_2026_Client_Churn_v1[Anciennete_Mois],"non trouvé")</f>
        <v>non trouvé</v>
      </c>
      <c r="M18" t="str">
        <f>_xlfn.XLOOKUP(_26_03_2026_Log_Reseau_v15[[#This Row],[province RDC]],_26_03_2026_Client_Churn_v1[Province_Client],_26_03_2026_Client_Churn_v1[Type_Forfait],"non trouvé")</f>
        <v>non trouvé</v>
      </c>
      <c r="N18" t="str">
        <f>_xlfn.XLOOKUP(_26_03_2026_Log_Reseau_v15[[#This Row],[province RDC]],_26_03_2026_Client_Churn_v1[Province_Client],_26_03_2026_Client_Churn_v1[Duree_Cumulee_Panne_Min],"non trouvé")</f>
        <v>non trouvé</v>
      </c>
      <c r="O18" t="str">
        <f>_xlfn.XLOOKUP(_26_03_2026_Log_Reseau_v15[[#This Row],[province RDC]],_26_03_2026_Client_Churn_v1[Province_Client],_26_03_2026_Client_Churn_v1[Facture_Mensuelle],"non trouvé")</f>
        <v>non trouvé</v>
      </c>
      <c r="P18" t="str">
        <f>_xlfn.XLOOKUP(_26_03_2026_Log_Reseau_v15[[#This Row],[province RDC]],_26_03_2026_Client_Churn_v1[Province_Client],_26_03_2026_Client_Churn_v1[Plaintes_Service_Client],"non trouvé")</f>
        <v>non trouvé</v>
      </c>
    </row>
    <row r="19" spans="1:16" hidden="1" x14ac:dyDescent="0.25">
      <c r="A19" s="1">
        <v>45204</v>
      </c>
      <c r="B19" s="2">
        <v>0.39166666666666666</v>
      </c>
      <c r="C19" t="s">
        <v>818</v>
      </c>
      <c r="D19">
        <v>98</v>
      </c>
      <c r="E19" t="s">
        <v>812</v>
      </c>
      <c r="F19" t="str">
        <f>_xlfn.XLOOKUP(_26_03_2026_Log_Reseau_v15[[#This Row],[Cell_ID]],_26_03_2026_Registre_Maintenance_v1[ID_Antenne],_26_03_2026_Registre_Maintenance_v1[zone],"pas trouvé")</f>
        <v>pas trouvé</v>
      </c>
      <c r="G19" t="str">
        <f>_xlfn.XLOOKUP(_26_03_2026_Log_Reseau_v15[[#This Row],[Cell_ID]],_26_03_2026_Registre_Maintenance_v1[ID_Antenne],_26_03_2026_Registre_Maintenance_v1[Latitude],"non trouvé")</f>
        <v>non trouvé</v>
      </c>
      <c r="H19" t="str">
        <f>_xlfn.XLOOKUP(_26_03_2026_Log_Reseau_v15[[#This Row],[Cell_ID]],_26_03_2026_Registre_Maintenance_v1[ID_Antenne],_26_03_2026_Registre_Maintenance_v1[Longitude],"pas trouvé")</f>
        <v>pas trouvé</v>
      </c>
      <c r="I19" t="str">
        <f>_xlfn.XLOOKUP(_26_03_2026_Log_Reseau_v15[[#This Row],[Cell_ID]],_26_03_2026_Registre_Maintenance_v1[ID_Antenne],_26_03_2026_Registre_Maintenance_v1[Technologie],"non trouvé")</f>
        <v>non trouvé</v>
      </c>
      <c r="J19" t="str">
        <f>_xlfn.XLOOKUP(_26_03_2026_Log_Reseau_v15[[#This Row],[Cell_ID]],_26_03_2026_Registre_Maintenance_v1[ID_Antenne],_26_03_2026_Registre_Maintenance_v1[Equipementier],"pas trouvé")</f>
        <v>pas trouvé</v>
      </c>
      <c r="K19" t="str">
        <f>_xlfn.XLOOKUP(_26_03_2026_Log_Reseau_v15[[#This Row],[province RDC]],_26_03_2026_Client_Churn_v1[Province_Client],_26_03_2026_Client_Churn_v1[ID_Client],"non trouvé")</f>
        <v>non trouvé</v>
      </c>
      <c r="L19" t="str">
        <f>_xlfn.XLOOKUP(_26_03_2026_Log_Reseau_v15[[#This Row],[province RDC]],_26_03_2026_Client_Churn_v1[Province_Client],_26_03_2026_Client_Churn_v1[Anciennete_Mois],"non trouvé")</f>
        <v>non trouvé</v>
      </c>
      <c r="M19" t="str">
        <f>_xlfn.XLOOKUP(_26_03_2026_Log_Reseau_v15[[#This Row],[province RDC]],_26_03_2026_Client_Churn_v1[Province_Client],_26_03_2026_Client_Churn_v1[Type_Forfait],"non trouvé")</f>
        <v>non trouvé</v>
      </c>
      <c r="N19" t="str">
        <f>_xlfn.XLOOKUP(_26_03_2026_Log_Reseau_v15[[#This Row],[province RDC]],_26_03_2026_Client_Churn_v1[Province_Client],_26_03_2026_Client_Churn_v1[Duree_Cumulee_Panne_Min],"non trouvé")</f>
        <v>non trouvé</v>
      </c>
      <c r="O19" t="str">
        <f>_xlfn.XLOOKUP(_26_03_2026_Log_Reseau_v15[[#This Row],[province RDC]],_26_03_2026_Client_Churn_v1[Province_Client],_26_03_2026_Client_Churn_v1[Facture_Mensuelle],"non trouvé")</f>
        <v>non trouvé</v>
      </c>
      <c r="P19" t="str">
        <f>_xlfn.XLOOKUP(_26_03_2026_Log_Reseau_v15[[#This Row],[province RDC]],_26_03_2026_Client_Churn_v1[Province_Client],_26_03_2026_Client_Churn_v1[Plaintes_Service_Client],"non trouvé")</f>
        <v>non trouvé</v>
      </c>
    </row>
    <row r="20" spans="1:16" hidden="1" x14ac:dyDescent="0.25">
      <c r="A20" s="1">
        <v>45230</v>
      </c>
      <c r="B20" s="2">
        <v>0.56597222222222221</v>
      </c>
      <c r="C20" t="s">
        <v>818</v>
      </c>
      <c r="D20">
        <v>74</v>
      </c>
      <c r="E20" t="s">
        <v>807</v>
      </c>
      <c r="F20" t="str">
        <f>_xlfn.XLOOKUP(_26_03_2026_Log_Reseau_v15[[#This Row],[Cell_ID]],_26_03_2026_Registre_Maintenance_v1[ID_Antenne],_26_03_2026_Registre_Maintenance_v1[zone],"pas trouvé")</f>
        <v>pas trouvé</v>
      </c>
      <c r="G20" t="str">
        <f>_xlfn.XLOOKUP(_26_03_2026_Log_Reseau_v15[[#This Row],[Cell_ID]],_26_03_2026_Registre_Maintenance_v1[ID_Antenne],_26_03_2026_Registre_Maintenance_v1[Latitude],"non trouvé")</f>
        <v>non trouvé</v>
      </c>
      <c r="H20" t="str">
        <f>_xlfn.XLOOKUP(_26_03_2026_Log_Reseau_v15[[#This Row],[Cell_ID]],_26_03_2026_Registre_Maintenance_v1[ID_Antenne],_26_03_2026_Registre_Maintenance_v1[Longitude],"pas trouvé")</f>
        <v>pas trouvé</v>
      </c>
      <c r="I20" t="str">
        <f>_xlfn.XLOOKUP(_26_03_2026_Log_Reseau_v15[[#This Row],[Cell_ID]],_26_03_2026_Registre_Maintenance_v1[ID_Antenne],_26_03_2026_Registre_Maintenance_v1[Technologie],"non trouvé")</f>
        <v>non trouvé</v>
      </c>
      <c r="J20" t="str">
        <f>_xlfn.XLOOKUP(_26_03_2026_Log_Reseau_v15[[#This Row],[Cell_ID]],_26_03_2026_Registre_Maintenance_v1[ID_Antenne],_26_03_2026_Registre_Maintenance_v1[Equipementier],"pas trouvé")</f>
        <v>pas trouvé</v>
      </c>
      <c r="K20" t="str">
        <f>_xlfn.XLOOKUP(_26_03_2026_Log_Reseau_v15[[#This Row],[province RDC]],_26_03_2026_Client_Churn_v1[Province_Client],_26_03_2026_Client_Churn_v1[ID_Client],"non trouvé")</f>
        <v>non trouvé</v>
      </c>
      <c r="L20" t="str">
        <f>_xlfn.XLOOKUP(_26_03_2026_Log_Reseau_v15[[#This Row],[province RDC]],_26_03_2026_Client_Churn_v1[Province_Client],_26_03_2026_Client_Churn_v1[Anciennete_Mois],"non trouvé")</f>
        <v>non trouvé</v>
      </c>
      <c r="M20" t="str">
        <f>_xlfn.XLOOKUP(_26_03_2026_Log_Reseau_v15[[#This Row],[province RDC]],_26_03_2026_Client_Churn_v1[Province_Client],_26_03_2026_Client_Churn_v1[Type_Forfait],"non trouvé")</f>
        <v>non trouvé</v>
      </c>
      <c r="N20" t="str">
        <f>_xlfn.XLOOKUP(_26_03_2026_Log_Reseau_v15[[#This Row],[province RDC]],_26_03_2026_Client_Churn_v1[Province_Client],_26_03_2026_Client_Churn_v1[Duree_Cumulee_Panne_Min],"non trouvé")</f>
        <v>non trouvé</v>
      </c>
      <c r="O20" t="str">
        <f>_xlfn.XLOOKUP(_26_03_2026_Log_Reseau_v15[[#This Row],[province RDC]],_26_03_2026_Client_Churn_v1[Province_Client],_26_03_2026_Client_Churn_v1[Facture_Mensuelle],"non trouvé")</f>
        <v>non trouvé</v>
      </c>
      <c r="P20" t="str">
        <f>_xlfn.XLOOKUP(_26_03_2026_Log_Reseau_v15[[#This Row],[province RDC]],_26_03_2026_Client_Churn_v1[Province_Client],_26_03_2026_Client_Churn_v1[Plaintes_Service_Client],"non trouvé")</f>
        <v>non trouvé</v>
      </c>
    </row>
    <row r="21" spans="1:16" hidden="1" x14ac:dyDescent="0.25">
      <c r="A21" s="1">
        <v>45213</v>
      </c>
      <c r="B21" s="2">
        <v>0.96319444444444446</v>
      </c>
      <c r="C21" t="s">
        <v>819</v>
      </c>
      <c r="D21">
        <v>25</v>
      </c>
      <c r="E21" t="s">
        <v>808</v>
      </c>
      <c r="F21" t="str">
        <f>_xlfn.XLOOKUP(_26_03_2026_Log_Reseau_v15[[#This Row],[Cell_ID]],_26_03_2026_Registre_Maintenance_v1[ID_Antenne],_26_03_2026_Registre_Maintenance_v1[zone],"pas trouvé")</f>
        <v>pas trouvé</v>
      </c>
      <c r="G21" t="str">
        <f>_xlfn.XLOOKUP(_26_03_2026_Log_Reseau_v15[[#This Row],[Cell_ID]],_26_03_2026_Registre_Maintenance_v1[ID_Antenne],_26_03_2026_Registre_Maintenance_v1[Latitude],"non trouvé")</f>
        <v>non trouvé</v>
      </c>
      <c r="H21" t="str">
        <f>_xlfn.XLOOKUP(_26_03_2026_Log_Reseau_v15[[#This Row],[Cell_ID]],_26_03_2026_Registre_Maintenance_v1[ID_Antenne],_26_03_2026_Registre_Maintenance_v1[Longitude],"pas trouvé")</f>
        <v>pas trouvé</v>
      </c>
      <c r="I21" t="str">
        <f>_xlfn.XLOOKUP(_26_03_2026_Log_Reseau_v15[[#This Row],[Cell_ID]],_26_03_2026_Registre_Maintenance_v1[ID_Antenne],_26_03_2026_Registre_Maintenance_v1[Technologie],"non trouvé")</f>
        <v>non trouvé</v>
      </c>
      <c r="J21" t="str">
        <f>_xlfn.XLOOKUP(_26_03_2026_Log_Reseau_v15[[#This Row],[Cell_ID]],_26_03_2026_Registre_Maintenance_v1[ID_Antenne],_26_03_2026_Registre_Maintenance_v1[Equipementier],"pas trouvé")</f>
        <v>pas trouvé</v>
      </c>
      <c r="K21" t="str">
        <f>_xlfn.XLOOKUP(_26_03_2026_Log_Reseau_v15[[#This Row],[province RDC]],_26_03_2026_Client_Churn_v1[Province_Client],_26_03_2026_Client_Churn_v1[ID_Client],"non trouvé")</f>
        <v>non trouvé</v>
      </c>
      <c r="L21" t="str">
        <f>_xlfn.XLOOKUP(_26_03_2026_Log_Reseau_v15[[#This Row],[province RDC]],_26_03_2026_Client_Churn_v1[Province_Client],_26_03_2026_Client_Churn_v1[Anciennete_Mois],"non trouvé")</f>
        <v>non trouvé</v>
      </c>
      <c r="M21" t="str">
        <f>_xlfn.XLOOKUP(_26_03_2026_Log_Reseau_v15[[#This Row],[province RDC]],_26_03_2026_Client_Churn_v1[Province_Client],_26_03_2026_Client_Churn_v1[Type_Forfait],"non trouvé")</f>
        <v>non trouvé</v>
      </c>
      <c r="N21" t="str">
        <f>_xlfn.XLOOKUP(_26_03_2026_Log_Reseau_v15[[#This Row],[province RDC]],_26_03_2026_Client_Churn_v1[Province_Client],_26_03_2026_Client_Churn_v1[Duree_Cumulee_Panne_Min],"non trouvé")</f>
        <v>non trouvé</v>
      </c>
      <c r="O21" t="str">
        <f>_xlfn.XLOOKUP(_26_03_2026_Log_Reseau_v15[[#This Row],[province RDC]],_26_03_2026_Client_Churn_v1[Province_Client],_26_03_2026_Client_Churn_v1[Facture_Mensuelle],"non trouvé")</f>
        <v>non trouvé</v>
      </c>
      <c r="P21" t="str">
        <f>_xlfn.XLOOKUP(_26_03_2026_Log_Reseau_v15[[#This Row],[province RDC]],_26_03_2026_Client_Churn_v1[Province_Client],_26_03_2026_Client_Churn_v1[Plaintes_Service_Client],"non trouvé")</f>
        <v>non trouvé</v>
      </c>
    </row>
    <row r="22" spans="1:16" x14ac:dyDescent="0.25">
      <c r="A22" s="1">
        <v>45217</v>
      </c>
      <c r="B22" s="2">
        <v>0.96875</v>
      </c>
      <c r="C22" t="s">
        <v>820</v>
      </c>
      <c r="D22">
        <v>97</v>
      </c>
      <c r="E22" t="s">
        <v>808</v>
      </c>
      <c r="F22" t="str">
        <f>_xlfn.XLOOKUP(_26_03_2026_Log_Reseau_v15[[#This Row],[Cell_ID]],_26_03_2026_Registre_Maintenance_v1[ID_Antenne],_26_03_2026_Registre_Maintenance_v1[zone],"pas trouvé")</f>
        <v>Kasai</v>
      </c>
      <c r="G22">
        <f>_xlfn.XLOOKUP(_26_03_2026_Log_Reseau_v15[[#This Row],[Cell_ID]],_26_03_2026_Registre_Maintenance_v1[ID_Antenne],_26_03_2026_Registre_Maintenance_v1[Latitude],"non trouvé")</f>
        <v>-10.059846</v>
      </c>
      <c r="H22">
        <f>_xlfn.XLOOKUP(_26_03_2026_Log_Reseau_v15[[#This Row],[Cell_ID]],_26_03_2026_Registre_Maintenance_v1[ID_Antenne],_26_03_2026_Registre_Maintenance_v1[Longitude],"pas trouvé")</f>
        <v>14.375757999999999</v>
      </c>
      <c r="I22" t="str">
        <f>_xlfn.XLOOKUP(_26_03_2026_Log_Reseau_v15[[#This Row],[Cell_ID]],_26_03_2026_Registre_Maintenance_v1[ID_Antenne],_26_03_2026_Registre_Maintenance_v1[Technologie],"non trouvé")</f>
        <v>4G</v>
      </c>
      <c r="J22" t="str">
        <f>_xlfn.XLOOKUP(_26_03_2026_Log_Reseau_v15[[#This Row],[Cell_ID]],_26_03_2026_Registre_Maintenance_v1[ID_Antenne],_26_03_2026_Registre_Maintenance_v1[Equipementier],"pas trouvé")</f>
        <v>Huawei</v>
      </c>
      <c r="K22" t="str">
        <f>_xlfn.XLOOKUP(_26_03_2026_Log_Reseau_v15[[#This Row],[province RDC]],_26_03_2026_Client_Churn_v1[Province_Client],_26_03_2026_Client_Churn_v1[ID_Client],"non trouvé")</f>
        <v>CLI-00559</v>
      </c>
      <c r="L22">
        <f>_xlfn.XLOOKUP(_26_03_2026_Log_Reseau_v15[[#This Row],[province RDC]],_26_03_2026_Client_Churn_v1[Province_Client],_26_03_2026_Client_Churn_v1[Anciennete_Mois],"non trouvé")</f>
        <v>99</v>
      </c>
      <c r="M22" t="str">
        <f>_xlfn.XLOOKUP(_26_03_2026_Log_Reseau_v15[[#This Row],[province RDC]],_26_03_2026_Client_Churn_v1[Province_Client],_26_03_2026_Client_Churn_v1[Type_Forfait],"non trouvé")</f>
        <v>Bloqué 5Go</v>
      </c>
      <c r="N22">
        <f>_xlfn.XLOOKUP(_26_03_2026_Log_Reseau_v15[[#This Row],[province RDC]],_26_03_2026_Client_Churn_v1[Province_Client],_26_03_2026_Client_Churn_v1[Duree_Cumulee_Panne_Min],"non trouvé")</f>
        <v>369</v>
      </c>
      <c r="O22">
        <f>_xlfn.XLOOKUP(_26_03_2026_Log_Reseau_v15[[#This Row],[province RDC]],_26_03_2026_Client_Churn_v1[Province_Client],_26_03_2026_Client_Churn_v1[Facture_Mensuelle],"non trouvé")</f>
        <v>67.209999999999994</v>
      </c>
      <c r="P22">
        <f>_xlfn.XLOOKUP(_26_03_2026_Log_Reseau_v15[[#This Row],[province RDC]],_26_03_2026_Client_Churn_v1[Province_Client],_26_03_2026_Client_Churn_v1[Plaintes_Service_Client],"non trouvé")</f>
        <v>3</v>
      </c>
    </row>
    <row r="23" spans="1:16" hidden="1" x14ac:dyDescent="0.25">
      <c r="A23" s="1">
        <v>45217</v>
      </c>
      <c r="B23" s="2">
        <v>0.64027777777777772</v>
      </c>
      <c r="C23" t="s">
        <v>821</v>
      </c>
      <c r="D23">
        <v>113</v>
      </c>
      <c r="E23" t="s">
        <v>812</v>
      </c>
      <c r="F23" t="str">
        <f>_xlfn.XLOOKUP(_26_03_2026_Log_Reseau_v15[[#This Row],[Cell_ID]],_26_03_2026_Registre_Maintenance_v1[ID_Antenne],_26_03_2026_Registre_Maintenance_v1[zone],"pas trouvé")</f>
        <v>pas trouvé</v>
      </c>
      <c r="G23" t="str">
        <f>_xlfn.XLOOKUP(_26_03_2026_Log_Reseau_v15[[#This Row],[Cell_ID]],_26_03_2026_Registre_Maintenance_v1[ID_Antenne],_26_03_2026_Registre_Maintenance_v1[Latitude],"non trouvé")</f>
        <v>non trouvé</v>
      </c>
      <c r="H23" t="str">
        <f>_xlfn.XLOOKUP(_26_03_2026_Log_Reseau_v15[[#This Row],[Cell_ID]],_26_03_2026_Registre_Maintenance_v1[ID_Antenne],_26_03_2026_Registre_Maintenance_v1[Longitude],"pas trouvé")</f>
        <v>pas trouvé</v>
      </c>
      <c r="I23" t="str">
        <f>_xlfn.XLOOKUP(_26_03_2026_Log_Reseau_v15[[#This Row],[Cell_ID]],_26_03_2026_Registre_Maintenance_v1[ID_Antenne],_26_03_2026_Registre_Maintenance_v1[Technologie],"non trouvé")</f>
        <v>non trouvé</v>
      </c>
      <c r="J23" t="str">
        <f>_xlfn.XLOOKUP(_26_03_2026_Log_Reseau_v15[[#This Row],[Cell_ID]],_26_03_2026_Registre_Maintenance_v1[ID_Antenne],_26_03_2026_Registre_Maintenance_v1[Equipementier],"pas trouvé")</f>
        <v>pas trouvé</v>
      </c>
      <c r="K23" t="str">
        <f>_xlfn.XLOOKUP(_26_03_2026_Log_Reseau_v15[[#This Row],[province RDC]],_26_03_2026_Client_Churn_v1[Province_Client],_26_03_2026_Client_Churn_v1[ID_Client],"non trouvé")</f>
        <v>non trouvé</v>
      </c>
      <c r="L23" t="str">
        <f>_xlfn.XLOOKUP(_26_03_2026_Log_Reseau_v15[[#This Row],[province RDC]],_26_03_2026_Client_Churn_v1[Province_Client],_26_03_2026_Client_Churn_v1[Anciennete_Mois],"non trouvé")</f>
        <v>non trouvé</v>
      </c>
      <c r="M23" t="str">
        <f>_xlfn.XLOOKUP(_26_03_2026_Log_Reseau_v15[[#This Row],[province RDC]],_26_03_2026_Client_Churn_v1[Province_Client],_26_03_2026_Client_Churn_v1[Type_Forfait],"non trouvé")</f>
        <v>non trouvé</v>
      </c>
      <c r="N23" t="str">
        <f>_xlfn.XLOOKUP(_26_03_2026_Log_Reseau_v15[[#This Row],[province RDC]],_26_03_2026_Client_Churn_v1[Province_Client],_26_03_2026_Client_Churn_v1[Duree_Cumulee_Panne_Min],"non trouvé")</f>
        <v>non trouvé</v>
      </c>
      <c r="O23" t="str">
        <f>_xlfn.XLOOKUP(_26_03_2026_Log_Reseau_v15[[#This Row],[province RDC]],_26_03_2026_Client_Churn_v1[Province_Client],_26_03_2026_Client_Churn_v1[Facture_Mensuelle],"non trouvé")</f>
        <v>non trouvé</v>
      </c>
      <c r="P23" t="str">
        <f>_xlfn.XLOOKUP(_26_03_2026_Log_Reseau_v15[[#This Row],[province RDC]],_26_03_2026_Client_Churn_v1[Province_Client],_26_03_2026_Client_Churn_v1[Plaintes_Service_Client],"non trouvé")</f>
        <v>non trouvé</v>
      </c>
    </row>
    <row r="24" spans="1:16" hidden="1" x14ac:dyDescent="0.25">
      <c r="A24" s="1">
        <v>45220</v>
      </c>
      <c r="B24" s="2">
        <v>9.3055555555555558E-2</v>
      </c>
      <c r="C24" t="s">
        <v>821</v>
      </c>
      <c r="D24">
        <v>48</v>
      </c>
      <c r="E24" t="s">
        <v>807</v>
      </c>
      <c r="F24" t="str">
        <f>_xlfn.XLOOKUP(_26_03_2026_Log_Reseau_v15[[#This Row],[Cell_ID]],_26_03_2026_Registre_Maintenance_v1[ID_Antenne],_26_03_2026_Registre_Maintenance_v1[zone],"pas trouvé")</f>
        <v>pas trouvé</v>
      </c>
      <c r="G24" t="str">
        <f>_xlfn.XLOOKUP(_26_03_2026_Log_Reseau_v15[[#This Row],[Cell_ID]],_26_03_2026_Registre_Maintenance_v1[ID_Antenne],_26_03_2026_Registre_Maintenance_v1[Latitude],"non trouvé")</f>
        <v>non trouvé</v>
      </c>
      <c r="H24" t="str">
        <f>_xlfn.XLOOKUP(_26_03_2026_Log_Reseau_v15[[#This Row],[Cell_ID]],_26_03_2026_Registre_Maintenance_v1[ID_Antenne],_26_03_2026_Registre_Maintenance_v1[Longitude],"pas trouvé")</f>
        <v>pas trouvé</v>
      </c>
      <c r="I24" t="str">
        <f>_xlfn.XLOOKUP(_26_03_2026_Log_Reseau_v15[[#This Row],[Cell_ID]],_26_03_2026_Registre_Maintenance_v1[ID_Antenne],_26_03_2026_Registre_Maintenance_v1[Technologie],"non trouvé")</f>
        <v>non trouvé</v>
      </c>
      <c r="J24" t="str">
        <f>_xlfn.XLOOKUP(_26_03_2026_Log_Reseau_v15[[#This Row],[Cell_ID]],_26_03_2026_Registre_Maintenance_v1[ID_Antenne],_26_03_2026_Registre_Maintenance_v1[Equipementier],"pas trouvé")</f>
        <v>pas trouvé</v>
      </c>
      <c r="K24" t="str">
        <f>_xlfn.XLOOKUP(_26_03_2026_Log_Reseau_v15[[#This Row],[province RDC]],_26_03_2026_Client_Churn_v1[Province_Client],_26_03_2026_Client_Churn_v1[ID_Client],"non trouvé")</f>
        <v>non trouvé</v>
      </c>
      <c r="L24" t="str">
        <f>_xlfn.XLOOKUP(_26_03_2026_Log_Reseau_v15[[#This Row],[province RDC]],_26_03_2026_Client_Churn_v1[Province_Client],_26_03_2026_Client_Churn_v1[Anciennete_Mois],"non trouvé")</f>
        <v>non trouvé</v>
      </c>
      <c r="M24" t="str">
        <f>_xlfn.XLOOKUP(_26_03_2026_Log_Reseau_v15[[#This Row],[province RDC]],_26_03_2026_Client_Churn_v1[Province_Client],_26_03_2026_Client_Churn_v1[Type_Forfait],"non trouvé")</f>
        <v>non trouvé</v>
      </c>
      <c r="N24" t="str">
        <f>_xlfn.XLOOKUP(_26_03_2026_Log_Reseau_v15[[#This Row],[province RDC]],_26_03_2026_Client_Churn_v1[Province_Client],_26_03_2026_Client_Churn_v1[Duree_Cumulee_Panne_Min],"non trouvé")</f>
        <v>non trouvé</v>
      </c>
      <c r="O24" t="str">
        <f>_xlfn.XLOOKUP(_26_03_2026_Log_Reseau_v15[[#This Row],[province RDC]],_26_03_2026_Client_Churn_v1[Province_Client],_26_03_2026_Client_Churn_v1[Facture_Mensuelle],"non trouvé")</f>
        <v>non trouvé</v>
      </c>
      <c r="P24" t="str">
        <f>_xlfn.XLOOKUP(_26_03_2026_Log_Reseau_v15[[#This Row],[province RDC]],_26_03_2026_Client_Churn_v1[Province_Client],_26_03_2026_Client_Churn_v1[Plaintes_Service_Client],"non trouvé")</f>
        <v>non trouvé</v>
      </c>
    </row>
    <row r="25" spans="1:16" hidden="1" x14ac:dyDescent="0.25">
      <c r="A25" s="1">
        <v>45204</v>
      </c>
      <c r="B25" s="2">
        <v>0.89583333333333337</v>
      </c>
      <c r="C25" t="s">
        <v>822</v>
      </c>
      <c r="D25">
        <v>42</v>
      </c>
      <c r="E25" t="s">
        <v>808</v>
      </c>
      <c r="F25" t="str">
        <f>_xlfn.XLOOKUP(_26_03_2026_Log_Reseau_v15[[#This Row],[Cell_ID]],_26_03_2026_Registre_Maintenance_v1[ID_Antenne],_26_03_2026_Registre_Maintenance_v1[zone],"pas trouvé")</f>
        <v>pas trouvé</v>
      </c>
      <c r="G25" t="str">
        <f>_xlfn.XLOOKUP(_26_03_2026_Log_Reseau_v15[[#This Row],[Cell_ID]],_26_03_2026_Registre_Maintenance_v1[ID_Antenne],_26_03_2026_Registre_Maintenance_v1[Latitude],"non trouvé")</f>
        <v>non trouvé</v>
      </c>
      <c r="H25" t="str">
        <f>_xlfn.XLOOKUP(_26_03_2026_Log_Reseau_v15[[#This Row],[Cell_ID]],_26_03_2026_Registre_Maintenance_v1[ID_Antenne],_26_03_2026_Registre_Maintenance_v1[Longitude],"pas trouvé")</f>
        <v>pas trouvé</v>
      </c>
      <c r="I25" t="str">
        <f>_xlfn.XLOOKUP(_26_03_2026_Log_Reseau_v15[[#This Row],[Cell_ID]],_26_03_2026_Registre_Maintenance_v1[ID_Antenne],_26_03_2026_Registre_Maintenance_v1[Technologie],"non trouvé")</f>
        <v>non trouvé</v>
      </c>
      <c r="J25" t="str">
        <f>_xlfn.XLOOKUP(_26_03_2026_Log_Reseau_v15[[#This Row],[Cell_ID]],_26_03_2026_Registre_Maintenance_v1[ID_Antenne],_26_03_2026_Registre_Maintenance_v1[Equipementier],"pas trouvé")</f>
        <v>pas trouvé</v>
      </c>
      <c r="K25" t="str">
        <f>_xlfn.XLOOKUP(_26_03_2026_Log_Reseau_v15[[#This Row],[province RDC]],_26_03_2026_Client_Churn_v1[Province_Client],_26_03_2026_Client_Churn_v1[ID_Client],"non trouvé")</f>
        <v>non trouvé</v>
      </c>
      <c r="L25" t="str">
        <f>_xlfn.XLOOKUP(_26_03_2026_Log_Reseau_v15[[#This Row],[province RDC]],_26_03_2026_Client_Churn_v1[Province_Client],_26_03_2026_Client_Churn_v1[Anciennete_Mois],"non trouvé")</f>
        <v>non trouvé</v>
      </c>
      <c r="M25" t="str">
        <f>_xlfn.XLOOKUP(_26_03_2026_Log_Reseau_v15[[#This Row],[province RDC]],_26_03_2026_Client_Churn_v1[Province_Client],_26_03_2026_Client_Churn_v1[Type_Forfait],"non trouvé")</f>
        <v>non trouvé</v>
      </c>
      <c r="N25" t="str">
        <f>_xlfn.XLOOKUP(_26_03_2026_Log_Reseau_v15[[#This Row],[province RDC]],_26_03_2026_Client_Churn_v1[Province_Client],_26_03_2026_Client_Churn_v1[Duree_Cumulee_Panne_Min],"non trouvé")</f>
        <v>non trouvé</v>
      </c>
      <c r="O25" t="str">
        <f>_xlfn.XLOOKUP(_26_03_2026_Log_Reseau_v15[[#This Row],[province RDC]],_26_03_2026_Client_Churn_v1[Province_Client],_26_03_2026_Client_Churn_v1[Facture_Mensuelle],"non trouvé")</f>
        <v>non trouvé</v>
      </c>
      <c r="P25" t="str">
        <f>_xlfn.XLOOKUP(_26_03_2026_Log_Reseau_v15[[#This Row],[province RDC]],_26_03_2026_Client_Churn_v1[Province_Client],_26_03_2026_Client_Churn_v1[Plaintes_Service_Client],"non trouvé")</f>
        <v>non trouvé</v>
      </c>
    </row>
    <row r="26" spans="1:16" hidden="1" x14ac:dyDescent="0.25">
      <c r="A26" s="1">
        <v>45205</v>
      </c>
      <c r="B26" s="2">
        <v>0.77569444444444446</v>
      </c>
      <c r="C26" t="s">
        <v>823</v>
      </c>
      <c r="D26">
        <v>56</v>
      </c>
      <c r="E26" t="s">
        <v>812</v>
      </c>
      <c r="F26" t="str">
        <f>_xlfn.XLOOKUP(_26_03_2026_Log_Reseau_v15[[#This Row],[Cell_ID]],_26_03_2026_Registre_Maintenance_v1[ID_Antenne],_26_03_2026_Registre_Maintenance_v1[zone],"pas trouvé")</f>
        <v>pas trouvé</v>
      </c>
      <c r="G26" t="str">
        <f>_xlfn.XLOOKUP(_26_03_2026_Log_Reseau_v15[[#This Row],[Cell_ID]],_26_03_2026_Registre_Maintenance_v1[ID_Antenne],_26_03_2026_Registre_Maintenance_v1[Latitude],"non trouvé")</f>
        <v>non trouvé</v>
      </c>
      <c r="H26" t="str">
        <f>_xlfn.XLOOKUP(_26_03_2026_Log_Reseau_v15[[#This Row],[Cell_ID]],_26_03_2026_Registre_Maintenance_v1[ID_Antenne],_26_03_2026_Registre_Maintenance_v1[Longitude],"pas trouvé")</f>
        <v>pas trouvé</v>
      </c>
      <c r="I26" t="str">
        <f>_xlfn.XLOOKUP(_26_03_2026_Log_Reseau_v15[[#This Row],[Cell_ID]],_26_03_2026_Registre_Maintenance_v1[ID_Antenne],_26_03_2026_Registre_Maintenance_v1[Technologie],"non trouvé")</f>
        <v>non trouvé</v>
      </c>
      <c r="J26" t="str">
        <f>_xlfn.XLOOKUP(_26_03_2026_Log_Reseau_v15[[#This Row],[Cell_ID]],_26_03_2026_Registre_Maintenance_v1[ID_Antenne],_26_03_2026_Registre_Maintenance_v1[Equipementier],"pas trouvé")</f>
        <v>pas trouvé</v>
      </c>
      <c r="K26" t="str">
        <f>_xlfn.XLOOKUP(_26_03_2026_Log_Reseau_v15[[#This Row],[province RDC]],_26_03_2026_Client_Churn_v1[Province_Client],_26_03_2026_Client_Churn_v1[ID_Client],"non trouvé")</f>
        <v>non trouvé</v>
      </c>
      <c r="L26" t="str">
        <f>_xlfn.XLOOKUP(_26_03_2026_Log_Reseau_v15[[#This Row],[province RDC]],_26_03_2026_Client_Churn_v1[Province_Client],_26_03_2026_Client_Churn_v1[Anciennete_Mois],"non trouvé")</f>
        <v>non trouvé</v>
      </c>
      <c r="M26" t="str">
        <f>_xlfn.XLOOKUP(_26_03_2026_Log_Reseau_v15[[#This Row],[province RDC]],_26_03_2026_Client_Churn_v1[Province_Client],_26_03_2026_Client_Churn_v1[Type_Forfait],"non trouvé")</f>
        <v>non trouvé</v>
      </c>
      <c r="N26" t="str">
        <f>_xlfn.XLOOKUP(_26_03_2026_Log_Reseau_v15[[#This Row],[province RDC]],_26_03_2026_Client_Churn_v1[Province_Client],_26_03_2026_Client_Churn_v1[Duree_Cumulee_Panne_Min],"non trouvé")</f>
        <v>non trouvé</v>
      </c>
      <c r="O26" t="str">
        <f>_xlfn.XLOOKUP(_26_03_2026_Log_Reseau_v15[[#This Row],[province RDC]],_26_03_2026_Client_Churn_v1[Province_Client],_26_03_2026_Client_Churn_v1[Facture_Mensuelle],"non trouvé")</f>
        <v>non trouvé</v>
      </c>
      <c r="P26" t="str">
        <f>_xlfn.XLOOKUP(_26_03_2026_Log_Reseau_v15[[#This Row],[province RDC]],_26_03_2026_Client_Churn_v1[Province_Client],_26_03_2026_Client_Churn_v1[Plaintes_Service_Client],"non trouvé")</f>
        <v>non trouvé</v>
      </c>
    </row>
    <row r="27" spans="1:16" hidden="1" x14ac:dyDescent="0.25">
      <c r="A27" s="1">
        <v>45220</v>
      </c>
      <c r="B27" s="2">
        <v>0.39097222222222222</v>
      </c>
      <c r="C27" t="s">
        <v>823</v>
      </c>
      <c r="D27">
        <v>13</v>
      </c>
      <c r="E27" t="s">
        <v>808</v>
      </c>
      <c r="F27" t="str">
        <f>_xlfn.XLOOKUP(_26_03_2026_Log_Reseau_v15[[#This Row],[Cell_ID]],_26_03_2026_Registre_Maintenance_v1[ID_Antenne],_26_03_2026_Registre_Maintenance_v1[zone],"pas trouvé")</f>
        <v>pas trouvé</v>
      </c>
      <c r="G27" t="str">
        <f>_xlfn.XLOOKUP(_26_03_2026_Log_Reseau_v15[[#This Row],[Cell_ID]],_26_03_2026_Registre_Maintenance_v1[ID_Antenne],_26_03_2026_Registre_Maintenance_v1[Latitude],"non trouvé")</f>
        <v>non trouvé</v>
      </c>
      <c r="H27" t="str">
        <f>_xlfn.XLOOKUP(_26_03_2026_Log_Reseau_v15[[#This Row],[Cell_ID]],_26_03_2026_Registre_Maintenance_v1[ID_Antenne],_26_03_2026_Registre_Maintenance_v1[Longitude],"pas trouvé")</f>
        <v>pas trouvé</v>
      </c>
      <c r="I27" t="str">
        <f>_xlfn.XLOOKUP(_26_03_2026_Log_Reseau_v15[[#This Row],[Cell_ID]],_26_03_2026_Registre_Maintenance_v1[ID_Antenne],_26_03_2026_Registre_Maintenance_v1[Technologie],"non trouvé")</f>
        <v>non trouvé</v>
      </c>
      <c r="J27" t="str">
        <f>_xlfn.XLOOKUP(_26_03_2026_Log_Reseau_v15[[#This Row],[Cell_ID]],_26_03_2026_Registre_Maintenance_v1[ID_Antenne],_26_03_2026_Registre_Maintenance_v1[Equipementier],"pas trouvé")</f>
        <v>pas trouvé</v>
      </c>
      <c r="K27" t="str">
        <f>_xlfn.XLOOKUP(_26_03_2026_Log_Reseau_v15[[#This Row],[province RDC]],_26_03_2026_Client_Churn_v1[Province_Client],_26_03_2026_Client_Churn_v1[ID_Client],"non trouvé")</f>
        <v>non trouvé</v>
      </c>
      <c r="L27" t="str">
        <f>_xlfn.XLOOKUP(_26_03_2026_Log_Reseau_v15[[#This Row],[province RDC]],_26_03_2026_Client_Churn_v1[Province_Client],_26_03_2026_Client_Churn_v1[Anciennete_Mois],"non trouvé")</f>
        <v>non trouvé</v>
      </c>
      <c r="M27" t="str">
        <f>_xlfn.XLOOKUP(_26_03_2026_Log_Reseau_v15[[#This Row],[province RDC]],_26_03_2026_Client_Churn_v1[Province_Client],_26_03_2026_Client_Churn_v1[Type_Forfait],"non trouvé")</f>
        <v>non trouvé</v>
      </c>
      <c r="N27" t="str">
        <f>_xlfn.XLOOKUP(_26_03_2026_Log_Reseau_v15[[#This Row],[province RDC]],_26_03_2026_Client_Churn_v1[Province_Client],_26_03_2026_Client_Churn_v1[Duree_Cumulee_Panne_Min],"non trouvé")</f>
        <v>non trouvé</v>
      </c>
      <c r="O27" t="str">
        <f>_xlfn.XLOOKUP(_26_03_2026_Log_Reseau_v15[[#This Row],[province RDC]],_26_03_2026_Client_Churn_v1[Province_Client],_26_03_2026_Client_Churn_v1[Facture_Mensuelle],"non trouvé")</f>
        <v>non trouvé</v>
      </c>
      <c r="P27" t="str">
        <f>_xlfn.XLOOKUP(_26_03_2026_Log_Reseau_v15[[#This Row],[province RDC]],_26_03_2026_Client_Churn_v1[Province_Client],_26_03_2026_Client_Churn_v1[Plaintes_Service_Client],"non trouvé")</f>
        <v>non trouvé</v>
      </c>
    </row>
    <row r="28" spans="1:16" hidden="1" x14ac:dyDescent="0.25">
      <c r="A28" s="1">
        <v>45224</v>
      </c>
      <c r="B28" s="2">
        <v>0.96180555555555558</v>
      </c>
      <c r="C28" t="s">
        <v>824</v>
      </c>
      <c r="D28">
        <v>83</v>
      </c>
      <c r="E28" t="s">
        <v>812</v>
      </c>
      <c r="F28" t="str">
        <f>_xlfn.XLOOKUP(_26_03_2026_Log_Reseau_v15[[#This Row],[Cell_ID]],_26_03_2026_Registre_Maintenance_v1[ID_Antenne],_26_03_2026_Registre_Maintenance_v1[zone],"pas trouvé")</f>
        <v>pas trouvé</v>
      </c>
      <c r="G28" t="str">
        <f>_xlfn.XLOOKUP(_26_03_2026_Log_Reseau_v15[[#This Row],[Cell_ID]],_26_03_2026_Registre_Maintenance_v1[ID_Antenne],_26_03_2026_Registre_Maintenance_v1[Latitude],"non trouvé")</f>
        <v>non trouvé</v>
      </c>
      <c r="H28" t="str">
        <f>_xlfn.XLOOKUP(_26_03_2026_Log_Reseau_v15[[#This Row],[Cell_ID]],_26_03_2026_Registre_Maintenance_v1[ID_Antenne],_26_03_2026_Registre_Maintenance_v1[Longitude],"pas trouvé")</f>
        <v>pas trouvé</v>
      </c>
      <c r="I28" t="str">
        <f>_xlfn.XLOOKUP(_26_03_2026_Log_Reseau_v15[[#This Row],[Cell_ID]],_26_03_2026_Registre_Maintenance_v1[ID_Antenne],_26_03_2026_Registre_Maintenance_v1[Technologie],"non trouvé")</f>
        <v>non trouvé</v>
      </c>
      <c r="J28" t="str">
        <f>_xlfn.XLOOKUP(_26_03_2026_Log_Reseau_v15[[#This Row],[Cell_ID]],_26_03_2026_Registre_Maintenance_v1[ID_Antenne],_26_03_2026_Registre_Maintenance_v1[Equipementier],"pas trouvé")</f>
        <v>pas trouvé</v>
      </c>
      <c r="K28" t="str">
        <f>_xlfn.XLOOKUP(_26_03_2026_Log_Reseau_v15[[#This Row],[province RDC]],_26_03_2026_Client_Churn_v1[Province_Client],_26_03_2026_Client_Churn_v1[ID_Client],"non trouvé")</f>
        <v>non trouvé</v>
      </c>
      <c r="L28" t="str">
        <f>_xlfn.XLOOKUP(_26_03_2026_Log_Reseau_v15[[#This Row],[province RDC]],_26_03_2026_Client_Churn_v1[Province_Client],_26_03_2026_Client_Churn_v1[Anciennete_Mois],"non trouvé")</f>
        <v>non trouvé</v>
      </c>
      <c r="M28" t="str">
        <f>_xlfn.XLOOKUP(_26_03_2026_Log_Reseau_v15[[#This Row],[province RDC]],_26_03_2026_Client_Churn_v1[Province_Client],_26_03_2026_Client_Churn_v1[Type_Forfait],"non trouvé")</f>
        <v>non trouvé</v>
      </c>
      <c r="N28" t="str">
        <f>_xlfn.XLOOKUP(_26_03_2026_Log_Reseau_v15[[#This Row],[province RDC]],_26_03_2026_Client_Churn_v1[Province_Client],_26_03_2026_Client_Churn_v1[Duree_Cumulee_Panne_Min],"non trouvé")</f>
        <v>non trouvé</v>
      </c>
      <c r="O28" t="str">
        <f>_xlfn.XLOOKUP(_26_03_2026_Log_Reseau_v15[[#This Row],[province RDC]],_26_03_2026_Client_Churn_v1[Province_Client],_26_03_2026_Client_Churn_v1[Facture_Mensuelle],"non trouvé")</f>
        <v>non trouvé</v>
      </c>
      <c r="P28" t="str">
        <f>_xlfn.XLOOKUP(_26_03_2026_Log_Reseau_v15[[#This Row],[province RDC]],_26_03_2026_Client_Churn_v1[Province_Client],_26_03_2026_Client_Churn_v1[Plaintes_Service_Client],"non trouvé")</f>
        <v>non trouvé</v>
      </c>
    </row>
    <row r="29" spans="1:16" hidden="1" x14ac:dyDescent="0.25">
      <c r="A29" s="1">
        <v>45225</v>
      </c>
      <c r="B29" s="2">
        <v>0.83958333333333335</v>
      </c>
      <c r="C29" t="s">
        <v>824</v>
      </c>
      <c r="D29">
        <v>60</v>
      </c>
      <c r="E29" t="s">
        <v>812</v>
      </c>
      <c r="F29" t="str">
        <f>_xlfn.XLOOKUP(_26_03_2026_Log_Reseau_v15[[#This Row],[Cell_ID]],_26_03_2026_Registre_Maintenance_v1[ID_Antenne],_26_03_2026_Registre_Maintenance_v1[zone],"pas trouvé")</f>
        <v>pas trouvé</v>
      </c>
      <c r="G29" t="str">
        <f>_xlfn.XLOOKUP(_26_03_2026_Log_Reseau_v15[[#This Row],[Cell_ID]],_26_03_2026_Registre_Maintenance_v1[ID_Antenne],_26_03_2026_Registre_Maintenance_v1[Latitude],"non trouvé")</f>
        <v>non trouvé</v>
      </c>
      <c r="H29" t="str">
        <f>_xlfn.XLOOKUP(_26_03_2026_Log_Reseau_v15[[#This Row],[Cell_ID]],_26_03_2026_Registre_Maintenance_v1[ID_Antenne],_26_03_2026_Registre_Maintenance_v1[Longitude],"pas trouvé")</f>
        <v>pas trouvé</v>
      </c>
      <c r="I29" t="str">
        <f>_xlfn.XLOOKUP(_26_03_2026_Log_Reseau_v15[[#This Row],[Cell_ID]],_26_03_2026_Registre_Maintenance_v1[ID_Antenne],_26_03_2026_Registre_Maintenance_v1[Technologie],"non trouvé")</f>
        <v>non trouvé</v>
      </c>
      <c r="J29" t="str">
        <f>_xlfn.XLOOKUP(_26_03_2026_Log_Reseau_v15[[#This Row],[Cell_ID]],_26_03_2026_Registre_Maintenance_v1[ID_Antenne],_26_03_2026_Registre_Maintenance_v1[Equipementier],"pas trouvé")</f>
        <v>pas trouvé</v>
      </c>
      <c r="K29" t="str">
        <f>_xlfn.XLOOKUP(_26_03_2026_Log_Reseau_v15[[#This Row],[province RDC]],_26_03_2026_Client_Churn_v1[Province_Client],_26_03_2026_Client_Churn_v1[ID_Client],"non trouvé")</f>
        <v>non trouvé</v>
      </c>
      <c r="L29" t="str">
        <f>_xlfn.XLOOKUP(_26_03_2026_Log_Reseau_v15[[#This Row],[province RDC]],_26_03_2026_Client_Churn_v1[Province_Client],_26_03_2026_Client_Churn_v1[Anciennete_Mois],"non trouvé")</f>
        <v>non trouvé</v>
      </c>
      <c r="M29" t="str">
        <f>_xlfn.XLOOKUP(_26_03_2026_Log_Reseau_v15[[#This Row],[province RDC]],_26_03_2026_Client_Churn_v1[Province_Client],_26_03_2026_Client_Churn_v1[Type_Forfait],"non trouvé")</f>
        <v>non trouvé</v>
      </c>
      <c r="N29" t="str">
        <f>_xlfn.XLOOKUP(_26_03_2026_Log_Reseau_v15[[#This Row],[province RDC]],_26_03_2026_Client_Churn_v1[Province_Client],_26_03_2026_Client_Churn_v1[Duree_Cumulee_Panne_Min],"non trouvé")</f>
        <v>non trouvé</v>
      </c>
      <c r="O29" t="str">
        <f>_xlfn.XLOOKUP(_26_03_2026_Log_Reseau_v15[[#This Row],[province RDC]],_26_03_2026_Client_Churn_v1[Province_Client],_26_03_2026_Client_Churn_v1[Facture_Mensuelle],"non trouvé")</f>
        <v>non trouvé</v>
      </c>
      <c r="P29" t="str">
        <f>_xlfn.XLOOKUP(_26_03_2026_Log_Reseau_v15[[#This Row],[province RDC]],_26_03_2026_Client_Churn_v1[Province_Client],_26_03_2026_Client_Churn_v1[Plaintes_Service_Client],"non trouvé")</f>
        <v>non trouvé</v>
      </c>
    </row>
    <row r="30" spans="1:16" x14ac:dyDescent="0.25">
      <c r="A30" s="1">
        <v>45206</v>
      </c>
      <c r="B30" s="2">
        <v>0.51597222222222228</v>
      </c>
      <c r="C30" t="s">
        <v>825</v>
      </c>
      <c r="D30">
        <v>108</v>
      </c>
      <c r="E30" t="s">
        <v>807</v>
      </c>
      <c r="F30" t="str">
        <f>_xlfn.XLOOKUP(_26_03_2026_Log_Reseau_v15[[#This Row],[Cell_ID]],_26_03_2026_Registre_Maintenance_v1[ID_Antenne],_26_03_2026_Registre_Maintenance_v1[zone],"pas trouvé")</f>
        <v>Kinshasa</v>
      </c>
      <c r="G30">
        <f>_xlfn.XLOOKUP(_26_03_2026_Log_Reseau_v15[[#This Row],[Cell_ID]],_26_03_2026_Registre_Maintenance_v1[ID_Antenne],_26_03_2026_Registre_Maintenance_v1[Latitude],"non trouvé")</f>
        <v>-10.227569000000001</v>
      </c>
      <c r="H30">
        <f>_xlfn.XLOOKUP(_26_03_2026_Log_Reseau_v15[[#This Row],[Cell_ID]],_26_03_2026_Registre_Maintenance_v1[ID_Antenne],_26_03_2026_Registre_Maintenance_v1[Longitude],"pas trouvé")</f>
        <v>18.887930999999998</v>
      </c>
      <c r="I30" t="str">
        <f>_xlfn.XLOOKUP(_26_03_2026_Log_Reseau_v15[[#This Row],[Cell_ID]],_26_03_2026_Registre_Maintenance_v1[ID_Antenne],_26_03_2026_Registre_Maintenance_v1[Technologie],"non trouvé")</f>
        <v>3G</v>
      </c>
      <c r="J30" t="str">
        <f>_xlfn.XLOOKUP(_26_03_2026_Log_Reseau_v15[[#This Row],[Cell_ID]],_26_03_2026_Registre_Maintenance_v1[ID_Antenne],_26_03_2026_Registre_Maintenance_v1[Equipementier],"pas trouvé")</f>
        <v>ZTE</v>
      </c>
      <c r="K30" t="str">
        <f>_xlfn.XLOOKUP(_26_03_2026_Log_Reseau_v15[[#This Row],[province RDC]],_26_03_2026_Client_Churn_v1[Province_Client],_26_03_2026_Client_Churn_v1[ID_Client],"non trouvé")</f>
        <v>CLI-00611</v>
      </c>
      <c r="L30">
        <f>_xlfn.XLOOKUP(_26_03_2026_Log_Reseau_v15[[#This Row],[province RDC]],_26_03_2026_Client_Churn_v1[Province_Client],_26_03_2026_Client_Churn_v1[Anciennete_Mois],"non trouvé")</f>
        <v>79</v>
      </c>
      <c r="M30" t="str">
        <f>_xlfn.XLOOKUP(_26_03_2026_Log_Reseau_v15[[#This Row],[province RDC]],_26_03_2026_Client_Churn_v1[Province_Client],_26_03_2026_Client_Churn_v1[Type_Forfait],"non trouvé")</f>
        <v>Premium 5G 150Go</v>
      </c>
      <c r="N30">
        <f>_xlfn.XLOOKUP(_26_03_2026_Log_Reseau_v15[[#This Row],[province RDC]],_26_03_2026_Client_Churn_v1[Province_Client],_26_03_2026_Client_Churn_v1[Duree_Cumulee_Panne_Min],"non trouvé")</f>
        <v>226</v>
      </c>
      <c r="O30">
        <f>_xlfn.XLOOKUP(_26_03_2026_Log_Reseau_v15[[#This Row],[province RDC]],_26_03_2026_Client_Churn_v1[Province_Client],_26_03_2026_Client_Churn_v1[Facture_Mensuelle],"non trouvé")</f>
        <v>94.38</v>
      </c>
      <c r="P30">
        <f>_xlfn.XLOOKUP(_26_03_2026_Log_Reseau_v15[[#This Row],[province RDC]],_26_03_2026_Client_Churn_v1[Province_Client],_26_03_2026_Client_Churn_v1[Plaintes_Service_Client],"non trouvé")</f>
        <v>3</v>
      </c>
    </row>
    <row r="31" spans="1:16" hidden="1" x14ac:dyDescent="0.25">
      <c r="A31" s="1">
        <v>45222</v>
      </c>
      <c r="B31" s="2">
        <v>0.51180555555555551</v>
      </c>
      <c r="C31" t="s">
        <v>826</v>
      </c>
      <c r="D31">
        <v>56</v>
      </c>
      <c r="E31" t="s">
        <v>807</v>
      </c>
      <c r="F31" t="str">
        <f>_xlfn.XLOOKUP(_26_03_2026_Log_Reseau_v15[[#This Row],[Cell_ID]],_26_03_2026_Registre_Maintenance_v1[ID_Antenne],_26_03_2026_Registre_Maintenance_v1[zone],"pas trouvé")</f>
        <v>pas trouvé</v>
      </c>
      <c r="G31" t="str">
        <f>_xlfn.XLOOKUP(_26_03_2026_Log_Reseau_v15[[#This Row],[Cell_ID]],_26_03_2026_Registre_Maintenance_v1[ID_Antenne],_26_03_2026_Registre_Maintenance_v1[Latitude],"non trouvé")</f>
        <v>non trouvé</v>
      </c>
      <c r="H31" t="str">
        <f>_xlfn.XLOOKUP(_26_03_2026_Log_Reseau_v15[[#This Row],[Cell_ID]],_26_03_2026_Registre_Maintenance_v1[ID_Antenne],_26_03_2026_Registre_Maintenance_v1[Longitude],"pas trouvé")</f>
        <v>pas trouvé</v>
      </c>
      <c r="I31" t="str">
        <f>_xlfn.XLOOKUP(_26_03_2026_Log_Reseau_v15[[#This Row],[Cell_ID]],_26_03_2026_Registre_Maintenance_v1[ID_Antenne],_26_03_2026_Registre_Maintenance_v1[Technologie],"non trouvé")</f>
        <v>non trouvé</v>
      </c>
      <c r="J31" t="str">
        <f>_xlfn.XLOOKUP(_26_03_2026_Log_Reseau_v15[[#This Row],[Cell_ID]],_26_03_2026_Registre_Maintenance_v1[ID_Antenne],_26_03_2026_Registre_Maintenance_v1[Equipementier],"pas trouvé")</f>
        <v>pas trouvé</v>
      </c>
      <c r="K31" t="str">
        <f>_xlfn.XLOOKUP(_26_03_2026_Log_Reseau_v15[[#This Row],[province RDC]],_26_03_2026_Client_Churn_v1[Province_Client],_26_03_2026_Client_Churn_v1[ID_Client],"non trouvé")</f>
        <v>non trouvé</v>
      </c>
      <c r="L31" t="str">
        <f>_xlfn.XLOOKUP(_26_03_2026_Log_Reseau_v15[[#This Row],[province RDC]],_26_03_2026_Client_Churn_v1[Province_Client],_26_03_2026_Client_Churn_v1[Anciennete_Mois],"non trouvé")</f>
        <v>non trouvé</v>
      </c>
      <c r="M31" t="str">
        <f>_xlfn.XLOOKUP(_26_03_2026_Log_Reseau_v15[[#This Row],[province RDC]],_26_03_2026_Client_Churn_v1[Province_Client],_26_03_2026_Client_Churn_v1[Type_Forfait],"non trouvé")</f>
        <v>non trouvé</v>
      </c>
      <c r="N31" t="str">
        <f>_xlfn.XLOOKUP(_26_03_2026_Log_Reseau_v15[[#This Row],[province RDC]],_26_03_2026_Client_Churn_v1[Province_Client],_26_03_2026_Client_Churn_v1[Duree_Cumulee_Panne_Min],"non trouvé")</f>
        <v>non trouvé</v>
      </c>
      <c r="O31" t="str">
        <f>_xlfn.XLOOKUP(_26_03_2026_Log_Reseau_v15[[#This Row],[province RDC]],_26_03_2026_Client_Churn_v1[Province_Client],_26_03_2026_Client_Churn_v1[Facture_Mensuelle],"non trouvé")</f>
        <v>non trouvé</v>
      </c>
      <c r="P31" t="str">
        <f>_xlfn.XLOOKUP(_26_03_2026_Log_Reseau_v15[[#This Row],[province RDC]],_26_03_2026_Client_Churn_v1[Province_Client],_26_03_2026_Client_Churn_v1[Plaintes_Service_Client],"non trouvé")</f>
        <v>non trouvé</v>
      </c>
    </row>
    <row r="32" spans="1:16" x14ac:dyDescent="0.25">
      <c r="A32" s="1">
        <v>45222</v>
      </c>
      <c r="B32" s="2">
        <v>0.65277777777777779</v>
      </c>
      <c r="C32" t="s">
        <v>827</v>
      </c>
      <c r="D32">
        <v>46</v>
      </c>
      <c r="E32" t="s">
        <v>812</v>
      </c>
      <c r="F32" t="str">
        <f>_xlfn.XLOOKUP(_26_03_2026_Log_Reseau_v15[[#This Row],[Cell_ID]],_26_03_2026_Registre_Maintenance_v1[ID_Antenne],_26_03_2026_Registre_Maintenance_v1[zone],"pas trouvé")</f>
        <v>Lomami</v>
      </c>
      <c r="G32">
        <f>_xlfn.XLOOKUP(_26_03_2026_Log_Reseau_v15[[#This Row],[Cell_ID]],_26_03_2026_Registre_Maintenance_v1[ID_Antenne],_26_03_2026_Registre_Maintenance_v1[Latitude],"non trouvé")</f>
        <v>-11.266565999999999</v>
      </c>
      <c r="H32">
        <f>_xlfn.XLOOKUP(_26_03_2026_Log_Reseau_v15[[#This Row],[Cell_ID]],_26_03_2026_Registre_Maintenance_v1[ID_Antenne],_26_03_2026_Registre_Maintenance_v1[Longitude],"pas trouvé")</f>
        <v>26.245055000000001</v>
      </c>
      <c r="I32" t="str">
        <f>_xlfn.XLOOKUP(_26_03_2026_Log_Reseau_v15[[#This Row],[Cell_ID]],_26_03_2026_Registre_Maintenance_v1[ID_Antenne],_26_03_2026_Registre_Maintenance_v1[Technologie],"non trouvé")</f>
        <v>3G</v>
      </c>
      <c r="J32" t="str">
        <f>_xlfn.XLOOKUP(_26_03_2026_Log_Reseau_v15[[#This Row],[Cell_ID]],_26_03_2026_Registre_Maintenance_v1[ID_Antenne],_26_03_2026_Registre_Maintenance_v1[Equipementier],"pas trouvé")</f>
        <v>Ericsson</v>
      </c>
      <c r="K32" t="str">
        <f>_xlfn.XLOOKUP(_26_03_2026_Log_Reseau_v15[[#This Row],[province RDC]],_26_03_2026_Client_Churn_v1[Province_Client],_26_03_2026_Client_Churn_v1[ID_Client],"non trouvé")</f>
        <v>CLI-00131</v>
      </c>
      <c r="L32">
        <f>_xlfn.XLOOKUP(_26_03_2026_Log_Reseau_v15[[#This Row],[province RDC]],_26_03_2026_Client_Churn_v1[Province_Client],_26_03_2026_Client_Churn_v1[Anciennete_Mois],"non trouvé")</f>
        <v>101</v>
      </c>
      <c r="M32" t="str">
        <f>_xlfn.XLOOKUP(_26_03_2026_Log_Reseau_v15[[#This Row],[province RDC]],_26_03_2026_Client_Churn_v1[Province_Client],_26_03_2026_Client_Churn_v1[Type_Forfait],"non trouvé")</f>
        <v>Pro Monde</v>
      </c>
      <c r="N32">
        <f>_xlfn.XLOOKUP(_26_03_2026_Log_Reseau_v15[[#This Row],[province RDC]],_26_03_2026_Client_Churn_v1[Province_Client],_26_03_2026_Client_Churn_v1[Duree_Cumulee_Panne_Min],"non trouvé")</f>
        <v>176</v>
      </c>
      <c r="O32">
        <f>_xlfn.XLOOKUP(_26_03_2026_Log_Reseau_v15[[#This Row],[province RDC]],_26_03_2026_Client_Churn_v1[Province_Client],_26_03_2026_Client_Churn_v1[Facture_Mensuelle],"non trouvé")</f>
        <v>86</v>
      </c>
      <c r="P32">
        <f>_xlfn.XLOOKUP(_26_03_2026_Log_Reseau_v15[[#This Row],[province RDC]],_26_03_2026_Client_Churn_v1[Province_Client],_26_03_2026_Client_Churn_v1[Plaintes_Service_Client],"non trouvé")</f>
        <v>3</v>
      </c>
    </row>
    <row r="33" spans="1:16" hidden="1" x14ac:dyDescent="0.25">
      <c r="A33" s="1">
        <v>45214</v>
      </c>
      <c r="B33" s="2">
        <v>0.75208333333333333</v>
      </c>
      <c r="C33" t="s">
        <v>828</v>
      </c>
      <c r="D33">
        <v>89</v>
      </c>
      <c r="E33" t="s">
        <v>808</v>
      </c>
      <c r="F33" t="str">
        <f>_xlfn.XLOOKUP(_26_03_2026_Log_Reseau_v15[[#This Row],[Cell_ID]],_26_03_2026_Registre_Maintenance_v1[ID_Antenne],_26_03_2026_Registre_Maintenance_v1[zone],"pas trouvé")</f>
        <v>pas trouvé</v>
      </c>
      <c r="G33" t="str">
        <f>_xlfn.XLOOKUP(_26_03_2026_Log_Reseau_v15[[#This Row],[Cell_ID]],_26_03_2026_Registre_Maintenance_v1[ID_Antenne],_26_03_2026_Registre_Maintenance_v1[Latitude],"non trouvé")</f>
        <v>non trouvé</v>
      </c>
      <c r="H33" t="str">
        <f>_xlfn.XLOOKUP(_26_03_2026_Log_Reseau_v15[[#This Row],[Cell_ID]],_26_03_2026_Registre_Maintenance_v1[ID_Antenne],_26_03_2026_Registre_Maintenance_v1[Longitude],"pas trouvé")</f>
        <v>pas trouvé</v>
      </c>
      <c r="I33" t="str">
        <f>_xlfn.XLOOKUP(_26_03_2026_Log_Reseau_v15[[#This Row],[Cell_ID]],_26_03_2026_Registre_Maintenance_v1[ID_Antenne],_26_03_2026_Registre_Maintenance_v1[Technologie],"non trouvé")</f>
        <v>non trouvé</v>
      </c>
      <c r="J33" t="str">
        <f>_xlfn.XLOOKUP(_26_03_2026_Log_Reseau_v15[[#This Row],[Cell_ID]],_26_03_2026_Registre_Maintenance_v1[ID_Antenne],_26_03_2026_Registre_Maintenance_v1[Equipementier],"pas trouvé")</f>
        <v>pas trouvé</v>
      </c>
      <c r="K33" t="str">
        <f>_xlfn.XLOOKUP(_26_03_2026_Log_Reseau_v15[[#This Row],[province RDC]],_26_03_2026_Client_Churn_v1[Province_Client],_26_03_2026_Client_Churn_v1[ID_Client],"non trouvé")</f>
        <v>non trouvé</v>
      </c>
      <c r="L33" t="str">
        <f>_xlfn.XLOOKUP(_26_03_2026_Log_Reseau_v15[[#This Row],[province RDC]],_26_03_2026_Client_Churn_v1[Province_Client],_26_03_2026_Client_Churn_v1[Anciennete_Mois],"non trouvé")</f>
        <v>non trouvé</v>
      </c>
      <c r="M33" t="str">
        <f>_xlfn.XLOOKUP(_26_03_2026_Log_Reseau_v15[[#This Row],[province RDC]],_26_03_2026_Client_Churn_v1[Province_Client],_26_03_2026_Client_Churn_v1[Type_Forfait],"non trouvé")</f>
        <v>non trouvé</v>
      </c>
      <c r="N33" t="str">
        <f>_xlfn.XLOOKUP(_26_03_2026_Log_Reseau_v15[[#This Row],[province RDC]],_26_03_2026_Client_Churn_v1[Province_Client],_26_03_2026_Client_Churn_v1[Duree_Cumulee_Panne_Min],"non trouvé")</f>
        <v>non trouvé</v>
      </c>
      <c r="O33" t="str">
        <f>_xlfn.XLOOKUP(_26_03_2026_Log_Reseau_v15[[#This Row],[province RDC]],_26_03_2026_Client_Churn_v1[Province_Client],_26_03_2026_Client_Churn_v1[Facture_Mensuelle],"non trouvé")</f>
        <v>non trouvé</v>
      </c>
      <c r="P33" t="str">
        <f>_xlfn.XLOOKUP(_26_03_2026_Log_Reseau_v15[[#This Row],[province RDC]],_26_03_2026_Client_Churn_v1[Province_Client],_26_03_2026_Client_Churn_v1[Plaintes_Service_Client],"non trouvé")</f>
        <v>non trouvé</v>
      </c>
    </row>
    <row r="34" spans="1:16" hidden="1" x14ac:dyDescent="0.25">
      <c r="A34" s="1">
        <v>45225</v>
      </c>
      <c r="B34" s="2">
        <v>0.4152777777777778</v>
      </c>
      <c r="C34" t="s">
        <v>829</v>
      </c>
      <c r="D34">
        <v>15</v>
      </c>
      <c r="E34" t="s">
        <v>807</v>
      </c>
      <c r="F34" t="str">
        <f>_xlfn.XLOOKUP(_26_03_2026_Log_Reseau_v15[[#This Row],[Cell_ID]],_26_03_2026_Registre_Maintenance_v1[ID_Antenne],_26_03_2026_Registre_Maintenance_v1[zone],"pas trouvé")</f>
        <v>pas trouvé</v>
      </c>
      <c r="G34" t="str">
        <f>_xlfn.XLOOKUP(_26_03_2026_Log_Reseau_v15[[#This Row],[Cell_ID]],_26_03_2026_Registre_Maintenance_v1[ID_Antenne],_26_03_2026_Registre_Maintenance_v1[Latitude],"non trouvé")</f>
        <v>non trouvé</v>
      </c>
      <c r="H34" t="str">
        <f>_xlfn.XLOOKUP(_26_03_2026_Log_Reseau_v15[[#This Row],[Cell_ID]],_26_03_2026_Registre_Maintenance_v1[ID_Antenne],_26_03_2026_Registre_Maintenance_v1[Longitude],"pas trouvé")</f>
        <v>pas trouvé</v>
      </c>
      <c r="I34" t="str">
        <f>_xlfn.XLOOKUP(_26_03_2026_Log_Reseau_v15[[#This Row],[Cell_ID]],_26_03_2026_Registre_Maintenance_v1[ID_Antenne],_26_03_2026_Registre_Maintenance_v1[Technologie],"non trouvé")</f>
        <v>non trouvé</v>
      </c>
      <c r="J34" t="str">
        <f>_xlfn.XLOOKUP(_26_03_2026_Log_Reseau_v15[[#This Row],[Cell_ID]],_26_03_2026_Registre_Maintenance_v1[ID_Antenne],_26_03_2026_Registre_Maintenance_v1[Equipementier],"pas trouvé")</f>
        <v>pas trouvé</v>
      </c>
      <c r="K34" t="str">
        <f>_xlfn.XLOOKUP(_26_03_2026_Log_Reseau_v15[[#This Row],[province RDC]],_26_03_2026_Client_Churn_v1[Province_Client],_26_03_2026_Client_Churn_v1[ID_Client],"non trouvé")</f>
        <v>non trouvé</v>
      </c>
      <c r="L34" t="str">
        <f>_xlfn.XLOOKUP(_26_03_2026_Log_Reseau_v15[[#This Row],[province RDC]],_26_03_2026_Client_Churn_v1[Province_Client],_26_03_2026_Client_Churn_v1[Anciennete_Mois],"non trouvé")</f>
        <v>non trouvé</v>
      </c>
      <c r="M34" t="str">
        <f>_xlfn.XLOOKUP(_26_03_2026_Log_Reseau_v15[[#This Row],[province RDC]],_26_03_2026_Client_Churn_v1[Province_Client],_26_03_2026_Client_Churn_v1[Type_Forfait],"non trouvé")</f>
        <v>non trouvé</v>
      </c>
      <c r="N34" t="str">
        <f>_xlfn.XLOOKUP(_26_03_2026_Log_Reseau_v15[[#This Row],[province RDC]],_26_03_2026_Client_Churn_v1[Province_Client],_26_03_2026_Client_Churn_v1[Duree_Cumulee_Panne_Min],"non trouvé")</f>
        <v>non trouvé</v>
      </c>
      <c r="O34" t="str">
        <f>_xlfn.XLOOKUP(_26_03_2026_Log_Reseau_v15[[#This Row],[province RDC]],_26_03_2026_Client_Churn_v1[Province_Client],_26_03_2026_Client_Churn_v1[Facture_Mensuelle],"non trouvé")</f>
        <v>non trouvé</v>
      </c>
      <c r="P34" t="str">
        <f>_xlfn.XLOOKUP(_26_03_2026_Log_Reseau_v15[[#This Row],[province RDC]],_26_03_2026_Client_Churn_v1[Province_Client],_26_03_2026_Client_Churn_v1[Plaintes_Service_Client],"non trouvé")</f>
        <v>non trouvé</v>
      </c>
    </row>
    <row r="35" spans="1:16" x14ac:dyDescent="0.25">
      <c r="A35" s="1">
        <v>45208</v>
      </c>
      <c r="B35" s="2">
        <v>0.44374999999999998</v>
      </c>
      <c r="C35" t="s">
        <v>830</v>
      </c>
      <c r="D35">
        <v>7</v>
      </c>
      <c r="E35" t="s">
        <v>812</v>
      </c>
      <c r="F35" t="str">
        <f>_xlfn.XLOOKUP(_26_03_2026_Log_Reseau_v15[[#This Row],[Cell_ID]],_26_03_2026_Registre_Maintenance_v1[ID_Antenne],_26_03_2026_Registre_Maintenance_v1[zone],"pas trouvé")</f>
        <v>Haut-Lomami</v>
      </c>
      <c r="G35">
        <f>_xlfn.XLOOKUP(_26_03_2026_Log_Reseau_v15[[#This Row],[Cell_ID]],_26_03_2026_Registre_Maintenance_v1[ID_Antenne],_26_03_2026_Registre_Maintenance_v1[Latitude],"non trouvé")</f>
        <v>-6.3324319999999998</v>
      </c>
      <c r="H35">
        <f>_xlfn.XLOOKUP(_26_03_2026_Log_Reseau_v15[[#This Row],[Cell_ID]],_26_03_2026_Registre_Maintenance_v1[ID_Antenne],_26_03_2026_Registre_Maintenance_v1[Longitude],"pas trouvé")</f>
        <v>24.887858000000001</v>
      </c>
      <c r="I35" t="str">
        <f>_xlfn.XLOOKUP(_26_03_2026_Log_Reseau_v15[[#This Row],[Cell_ID]],_26_03_2026_Registre_Maintenance_v1[ID_Antenne],_26_03_2026_Registre_Maintenance_v1[Technologie],"non trouvé")</f>
        <v>4G</v>
      </c>
      <c r="J35" t="str">
        <f>_xlfn.XLOOKUP(_26_03_2026_Log_Reseau_v15[[#This Row],[Cell_ID]],_26_03_2026_Registre_Maintenance_v1[ID_Antenne],_26_03_2026_Registre_Maintenance_v1[Equipementier],"pas trouvé")</f>
        <v>ZTE</v>
      </c>
      <c r="K35" t="str">
        <f>_xlfn.XLOOKUP(_26_03_2026_Log_Reseau_v15[[#This Row],[province RDC]],_26_03_2026_Client_Churn_v1[Province_Client],_26_03_2026_Client_Churn_v1[ID_Client],"non trouvé")</f>
        <v>CLI-01325</v>
      </c>
      <c r="L35">
        <f>_xlfn.XLOOKUP(_26_03_2026_Log_Reseau_v15[[#This Row],[province RDC]],_26_03_2026_Client_Churn_v1[Province_Client],_26_03_2026_Client_Churn_v1[Anciennete_Mois],"non trouvé")</f>
        <v>44</v>
      </c>
      <c r="M35" t="str">
        <f>_xlfn.XLOOKUP(_26_03_2026_Log_Reseau_v15[[#This Row],[province RDC]],_26_03_2026_Client_Churn_v1[Province_Client],_26_03_2026_Client_Churn_v1[Type_Forfait],"non trouvé")</f>
        <v>Bloqué 5Go</v>
      </c>
      <c r="N35">
        <f>_xlfn.XLOOKUP(_26_03_2026_Log_Reseau_v15[[#This Row],[province RDC]],_26_03_2026_Client_Churn_v1[Province_Client],_26_03_2026_Client_Churn_v1[Duree_Cumulee_Panne_Min],"non trouvé")</f>
        <v>348</v>
      </c>
      <c r="O35">
        <f>_xlfn.XLOOKUP(_26_03_2026_Log_Reseau_v15[[#This Row],[province RDC]],_26_03_2026_Client_Churn_v1[Province_Client],_26_03_2026_Client_Churn_v1[Facture_Mensuelle],"non trouvé")</f>
        <v>58.67</v>
      </c>
      <c r="P35">
        <f>_xlfn.XLOOKUP(_26_03_2026_Log_Reseau_v15[[#This Row],[province RDC]],_26_03_2026_Client_Churn_v1[Province_Client],_26_03_2026_Client_Churn_v1[Plaintes_Service_Client],"non trouvé")</f>
        <v>0</v>
      </c>
    </row>
    <row r="36" spans="1:16" hidden="1" x14ac:dyDescent="0.25">
      <c r="A36" s="1">
        <v>45226</v>
      </c>
      <c r="B36" s="2">
        <v>0.72916666666666663</v>
      </c>
      <c r="C36" t="s">
        <v>831</v>
      </c>
      <c r="D36">
        <v>62</v>
      </c>
      <c r="E36" t="s">
        <v>808</v>
      </c>
      <c r="F36" t="str">
        <f>_xlfn.XLOOKUP(_26_03_2026_Log_Reseau_v15[[#This Row],[Cell_ID]],_26_03_2026_Registre_Maintenance_v1[ID_Antenne],_26_03_2026_Registre_Maintenance_v1[zone],"pas trouvé")</f>
        <v>pas trouvé</v>
      </c>
      <c r="G36" t="str">
        <f>_xlfn.XLOOKUP(_26_03_2026_Log_Reseau_v15[[#This Row],[Cell_ID]],_26_03_2026_Registre_Maintenance_v1[ID_Antenne],_26_03_2026_Registre_Maintenance_v1[Latitude],"non trouvé")</f>
        <v>non trouvé</v>
      </c>
      <c r="H36" t="str">
        <f>_xlfn.XLOOKUP(_26_03_2026_Log_Reseau_v15[[#This Row],[Cell_ID]],_26_03_2026_Registre_Maintenance_v1[ID_Antenne],_26_03_2026_Registre_Maintenance_v1[Longitude],"pas trouvé")</f>
        <v>pas trouvé</v>
      </c>
      <c r="I36" t="str">
        <f>_xlfn.XLOOKUP(_26_03_2026_Log_Reseau_v15[[#This Row],[Cell_ID]],_26_03_2026_Registre_Maintenance_v1[ID_Antenne],_26_03_2026_Registre_Maintenance_v1[Technologie],"non trouvé")</f>
        <v>non trouvé</v>
      </c>
      <c r="J36" t="str">
        <f>_xlfn.XLOOKUP(_26_03_2026_Log_Reseau_v15[[#This Row],[Cell_ID]],_26_03_2026_Registre_Maintenance_v1[ID_Antenne],_26_03_2026_Registre_Maintenance_v1[Equipementier],"pas trouvé")</f>
        <v>pas trouvé</v>
      </c>
      <c r="K36" t="str">
        <f>_xlfn.XLOOKUP(_26_03_2026_Log_Reseau_v15[[#This Row],[province RDC]],_26_03_2026_Client_Churn_v1[Province_Client],_26_03_2026_Client_Churn_v1[ID_Client],"non trouvé")</f>
        <v>non trouvé</v>
      </c>
      <c r="L36" t="str">
        <f>_xlfn.XLOOKUP(_26_03_2026_Log_Reseau_v15[[#This Row],[province RDC]],_26_03_2026_Client_Churn_v1[Province_Client],_26_03_2026_Client_Churn_v1[Anciennete_Mois],"non trouvé")</f>
        <v>non trouvé</v>
      </c>
      <c r="M36" t="str">
        <f>_xlfn.XLOOKUP(_26_03_2026_Log_Reseau_v15[[#This Row],[province RDC]],_26_03_2026_Client_Churn_v1[Province_Client],_26_03_2026_Client_Churn_v1[Type_Forfait],"non trouvé")</f>
        <v>non trouvé</v>
      </c>
      <c r="N36" t="str">
        <f>_xlfn.XLOOKUP(_26_03_2026_Log_Reseau_v15[[#This Row],[province RDC]],_26_03_2026_Client_Churn_v1[Province_Client],_26_03_2026_Client_Churn_v1[Duree_Cumulee_Panne_Min],"non trouvé")</f>
        <v>non trouvé</v>
      </c>
      <c r="O36" t="str">
        <f>_xlfn.XLOOKUP(_26_03_2026_Log_Reseau_v15[[#This Row],[province RDC]],_26_03_2026_Client_Churn_v1[Province_Client],_26_03_2026_Client_Churn_v1[Facture_Mensuelle],"non trouvé")</f>
        <v>non trouvé</v>
      </c>
      <c r="P36" t="str">
        <f>_xlfn.XLOOKUP(_26_03_2026_Log_Reseau_v15[[#This Row],[province RDC]],_26_03_2026_Client_Churn_v1[Province_Client],_26_03_2026_Client_Churn_v1[Plaintes_Service_Client],"non trouvé")</f>
        <v>non trouvé</v>
      </c>
    </row>
    <row r="37" spans="1:16" hidden="1" x14ac:dyDescent="0.25">
      <c r="A37" s="1">
        <v>45206</v>
      </c>
      <c r="B37" s="2">
        <v>0.57222222222222219</v>
      </c>
      <c r="C37" t="s">
        <v>831</v>
      </c>
      <c r="D37">
        <v>10</v>
      </c>
      <c r="E37" t="s">
        <v>807</v>
      </c>
      <c r="F37" t="str">
        <f>_xlfn.XLOOKUP(_26_03_2026_Log_Reseau_v15[[#This Row],[Cell_ID]],_26_03_2026_Registre_Maintenance_v1[ID_Antenne],_26_03_2026_Registre_Maintenance_v1[zone],"pas trouvé")</f>
        <v>pas trouvé</v>
      </c>
      <c r="G37" t="str">
        <f>_xlfn.XLOOKUP(_26_03_2026_Log_Reseau_v15[[#This Row],[Cell_ID]],_26_03_2026_Registre_Maintenance_v1[ID_Antenne],_26_03_2026_Registre_Maintenance_v1[Latitude],"non trouvé")</f>
        <v>non trouvé</v>
      </c>
      <c r="H37" t="str">
        <f>_xlfn.XLOOKUP(_26_03_2026_Log_Reseau_v15[[#This Row],[Cell_ID]],_26_03_2026_Registre_Maintenance_v1[ID_Antenne],_26_03_2026_Registre_Maintenance_v1[Longitude],"pas trouvé")</f>
        <v>pas trouvé</v>
      </c>
      <c r="I37" t="str">
        <f>_xlfn.XLOOKUP(_26_03_2026_Log_Reseau_v15[[#This Row],[Cell_ID]],_26_03_2026_Registre_Maintenance_v1[ID_Antenne],_26_03_2026_Registre_Maintenance_v1[Technologie],"non trouvé")</f>
        <v>non trouvé</v>
      </c>
      <c r="J37" t="str">
        <f>_xlfn.XLOOKUP(_26_03_2026_Log_Reseau_v15[[#This Row],[Cell_ID]],_26_03_2026_Registre_Maintenance_v1[ID_Antenne],_26_03_2026_Registre_Maintenance_v1[Equipementier],"pas trouvé")</f>
        <v>pas trouvé</v>
      </c>
      <c r="K37" t="str">
        <f>_xlfn.XLOOKUP(_26_03_2026_Log_Reseau_v15[[#This Row],[province RDC]],_26_03_2026_Client_Churn_v1[Province_Client],_26_03_2026_Client_Churn_v1[ID_Client],"non trouvé")</f>
        <v>non trouvé</v>
      </c>
      <c r="L37" t="str">
        <f>_xlfn.XLOOKUP(_26_03_2026_Log_Reseau_v15[[#This Row],[province RDC]],_26_03_2026_Client_Churn_v1[Province_Client],_26_03_2026_Client_Churn_v1[Anciennete_Mois],"non trouvé")</f>
        <v>non trouvé</v>
      </c>
      <c r="M37" t="str">
        <f>_xlfn.XLOOKUP(_26_03_2026_Log_Reseau_v15[[#This Row],[province RDC]],_26_03_2026_Client_Churn_v1[Province_Client],_26_03_2026_Client_Churn_v1[Type_Forfait],"non trouvé")</f>
        <v>non trouvé</v>
      </c>
      <c r="N37" t="str">
        <f>_xlfn.XLOOKUP(_26_03_2026_Log_Reseau_v15[[#This Row],[province RDC]],_26_03_2026_Client_Churn_v1[Province_Client],_26_03_2026_Client_Churn_v1[Duree_Cumulee_Panne_Min],"non trouvé")</f>
        <v>non trouvé</v>
      </c>
      <c r="O37" t="str">
        <f>_xlfn.XLOOKUP(_26_03_2026_Log_Reseau_v15[[#This Row],[province RDC]],_26_03_2026_Client_Churn_v1[Province_Client],_26_03_2026_Client_Churn_v1[Facture_Mensuelle],"non trouvé")</f>
        <v>non trouvé</v>
      </c>
      <c r="P37" t="str">
        <f>_xlfn.XLOOKUP(_26_03_2026_Log_Reseau_v15[[#This Row],[province RDC]],_26_03_2026_Client_Churn_v1[Province_Client],_26_03_2026_Client_Churn_v1[Plaintes_Service_Client],"non trouvé")</f>
        <v>non trouvé</v>
      </c>
    </row>
    <row r="38" spans="1:16" x14ac:dyDescent="0.25">
      <c r="A38" s="1">
        <v>45211</v>
      </c>
      <c r="B38" s="2">
        <v>0.61041666666666672</v>
      </c>
      <c r="C38" t="s">
        <v>832</v>
      </c>
      <c r="D38">
        <v>114</v>
      </c>
      <c r="E38" t="s">
        <v>807</v>
      </c>
      <c r="F38" t="str">
        <f>_xlfn.XLOOKUP(_26_03_2026_Log_Reseau_v15[[#This Row],[Cell_ID]],_26_03_2026_Registre_Maintenance_v1[ID_Antenne],_26_03_2026_Registre_Maintenance_v1[zone],"pas trouvé")</f>
        <v>Ituri</v>
      </c>
      <c r="G38">
        <f>_xlfn.XLOOKUP(_26_03_2026_Log_Reseau_v15[[#This Row],[Cell_ID]],_26_03_2026_Registre_Maintenance_v1[ID_Antenne],_26_03_2026_Registre_Maintenance_v1[Latitude],"non trouvé")</f>
        <v>-7.0076900000000002</v>
      </c>
      <c r="H38">
        <f>_xlfn.XLOOKUP(_26_03_2026_Log_Reseau_v15[[#This Row],[Cell_ID]],_26_03_2026_Registre_Maintenance_v1[ID_Antenne],_26_03_2026_Registre_Maintenance_v1[Longitude],"pas trouvé")</f>
        <v>27.367121999999998</v>
      </c>
      <c r="I38" t="str">
        <f>_xlfn.XLOOKUP(_26_03_2026_Log_Reseau_v15[[#This Row],[Cell_ID]],_26_03_2026_Registre_Maintenance_v1[ID_Antenne],_26_03_2026_Registre_Maintenance_v1[Technologie],"non trouvé")</f>
        <v>3G</v>
      </c>
      <c r="J38" t="str">
        <f>_xlfn.XLOOKUP(_26_03_2026_Log_Reseau_v15[[#This Row],[Cell_ID]],_26_03_2026_Registre_Maintenance_v1[ID_Antenne],_26_03_2026_Registre_Maintenance_v1[Equipementier],"pas trouvé")</f>
        <v>Nokia</v>
      </c>
      <c r="K38" t="str">
        <f>_xlfn.XLOOKUP(_26_03_2026_Log_Reseau_v15[[#This Row],[province RDC]],_26_03_2026_Client_Churn_v1[Province_Client],_26_03_2026_Client_Churn_v1[ID_Client],"non trouvé")</f>
        <v>CLI-01147</v>
      </c>
      <c r="L38">
        <f>_xlfn.XLOOKUP(_26_03_2026_Log_Reseau_v15[[#This Row],[province RDC]],_26_03_2026_Client_Churn_v1[Province_Client],_26_03_2026_Client_Churn_v1[Anciennete_Mois],"non trouvé")</f>
        <v>29</v>
      </c>
      <c r="M38" t="str">
        <f>_xlfn.XLOOKUP(_26_03_2026_Log_Reseau_v15[[#This Row],[province RDC]],_26_03_2026_Client_Churn_v1[Province_Client],_26_03_2026_Client_Churn_v1[Type_Forfait],"non trouvé")</f>
        <v>Premium 5G 150Go</v>
      </c>
      <c r="N38">
        <f>_xlfn.XLOOKUP(_26_03_2026_Log_Reseau_v15[[#This Row],[province RDC]],_26_03_2026_Client_Churn_v1[Province_Client],_26_03_2026_Client_Churn_v1[Duree_Cumulee_Panne_Min],"non trouvé")</f>
        <v>214</v>
      </c>
      <c r="O38">
        <f>_xlfn.XLOOKUP(_26_03_2026_Log_Reseau_v15[[#This Row],[province RDC]],_26_03_2026_Client_Churn_v1[Province_Client],_26_03_2026_Client_Churn_v1[Facture_Mensuelle],"non trouvé")</f>
        <v>74.7</v>
      </c>
      <c r="P38">
        <f>_xlfn.XLOOKUP(_26_03_2026_Log_Reseau_v15[[#This Row],[province RDC]],_26_03_2026_Client_Churn_v1[Province_Client],_26_03_2026_Client_Churn_v1[Plaintes_Service_Client],"non trouvé")</f>
        <v>3</v>
      </c>
    </row>
    <row r="39" spans="1:16" x14ac:dyDescent="0.25">
      <c r="A39" s="1">
        <v>45219</v>
      </c>
      <c r="B39" s="2">
        <v>0.10138888888888889</v>
      </c>
      <c r="C39" t="s">
        <v>832</v>
      </c>
      <c r="D39">
        <v>75</v>
      </c>
      <c r="E39" t="s">
        <v>807</v>
      </c>
      <c r="F39" t="str">
        <f>_xlfn.XLOOKUP(_26_03_2026_Log_Reseau_v15[[#This Row],[Cell_ID]],_26_03_2026_Registre_Maintenance_v1[ID_Antenne],_26_03_2026_Registre_Maintenance_v1[zone],"pas trouvé")</f>
        <v>Ituri</v>
      </c>
      <c r="G39">
        <f>_xlfn.XLOOKUP(_26_03_2026_Log_Reseau_v15[[#This Row],[Cell_ID]],_26_03_2026_Registre_Maintenance_v1[ID_Antenne],_26_03_2026_Registre_Maintenance_v1[Latitude],"non trouvé")</f>
        <v>-7.0076900000000002</v>
      </c>
      <c r="H39">
        <f>_xlfn.XLOOKUP(_26_03_2026_Log_Reseau_v15[[#This Row],[Cell_ID]],_26_03_2026_Registre_Maintenance_v1[ID_Antenne],_26_03_2026_Registre_Maintenance_v1[Longitude],"pas trouvé")</f>
        <v>27.367121999999998</v>
      </c>
      <c r="I39" t="str">
        <f>_xlfn.XLOOKUP(_26_03_2026_Log_Reseau_v15[[#This Row],[Cell_ID]],_26_03_2026_Registre_Maintenance_v1[ID_Antenne],_26_03_2026_Registre_Maintenance_v1[Technologie],"non trouvé")</f>
        <v>3G</v>
      </c>
      <c r="J39" t="str">
        <f>_xlfn.XLOOKUP(_26_03_2026_Log_Reseau_v15[[#This Row],[Cell_ID]],_26_03_2026_Registre_Maintenance_v1[ID_Antenne],_26_03_2026_Registre_Maintenance_v1[Equipementier],"pas trouvé")</f>
        <v>Nokia</v>
      </c>
      <c r="K39" t="str">
        <f>_xlfn.XLOOKUP(_26_03_2026_Log_Reseau_v15[[#This Row],[province RDC]],_26_03_2026_Client_Churn_v1[Province_Client],_26_03_2026_Client_Churn_v1[ID_Client],"non trouvé")</f>
        <v>CLI-01147</v>
      </c>
      <c r="L39">
        <f>_xlfn.XLOOKUP(_26_03_2026_Log_Reseau_v15[[#This Row],[province RDC]],_26_03_2026_Client_Churn_v1[Province_Client],_26_03_2026_Client_Churn_v1[Anciennete_Mois],"non trouvé")</f>
        <v>29</v>
      </c>
      <c r="M39" t="str">
        <f>_xlfn.XLOOKUP(_26_03_2026_Log_Reseau_v15[[#This Row],[province RDC]],_26_03_2026_Client_Churn_v1[Province_Client],_26_03_2026_Client_Churn_v1[Type_Forfait],"non trouvé")</f>
        <v>Premium 5G 150Go</v>
      </c>
      <c r="N39">
        <f>_xlfn.XLOOKUP(_26_03_2026_Log_Reseau_v15[[#This Row],[province RDC]],_26_03_2026_Client_Churn_v1[Province_Client],_26_03_2026_Client_Churn_v1[Duree_Cumulee_Panne_Min],"non trouvé")</f>
        <v>214</v>
      </c>
      <c r="O39">
        <f>_xlfn.XLOOKUP(_26_03_2026_Log_Reseau_v15[[#This Row],[province RDC]],_26_03_2026_Client_Churn_v1[Province_Client],_26_03_2026_Client_Churn_v1[Facture_Mensuelle],"non trouvé")</f>
        <v>74.7</v>
      </c>
      <c r="P39">
        <f>_xlfn.XLOOKUP(_26_03_2026_Log_Reseau_v15[[#This Row],[province RDC]],_26_03_2026_Client_Churn_v1[Province_Client],_26_03_2026_Client_Churn_v1[Plaintes_Service_Client],"non trouvé")</f>
        <v>3</v>
      </c>
    </row>
    <row r="40" spans="1:16" x14ac:dyDescent="0.25">
      <c r="A40" s="1">
        <v>45202</v>
      </c>
      <c r="B40" s="2">
        <v>0.35</v>
      </c>
      <c r="C40" t="s">
        <v>833</v>
      </c>
      <c r="D40">
        <v>78</v>
      </c>
      <c r="E40" t="s">
        <v>807</v>
      </c>
      <c r="F40" t="str">
        <f>_xlfn.XLOOKUP(_26_03_2026_Log_Reseau_v15[[#This Row],[Cell_ID]],_26_03_2026_Registre_Maintenance_v1[ID_Antenne],_26_03_2026_Registre_Maintenance_v1[zone],"pas trouvé")</f>
        <v>Mongala</v>
      </c>
      <c r="G40">
        <f>_xlfn.XLOOKUP(_26_03_2026_Log_Reseau_v15[[#This Row],[Cell_ID]],_26_03_2026_Registre_Maintenance_v1[ID_Antenne],_26_03_2026_Registre_Maintenance_v1[Latitude],"non trouvé")</f>
        <v>4.0988100000000003</v>
      </c>
      <c r="H40">
        <f>_xlfn.XLOOKUP(_26_03_2026_Log_Reseau_v15[[#This Row],[Cell_ID]],_26_03_2026_Registre_Maintenance_v1[ID_Antenne],_26_03_2026_Registre_Maintenance_v1[Longitude],"pas trouvé")</f>
        <v>29.843810999999999</v>
      </c>
      <c r="I40" t="str">
        <f>_xlfn.XLOOKUP(_26_03_2026_Log_Reseau_v15[[#This Row],[Cell_ID]],_26_03_2026_Registre_Maintenance_v1[ID_Antenne],_26_03_2026_Registre_Maintenance_v1[Technologie],"non trouvé")</f>
        <v>3G</v>
      </c>
      <c r="J40" t="str">
        <f>_xlfn.XLOOKUP(_26_03_2026_Log_Reseau_v15[[#This Row],[Cell_ID]],_26_03_2026_Registre_Maintenance_v1[ID_Antenne],_26_03_2026_Registre_Maintenance_v1[Equipementier],"pas trouvé")</f>
        <v>Huawei</v>
      </c>
      <c r="K40" t="str">
        <f>_xlfn.XLOOKUP(_26_03_2026_Log_Reseau_v15[[#This Row],[province RDC]],_26_03_2026_Client_Churn_v1[Province_Client],_26_03_2026_Client_Churn_v1[ID_Client],"non trouvé")</f>
        <v>CLI-00865</v>
      </c>
      <c r="L40">
        <f>_xlfn.XLOOKUP(_26_03_2026_Log_Reseau_v15[[#This Row],[province RDC]],_26_03_2026_Client_Churn_v1[Province_Client],_26_03_2026_Client_Churn_v1[Anciennete_Mois],"non trouvé")</f>
        <v>34</v>
      </c>
      <c r="M40" t="str">
        <f>_xlfn.XLOOKUP(_26_03_2026_Log_Reseau_v15[[#This Row],[province RDC]],_26_03_2026_Client_Churn_v1[Province_Client],_26_03_2026_Client_Churn_v1[Type_Forfait],"non trouvé")</f>
        <v>Pro Monde</v>
      </c>
      <c r="N40">
        <f>_xlfn.XLOOKUP(_26_03_2026_Log_Reseau_v15[[#This Row],[province RDC]],_26_03_2026_Client_Churn_v1[Province_Client],_26_03_2026_Client_Churn_v1[Duree_Cumulee_Panne_Min],"non trouvé")</f>
        <v>453</v>
      </c>
      <c r="O40">
        <f>_xlfn.XLOOKUP(_26_03_2026_Log_Reseau_v15[[#This Row],[province RDC]],_26_03_2026_Client_Churn_v1[Province_Client],_26_03_2026_Client_Churn_v1[Facture_Mensuelle],"non trouvé")</f>
        <v>56.84</v>
      </c>
      <c r="P40">
        <f>_xlfn.XLOOKUP(_26_03_2026_Log_Reseau_v15[[#This Row],[province RDC]],_26_03_2026_Client_Churn_v1[Province_Client],_26_03_2026_Client_Churn_v1[Plaintes_Service_Client],"non trouvé")</f>
        <v>0</v>
      </c>
    </row>
    <row r="41" spans="1:16" x14ac:dyDescent="0.25">
      <c r="A41" s="1">
        <v>45216</v>
      </c>
      <c r="B41" s="2">
        <v>0.58333333333333337</v>
      </c>
      <c r="C41" t="s">
        <v>834</v>
      </c>
      <c r="D41">
        <v>78</v>
      </c>
      <c r="E41" t="s">
        <v>812</v>
      </c>
      <c r="F41" t="str">
        <f>_xlfn.XLOOKUP(_26_03_2026_Log_Reseau_v15[[#This Row],[Cell_ID]],_26_03_2026_Registre_Maintenance_v1[ID_Antenne],_26_03_2026_Registre_Maintenance_v1[zone],"pas trouvé")</f>
        <v>Haut-Katanga</v>
      </c>
      <c r="G41">
        <f>_xlfn.XLOOKUP(_26_03_2026_Log_Reseau_v15[[#This Row],[Cell_ID]],_26_03_2026_Registre_Maintenance_v1[ID_Antenne],_26_03_2026_Registre_Maintenance_v1[Latitude],"non trouvé")</f>
        <v>0.16841400000000001</v>
      </c>
      <c r="H41">
        <f>_xlfn.XLOOKUP(_26_03_2026_Log_Reseau_v15[[#This Row],[Cell_ID]],_26_03_2026_Registre_Maintenance_v1[ID_Antenne],_26_03_2026_Registre_Maintenance_v1[Longitude],"pas trouvé")</f>
        <v>30.029876999999999</v>
      </c>
      <c r="I41" t="str">
        <f>_xlfn.XLOOKUP(_26_03_2026_Log_Reseau_v15[[#This Row],[Cell_ID]],_26_03_2026_Registre_Maintenance_v1[ID_Antenne],_26_03_2026_Registre_Maintenance_v1[Technologie],"non trouvé")</f>
        <v>5G</v>
      </c>
      <c r="J41" t="str">
        <f>_xlfn.XLOOKUP(_26_03_2026_Log_Reseau_v15[[#This Row],[Cell_ID]],_26_03_2026_Registre_Maintenance_v1[ID_Antenne],_26_03_2026_Registre_Maintenance_v1[Equipementier],"pas trouvé")</f>
        <v>Huawei</v>
      </c>
      <c r="K41" t="str">
        <f>_xlfn.XLOOKUP(_26_03_2026_Log_Reseau_v15[[#This Row],[province RDC]],_26_03_2026_Client_Churn_v1[Province_Client],_26_03_2026_Client_Churn_v1[ID_Client],"non trouvé")</f>
        <v>CLI-00076</v>
      </c>
      <c r="L41">
        <f>_xlfn.XLOOKUP(_26_03_2026_Log_Reseau_v15[[#This Row],[province RDC]],_26_03_2026_Client_Churn_v1[Province_Client],_26_03_2026_Client_Churn_v1[Anciennete_Mois],"non trouvé")</f>
        <v>46</v>
      </c>
      <c r="M41" t="str">
        <f>_xlfn.XLOOKUP(_26_03_2026_Log_Reseau_v15[[#This Row],[province RDC]],_26_03_2026_Client_Churn_v1[Province_Client],_26_03_2026_Client_Churn_v1[Type_Forfait],"non trouvé")</f>
        <v>Premium 5G 150Go</v>
      </c>
      <c r="N41">
        <f>_xlfn.XLOOKUP(_26_03_2026_Log_Reseau_v15[[#This Row],[province RDC]],_26_03_2026_Client_Churn_v1[Province_Client],_26_03_2026_Client_Churn_v1[Duree_Cumulee_Panne_Min],"non trouvé")</f>
        <v>283</v>
      </c>
      <c r="O41">
        <f>_xlfn.XLOOKUP(_26_03_2026_Log_Reseau_v15[[#This Row],[province RDC]],_26_03_2026_Client_Churn_v1[Province_Client],_26_03_2026_Client_Churn_v1[Facture_Mensuelle],"non trouvé")</f>
        <v>56.05</v>
      </c>
      <c r="P41">
        <f>_xlfn.XLOOKUP(_26_03_2026_Log_Reseau_v15[[#This Row],[province RDC]],_26_03_2026_Client_Churn_v1[Province_Client],_26_03_2026_Client_Churn_v1[Plaintes_Service_Client],"non trouvé")</f>
        <v>1</v>
      </c>
    </row>
    <row r="42" spans="1:16" x14ac:dyDescent="0.25">
      <c r="A42" s="1">
        <v>45223</v>
      </c>
      <c r="B42" s="2">
        <v>0.73611111111111116</v>
      </c>
      <c r="C42" t="s">
        <v>834</v>
      </c>
      <c r="D42">
        <v>116</v>
      </c>
      <c r="E42" t="s">
        <v>808</v>
      </c>
      <c r="F42" t="str">
        <f>_xlfn.XLOOKUP(_26_03_2026_Log_Reseau_v15[[#This Row],[Cell_ID]],_26_03_2026_Registre_Maintenance_v1[ID_Antenne],_26_03_2026_Registre_Maintenance_v1[zone],"pas trouvé")</f>
        <v>Haut-Katanga</v>
      </c>
      <c r="G42">
        <f>_xlfn.XLOOKUP(_26_03_2026_Log_Reseau_v15[[#This Row],[Cell_ID]],_26_03_2026_Registre_Maintenance_v1[ID_Antenne],_26_03_2026_Registre_Maintenance_v1[Latitude],"non trouvé")</f>
        <v>0.16841400000000001</v>
      </c>
      <c r="H42">
        <f>_xlfn.XLOOKUP(_26_03_2026_Log_Reseau_v15[[#This Row],[Cell_ID]],_26_03_2026_Registre_Maintenance_v1[ID_Antenne],_26_03_2026_Registre_Maintenance_v1[Longitude],"pas trouvé")</f>
        <v>30.029876999999999</v>
      </c>
      <c r="I42" t="str">
        <f>_xlfn.XLOOKUP(_26_03_2026_Log_Reseau_v15[[#This Row],[Cell_ID]],_26_03_2026_Registre_Maintenance_v1[ID_Antenne],_26_03_2026_Registre_Maintenance_v1[Technologie],"non trouvé")</f>
        <v>5G</v>
      </c>
      <c r="J42" t="str">
        <f>_xlfn.XLOOKUP(_26_03_2026_Log_Reseau_v15[[#This Row],[Cell_ID]],_26_03_2026_Registre_Maintenance_v1[ID_Antenne],_26_03_2026_Registre_Maintenance_v1[Equipementier],"pas trouvé")</f>
        <v>Huawei</v>
      </c>
      <c r="K42" t="str">
        <f>_xlfn.XLOOKUP(_26_03_2026_Log_Reseau_v15[[#This Row],[province RDC]],_26_03_2026_Client_Churn_v1[Province_Client],_26_03_2026_Client_Churn_v1[ID_Client],"non trouvé")</f>
        <v>CLI-00076</v>
      </c>
      <c r="L42">
        <f>_xlfn.XLOOKUP(_26_03_2026_Log_Reseau_v15[[#This Row],[province RDC]],_26_03_2026_Client_Churn_v1[Province_Client],_26_03_2026_Client_Churn_v1[Anciennete_Mois],"non trouvé")</f>
        <v>46</v>
      </c>
      <c r="M42" t="str">
        <f>_xlfn.XLOOKUP(_26_03_2026_Log_Reseau_v15[[#This Row],[province RDC]],_26_03_2026_Client_Churn_v1[Province_Client],_26_03_2026_Client_Churn_v1[Type_Forfait],"non trouvé")</f>
        <v>Premium 5G 150Go</v>
      </c>
      <c r="N42">
        <f>_xlfn.XLOOKUP(_26_03_2026_Log_Reseau_v15[[#This Row],[province RDC]],_26_03_2026_Client_Churn_v1[Province_Client],_26_03_2026_Client_Churn_v1[Duree_Cumulee_Panne_Min],"non trouvé")</f>
        <v>283</v>
      </c>
      <c r="O42">
        <f>_xlfn.XLOOKUP(_26_03_2026_Log_Reseau_v15[[#This Row],[province RDC]],_26_03_2026_Client_Churn_v1[Province_Client],_26_03_2026_Client_Churn_v1[Facture_Mensuelle],"non trouvé")</f>
        <v>56.05</v>
      </c>
      <c r="P42">
        <f>_xlfn.XLOOKUP(_26_03_2026_Log_Reseau_v15[[#This Row],[province RDC]],_26_03_2026_Client_Churn_v1[Province_Client],_26_03_2026_Client_Churn_v1[Plaintes_Service_Client],"non trouvé")</f>
        <v>1</v>
      </c>
    </row>
    <row r="43" spans="1:16" x14ac:dyDescent="0.25">
      <c r="A43" s="1">
        <v>45217</v>
      </c>
      <c r="B43" s="2">
        <v>0.57847222222222228</v>
      </c>
      <c r="C43" t="s">
        <v>835</v>
      </c>
      <c r="D43">
        <v>93</v>
      </c>
      <c r="E43" t="s">
        <v>808</v>
      </c>
      <c r="F43" t="str">
        <f>_xlfn.XLOOKUP(_26_03_2026_Log_Reseau_v15[[#This Row],[Cell_ID]],_26_03_2026_Registre_Maintenance_v1[ID_Antenne],_26_03_2026_Registre_Maintenance_v1[zone],"pas trouvé")</f>
        <v>Kasai-Central</v>
      </c>
      <c r="G43">
        <f>_xlfn.XLOOKUP(_26_03_2026_Log_Reseau_v15[[#This Row],[Cell_ID]],_26_03_2026_Registre_Maintenance_v1[ID_Antenne],_26_03_2026_Registre_Maintenance_v1[Latitude],"non trouvé")</f>
        <v>-10.735106</v>
      </c>
      <c r="H43">
        <f>_xlfn.XLOOKUP(_26_03_2026_Log_Reseau_v15[[#This Row],[Cell_ID]],_26_03_2026_Registre_Maintenance_v1[ID_Antenne],_26_03_2026_Registre_Maintenance_v1[Longitude],"pas trouvé")</f>
        <v>27.868673999999999</v>
      </c>
      <c r="I43" t="str">
        <f>_xlfn.XLOOKUP(_26_03_2026_Log_Reseau_v15[[#This Row],[Cell_ID]],_26_03_2026_Registre_Maintenance_v1[ID_Antenne],_26_03_2026_Registre_Maintenance_v1[Technologie],"non trouvé")</f>
        <v>3G</v>
      </c>
      <c r="J43" t="str">
        <f>_xlfn.XLOOKUP(_26_03_2026_Log_Reseau_v15[[#This Row],[Cell_ID]],_26_03_2026_Registre_Maintenance_v1[ID_Antenne],_26_03_2026_Registre_Maintenance_v1[Equipementier],"pas trouvé")</f>
        <v>Ericsson</v>
      </c>
      <c r="K43" t="str">
        <f>_xlfn.XLOOKUP(_26_03_2026_Log_Reseau_v15[[#This Row],[province RDC]],_26_03_2026_Client_Churn_v1[Province_Client],_26_03_2026_Client_Churn_v1[ID_Client],"non trouvé")</f>
        <v>CLI-00060</v>
      </c>
      <c r="L43">
        <f>_xlfn.XLOOKUP(_26_03_2026_Log_Reseau_v15[[#This Row],[province RDC]],_26_03_2026_Client_Churn_v1[Province_Client],_26_03_2026_Client_Churn_v1[Anciennete_Mois],"non trouvé")</f>
        <v>72</v>
      </c>
      <c r="M43" t="str">
        <f>_xlfn.XLOOKUP(_26_03_2026_Log_Reseau_v15[[#This Row],[province RDC]],_26_03_2026_Client_Churn_v1[Province_Client],_26_03_2026_Client_Churn_v1[Type_Forfait],"non trouvé")</f>
        <v>Pro Monde</v>
      </c>
      <c r="N43">
        <f>_xlfn.XLOOKUP(_26_03_2026_Log_Reseau_v15[[#This Row],[province RDC]],_26_03_2026_Client_Churn_v1[Province_Client],_26_03_2026_Client_Churn_v1[Duree_Cumulee_Panne_Min],"non trouvé")</f>
        <v>160</v>
      </c>
      <c r="O43">
        <f>_xlfn.XLOOKUP(_26_03_2026_Log_Reseau_v15[[#This Row],[province RDC]],_26_03_2026_Client_Churn_v1[Province_Client],_26_03_2026_Client_Churn_v1[Facture_Mensuelle],"non trouvé")</f>
        <v>90.13</v>
      </c>
      <c r="P43">
        <f>_xlfn.XLOOKUP(_26_03_2026_Log_Reseau_v15[[#This Row],[province RDC]],_26_03_2026_Client_Churn_v1[Province_Client],_26_03_2026_Client_Churn_v1[Plaintes_Service_Client],"non trouvé")</f>
        <v>2</v>
      </c>
    </row>
    <row r="44" spans="1:16" hidden="1" x14ac:dyDescent="0.25">
      <c r="A44" s="1">
        <v>45228</v>
      </c>
      <c r="B44" s="2">
        <v>0.26944444444444443</v>
      </c>
      <c r="C44" t="s">
        <v>836</v>
      </c>
      <c r="D44">
        <v>109</v>
      </c>
      <c r="E44" t="s">
        <v>808</v>
      </c>
      <c r="F44" t="str">
        <f>_xlfn.XLOOKUP(_26_03_2026_Log_Reseau_v15[[#This Row],[Cell_ID]],_26_03_2026_Registre_Maintenance_v1[ID_Antenne],_26_03_2026_Registre_Maintenance_v1[zone],"pas trouvé")</f>
        <v>pas trouvé</v>
      </c>
      <c r="G44" t="str">
        <f>_xlfn.XLOOKUP(_26_03_2026_Log_Reseau_v15[[#This Row],[Cell_ID]],_26_03_2026_Registre_Maintenance_v1[ID_Antenne],_26_03_2026_Registre_Maintenance_v1[Latitude],"non trouvé")</f>
        <v>non trouvé</v>
      </c>
      <c r="H44" t="str">
        <f>_xlfn.XLOOKUP(_26_03_2026_Log_Reseau_v15[[#This Row],[Cell_ID]],_26_03_2026_Registre_Maintenance_v1[ID_Antenne],_26_03_2026_Registre_Maintenance_v1[Longitude],"pas trouvé")</f>
        <v>pas trouvé</v>
      </c>
      <c r="I44" t="str">
        <f>_xlfn.XLOOKUP(_26_03_2026_Log_Reseau_v15[[#This Row],[Cell_ID]],_26_03_2026_Registre_Maintenance_v1[ID_Antenne],_26_03_2026_Registre_Maintenance_v1[Technologie],"non trouvé")</f>
        <v>non trouvé</v>
      </c>
      <c r="J44" t="str">
        <f>_xlfn.XLOOKUP(_26_03_2026_Log_Reseau_v15[[#This Row],[Cell_ID]],_26_03_2026_Registre_Maintenance_v1[ID_Antenne],_26_03_2026_Registre_Maintenance_v1[Equipementier],"pas trouvé")</f>
        <v>pas trouvé</v>
      </c>
      <c r="K44" t="str">
        <f>_xlfn.XLOOKUP(_26_03_2026_Log_Reseau_v15[[#This Row],[province RDC]],_26_03_2026_Client_Churn_v1[Province_Client],_26_03_2026_Client_Churn_v1[ID_Client],"non trouvé")</f>
        <v>non trouvé</v>
      </c>
      <c r="L44" t="str">
        <f>_xlfn.XLOOKUP(_26_03_2026_Log_Reseau_v15[[#This Row],[province RDC]],_26_03_2026_Client_Churn_v1[Province_Client],_26_03_2026_Client_Churn_v1[Anciennete_Mois],"non trouvé")</f>
        <v>non trouvé</v>
      </c>
      <c r="M44" t="str">
        <f>_xlfn.XLOOKUP(_26_03_2026_Log_Reseau_v15[[#This Row],[province RDC]],_26_03_2026_Client_Churn_v1[Province_Client],_26_03_2026_Client_Churn_v1[Type_Forfait],"non trouvé")</f>
        <v>non trouvé</v>
      </c>
      <c r="N44" t="str">
        <f>_xlfn.XLOOKUP(_26_03_2026_Log_Reseau_v15[[#This Row],[province RDC]],_26_03_2026_Client_Churn_v1[Province_Client],_26_03_2026_Client_Churn_v1[Duree_Cumulee_Panne_Min],"non trouvé")</f>
        <v>non trouvé</v>
      </c>
      <c r="O44" t="str">
        <f>_xlfn.XLOOKUP(_26_03_2026_Log_Reseau_v15[[#This Row],[province RDC]],_26_03_2026_Client_Churn_v1[Province_Client],_26_03_2026_Client_Churn_v1[Facture_Mensuelle],"non trouvé")</f>
        <v>non trouvé</v>
      </c>
      <c r="P44" t="str">
        <f>_xlfn.XLOOKUP(_26_03_2026_Log_Reseau_v15[[#This Row],[province RDC]],_26_03_2026_Client_Churn_v1[Province_Client],_26_03_2026_Client_Churn_v1[Plaintes_Service_Client],"non trouvé")</f>
        <v>non trouvé</v>
      </c>
    </row>
    <row r="45" spans="1:16" hidden="1" x14ac:dyDescent="0.25">
      <c r="A45" s="1">
        <v>45224</v>
      </c>
      <c r="B45" s="2">
        <v>8.3333333333333329E-2</v>
      </c>
      <c r="C45" t="s">
        <v>836</v>
      </c>
      <c r="D45">
        <v>31</v>
      </c>
      <c r="E45" t="s">
        <v>807</v>
      </c>
      <c r="F45" t="str">
        <f>_xlfn.XLOOKUP(_26_03_2026_Log_Reseau_v15[[#This Row],[Cell_ID]],_26_03_2026_Registre_Maintenance_v1[ID_Antenne],_26_03_2026_Registre_Maintenance_v1[zone],"pas trouvé")</f>
        <v>pas trouvé</v>
      </c>
      <c r="G45" t="str">
        <f>_xlfn.XLOOKUP(_26_03_2026_Log_Reseau_v15[[#This Row],[Cell_ID]],_26_03_2026_Registre_Maintenance_v1[ID_Antenne],_26_03_2026_Registre_Maintenance_v1[Latitude],"non trouvé")</f>
        <v>non trouvé</v>
      </c>
      <c r="H45" t="str">
        <f>_xlfn.XLOOKUP(_26_03_2026_Log_Reseau_v15[[#This Row],[Cell_ID]],_26_03_2026_Registre_Maintenance_v1[ID_Antenne],_26_03_2026_Registre_Maintenance_v1[Longitude],"pas trouvé")</f>
        <v>pas trouvé</v>
      </c>
      <c r="I45" t="str">
        <f>_xlfn.XLOOKUP(_26_03_2026_Log_Reseau_v15[[#This Row],[Cell_ID]],_26_03_2026_Registre_Maintenance_v1[ID_Antenne],_26_03_2026_Registre_Maintenance_v1[Technologie],"non trouvé")</f>
        <v>non trouvé</v>
      </c>
      <c r="J45" t="str">
        <f>_xlfn.XLOOKUP(_26_03_2026_Log_Reseau_v15[[#This Row],[Cell_ID]],_26_03_2026_Registre_Maintenance_v1[ID_Antenne],_26_03_2026_Registre_Maintenance_v1[Equipementier],"pas trouvé")</f>
        <v>pas trouvé</v>
      </c>
      <c r="K45" t="str">
        <f>_xlfn.XLOOKUP(_26_03_2026_Log_Reseau_v15[[#This Row],[province RDC]],_26_03_2026_Client_Churn_v1[Province_Client],_26_03_2026_Client_Churn_v1[ID_Client],"non trouvé")</f>
        <v>non trouvé</v>
      </c>
      <c r="L45" t="str">
        <f>_xlfn.XLOOKUP(_26_03_2026_Log_Reseau_v15[[#This Row],[province RDC]],_26_03_2026_Client_Churn_v1[Province_Client],_26_03_2026_Client_Churn_v1[Anciennete_Mois],"non trouvé")</f>
        <v>non trouvé</v>
      </c>
      <c r="M45" t="str">
        <f>_xlfn.XLOOKUP(_26_03_2026_Log_Reseau_v15[[#This Row],[province RDC]],_26_03_2026_Client_Churn_v1[Province_Client],_26_03_2026_Client_Churn_v1[Type_Forfait],"non trouvé")</f>
        <v>non trouvé</v>
      </c>
      <c r="N45" t="str">
        <f>_xlfn.XLOOKUP(_26_03_2026_Log_Reseau_v15[[#This Row],[province RDC]],_26_03_2026_Client_Churn_v1[Province_Client],_26_03_2026_Client_Churn_v1[Duree_Cumulee_Panne_Min],"non trouvé")</f>
        <v>non trouvé</v>
      </c>
      <c r="O45" t="str">
        <f>_xlfn.XLOOKUP(_26_03_2026_Log_Reseau_v15[[#This Row],[province RDC]],_26_03_2026_Client_Churn_v1[Province_Client],_26_03_2026_Client_Churn_v1[Facture_Mensuelle],"non trouvé")</f>
        <v>non trouvé</v>
      </c>
      <c r="P45" t="str">
        <f>_xlfn.XLOOKUP(_26_03_2026_Log_Reseau_v15[[#This Row],[province RDC]],_26_03_2026_Client_Churn_v1[Province_Client],_26_03_2026_Client_Churn_v1[Plaintes_Service_Client],"non trouvé")</f>
        <v>non trouvé</v>
      </c>
    </row>
    <row r="46" spans="1:16" x14ac:dyDescent="0.25">
      <c r="A46" s="1">
        <v>45202</v>
      </c>
      <c r="B46" s="2">
        <v>0.16180555555555556</v>
      </c>
      <c r="C46" t="s">
        <v>837</v>
      </c>
      <c r="D46">
        <v>61</v>
      </c>
      <c r="E46" t="s">
        <v>808</v>
      </c>
      <c r="F46" t="str">
        <f>_xlfn.XLOOKUP(_26_03_2026_Log_Reseau_v15[[#This Row],[Cell_ID]],_26_03_2026_Registre_Maintenance_v1[ID_Antenne],_26_03_2026_Registre_Maintenance_v1[zone],"pas trouvé")</f>
        <v>Nord-Kivu</v>
      </c>
      <c r="G46">
        <f>_xlfn.XLOOKUP(_26_03_2026_Log_Reseau_v15[[#This Row],[Cell_ID]],_26_03_2026_Registre_Maintenance_v1[ID_Antenne],_26_03_2026_Registre_Maintenance_v1[Latitude],"non trouvé")</f>
        <v>-6.5529849999999996</v>
      </c>
      <c r="H46">
        <f>_xlfn.XLOOKUP(_26_03_2026_Log_Reseau_v15[[#This Row],[Cell_ID]],_26_03_2026_Registre_Maintenance_v1[ID_Antenne],_26_03_2026_Registre_Maintenance_v1[Longitude],"pas trouvé")</f>
        <v>21.990606</v>
      </c>
      <c r="I46" t="str">
        <f>_xlfn.XLOOKUP(_26_03_2026_Log_Reseau_v15[[#This Row],[Cell_ID]],_26_03_2026_Registre_Maintenance_v1[ID_Antenne],_26_03_2026_Registre_Maintenance_v1[Technologie],"non trouvé")</f>
        <v>3G</v>
      </c>
      <c r="J46" t="str">
        <f>_xlfn.XLOOKUP(_26_03_2026_Log_Reseau_v15[[#This Row],[Cell_ID]],_26_03_2026_Registre_Maintenance_v1[ID_Antenne],_26_03_2026_Registre_Maintenance_v1[Equipementier],"pas trouvé")</f>
        <v>Huawei</v>
      </c>
      <c r="K46" t="str">
        <f>_xlfn.XLOOKUP(_26_03_2026_Log_Reseau_v15[[#This Row],[province RDC]],_26_03_2026_Client_Churn_v1[Province_Client],_26_03_2026_Client_Churn_v1[ID_Client],"non trouvé")</f>
        <v>CLI-00837</v>
      </c>
      <c r="L46">
        <f>_xlfn.XLOOKUP(_26_03_2026_Log_Reseau_v15[[#This Row],[province RDC]],_26_03_2026_Client_Churn_v1[Province_Client],_26_03_2026_Client_Churn_v1[Anciennete_Mois],"non trouvé")</f>
        <v>16</v>
      </c>
      <c r="M46" t="str">
        <f>_xlfn.XLOOKUP(_26_03_2026_Log_Reseau_v15[[#This Row],[province RDC]],_26_03_2026_Client_Churn_v1[Province_Client],_26_03_2026_Client_Churn_v1[Type_Forfait],"non trouvé")</f>
        <v>Bloqué 5Go</v>
      </c>
      <c r="N46">
        <f>_xlfn.XLOOKUP(_26_03_2026_Log_Reseau_v15[[#This Row],[province RDC]],_26_03_2026_Client_Churn_v1[Province_Client],_26_03_2026_Client_Churn_v1[Duree_Cumulee_Panne_Min],"non trouvé")</f>
        <v>390</v>
      </c>
      <c r="O46">
        <f>_xlfn.XLOOKUP(_26_03_2026_Log_Reseau_v15[[#This Row],[province RDC]],_26_03_2026_Client_Churn_v1[Province_Client],_26_03_2026_Client_Churn_v1[Facture_Mensuelle],"non trouvé")</f>
        <v>98.17</v>
      </c>
      <c r="P46">
        <f>_xlfn.XLOOKUP(_26_03_2026_Log_Reseau_v15[[#This Row],[province RDC]],_26_03_2026_Client_Churn_v1[Province_Client],_26_03_2026_Client_Churn_v1[Plaintes_Service_Client],"non trouvé")</f>
        <v>5</v>
      </c>
    </row>
    <row r="47" spans="1:16" x14ac:dyDescent="0.25">
      <c r="A47" s="1">
        <v>45205</v>
      </c>
      <c r="B47" s="2">
        <v>0.46388888888888891</v>
      </c>
      <c r="C47" t="s">
        <v>838</v>
      </c>
      <c r="D47">
        <v>103</v>
      </c>
      <c r="E47" t="s">
        <v>807</v>
      </c>
      <c r="F47" t="str">
        <f>_xlfn.XLOOKUP(_26_03_2026_Log_Reseau_v15[[#This Row],[Cell_ID]],_26_03_2026_Registre_Maintenance_v1[ID_Antenne],_26_03_2026_Registre_Maintenance_v1[zone],"pas trouvé")</f>
        <v>Nord-Kivu</v>
      </c>
      <c r="G47">
        <f>_xlfn.XLOOKUP(_26_03_2026_Log_Reseau_v15[[#This Row],[Cell_ID]],_26_03_2026_Registre_Maintenance_v1[ID_Antenne],_26_03_2026_Registre_Maintenance_v1[Latitude],"non trouvé")</f>
        <v>-0.17258100000000001</v>
      </c>
      <c r="H47">
        <f>_xlfn.XLOOKUP(_26_03_2026_Log_Reseau_v15[[#This Row],[Cell_ID]],_26_03_2026_Registre_Maintenance_v1[ID_Antenne],_26_03_2026_Registre_Maintenance_v1[Longitude],"pas trouvé")</f>
        <v>23.775555000000001</v>
      </c>
      <c r="I47" t="str">
        <f>_xlfn.XLOOKUP(_26_03_2026_Log_Reseau_v15[[#This Row],[Cell_ID]],_26_03_2026_Registre_Maintenance_v1[ID_Antenne],_26_03_2026_Registre_Maintenance_v1[Technologie],"non trouvé")</f>
        <v>5G</v>
      </c>
      <c r="J47" t="str">
        <f>_xlfn.XLOOKUP(_26_03_2026_Log_Reseau_v15[[#This Row],[Cell_ID]],_26_03_2026_Registre_Maintenance_v1[ID_Antenne],_26_03_2026_Registre_Maintenance_v1[Equipementier],"pas trouvé")</f>
        <v>Nokia</v>
      </c>
      <c r="K47" t="str">
        <f>_xlfn.XLOOKUP(_26_03_2026_Log_Reseau_v15[[#This Row],[province RDC]],_26_03_2026_Client_Churn_v1[Province_Client],_26_03_2026_Client_Churn_v1[ID_Client],"non trouvé")</f>
        <v>CLI-00837</v>
      </c>
      <c r="L47">
        <f>_xlfn.XLOOKUP(_26_03_2026_Log_Reseau_v15[[#This Row],[province RDC]],_26_03_2026_Client_Churn_v1[Province_Client],_26_03_2026_Client_Churn_v1[Anciennete_Mois],"non trouvé")</f>
        <v>16</v>
      </c>
      <c r="M47" t="str">
        <f>_xlfn.XLOOKUP(_26_03_2026_Log_Reseau_v15[[#This Row],[province RDC]],_26_03_2026_Client_Churn_v1[Province_Client],_26_03_2026_Client_Churn_v1[Type_Forfait],"non trouvé")</f>
        <v>Bloqué 5Go</v>
      </c>
      <c r="N47">
        <f>_xlfn.XLOOKUP(_26_03_2026_Log_Reseau_v15[[#This Row],[province RDC]],_26_03_2026_Client_Churn_v1[Province_Client],_26_03_2026_Client_Churn_v1[Duree_Cumulee_Panne_Min],"non trouvé")</f>
        <v>390</v>
      </c>
      <c r="O47">
        <f>_xlfn.XLOOKUP(_26_03_2026_Log_Reseau_v15[[#This Row],[province RDC]],_26_03_2026_Client_Churn_v1[Province_Client],_26_03_2026_Client_Churn_v1[Facture_Mensuelle],"non trouvé")</f>
        <v>98.17</v>
      </c>
      <c r="P47">
        <f>_xlfn.XLOOKUP(_26_03_2026_Log_Reseau_v15[[#This Row],[province RDC]],_26_03_2026_Client_Churn_v1[Province_Client],_26_03_2026_Client_Churn_v1[Plaintes_Service_Client],"non trouvé")</f>
        <v>5</v>
      </c>
    </row>
    <row r="48" spans="1:16" hidden="1" x14ac:dyDescent="0.25">
      <c r="A48" s="1">
        <v>45201</v>
      </c>
      <c r="B48" s="2">
        <v>0.8569444444444444</v>
      </c>
      <c r="C48" t="s">
        <v>839</v>
      </c>
      <c r="D48">
        <v>61</v>
      </c>
      <c r="E48" t="s">
        <v>807</v>
      </c>
      <c r="F48" t="str">
        <f>_xlfn.XLOOKUP(_26_03_2026_Log_Reseau_v15[[#This Row],[Cell_ID]],_26_03_2026_Registre_Maintenance_v1[ID_Antenne],_26_03_2026_Registre_Maintenance_v1[zone],"pas trouvé")</f>
        <v>pas trouvé</v>
      </c>
      <c r="G48" t="str">
        <f>_xlfn.XLOOKUP(_26_03_2026_Log_Reseau_v15[[#This Row],[Cell_ID]],_26_03_2026_Registre_Maintenance_v1[ID_Antenne],_26_03_2026_Registre_Maintenance_v1[Latitude],"non trouvé")</f>
        <v>non trouvé</v>
      </c>
      <c r="H48" t="str">
        <f>_xlfn.XLOOKUP(_26_03_2026_Log_Reseau_v15[[#This Row],[Cell_ID]],_26_03_2026_Registre_Maintenance_v1[ID_Antenne],_26_03_2026_Registre_Maintenance_v1[Longitude],"pas trouvé")</f>
        <v>pas trouvé</v>
      </c>
      <c r="I48" t="str">
        <f>_xlfn.XLOOKUP(_26_03_2026_Log_Reseau_v15[[#This Row],[Cell_ID]],_26_03_2026_Registre_Maintenance_v1[ID_Antenne],_26_03_2026_Registre_Maintenance_v1[Technologie],"non trouvé")</f>
        <v>non trouvé</v>
      </c>
      <c r="J48" t="str">
        <f>_xlfn.XLOOKUP(_26_03_2026_Log_Reseau_v15[[#This Row],[Cell_ID]],_26_03_2026_Registre_Maintenance_v1[ID_Antenne],_26_03_2026_Registre_Maintenance_v1[Equipementier],"pas trouvé")</f>
        <v>pas trouvé</v>
      </c>
      <c r="K48" t="str">
        <f>_xlfn.XLOOKUP(_26_03_2026_Log_Reseau_v15[[#This Row],[province RDC]],_26_03_2026_Client_Churn_v1[Province_Client],_26_03_2026_Client_Churn_v1[ID_Client],"non trouvé")</f>
        <v>non trouvé</v>
      </c>
      <c r="L48" t="str">
        <f>_xlfn.XLOOKUP(_26_03_2026_Log_Reseau_v15[[#This Row],[province RDC]],_26_03_2026_Client_Churn_v1[Province_Client],_26_03_2026_Client_Churn_v1[Anciennete_Mois],"non trouvé")</f>
        <v>non trouvé</v>
      </c>
      <c r="M48" t="str">
        <f>_xlfn.XLOOKUP(_26_03_2026_Log_Reseau_v15[[#This Row],[province RDC]],_26_03_2026_Client_Churn_v1[Province_Client],_26_03_2026_Client_Churn_v1[Type_Forfait],"non trouvé")</f>
        <v>non trouvé</v>
      </c>
      <c r="N48" t="str">
        <f>_xlfn.XLOOKUP(_26_03_2026_Log_Reseau_v15[[#This Row],[province RDC]],_26_03_2026_Client_Churn_v1[Province_Client],_26_03_2026_Client_Churn_v1[Duree_Cumulee_Panne_Min],"non trouvé")</f>
        <v>non trouvé</v>
      </c>
      <c r="O48" t="str">
        <f>_xlfn.XLOOKUP(_26_03_2026_Log_Reseau_v15[[#This Row],[province RDC]],_26_03_2026_Client_Churn_v1[Province_Client],_26_03_2026_Client_Churn_v1[Facture_Mensuelle],"non trouvé")</f>
        <v>non trouvé</v>
      </c>
      <c r="P48" t="str">
        <f>_xlfn.XLOOKUP(_26_03_2026_Log_Reseau_v15[[#This Row],[province RDC]],_26_03_2026_Client_Churn_v1[Province_Client],_26_03_2026_Client_Churn_v1[Plaintes_Service_Client],"non trouvé")</f>
        <v>non trouvé</v>
      </c>
    </row>
    <row r="49" spans="1:16" hidden="1" x14ac:dyDescent="0.25">
      <c r="A49" s="1">
        <v>45211</v>
      </c>
      <c r="B49" s="2">
        <v>0.32430555555555557</v>
      </c>
      <c r="C49" t="s">
        <v>840</v>
      </c>
      <c r="D49">
        <v>120</v>
      </c>
      <c r="E49" t="s">
        <v>812</v>
      </c>
      <c r="F49" t="str">
        <f>_xlfn.XLOOKUP(_26_03_2026_Log_Reseau_v15[[#This Row],[Cell_ID]],_26_03_2026_Registre_Maintenance_v1[ID_Antenne],_26_03_2026_Registre_Maintenance_v1[zone],"pas trouvé")</f>
        <v>pas trouvé</v>
      </c>
      <c r="G49" t="str">
        <f>_xlfn.XLOOKUP(_26_03_2026_Log_Reseau_v15[[#This Row],[Cell_ID]],_26_03_2026_Registre_Maintenance_v1[ID_Antenne],_26_03_2026_Registre_Maintenance_v1[Latitude],"non trouvé")</f>
        <v>non trouvé</v>
      </c>
      <c r="H49" t="str">
        <f>_xlfn.XLOOKUP(_26_03_2026_Log_Reseau_v15[[#This Row],[Cell_ID]],_26_03_2026_Registre_Maintenance_v1[ID_Antenne],_26_03_2026_Registre_Maintenance_v1[Longitude],"pas trouvé")</f>
        <v>pas trouvé</v>
      </c>
      <c r="I49" t="str">
        <f>_xlfn.XLOOKUP(_26_03_2026_Log_Reseau_v15[[#This Row],[Cell_ID]],_26_03_2026_Registre_Maintenance_v1[ID_Antenne],_26_03_2026_Registre_Maintenance_v1[Technologie],"non trouvé")</f>
        <v>non trouvé</v>
      </c>
      <c r="J49" t="str">
        <f>_xlfn.XLOOKUP(_26_03_2026_Log_Reseau_v15[[#This Row],[Cell_ID]],_26_03_2026_Registre_Maintenance_v1[ID_Antenne],_26_03_2026_Registre_Maintenance_v1[Equipementier],"pas trouvé")</f>
        <v>pas trouvé</v>
      </c>
      <c r="K49" t="str">
        <f>_xlfn.XLOOKUP(_26_03_2026_Log_Reseau_v15[[#This Row],[province RDC]],_26_03_2026_Client_Churn_v1[Province_Client],_26_03_2026_Client_Churn_v1[ID_Client],"non trouvé")</f>
        <v>non trouvé</v>
      </c>
      <c r="L49" t="str">
        <f>_xlfn.XLOOKUP(_26_03_2026_Log_Reseau_v15[[#This Row],[province RDC]],_26_03_2026_Client_Churn_v1[Province_Client],_26_03_2026_Client_Churn_v1[Anciennete_Mois],"non trouvé")</f>
        <v>non trouvé</v>
      </c>
      <c r="M49" t="str">
        <f>_xlfn.XLOOKUP(_26_03_2026_Log_Reseau_v15[[#This Row],[province RDC]],_26_03_2026_Client_Churn_v1[Province_Client],_26_03_2026_Client_Churn_v1[Type_Forfait],"non trouvé")</f>
        <v>non trouvé</v>
      </c>
      <c r="N49" t="str">
        <f>_xlfn.XLOOKUP(_26_03_2026_Log_Reseau_v15[[#This Row],[province RDC]],_26_03_2026_Client_Churn_v1[Province_Client],_26_03_2026_Client_Churn_v1[Duree_Cumulee_Panne_Min],"non trouvé")</f>
        <v>non trouvé</v>
      </c>
      <c r="O49" t="str">
        <f>_xlfn.XLOOKUP(_26_03_2026_Log_Reseau_v15[[#This Row],[province RDC]],_26_03_2026_Client_Churn_v1[Province_Client],_26_03_2026_Client_Churn_v1[Facture_Mensuelle],"non trouvé")</f>
        <v>non trouvé</v>
      </c>
      <c r="P49" t="str">
        <f>_xlfn.XLOOKUP(_26_03_2026_Log_Reseau_v15[[#This Row],[province RDC]],_26_03_2026_Client_Churn_v1[Province_Client],_26_03_2026_Client_Churn_v1[Plaintes_Service_Client],"non trouvé")</f>
        <v>non trouvé</v>
      </c>
    </row>
    <row r="50" spans="1:16" hidden="1" x14ac:dyDescent="0.25">
      <c r="A50" s="1">
        <v>45201</v>
      </c>
      <c r="B50" s="2">
        <v>4.3055555555555555E-2</v>
      </c>
      <c r="C50" t="s">
        <v>841</v>
      </c>
      <c r="D50">
        <v>45</v>
      </c>
      <c r="E50" t="s">
        <v>808</v>
      </c>
      <c r="F50" t="str">
        <f>_xlfn.XLOOKUP(_26_03_2026_Log_Reseau_v15[[#This Row],[Cell_ID]],_26_03_2026_Registre_Maintenance_v1[ID_Antenne],_26_03_2026_Registre_Maintenance_v1[zone],"pas trouvé")</f>
        <v>pas trouvé</v>
      </c>
      <c r="G50" t="str">
        <f>_xlfn.XLOOKUP(_26_03_2026_Log_Reseau_v15[[#This Row],[Cell_ID]],_26_03_2026_Registre_Maintenance_v1[ID_Antenne],_26_03_2026_Registre_Maintenance_v1[Latitude],"non trouvé")</f>
        <v>non trouvé</v>
      </c>
      <c r="H50" t="str">
        <f>_xlfn.XLOOKUP(_26_03_2026_Log_Reseau_v15[[#This Row],[Cell_ID]],_26_03_2026_Registre_Maintenance_v1[ID_Antenne],_26_03_2026_Registre_Maintenance_v1[Longitude],"pas trouvé")</f>
        <v>pas trouvé</v>
      </c>
      <c r="I50" t="str">
        <f>_xlfn.XLOOKUP(_26_03_2026_Log_Reseau_v15[[#This Row],[Cell_ID]],_26_03_2026_Registre_Maintenance_v1[ID_Antenne],_26_03_2026_Registre_Maintenance_v1[Technologie],"non trouvé")</f>
        <v>non trouvé</v>
      </c>
      <c r="J50" t="str">
        <f>_xlfn.XLOOKUP(_26_03_2026_Log_Reseau_v15[[#This Row],[Cell_ID]],_26_03_2026_Registre_Maintenance_v1[ID_Antenne],_26_03_2026_Registre_Maintenance_v1[Equipementier],"pas trouvé")</f>
        <v>pas trouvé</v>
      </c>
      <c r="K50" t="str">
        <f>_xlfn.XLOOKUP(_26_03_2026_Log_Reseau_v15[[#This Row],[province RDC]],_26_03_2026_Client_Churn_v1[Province_Client],_26_03_2026_Client_Churn_v1[ID_Client],"non trouvé")</f>
        <v>non trouvé</v>
      </c>
      <c r="L50" t="str">
        <f>_xlfn.XLOOKUP(_26_03_2026_Log_Reseau_v15[[#This Row],[province RDC]],_26_03_2026_Client_Churn_v1[Province_Client],_26_03_2026_Client_Churn_v1[Anciennete_Mois],"non trouvé")</f>
        <v>non trouvé</v>
      </c>
      <c r="M50" t="str">
        <f>_xlfn.XLOOKUP(_26_03_2026_Log_Reseau_v15[[#This Row],[province RDC]],_26_03_2026_Client_Churn_v1[Province_Client],_26_03_2026_Client_Churn_v1[Type_Forfait],"non trouvé")</f>
        <v>non trouvé</v>
      </c>
      <c r="N50" t="str">
        <f>_xlfn.XLOOKUP(_26_03_2026_Log_Reseau_v15[[#This Row],[province RDC]],_26_03_2026_Client_Churn_v1[Province_Client],_26_03_2026_Client_Churn_v1[Duree_Cumulee_Panne_Min],"non trouvé")</f>
        <v>non trouvé</v>
      </c>
      <c r="O50" t="str">
        <f>_xlfn.XLOOKUP(_26_03_2026_Log_Reseau_v15[[#This Row],[province RDC]],_26_03_2026_Client_Churn_v1[Province_Client],_26_03_2026_Client_Churn_v1[Facture_Mensuelle],"non trouvé")</f>
        <v>non trouvé</v>
      </c>
      <c r="P50" t="str">
        <f>_xlfn.XLOOKUP(_26_03_2026_Log_Reseau_v15[[#This Row],[province RDC]],_26_03_2026_Client_Churn_v1[Province_Client],_26_03_2026_Client_Churn_v1[Plaintes_Service_Client],"non trouvé")</f>
        <v>non trouvé</v>
      </c>
    </row>
    <row r="51" spans="1:16" hidden="1" x14ac:dyDescent="0.25">
      <c r="A51" s="1">
        <v>45205</v>
      </c>
      <c r="B51" s="2">
        <v>0.48055555555555557</v>
      </c>
      <c r="C51" t="s">
        <v>841</v>
      </c>
      <c r="D51">
        <v>43</v>
      </c>
      <c r="E51" t="s">
        <v>808</v>
      </c>
      <c r="F51" t="str">
        <f>_xlfn.XLOOKUP(_26_03_2026_Log_Reseau_v15[[#This Row],[Cell_ID]],_26_03_2026_Registre_Maintenance_v1[ID_Antenne],_26_03_2026_Registre_Maintenance_v1[zone],"pas trouvé")</f>
        <v>pas trouvé</v>
      </c>
      <c r="G51" t="str">
        <f>_xlfn.XLOOKUP(_26_03_2026_Log_Reseau_v15[[#This Row],[Cell_ID]],_26_03_2026_Registre_Maintenance_v1[ID_Antenne],_26_03_2026_Registre_Maintenance_v1[Latitude],"non trouvé")</f>
        <v>non trouvé</v>
      </c>
      <c r="H51" t="str">
        <f>_xlfn.XLOOKUP(_26_03_2026_Log_Reseau_v15[[#This Row],[Cell_ID]],_26_03_2026_Registre_Maintenance_v1[ID_Antenne],_26_03_2026_Registre_Maintenance_v1[Longitude],"pas trouvé")</f>
        <v>pas trouvé</v>
      </c>
      <c r="I51" t="str">
        <f>_xlfn.XLOOKUP(_26_03_2026_Log_Reseau_v15[[#This Row],[Cell_ID]],_26_03_2026_Registre_Maintenance_v1[ID_Antenne],_26_03_2026_Registre_Maintenance_v1[Technologie],"non trouvé")</f>
        <v>non trouvé</v>
      </c>
      <c r="J51" t="str">
        <f>_xlfn.XLOOKUP(_26_03_2026_Log_Reseau_v15[[#This Row],[Cell_ID]],_26_03_2026_Registre_Maintenance_v1[ID_Antenne],_26_03_2026_Registre_Maintenance_v1[Equipementier],"pas trouvé")</f>
        <v>pas trouvé</v>
      </c>
      <c r="K51" t="str">
        <f>_xlfn.XLOOKUP(_26_03_2026_Log_Reseau_v15[[#This Row],[province RDC]],_26_03_2026_Client_Churn_v1[Province_Client],_26_03_2026_Client_Churn_v1[ID_Client],"non trouvé")</f>
        <v>non trouvé</v>
      </c>
      <c r="L51" t="str">
        <f>_xlfn.XLOOKUP(_26_03_2026_Log_Reseau_v15[[#This Row],[province RDC]],_26_03_2026_Client_Churn_v1[Province_Client],_26_03_2026_Client_Churn_v1[Anciennete_Mois],"non trouvé")</f>
        <v>non trouvé</v>
      </c>
      <c r="M51" t="str">
        <f>_xlfn.XLOOKUP(_26_03_2026_Log_Reseau_v15[[#This Row],[province RDC]],_26_03_2026_Client_Churn_v1[Province_Client],_26_03_2026_Client_Churn_v1[Type_Forfait],"non trouvé")</f>
        <v>non trouvé</v>
      </c>
      <c r="N51" t="str">
        <f>_xlfn.XLOOKUP(_26_03_2026_Log_Reseau_v15[[#This Row],[province RDC]],_26_03_2026_Client_Churn_v1[Province_Client],_26_03_2026_Client_Churn_v1[Duree_Cumulee_Panne_Min],"non trouvé")</f>
        <v>non trouvé</v>
      </c>
      <c r="O51" t="str">
        <f>_xlfn.XLOOKUP(_26_03_2026_Log_Reseau_v15[[#This Row],[province RDC]],_26_03_2026_Client_Churn_v1[Province_Client],_26_03_2026_Client_Churn_v1[Facture_Mensuelle],"non trouvé")</f>
        <v>non trouvé</v>
      </c>
      <c r="P51" t="str">
        <f>_xlfn.XLOOKUP(_26_03_2026_Log_Reseau_v15[[#This Row],[province RDC]],_26_03_2026_Client_Churn_v1[Province_Client],_26_03_2026_Client_Churn_v1[Plaintes_Service_Client],"non trouvé")</f>
        <v>non trouvé</v>
      </c>
    </row>
    <row r="52" spans="1:16" hidden="1" x14ac:dyDescent="0.25">
      <c r="A52" s="1">
        <v>45220</v>
      </c>
      <c r="B52" s="2">
        <v>0.23055555555555557</v>
      </c>
      <c r="C52" t="s">
        <v>842</v>
      </c>
      <c r="D52">
        <v>111</v>
      </c>
      <c r="E52" t="s">
        <v>812</v>
      </c>
      <c r="F52" t="str">
        <f>_xlfn.XLOOKUP(_26_03_2026_Log_Reseau_v15[[#This Row],[Cell_ID]],_26_03_2026_Registre_Maintenance_v1[ID_Antenne],_26_03_2026_Registre_Maintenance_v1[zone],"pas trouvé")</f>
        <v>pas trouvé</v>
      </c>
      <c r="G52" t="str">
        <f>_xlfn.XLOOKUP(_26_03_2026_Log_Reseau_v15[[#This Row],[Cell_ID]],_26_03_2026_Registre_Maintenance_v1[ID_Antenne],_26_03_2026_Registre_Maintenance_v1[Latitude],"non trouvé")</f>
        <v>non trouvé</v>
      </c>
      <c r="H52" t="str">
        <f>_xlfn.XLOOKUP(_26_03_2026_Log_Reseau_v15[[#This Row],[Cell_ID]],_26_03_2026_Registre_Maintenance_v1[ID_Antenne],_26_03_2026_Registre_Maintenance_v1[Longitude],"pas trouvé")</f>
        <v>pas trouvé</v>
      </c>
      <c r="I52" t="str">
        <f>_xlfn.XLOOKUP(_26_03_2026_Log_Reseau_v15[[#This Row],[Cell_ID]],_26_03_2026_Registre_Maintenance_v1[ID_Antenne],_26_03_2026_Registre_Maintenance_v1[Technologie],"non trouvé")</f>
        <v>non trouvé</v>
      </c>
      <c r="J52" t="str">
        <f>_xlfn.XLOOKUP(_26_03_2026_Log_Reseau_v15[[#This Row],[Cell_ID]],_26_03_2026_Registre_Maintenance_v1[ID_Antenne],_26_03_2026_Registre_Maintenance_v1[Equipementier],"pas trouvé")</f>
        <v>pas trouvé</v>
      </c>
      <c r="K52" t="str">
        <f>_xlfn.XLOOKUP(_26_03_2026_Log_Reseau_v15[[#This Row],[province RDC]],_26_03_2026_Client_Churn_v1[Province_Client],_26_03_2026_Client_Churn_v1[ID_Client],"non trouvé")</f>
        <v>non trouvé</v>
      </c>
      <c r="L52" t="str">
        <f>_xlfn.XLOOKUP(_26_03_2026_Log_Reseau_v15[[#This Row],[province RDC]],_26_03_2026_Client_Churn_v1[Province_Client],_26_03_2026_Client_Churn_v1[Anciennete_Mois],"non trouvé")</f>
        <v>non trouvé</v>
      </c>
      <c r="M52" t="str">
        <f>_xlfn.XLOOKUP(_26_03_2026_Log_Reseau_v15[[#This Row],[province RDC]],_26_03_2026_Client_Churn_v1[Province_Client],_26_03_2026_Client_Churn_v1[Type_Forfait],"non trouvé")</f>
        <v>non trouvé</v>
      </c>
      <c r="N52" t="str">
        <f>_xlfn.XLOOKUP(_26_03_2026_Log_Reseau_v15[[#This Row],[province RDC]],_26_03_2026_Client_Churn_v1[Province_Client],_26_03_2026_Client_Churn_v1[Duree_Cumulee_Panne_Min],"non trouvé")</f>
        <v>non trouvé</v>
      </c>
      <c r="O52" t="str">
        <f>_xlfn.XLOOKUP(_26_03_2026_Log_Reseau_v15[[#This Row],[province RDC]],_26_03_2026_Client_Churn_v1[Province_Client],_26_03_2026_Client_Churn_v1[Facture_Mensuelle],"non trouvé")</f>
        <v>non trouvé</v>
      </c>
      <c r="P52" t="str">
        <f>_xlfn.XLOOKUP(_26_03_2026_Log_Reseau_v15[[#This Row],[province RDC]],_26_03_2026_Client_Churn_v1[Province_Client],_26_03_2026_Client_Churn_v1[Plaintes_Service_Client],"non trouvé")</f>
        <v>non trouvé</v>
      </c>
    </row>
    <row r="53" spans="1:16" hidden="1" x14ac:dyDescent="0.25">
      <c r="A53" s="1">
        <v>45227</v>
      </c>
      <c r="B53" s="2">
        <v>0.13541666666666666</v>
      </c>
      <c r="C53" t="s">
        <v>842</v>
      </c>
      <c r="D53">
        <v>13</v>
      </c>
      <c r="E53" t="s">
        <v>808</v>
      </c>
      <c r="F53" t="str">
        <f>_xlfn.XLOOKUP(_26_03_2026_Log_Reseau_v15[[#This Row],[Cell_ID]],_26_03_2026_Registre_Maintenance_v1[ID_Antenne],_26_03_2026_Registre_Maintenance_v1[zone],"pas trouvé")</f>
        <v>pas trouvé</v>
      </c>
      <c r="G53" t="str">
        <f>_xlfn.XLOOKUP(_26_03_2026_Log_Reseau_v15[[#This Row],[Cell_ID]],_26_03_2026_Registre_Maintenance_v1[ID_Antenne],_26_03_2026_Registre_Maintenance_v1[Latitude],"non trouvé")</f>
        <v>non trouvé</v>
      </c>
      <c r="H53" t="str">
        <f>_xlfn.XLOOKUP(_26_03_2026_Log_Reseau_v15[[#This Row],[Cell_ID]],_26_03_2026_Registre_Maintenance_v1[ID_Antenne],_26_03_2026_Registre_Maintenance_v1[Longitude],"pas trouvé")</f>
        <v>pas trouvé</v>
      </c>
      <c r="I53" t="str">
        <f>_xlfn.XLOOKUP(_26_03_2026_Log_Reseau_v15[[#This Row],[Cell_ID]],_26_03_2026_Registre_Maintenance_v1[ID_Antenne],_26_03_2026_Registre_Maintenance_v1[Technologie],"non trouvé")</f>
        <v>non trouvé</v>
      </c>
      <c r="J53" t="str">
        <f>_xlfn.XLOOKUP(_26_03_2026_Log_Reseau_v15[[#This Row],[Cell_ID]],_26_03_2026_Registre_Maintenance_v1[ID_Antenne],_26_03_2026_Registre_Maintenance_v1[Equipementier],"pas trouvé")</f>
        <v>pas trouvé</v>
      </c>
      <c r="K53" t="str">
        <f>_xlfn.XLOOKUP(_26_03_2026_Log_Reseau_v15[[#This Row],[province RDC]],_26_03_2026_Client_Churn_v1[Province_Client],_26_03_2026_Client_Churn_v1[ID_Client],"non trouvé")</f>
        <v>non trouvé</v>
      </c>
      <c r="L53" t="str">
        <f>_xlfn.XLOOKUP(_26_03_2026_Log_Reseau_v15[[#This Row],[province RDC]],_26_03_2026_Client_Churn_v1[Province_Client],_26_03_2026_Client_Churn_v1[Anciennete_Mois],"non trouvé")</f>
        <v>non trouvé</v>
      </c>
      <c r="M53" t="str">
        <f>_xlfn.XLOOKUP(_26_03_2026_Log_Reseau_v15[[#This Row],[province RDC]],_26_03_2026_Client_Churn_v1[Province_Client],_26_03_2026_Client_Churn_v1[Type_Forfait],"non trouvé")</f>
        <v>non trouvé</v>
      </c>
      <c r="N53" t="str">
        <f>_xlfn.XLOOKUP(_26_03_2026_Log_Reseau_v15[[#This Row],[province RDC]],_26_03_2026_Client_Churn_v1[Province_Client],_26_03_2026_Client_Churn_v1[Duree_Cumulee_Panne_Min],"non trouvé")</f>
        <v>non trouvé</v>
      </c>
      <c r="O53" t="str">
        <f>_xlfn.XLOOKUP(_26_03_2026_Log_Reseau_v15[[#This Row],[province RDC]],_26_03_2026_Client_Churn_v1[Province_Client],_26_03_2026_Client_Churn_v1[Facture_Mensuelle],"non trouvé")</f>
        <v>non trouvé</v>
      </c>
      <c r="P53" t="str">
        <f>_xlfn.XLOOKUP(_26_03_2026_Log_Reseau_v15[[#This Row],[province RDC]],_26_03_2026_Client_Churn_v1[Province_Client],_26_03_2026_Client_Churn_v1[Plaintes_Service_Client],"non trouvé")</f>
        <v>non trouvé</v>
      </c>
    </row>
    <row r="54" spans="1:16" hidden="1" x14ac:dyDescent="0.25">
      <c r="A54" s="1">
        <v>45214</v>
      </c>
      <c r="B54" s="2">
        <v>0.11319444444444444</v>
      </c>
      <c r="C54" t="s">
        <v>842</v>
      </c>
      <c r="D54">
        <v>47</v>
      </c>
      <c r="E54" t="s">
        <v>812</v>
      </c>
      <c r="F54" t="str">
        <f>_xlfn.XLOOKUP(_26_03_2026_Log_Reseau_v15[[#This Row],[Cell_ID]],_26_03_2026_Registre_Maintenance_v1[ID_Antenne],_26_03_2026_Registre_Maintenance_v1[zone],"pas trouvé")</f>
        <v>pas trouvé</v>
      </c>
      <c r="G54" t="str">
        <f>_xlfn.XLOOKUP(_26_03_2026_Log_Reseau_v15[[#This Row],[Cell_ID]],_26_03_2026_Registre_Maintenance_v1[ID_Antenne],_26_03_2026_Registre_Maintenance_v1[Latitude],"non trouvé")</f>
        <v>non trouvé</v>
      </c>
      <c r="H54" t="str">
        <f>_xlfn.XLOOKUP(_26_03_2026_Log_Reseau_v15[[#This Row],[Cell_ID]],_26_03_2026_Registre_Maintenance_v1[ID_Antenne],_26_03_2026_Registre_Maintenance_v1[Longitude],"pas trouvé")</f>
        <v>pas trouvé</v>
      </c>
      <c r="I54" t="str">
        <f>_xlfn.XLOOKUP(_26_03_2026_Log_Reseau_v15[[#This Row],[Cell_ID]],_26_03_2026_Registre_Maintenance_v1[ID_Antenne],_26_03_2026_Registre_Maintenance_v1[Technologie],"non trouvé")</f>
        <v>non trouvé</v>
      </c>
      <c r="J54" t="str">
        <f>_xlfn.XLOOKUP(_26_03_2026_Log_Reseau_v15[[#This Row],[Cell_ID]],_26_03_2026_Registre_Maintenance_v1[ID_Antenne],_26_03_2026_Registre_Maintenance_v1[Equipementier],"pas trouvé")</f>
        <v>pas trouvé</v>
      </c>
      <c r="K54" t="str">
        <f>_xlfn.XLOOKUP(_26_03_2026_Log_Reseau_v15[[#This Row],[province RDC]],_26_03_2026_Client_Churn_v1[Province_Client],_26_03_2026_Client_Churn_v1[ID_Client],"non trouvé")</f>
        <v>non trouvé</v>
      </c>
      <c r="L54" t="str">
        <f>_xlfn.XLOOKUP(_26_03_2026_Log_Reseau_v15[[#This Row],[province RDC]],_26_03_2026_Client_Churn_v1[Province_Client],_26_03_2026_Client_Churn_v1[Anciennete_Mois],"non trouvé")</f>
        <v>non trouvé</v>
      </c>
      <c r="M54" t="str">
        <f>_xlfn.XLOOKUP(_26_03_2026_Log_Reseau_v15[[#This Row],[province RDC]],_26_03_2026_Client_Churn_v1[Province_Client],_26_03_2026_Client_Churn_v1[Type_Forfait],"non trouvé")</f>
        <v>non trouvé</v>
      </c>
      <c r="N54" t="str">
        <f>_xlfn.XLOOKUP(_26_03_2026_Log_Reseau_v15[[#This Row],[province RDC]],_26_03_2026_Client_Churn_v1[Province_Client],_26_03_2026_Client_Churn_v1[Duree_Cumulee_Panne_Min],"non trouvé")</f>
        <v>non trouvé</v>
      </c>
      <c r="O54" t="str">
        <f>_xlfn.XLOOKUP(_26_03_2026_Log_Reseau_v15[[#This Row],[province RDC]],_26_03_2026_Client_Churn_v1[Province_Client],_26_03_2026_Client_Churn_v1[Facture_Mensuelle],"non trouvé")</f>
        <v>non trouvé</v>
      </c>
      <c r="P54" t="str">
        <f>_xlfn.XLOOKUP(_26_03_2026_Log_Reseau_v15[[#This Row],[province RDC]],_26_03_2026_Client_Churn_v1[Province_Client],_26_03_2026_Client_Churn_v1[Plaintes_Service_Client],"non trouvé")</f>
        <v>non trouvé</v>
      </c>
    </row>
    <row r="55" spans="1:16" x14ac:dyDescent="0.25">
      <c r="A55" s="1">
        <v>45223</v>
      </c>
      <c r="B55" s="2">
        <v>0.40069444444444446</v>
      </c>
      <c r="C55" t="s">
        <v>843</v>
      </c>
      <c r="D55">
        <v>41</v>
      </c>
      <c r="E55" t="s">
        <v>812</v>
      </c>
      <c r="F55" t="str">
        <f>_xlfn.XLOOKUP(_26_03_2026_Log_Reseau_v15[[#This Row],[Cell_ID]],_26_03_2026_Registre_Maintenance_v1[ID_Antenne],_26_03_2026_Registre_Maintenance_v1[zone],"pas trouvé")</f>
        <v>Mongala</v>
      </c>
      <c r="G55">
        <f>_xlfn.XLOOKUP(_26_03_2026_Log_Reseau_v15[[#This Row],[Cell_ID]],_26_03_2026_Registre_Maintenance_v1[ID_Antenne],_26_03_2026_Registre_Maintenance_v1[Latitude],"non trouvé")</f>
        <v>-1.231033</v>
      </c>
      <c r="H55">
        <f>_xlfn.XLOOKUP(_26_03_2026_Log_Reseau_v15[[#This Row],[Cell_ID]],_26_03_2026_Registre_Maintenance_v1[ID_Antenne],_26_03_2026_Registre_Maintenance_v1[Longitude],"pas trouvé")</f>
        <v>28.851388</v>
      </c>
      <c r="I55" t="str">
        <f>_xlfn.XLOOKUP(_26_03_2026_Log_Reseau_v15[[#This Row],[Cell_ID]],_26_03_2026_Registre_Maintenance_v1[ID_Antenne],_26_03_2026_Registre_Maintenance_v1[Technologie],"non trouvé")</f>
        <v>3G</v>
      </c>
      <c r="J55" t="str">
        <f>_xlfn.XLOOKUP(_26_03_2026_Log_Reseau_v15[[#This Row],[Cell_ID]],_26_03_2026_Registre_Maintenance_v1[ID_Antenne],_26_03_2026_Registre_Maintenance_v1[Equipementier],"pas trouvé")</f>
        <v>Ericsson</v>
      </c>
      <c r="K55" t="str">
        <f>_xlfn.XLOOKUP(_26_03_2026_Log_Reseau_v15[[#This Row],[province RDC]],_26_03_2026_Client_Churn_v1[Province_Client],_26_03_2026_Client_Churn_v1[ID_Client],"non trouvé")</f>
        <v>CLI-00865</v>
      </c>
      <c r="L55">
        <f>_xlfn.XLOOKUP(_26_03_2026_Log_Reseau_v15[[#This Row],[province RDC]],_26_03_2026_Client_Churn_v1[Province_Client],_26_03_2026_Client_Churn_v1[Anciennete_Mois],"non trouvé")</f>
        <v>34</v>
      </c>
      <c r="M55" t="str">
        <f>_xlfn.XLOOKUP(_26_03_2026_Log_Reseau_v15[[#This Row],[province RDC]],_26_03_2026_Client_Churn_v1[Province_Client],_26_03_2026_Client_Churn_v1[Type_Forfait],"non trouvé")</f>
        <v>Pro Monde</v>
      </c>
      <c r="N55">
        <f>_xlfn.XLOOKUP(_26_03_2026_Log_Reseau_v15[[#This Row],[province RDC]],_26_03_2026_Client_Churn_v1[Province_Client],_26_03_2026_Client_Churn_v1[Duree_Cumulee_Panne_Min],"non trouvé")</f>
        <v>453</v>
      </c>
      <c r="O55">
        <f>_xlfn.XLOOKUP(_26_03_2026_Log_Reseau_v15[[#This Row],[province RDC]],_26_03_2026_Client_Churn_v1[Province_Client],_26_03_2026_Client_Churn_v1[Facture_Mensuelle],"non trouvé")</f>
        <v>56.84</v>
      </c>
      <c r="P55">
        <f>_xlfn.XLOOKUP(_26_03_2026_Log_Reseau_v15[[#This Row],[province RDC]],_26_03_2026_Client_Churn_v1[Province_Client],_26_03_2026_Client_Churn_v1[Plaintes_Service_Client],"non trouvé")</f>
        <v>0</v>
      </c>
    </row>
    <row r="56" spans="1:16" x14ac:dyDescent="0.25">
      <c r="A56" s="1">
        <v>45221</v>
      </c>
      <c r="B56" s="2">
        <v>0.50555555555555554</v>
      </c>
      <c r="C56" t="s">
        <v>843</v>
      </c>
      <c r="D56">
        <v>51</v>
      </c>
      <c r="E56" t="s">
        <v>807</v>
      </c>
      <c r="F56" t="str">
        <f>_xlfn.XLOOKUP(_26_03_2026_Log_Reseau_v15[[#This Row],[Cell_ID]],_26_03_2026_Registre_Maintenance_v1[ID_Antenne],_26_03_2026_Registre_Maintenance_v1[zone],"pas trouvé")</f>
        <v>Mongala</v>
      </c>
      <c r="G56">
        <f>_xlfn.XLOOKUP(_26_03_2026_Log_Reseau_v15[[#This Row],[Cell_ID]],_26_03_2026_Registre_Maintenance_v1[ID_Antenne],_26_03_2026_Registre_Maintenance_v1[Latitude],"non trouvé")</f>
        <v>-1.231033</v>
      </c>
      <c r="H56">
        <f>_xlfn.XLOOKUP(_26_03_2026_Log_Reseau_v15[[#This Row],[Cell_ID]],_26_03_2026_Registre_Maintenance_v1[ID_Antenne],_26_03_2026_Registre_Maintenance_v1[Longitude],"pas trouvé")</f>
        <v>28.851388</v>
      </c>
      <c r="I56" t="str">
        <f>_xlfn.XLOOKUP(_26_03_2026_Log_Reseau_v15[[#This Row],[Cell_ID]],_26_03_2026_Registre_Maintenance_v1[ID_Antenne],_26_03_2026_Registre_Maintenance_v1[Technologie],"non trouvé")</f>
        <v>3G</v>
      </c>
      <c r="J56" t="str">
        <f>_xlfn.XLOOKUP(_26_03_2026_Log_Reseau_v15[[#This Row],[Cell_ID]],_26_03_2026_Registre_Maintenance_v1[ID_Antenne],_26_03_2026_Registre_Maintenance_v1[Equipementier],"pas trouvé")</f>
        <v>Ericsson</v>
      </c>
      <c r="K56" t="str">
        <f>_xlfn.XLOOKUP(_26_03_2026_Log_Reseau_v15[[#This Row],[province RDC]],_26_03_2026_Client_Churn_v1[Province_Client],_26_03_2026_Client_Churn_v1[ID_Client],"non trouvé")</f>
        <v>CLI-00865</v>
      </c>
      <c r="L56">
        <f>_xlfn.XLOOKUP(_26_03_2026_Log_Reseau_v15[[#This Row],[province RDC]],_26_03_2026_Client_Churn_v1[Province_Client],_26_03_2026_Client_Churn_v1[Anciennete_Mois],"non trouvé")</f>
        <v>34</v>
      </c>
      <c r="M56" t="str">
        <f>_xlfn.XLOOKUP(_26_03_2026_Log_Reseau_v15[[#This Row],[province RDC]],_26_03_2026_Client_Churn_v1[Province_Client],_26_03_2026_Client_Churn_v1[Type_Forfait],"non trouvé")</f>
        <v>Pro Monde</v>
      </c>
      <c r="N56">
        <f>_xlfn.XLOOKUP(_26_03_2026_Log_Reseau_v15[[#This Row],[province RDC]],_26_03_2026_Client_Churn_v1[Province_Client],_26_03_2026_Client_Churn_v1[Duree_Cumulee_Panne_Min],"non trouvé")</f>
        <v>453</v>
      </c>
      <c r="O56">
        <f>_xlfn.XLOOKUP(_26_03_2026_Log_Reseau_v15[[#This Row],[province RDC]],_26_03_2026_Client_Churn_v1[Province_Client],_26_03_2026_Client_Churn_v1[Facture_Mensuelle],"non trouvé")</f>
        <v>56.84</v>
      </c>
      <c r="P56">
        <f>_xlfn.XLOOKUP(_26_03_2026_Log_Reseau_v15[[#This Row],[province RDC]],_26_03_2026_Client_Churn_v1[Province_Client],_26_03_2026_Client_Churn_v1[Plaintes_Service_Client],"non trouvé")</f>
        <v>0</v>
      </c>
    </row>
    <row r="57" spans="1:16" x14ac:dyDescent="0.25">
      <c r="A57" s="1">
        <v>45206</v>
      </c>
      <c r="B57" s="2">
        <v>0.95694444444444449</v>
      </c>
      <c r="C57" t="s">
        <v>844</v>
      </c>
      <c r="D57">
        <v>32</v>
      </c>
      <c r="E57" t="s">
        <v>808</v>
      </c>
      <c r="F57" t="str">
        <f>_xlfn.XLOOKUP(_26_03_2026_Log_Reseau_v15[[#This Row],[Cell_ID]],_26_03_2026_Registre_Maintenance_v1[ID_Antenne],_26_03_2026_Registre_Maintenance_v1[zone],"pas trouvé")</f>
        <v>Mai-Ndombe</v>
      </c>
      <c r="G57">
        <f>_xlfn.XLOOKUP(_26_03_2026_Log_Reseau_v15[[#This Row],[Cell_ID]],_26_03_2026_Registre_Maintenance_v1[ID_Antenne],_26_03_2026_Registre_Maintenance_v1[Latitude],"non trouvé")</f>
        <v>-9.3652280000000001</v>
      </c>
      <c r="H57">
        <f>_xlfn.XLOOKUP(_26_03_2026_Log_Reseau_v15[[#This Row],[Cell_ID]],_26_03_2026_Registre_Maintenance_v1[ID_Antenne],_26_03_2026_Registre_Maintenance_v1[Longitude],"pas trouvé")</f>
        <v>18.674116000000001</v>
      </c>
      <c r="I57" t="str">
        <f>_xlfn.XLOOKUP(_26_03_2026_Log_Reseau_v15[[#This Row],[Cell_ID]],_26_03_2026_Registre_Maintenance_v1[ID_Antenne],_26_03_2026_Registre_Maintenance_v1[Technologie],"non trouvé")</f>
        <v>4G</v>
      </c>
      <c r="J57" t="str">
        <f>_xlfn.XLOOKUP(_26_03_2026_Log_Reseau_v15[[#This Row],[Cell_ID]],_26_03_2026_Registre_Maintenance_v1[ID_Antenne],_26_03_2026_Registre_Maintenance_v1[Equipementier],"pas trouvé")</f>
        <v>Huawei</v>
      </c>
      <c r="K57" t="str">
        <f>_xlfn.XLOOKUP(_26_03_2026_Log_Reseau_v15[[#This Row],[province RDC]],_26_03_2026_Client_Churn_v1[Province_Client],_26_03_2026_Client_Churn_v1[ID_Client],"non trouvé")</f>
        <v>CLI-00361</v>
      </c>
      <c r="L57">
        <f>_xlfn.XLOOKUP(_26_03_2026_Log_Reseau_v15[[#This Row],[province RDC]],_26_03_2026_Client_Churn_v1[Province_Client],_26_03_2026_Client_Churn_v1[Anciennete_Mois],"non trouvé")</f>
        <v>66</v>
      </c>
      <c r="M57" t="str">
        <f>_xlfn.XLOOKUP(_26_03_2026_Log_Reseau_v15[[#This Row],[province RDC]],_26_03_2026_Client_Churn_v1[Province_Client],_26_03_2026_Client_Churn_v1[Type_Forfait],"non trouvé")</f>
        <v>Illimité 50Go</v>
      </c>
      <c r="N57">
        <f>_xlfn.XLOOKUP(_26_03_2026_Log_Reseau_v15[[#This Row],[province RDC]],_26_03_2026_Client_Churn_v1[Province_Client],_26_03_2026_Client_Churn_v1[Duree_Cumulee_Panne_Min],"non trouvé")</f>
        <v>270</v>
      </c>
      <c r="O57">
        <f>_xlfn.XLOOKUP(_26_03_2026_Log_Reseau_v15[[#This Row],[province RDC]],_26_03_2026_Client_Churn_v1[Province_Client],_26_03_2026_Client_Churn_v1[Facture_Mensuelle],"non trouvé")</f>
        <v>75.88</v>
      </c>
      <c r="P57">
        <f>_xlfn.XLOOKUP(_26_03_2026_Log_Reseau_v15[[#This Row],[province RDC]],_26_03_2026_Client_Churn_v1[Province_Client],_26_03_2026_Client_Churn_v1[Plaintes_Service_Client],"non trouvé")</f>
        <v>3</v>
      </c>
    </row>
    <row r="58" spans="1:16" x14ac:dyDescent="0.25">
      <c r="A58" s="1">
        <v>45224</v>
      </c>
      <c r="B58" s="2">
        <v>0.98333333333333328</v>
      </c>
      <c r="C58" t="s">
        <v>844</v>
      </c>
      <c r="D58">
        <v>107</v>
      </c>
      <c r="E58" t="s">
        <v>812</v>
      </c>
      <c r="F58" t="str">
        <f>_xlfn.XLOOKUP(_26_03_2026_Log_Reseau_v15[[#This Row],[Cell_ID]],_26_03_2026_Registre_Maintenance_v1[ID_Antenne],_26_03_2026_Registre_Maintenance_v1[zone],"pas trouvé")</f>
        <v>Mai-Ndombe</v>
      </c>
      <c r="G58">
        <f>_xlfn.XLOOKUP(_26_03_2026_Log_Reseau_v15[[#This Row],[Cell_ID]],_26_03_2026_Registre_Maintenance_v1[ID_Antenne],_26_03_2026_Registre_Maintenance_v1[Latitude],"non trouvé")</f>
        <v>-9.3652280000000001</v>
      </c>
      <c r="H58">
        <f>_xlfn.XLOOKUP(_26_03_2026_Log_Reseau_v15[[#This Row],[Cell_ID]],_26_03_2026_Registre_Maintenance_v1[ID_Antenne],_26_03_2026_Registre_Maintenance_v1[Longitude],"pas trouvé")</f>
        <v>18.674116000000001</v>
      </c>
      <c r="I58" t="str">
        <f>_xlfn.XLOOKUP(_26_03_2026_Log_Reseau_v15[[#This Row],[Cell_ID]],_26_03_2026_Registre_Maintenance_v1[ID_Antenne],_26_03_2026_Registre_Maintenance_v1[Technologie],"non trouvé")</f>
        <v>4G</v>
      </c>
      <c r="J58" t="str">
        <f>_xlfn.XLOOKUP(_26_03_2026_Log_Reseau_v15[[#This Row],[Cell_ID]],_26_03_2026_Registre_Maintenance_v1[ID_Antenne],_26_03_2026_Registre_Maintenance_v1[Equipementier],"pas trouvé")</f>
        <v>Huawei</v>
      </c>
      <c r="K58" t="str">
        <f>_xlfn.XLOOKUP(_26_03_2026_Log_Reseau_v15[[#This Row],[province RDC]],_26_03_2026_Client_Churn_v1[Province_Client],_26_03_2026_Client_Churn_v1[ID_Client],"non trouvé")</f>
        <v>CLI-00361</v>
      </c>
      <c r="L58">
        <f>_xlfn.XLOOKUP(_26_03_2026_Log_Reseau_v15[[#This Row],[province RDC]],_26_03_2026_Client_Churn_v1[Province_Client],_26_03_2026_Client_Churn_v1[Anciennete_Mois],"non trouvé")</f>
        <v>66</v>
      </c>
      <c r="M58" t="str">
        <f>_xlfn.XLOOKUP(_26_03_2026_Log_Reseau_v15[[#This Row],[province RDC]],_26_03_2026_Client_Churn_v1[Province_Client],_26_03_2026_Client_Churn_v1[Type_Forfait],"non trouvé")</f>
        <v>Illimité 50Go</v>
      </c>
      <c r="N58">
        <f>_xlfn.XLOOKUP(_26_03_2026_Log_Reseau_v15[[#This Row],[province RDC]],_26_03_2026_Client_Churn_v1[Province_Client],_26_03_2026_Client_Churn_v1[Duree_Cumulee_Panne_Min],"non trouvé")</f>
        <v>270</v>
      </c>
      <c r="O58">
        <f>_xlfn.XLOOKUP(_26_03_2026_Log_Reseau_v15[[#This Row],[province RDC]],_26_03_2026_Client_Churn_v1[Province_Client],_26_03_2026_Client_Churn_v1[Facture_Mensuelle],"non trouvé")</f>
        <v>75.88</v>
      </c>
      <c r="P58">
        <f>_xlfn.XLOOKUP(_26_03_2026_Log_Reseau_v15[[#This Row],[province RDC]],_26_03_2026_Client_Churn_v1[Province_Client],_26_03_2026_Client_Churn_v1[Plaintes_Service_Client],"non trouvé")</f>
        <v>3</v>
      </c>
    </row>
    <row r="59" spans="1:16" x14ac:dyDescent="0.25">
      <c r="A59" s="1">
        <v>45201</v>
      </c>
      <c r="B59" s="2">
        <v>0.82430555555555551</v>
      </c>
      <c r="C59" t="s">
        <v>844</v>
      </c>
      <c r="D59">
        <v>28</v>
      </c>
      <c r="E59" t="s">
        <v>808</v>
      </c>
      <c r="F59" t="str">
        <f>_xlfn.XLOOKUP(_26_03_2026_Log_Reseau_v15[[#This Row],[Cell_ID]],_26_03_2026_Registre_Maintenance_v1[ID_Antenne],_26_03_2026_Registre_Maintenance_v1[zone],"pas trouvé")</f>
        <v>Mai-Ndombe</v>
      </c>
      <c r="G59">
        <f>_xlfn.XLOOKUP(_26_03_2026_Log_Reseau_v15[[#This Row],[Cell_ID]],_26_03_2026_Registre_Maintenance_v1[ID_Antenne],_26_03_2026_Registre_Maintenance_v1[Latitude],"non trouvé")</f>
        <v>-9.3652280000000001</v>
      </c>
      <c r="H59">
        <f>_xlfn.XLOOKUP(_26_03_2026_Log_Reseau_v15[[#This Row],[Cell_ID]],_26_03_2026_Registre_Maintenance_v1[ID_Antenne],_26_03_2026_Registre_Maintenance_v1[Longitude],"pas trouvé")</f>
        <v>18.674116000000001</v>
      </c>
      <c r="I59" t="str">
        <f>_xlfn.XLOOKUP(_26_03_2026_Log_Reseau_v15[[#This Row],[Cell_ID]],_26_03_2026_Registre_Maintenance_v1[ID_Antenne],_26_03_2026_Registre_Maintenance_v1[Technologie],"non trouvé")</f>
        <v>4G</v>
      </c>
      <c r="J59" t="str">
        <f>_xlfn.XLOOKUP(_26_03_2026_Log_Reseau_v15[[#This Row],[Cell_ID]],_26_03_2026_Registre_Maintenance_v1[ID_Antenne],_26_03_2026_Registre_Maintenance_v1[Equipementier],"pas trouvé")</f>
        <v>Huawei</v>
      </c>
      <c r="K59" t="str">
        <f>_xlfn.XLOOKUP(_26_03_2026_Log_Reseau_v15[[#This Row],[province RDC]],_26_03_2026_Client_Churn_v1[Province_Client],_26_03_2026_Client_Churn_v1[ID_Client],"non trouvé")</f>
        <v>CLI-00361</v>
      </c>
      <c r="L59">
        <f>_xlfn.XLOOKUP(_26_03_2026_Log_Reseau_v15[[#This Row],[province RDC]],_26_03_2026_Client_Churn_v1[Province_Client],_26_03_2026_Client_Churn_v1[Anciennete_Mois],"non trouvé")</f>
        <v>66</v>
      </c>
      <c r="M59" t="str">
        <f>_xlfn.XLOOKUP(_26_03_2026_Log_Reseau_v15[[#This Row],[province RDC]],_26_03_2026_Client_Churn_v1[Province_Client],_26_03_2026_Client_Churn_v1[Type_Forfait],"non trouvé")</f>
        <v>Illimité 50Go</v>
      </c>
      <c r="N59">
        <f>_xlfn.XLOOKUP(_26_03_2026_Log_Reseau_v15[[#This Row],[province RDC]],_26_03_2026_Client_Churn_v1[Province_Client],_26_03_2026_Client_Churn_v1[Duree_Cumulee_Panne_Min],"non trouvé")</f>
        <v>270</v>
      </c>
      <c r="O59">
        <f>_xlfn.XLOOKUP(_26_03_2026_Log_Reseau_v15[[#This Row],[province RDC]],_26_03_2026_Client_Churn_v1[Province_Client],_26_03_2026_Client_Churn_v1[Facture_Mensuelle],"non trouvé")</f>
        <v>75.88</v>
      </c>
      <c r="P59">
        <f>_xlfn.XLOOKUP(_26_03_2026_Log_Reseau_v15[[#This Row],[province RDC]],_26_03_2026_Client_Churn_v1[Province_Client],_26_03_2026_Client_Churn_v1[Plaintes_Service_Client],"non trouvé")</f>
        <v>3</v>
      </c>
    </row>
    <row r="60" spans="1:16" x14ac:dyDescent="0.25">
      <c r="A60" s="1">
        <v>45223</v>
      </c>
      <c r="B60" s="2">
        <v>0.57013888888888886</v>
      </c>
      <c r="C60" t="s">
        <v>844</v>
      </c>
      <c r="D60">
        <v>10</v>
      </c>
      <c r="E60" t="s">
        <v>808</v>
      </c>
      <c r="F60" t="str">
        <f>_xlfn.XLOOKUP(_26_03_2026_Log_Reseau_v15[[#This Row],[Cell_ID]],_26_03_2026_Registre_Maintenance_v1[ID_Antenne],_26_03_2026_Registre_Maintenance_v1[zone],"pas trouvé")</f>
        <v>Mai-Ndombe</v>
      </c>
      <c r="G60">
        <f>_xlfn.XLOOKUP(_26_03_2026_Log_Reseau_v15[[#This Row],[Cell_ID]],_26_03_2026_Registre_Maintenance_v1[ID_Antenne],_26_03_2026_Registre_Maintenance_v1[Latitude],"non trouvé")</f>
        <v>-9.3652280000000001</v>
      </c>
      <c r="H60">
        <f>_xlfn.XLOOKUP(_26_03_2026_Log_Reseau_v15[[#This Row],[Cell_ID]],_26_03_2026_Registre_Maintenance_v1[ID_Antenne],_26_03_2026_Registre_Maintenance_v1[Longitude],"pas trouvé")</f>
        <v>18.674116000000001</v>
      </c>
      <c r="I60" t="str">
        <f>_xlfn.XLOOKUP(_26_03_2026_Log_Reseau_v15[[#This Row],[Cell_ID]],_26_03_2026_Registre_Maintenance_v1[ID_Antenne],_26_03_2026_Registre_Maintenance_v1[Technologie],"non trouvé")</f>
        <v>4G</v>
      </c>
      <c r="J60" t="str">
        <f>_xlfn.XLOOKUP(_26_03_2026_Log_Reseau_v15[[#This Row],[Cell_ID]],_26_03_2026_Registre_Maintenance_v1[ID_Antenne],_26_03_2026_Registre_Maintenance_v1[Equipementier],"pas trouvé")</f>
        <v>Huawei</v>
      </c>
      <c r="K60" t="str">
        <f>_xlfn.XLOOKUP(_26_03_2026_Log_Reseau_v15[[#This Row],[province RDC]],_26_03_2026_Client_Churn_v1[Province_Client],_26_03_2026_Client_Churn_v1[ID_Client],"non trouvé")</f>
        <v>CLI-00361</v>
      </c>
      <c r="L60">
        <f>_xlfn.XLOOKUP(_26_03_2026_Log_Reseau_v15[[#This Row],[province RDC]],_26_03_2026_Client_Churn_v1[Province_Client],_26_03_2026_Client_Churn_v1[Anciennete_Mois],"non trouvé")</f>
        <v>66</v>
      </c>
      <c r="M60" t="str">
        <f>_xlfn.XLOOKUP(_26_03_2026_Log_Reseau_v15[[#This Row],[province RDC]],_26_03_2026_Client_Churn_v1[Province_Client],_26_03_2026_Client_Churn_v1[Type_Forfait],"non trouvé")</f>
        <v>Illimité 50Go</v>
      </c>
      <c r="N60">
        <f>_xlfn.XLOOKUP(_26_03_2026_Log_Reseau_v15[[#This Row],[province RDC]],_26_03_2026_Client_Churn_v1[Province_Client],_26_03_2026_Client_Churn_v1[Duree_Cumulee_Panne_Min],"non trouvé")</f>
        <v>270</v>
      </c>
      <c r="O60">
        <f>_xlfn.XLOOKUP(_26_03_2026_Log_Reseau_v15[[#This Row],[province RDC]],_26_03_2026_Client_Churn_v1[Province_Client],_26_03_2026_Client_Churn_v1[Facture_Mensuelle],"non trouvé")</f>
        <v>75.88</v>
      </c>
      <c r="P60">
        <f>_xlfn.XLOOKUP(_26_03_2026_Log_Reseau_v15[[#This Row],[province RDC]],_26_03_2026_Client_Churn_v1[Province_Client],_26_03_2026_Client_Churn_v1[Plaintes_Service_Client],"non trouvé")</f>
        <v>3</v>
      </c>
    </row>
    <row r="61" spans="1:16" x14ac:dyDescent="0.25">
      <c r="A61" s="1">
        <v>45220</v>
      </c>
      <c r="B61" s="2">
        <v>0.67708333333333337</v>
      </c>
      <c r="C61" t="s">
        <v>845</v>
      </c>
      <c r="D61">
        <v>107</v>
      </c>
      <c r="E61" t="s">
        <v>812</v>
      </c>
      <c r="F61" t="str">
        <f>_xlfn.XLOOKUP(_26_03_2026_Log_Reseau_v15[[#This Row],[Cell_ID]],_26_03_2026_Registre_Maintenance_v1[ID_Antenne],_26_03_2026_Registre_Maintenance_v1[zone],"pas trouvé")</f>
        <v>Tshopo</v>
      </c>
      <c r="G61">
        <f>_xlfn.XLOOKUP(_26_03_2026_Log_Reseau_v15[[#This Row],[Cell_ID]],_26_03_2026_Registre_Maintenance_v1[ID_Antenne],_26_03_2026_Registre_Maintenance_v1[Latitude],"non trouvé")</f>
        <v>-6.4670189999999996</v>
      </c>
      <c r="H61">
        <f>_xlfn.XLOOKUP(_26_03_2026_Log_Reseau_v15[[#This Row],[Cell_ID]],_26_03_2026_Registre_Maintenance_v1[ID_Antenne],_26_03_2026_Registre_Maintenance_v1[Longitude],"pas trouvé")</f>
        <v>29.487309</v>
      </c>
      <c r="I61" t="str">
        <f>_xlfn.XLOOKUP(_26_03_2026_Log_Reseau_v15[[#This Row],[Cell_ID]],_26_03_2026_Registre_Maintenance_v1[ID_Antenne],_26_03_2026_Registre_Maintenance_v1[Technologie],"non trouvé")</f>
        <v>4G</v>
      </c>
      <c r="J61" t="str">
        <f>_xlfn.XLOOKUP(_26_03_2026_Log_Reseau_v15[[#This Row],[Cell_ID]],_26_03_2026_Registre_Maintenance_v1[ID_Antenne],_26_03_2026_Registre_Maintenance_v1[Equipementier],"pas trouvé")</f>
        <v>ZTE</v>
      </c>
      <c r="K61" t="str">
        <f>_xlfn.XLOOKUP(_26_03_2026_Log_Reseau_v15[[#This Row],[province RDC]],_26_03_2026_Client_Churn_v1[Province_Client],_26_03_2026_Client_Churn_v1[ID_Client],"non trouvé")</f>
        <v>CLI-00745</v>
      </c>
      <c r="L61">
        <f>_xlfn.XLOOKUP(_26_03_2026_Log_Reseau_v15[[#This Row],[province RDC]],_26_03_2026_Client_Churn_v1[Province_Client],_26_03_2026_Client_Churn_v1[Anciennete_Mois],"non trouvé")</f>
        <v>6</v>
      </c>
      <c r="M61" t="str">
        <f>_xlfn.XLOOKUP(_26_03_2026_Log_Reseau_v15[[#This Row],[province RDC]],_26_03_2026_Client_Churn_v1[Province_Client],_26_03_2026_Client_Churn_v1[Type_Forfait],"non trouvé")</f>
        <v>Premium 5G 150Go</v>
      </c>
      <c r="N61">
        <f>_xlfn.XLOOKUP(_26_03_2026_Log_Reseau_v15[[#This Row],[province RDC]],_26_03_2026_Client_Churn_v1[Province_Client],_26_03_2026_Client_Churn_v1[Duree_Cumulee_Panne_Min],"non trouvé")</f>
        <v>207</v>
      </c>
      <c r="O61">
        <f>_xlfn.XLOOKUP(_26_03_2026_Log_Reseau_v15[[#This Row],[province RDC]],_26_03_2026_Client_Churn_v1[Province_Client],_26_03_2026_Client_Churn_v1[Facture_Mensuelle],"non trouvé")</f>
        <v>61.55</v>
      </c>
      <c r="P61">
        <f>_xlfn.XLOOKUP(_26_03_2026_Log_Reseau_v15[[#This Row],[province RDC]],_26_03_2026_Client_Churn_v1[Province_Client],_26_03_2026_Client_Churn_v1[Plaintes_Service_Client],"non trouvé")</f>
        <v>0</v>
      </c>
    </row>
    <row r="62" spans="1:16" x14ac:dyDescent="0.25">
      <c r="A62" s="1">
        <v>45201</v>
      </c>
      <c r="B62" s="2">
        <v>0.24583333333333332</v>
      </c>
      <c r="C62" t="s">
        <v>846</v>
      </c>
      <c r="D62">
        <v>91</v>
      </c>
      <c r="E62" t="s">
        <v>808</v>
      </c>
      <c r="F62" t="str">
        <f>_xlfn.XLOOKUP(_26_03_2026_Log_Reseau_v15[[#This Row],[Cell_ID]],_26_03_2026_Registre_Maintenance_v1[ID_Antenne],_26_03_2026_Registre_Maintenance_v1[zone],"pas trouvé")</f>
        <v>Ituri</v>
      </c>
      <c r="G62">
        <f>_xlfn.XLOOKUP(_26_03_2026_Log_Reseau_v15[[#This Row],[Cell_ID]],_26_03_2026_Registre_Maintenance_v1[ID_Antenne],_26_03_2026_Registre_Maintenance_v1[Latitude],"non trouvé")</f>
        <v>-0.34051900000000002</v>
      </c>
      <c r="H62">
        <f>_xlfn.XLOOKUP(_26_03_2026_Log_Reseau_v15[[#This Row],[Cell_ID]],_26_03_2026_Registre_Maintenance_v1[ID_Antenne],_26_03_2026_Registre_Maintenance_v1[Longitude],"pas trouvé")</f>
        <v>17.079799000000001</v>
      </c>
      <c r="I62" t="str">
        <f>_xlfn.XLOOKUP(_26_03_2026_Log_Reseau_v15[[#This Row],[Cell_ID]],_26_03_2026_Registre_Maintenance_v1[ID_Antenne],_26_03_2026_Registre_Maintenance_v1[Technologie],"non trouvé")</f>
        <v>5G</v>
      </c>
      <c r="J62" t="str">
        <f>_xlfn.XLOOKUP(_26_03_2026_Log_Reseau_v15[[#This Row],[Cell_ID]],_26_03_2026_Registre_Maintenance_v1[ID_Antenne],_26_03_2026_Registre_Maintenance_v1[Equipementier],"pas trouvé")</f>
        <v>Ericsson</v>
      </c>
      <c r="K62" t="str">
        <f>_xlfn.XLOOKUP(_26_03_2026_Log_Reseau_v15[[#This Row],[province RDC]],_26_03_2026_Client_Churn_v1[Province_Client],_26_03_2026_Client_Churn_v1[ID_Client],"non trouvé")</f>
        <v>CLI-01147</v>
      </c>
      <c r="L62">
        <f>_xlfn.XLOOKUP(_26_03_2026_Log_Reseau_v15[[#This Row],[province RDC]],_26_03_2026_Client_Churn_v1[Province_Client],_26_03_2026_Client_Churn_v1[Anciennete_Mois],"non trouvé")</f>
        <v>29</v>
      </c>
      <c r="M62" t="str">
        <f>_xlfn.XLOOKUP(_26_03_2026_Log_Reseau_v15[[#This Row],[province RDC]],_26_03_2026_Client_Churn_v1[Province_Client],_26_03_2026_Client_Churn_v1[Type_Forfait],"non trouvé")</f>
        <v>Premium 5G 150Go</v>
      </c>
      <c r="N62">
        <f>_xlfn.XLOOKUP(_26_03_2026_Log_Reseau_v15[[#This Row],[province RDC]],_26_03_2026_Client_Churn_v1[Province_Client],_26_03_2026_Client_Churn_v1[Duree_Cumulee_Panne_Min],"non trouvé")</f>
        <v>214</v>
      </c>
      <c r="O62">
        <f>_xlfn.XLOOKUP(_26_03_2026_Log_Reseau_v15[[#This Row],[province RDC]],_26_03_2026_Client_Churn_v1[Province_Client],_26_03_2026_Client_Churn_v1[Facture_Mensuelle],"non trouvé")</f>
        <v>74.7</v>
      </c>
      <c r="P62">
        <f>_xlfn.XLOOKUP(_26_03_2026_Log_Reseau_v15[[#This Row],[province RDC]],_26_03_2026_Client_Churn_v1[Province_Client],_26_03_2026_Client_Churn_v1[Plaintes_Service_Client],"non trouvé")</f>
        <v>3</v>
      </c>
    </row>
    <row r="63" spans="1:16" x14ac:dyDescent="0.25">
      <c r="A63" s="1">
        <v>45216</v>
      </c>
      <c r="B63" s="2">
        <v>0.70902777777777781</v>
      </c>
      <c r="C63" t="s">
        <v>846</v>
      </c>
      <c r="D63">
        <v>39</v>
      </c>
      <c r="E63" t="s">
        <v>807</v>
      </c>
      <c r="F63" t="str">
        <f>_xlfn.XLOOKUP(_26_03_2026_Log_Reseau_v15[[#This Row],[Cell_ID]],_26_03_2026_Registre_Maintenance_v1[ID_Antenne],_26_03_2026_Registre_Maintenance_v1[zone],"pas trouvé")</f>
        <v>Ituri</v>
      </c>
      <c r="G63">
        <f>_xlfn.XLOOKUP(_26_03_2026_Log_Reseau_v15[[#This Row],[Cell_ID]],_26_03_2026_Registre_Maintenance_v1[ID_Antenne],_26_03_2026_Registre_Maintenance_v1[Latitude],"non trouvé")</f>
        <v>-0.34051900000000002</v>
      </c>
      <c r="H63">
        <f>_xlfn.XLOOKUP(_26_03_2026_Log_Reseau_v15[[#This Row],[Cell_ID]],_26_03_2026_Registre_Maintenance_v1[ID_Antenne],_26_03_2026_Registre_Maintenance_v1[Longitude],"pas trouvé")</f>
        <v>17.079799000000001</v>
      </c>
      <c r="I63" t="str">
        <f>_xlfn.XLOOKUP(_26_03_2026_Log_Reseau_v15[[#This Row],[Cell_ID]],_26_03_2026_Registre_Maintenance_v1[ID_Antenne],_26_03_2026_Registre_Maintenance_v1[Technologie],"non trouvé")</f>
        <v>5G</v>
      </c>
      <c r="J63" t="str">
        <f>_xlfn.XLOOKUP(_26_03_2026_Log_Reseau_v15[[#This Row],[Cell_ID]],_26_03_2026_Registre_Maintenance_v1[ID_Antenne],_26_03_2026_Registre_Maintenance_v1[Equipementier],"pas trouvé")</f>
        <v>Ericsson</v>
      </c>
      <c r="K63" t="str">
        <f>_xlfn.XLOOKUP(_26_03_2026_Log_Reseau_v15[[#This Row],[province RDC]],_26_03_2026_Client_Churn_v1[Province_Client],_26_03_2026_Client_Churn_v1[ID_Client],"non trouvé")</f>
        <v>CLI-01147</v>
      </c>
      <c r="L63">
        <f>_xlfn.XLOOKUP(_26_03_2026_Log_Reseau_v15[[#This Row],[province RDC]],_26_03_2026_Client_Churn_v1[Province_Client],_26_03_2026_Client_Churn_v1[Anciennete_Mois],"non trouvé")</f>
        <v>29</v>
      </c>
      <c r="M63" t="str">
        <f>_xlfn.XLOOKUP(_26_03_2026_Log_Reseau_v15[[#This Row],[province RDC]],_26_03_2026_Client_Churn_v1[Province_Client],_26_03_2026_Client_Churn_v1[Type_Forfait],"non trouvé")</f>
        <v>Premium 5G 150Go</v>
      </c>
      <c r="N63">
        <f>_xlfn.XLOOKUP(_26_03_2026_Log_Reseau_v15[[#This Row],[province RDC]],_26_03_2026_Client_Churn_v1[Province_Client],_26_03_2026_Client_Churn_v1[Duree_Cumulee_Panne_Min],"non trouvé")</f>
        <v>214</v>
      </c>
      <c r="O63">
        <f>_xlfn.XLOOKUP(_26_03_2026_Log_Reseau_v15[[#This Row],[province RDC]],_26_03_2026_Client_Churn_v1[Province_Client],_26_03_2026_Client_Churn_v1[Facture_Mensuelle],"non trouvé")</f>
        <v>74.7</v>
      </c>
      <c r="P63">
        <f>_xlfn.XLOOKUP(_26_03_2026_Log_Reseau_v15[[#This Row],[province RDC]],_26_03_2026_Client_Churn_v1[Province_Client],_26_03_2026_Client_Churn_v1[Plaintes_Service_Client],"non trouvé")</f>
        <v>3</v>
      </c>
    </row>
    <row r="64" spans="1:16" hidden="1" x14ac:dyDescent="0.25">
      <c r="A64" s="1">
        <v>45222</v>
      </c>
      <c r="B64" s="2">
        <v>0.42569444444444443</v>
      </c>
      <c r="C64" t="s">
        <v>847</v>
      </c>
      <c r="D64">
        <v>48</v>
      </c>
      <c r="E64" t="s">
        <v>807</v>
      </c>
      <c r="F64" t="str">
        <f>_xlfn.XLOOKUP(_26_03_2026_Log_Reseau_v15[[#This Row],[Cell_ID]],_26_03_2026_Registre_Maintenance_v1[ID_Antenne],_26_03_2026_Registre_Maintenance_v1[zone],"pas trouvé")</f>
        <v>pas trouvé</v>
      </c>
      <c r="G64" t="str">
        <f>_xlfn.XLOOKUP(_26_03_2026_Log_Reseau_v15[[#This Row],[Cell_ID]],_26_03_2026_Registre_Maintenance_v1[ID_Antenne],_26_03_2026_Registre_Maintenance_v1[Latitude],"non trouvé")</f>
        <v>non trouvé</v>
      </c>
      <c r="H64" t="str">
        <f>_xlfn.XLOOKUP(_26_03_2026_Log_Reseau_v15[[#This Row],[Cell_ID]],_26_03_2026_Registre_Maintenance_v1[ID_Antenne],_26_03_2026_Registre_Maintenance_v1[Longitude],"pas trouvé")</f>
        <v>pas trouvé</v>
      </c>
      <c r="I64" t="str">
        <f>_xlfn.XLOOKUP(_26_03_2026_Log_Reseau_v15[[#This Row],[Cell_ID]],_26_03_2026_Registre_Maintenance_v1[ID_Antenne],_26_03_2026_Registre_Maintenance_v1[Technologie],"non trouvé")</f>
        <v>non trouvé</v>
      </c>
      <c r="J64" t="str">
        <f>_xlfn.XLOOKUP(_26_03_2026_Log_Reseau_v15[[#This Row],[Cell_ID]],_26_03_2026_Registre_Maintenance_v1[ID_Antenne],_26_03_2026_Registre_Maintenance_v1[Equipementier],"pas trouvé")</f>
        <v>pas trouvé</v>
      </c>
      <c r="K64" t="str">
        <f>_xlfn.XLOOKUP(_26_03_2026_Log_Reseau_v15[[#This Row],[province RDC]],_26_03_2026_Client_Churn_v1[Province_Client],_26_03_2026_Client_Churn_v1[ID_Client],"non trouvé")</f>
        <v>non trouvé</v>
      </c>
      <c r="L64" t="str">
        <f>_xlfn.XLOOKUP(_26_03_2026_Log_Reseau_v15[[#This Row],[province RDC]],_26_03_2026_Client_Churn_v1[Province_Client],_26_03_2026_Client_Churn_v1[Anciennete_Mois],"non trouvé")</f>
        <v>non trouvé</v>
      </c>
      <c r="M64" t="str">
        <f>_xlfn.XLOOKUP(_26_03_2026_Log_Reseau_v15[[#This Row],[province RDC]],_26_03_2026_Client_Churn_v1[Province_Client],_26_03_2026_Client_Churn_v1[Type_Forfait],"non trouvé")</f>
        <v>non trouvé</v>
      </c>
      <c r="N64" t="str">
        <f>_xlfn.XLOOKUP(_26_03_2026_Log_Reseau_v15[[#This Row],[province RDC]],_26_03_2026_Client_Churn_v1[Province_Client],_26_03_2026_Client_Churn_v1[Duree_Cumulee_Panne_Min],"non trouvé")</f>
        <v>non trouvé</v>
      </c>
      <c r="O64" t="str">
        <f>_xlfn.XLOOKUP(_26_03_2026_Log_Reseau_v15[[#This Row],[province RDC]],_26_03_2026_Client_Churn_v1[Province_Client],_26_03_2026_Client_Churn_v1[Facture_Mensuelle],"non trouvé")</f>
        <v>non trouvé</v>
      </c>
      <c r="P64" t="str">
        <f>_xlfn.XLOOKUP(_26_03_2026_Log_Reseau_v15[[#This Row],[province RDC]],_26_03_2026_Client_Churn_v1[Province_Client],_26_03_2026_Client_Churn_v1[Plaintes_Service_Client],"non trouvé")</f>
        <v>non trouvé</v>
      </c>
    </row>
    <row r="65" spans="1:16" hidden="1" x14ac:dyDescent="0.25">
      <c r="A65" s="1">
        <v>45217</v>
      </c>
      <c r="B65" s="2">
        <v>0.48819444444444443</v>
      </c>
      <c r="C65" t="s">
        <v>848</v>
      </c>
      <c r="D65">
        <v>94</v>
      </c>
      <c r="E65" t="s">
        <v>807</v>
      </c>
      <c r="F65" t="str">
        <f>_xlfn.XLOOKUP(_26_03_2026_Log_Reseau_v15[[#This Row],[Cell_ID]],_26_03_2026_Registre_Maintenance_v1[ID_Antenne],_26_03_2026_Registre_Maintenance_v1[zone],"pas trouvé")</f>
        <v>pas trouvé</v>
      </c>
      <c r="G65" t="str">
        <f>_xlfn.XLOOKUP(_26_03_2026_Log_Reseau_v15[[#This Row],[Cell_ID]],_26_03_2026_Registre_Maintenance_v1[ID_Antenne],_26_03_2026_Registre_Maintenance_v1[Latitude],"non trouvé")</f>
        <v>non trouvé</v>
      </c>
      <c r="H65" t="str">
        <f>_xlfn.XLOOKUP(_26_03_2026_Log_Reseau_v15[[#This Row],[Cell_ID]],_26_03_2026_Registre_Maintenance_v1[ID_Antenne],_26_03_2026_Registre_Maintenance_v1[Longitude],"pas trouvé")</f>
        <v>pas trouvé</v>
      </c>
      <c r="I65" t="str">
        <f>_xlfn.XLOOKUP(_26_03_2026_Log_Reseau_v15[[#This Row],[Cell_ID]],_26_03_2026_Registre_Maintenance_v1[ID_Antenne],_26_03_2026_Registre_Maintenance_v1[Technologie],"non trouvé")</f>
        <v>non trouvé</v>
      </c>
      <c r="J65" t="str">
        <f>_xlfn.XLOOKUP(_26_03_2026_Log_Reseau_v15[[#This Row],[Cell_ID]],_26_03_2026_Registre_Maintenance_v1[ID_Antenne],_26_03_2026_Registre_Maintenance_v1[Equipementier],"pas trouvé")</f>
        <v>pas trouvé</v>
      </c>
      <c r="K65" t="str">
        <f>_xlfn.XLOOKUP(_26_03_2026_Log_Reseau_v15[[#This Row],[province RDC]],_26_03_2026_Client_Churn_v1[Province_Client],_26_03_2026_Client_Churn_v1[ID_Client],"non trouvé")</f>
        <v>non trouvé</v>
      </c>
      <c r="L65" t="str">
        <f>_xlfn.XLOOKUP(_26_03_2026_Log_Reseau_v15[[#This Row],[province RDC]],_26_03_2026_Client_Churn_v1[Province_Client],_26_03_2026_Client_Churn_v1[Anciennete_Mois],"non trouvé")</f>
        <v>non trouvé</v>
      </c>
      <c r="M65" t="str">
        <f>_xlfn.XLOOKUP(_26_03_2026_Log_Reseau_v15[[#This Row],[province RDC]],_26_03_2026_Client_Churn_v1[Province_Client],_26_03_2026_Client_Churn_v1[Type_Forfait],"non trouvé")</f>
        <v>non trouvé</v>
      </c>
      <c r="N65" t="str">
        <f>_xlfn.XLOOKUP(_26_03_2026_Log_Reseau_v15[[#This Row],[province RDC]],_26_03_2026_Client_Churn_v1[Province_Client],_26_03_2026_Client_Churn_v1[Duree_Cumulee_Panne_Min],"non trouvé")</f>
        <v>non trouvé</v>
      </c>
      <c r="O65" t="str">
        <f>_xlfn.XLOOKUP(_26_03_2026_Log_Reseau_v15[[#This Row],[province RDC]],_26_03_2026_Client_Churn_v1[Province_Client],_26_03_2026_Client_Churn_v1[Facture_Mensuelle],"non trouvé")</f>
        <v>non trouvé</v>
      </c>
      <c r="P65" t="str">
        <f>_xlfn.XLOOKUP(_26_03_2026_Log_Reseau_v15[[#This Row],[province RDC]],_26_03_2026_Client_Churn_v1[Province_Client],_26_03_2026_Client_Churn_v1[Plaintes_Service_Client],"non trouvé")</f>
        <v>non trouvé</v>
      </c>
    </row>
    <row r="66" spans="1:16" hidden="1" x14ac:dyDescent="0.25">
      <c r="A66" s="1">
        <v>45221</v>
      </c>
      <c r="B66" s="2">
        <v>0.96597222222222223</v>
      </c>
      <c r="C66" t="s">
        <v>849</v>
      </c>
      <c r="D66">
        <v>84</v>
      </c>
      <c r="E66" t="s">
        <v>812</v>
      </c>
      <c r="F66" t="str">
        <f>_xlfn.XLOOKUP(_26_03_2026_Log_Reseau_v15[[#This Row],[Cell_ID]],_26_03_2026_Registre_Maintenance_v1[ID_Antenne],_26_03_2026_Registre_Maintenance_v1[zone],"pas trouvé")</f>
        <v>pas trouvé</v>
      </c>
      <c r="G66" t="str">
        <f>_xlfn.XLOOKUP(_26_03_2026_Log_Reseau_v15[[#This Row],[Cell_ID]],_26_03_2026_Registre_Maintenance_v1[ID_Antenne],_26_03_2026_Registre_Maintenance_v1[Latitude],"non trouvé")</f>
        <v>non trouvé</v>
      </c>
      <c r="H66" t="str">
        <f>_xlfn.XLOOKUP(_26_03_2026_Log_Reseau_v15[[#This Row],[Cell_ID]],_26_03_2026_Registre_Maintenance_v1[ID_Antenne],_26_03_2026_Registre_Maintenance_v1[Longitude],"pas trouvé")</f>
        <v>pas trouvé</v>
      </c>
      <c r="I66" t="str">
        <f>_xlfn.XLOOKUP(_26_03_2026_Log_Reseau_v15[[#This Row],[Cell_ID]],_26_03_2026_Registre_Maintenance_v1[ID_Antenne],_26_03_2026_Registre_Maintenance_v1[Technologie],"non trouvé")</f>
        <v>non trouvé</v>
      </c>
      <c r="J66" t="str">
        <f>_xlfn.XLOOKUP(_26_03_2026_Log_Reseau_v15[[#This Row],[Cell_ID]],_26_03_2026_Registre_Maintenance_v1[ID_Antenne],_26_03_2026_Registre_Maintenance_v1[Equipementier],"pas trouvé")</f>
        <v>pas trouvé</v>
      </c>
      <c r="K66" t="str">
        <f>_xlfn.XLOOKUP(_26_03_2026_Log_Reseau_v15[[#This Row],[province RDC]],_26_03_2026_Client_Churn_v1[Province_Client],_26_03_2026_Client_Churn_v1[ID_Client],"non trouvé")</f>
        <v>non trouvé</v>
      </c>
      <c r="L66" t="str">
        <f>_xlfn.XLOOKUP(_26_03_2026_Log_Reseau_v15[[#This Row],[province RDC]],_26_03_2026_Client_Churn_v1[Province_Client],_26_03_2026_Client_Churn_v1[Anciennete_Mois],"non trouvé")</f>
        <v>non trouvé</v>
      </c>
      <c r="M66" t="str">
        <f>_xlfn.XLOOKUP(_26_03_2026_Log_Reseau_v15[[#This Row],[province RDC]],_26_03_2026_Client_Churn_v1[Province_Client],_26_03_2026_Client_Churn_v1[Type_Forfait],"non trouvé")</f>
        <v>non trouvé</v>
      </c>
      <c r="N66" t="str">
        <f>_xlfn.XLOOKUP(_26_03_2026_Log_Reseau_v15[[#This Row],[province RDC]],_26_03_2026_Client_Churn_v1[Province_Client],_26_03_2026_Client_Churn_v1[Duree_Cumulee_Panne_Min],"non trouvé")</f>
        <v>non trouvé</v>
      </c>
      <c r="O66" t="str">
        <f>_xlfn.XLOOKUP(_26_03_2026_Log_Reseau_v15[[#This Row],[province RDC]],_26_03_2026_Client_Churn_v1[Province_Client],_26_03_2026_Client_Churn_v1[Facture_Mensuelle],"non trouvé")</f>
        <v>non trouvé</v>
      </c>
      <c r="P66" t="str">
        <f>_xlfn.XLOOKUP(_26_03_2026_Log_Reseau_v15[[#This Row],[province RDC]],_26_03_2026_Client_Churn_v1[Province_Client],_26_03_2026_Client_Churn_v1[Plaintes_Service_Client],"non trouvé")</f>
        <v>non trouvé</v>
      </c>
    </row>
    <row r="67" spans="1:16" hidden="1" x14ac:dyDescent="0.25">
      <c r="A67" s="1">
        <v>45203</v>
      </c>
      <c r="B67" s="2">
        <v>0.95833333333333337</v>
      </c>
      <c r="C67" t="s">
        <v>850</v>
      </c>
      <c r="D67">
        <v>65</v>
      </c>
      <c r="E67" t="s">
        <v>812</v>
      </c>
      <c r="F67" t="str">
        <f>_xlfn.XLOOKUP(_26_03_2026_Log_Reseau_v15[[#This Row],[Cell_ID]],_26_03_2026_Registre_Maintenance_v1[ID_Antenne],_26_03_2026_Registre_Maintenance_v1[zone],"pas trouvé")</f>
        <v>pas trouvé</v>
      </c>
      <c r="G67" t="str">
        <f>_xlfn.XLOOKUP(_26_03_2026_Log_Reseau_v15[[#This Row],[Cell_ID]],_26_03_2026_Registre_Maintenance_v1[ID_Antenne],_26_03_2026_Registre_Maintenance_v1[Latitude],"non trouvé")</f>
        <v>non trouvé</v>
      </c>
      <c r="H67" t="str">
        <f>_xlfn.XLOOKUP(_26_03_2026_Log_Reseau_v15[[#This Row],[Cell_ID]],_26_03_2026_Registre_Maintenance_v1[ID_Antenne],_26_03_2026_Registre_Maintenance_v1[Longitude],"pas trouvé")</f>
        <v>pas trouvé</v>
      </c>
      <c r="I67" t="str">
        <f>_xlfn.XLOOKUP(_26_03_2026_Log_Reseau_v15[[#This Row],[Cell_ID]],_26_03_2026_Registre_Maintenance_v1[ID_Antenne],_26_03_2026_Registre_Maintenance_v1[Technologie],"non trouvé")</f>
        <v>non trouvé</v>
      </c>
      <c r="J67" t="str">
        <f>_xlfn.XLOOKUP(_26_03_2026_Log_Reseau_v15[[#This Row],[Cell_ID]],_26_03_2026_Registre_Maintenance_v1[ID_Antenne],_26_03_2026_Registre_Maintenance_v1[Equipementier],"pas trouvé")</f>
        <v>pas trouvé</v>
      </c>
      <c r="K67" t="str">
        <f>_xlfn.XLOOKUP(_26_03_2026_Log_Reseau_v15[[#This Row],[province RDC]],_26_03_2026_Client_Churn_v1[Province_Client],_26_03_2026_Client_Churn_v1[ID_Client],"non trouvé")</f>
        <v>non trouvé</v>
      </c>
      <c r="L67" t="str">
        <f>_xlfn.XLOOKUP(_26_03_2026_Log_Reseau_v15[[#This Row],[province RDC]],_26_03_2026_Client_Churn_v1[Province_Client],_26_03_2026_Client_Churn_v1[Anciennete_Mois],"non trouvé")</f>
        <v>non trouvé</v>
      </c>
      <c r="M67" t="str">
        <f>_xlfn.XLOOKUP(_26_03_2026_Log_Reseau_v15[[#This Row],[province RDC]],_26_03_2026_Client_Churn_v1[Province_Client],_26_03_2026_Client_Churn_v1[Type_Forfait],"non trouvé")</f>
        <v>non trouvé</v>
      </c>
      <c r="N67" t="str">
        <f>_xlfn.XLOOKUP(_26_03_2026_Log_Reseau_v15[[#This Row],[province RDC]],_26_03_2026_Client_Churn_v1[Province_Client],_26_03_2026_Client_Churn_v1[Duree_Cumulee_Panne_Min],"non trouvé")</f>
        <v>non trouvé</v>
      </c>
      <c r="O67" t="str">
        <f>_xlfn.XLOOKUP(_26_03_2026_Log_Reseau_v15[[#This Row],[province RDC]],_26_03_2026_Client_Churn_v1[Province_Client],_26_03_2026_Client_Churn_v1[Facture_Mensuelle],"non trouvé")</f>
        <v>non trouvé</v>
      </c>
      <c r="P67" t="str">
        <f>_xlfn.XLOOKUP(_26_03_2026_Log_Reseau_v15[[#This Row],[province RDC]],_26_03_2026_Client_Churn_v1[Province_Client],_26_03_2026_Client_Churn_v1[Plaintes_Service_Client],"non trouvé")</f>
        <v>non trouvé</v>
      </c>
    </row>
    <row r="68" spans="1:16" hidden="1" x14ac:dyDescent="0.25">
      <c r="A68" s="1">
        <v>45211</v>
      </c>
      <c r="B68" s="2">
        <v>0.14722222222222223</v>
      </c>
      <c r="C68" t="s">
        <v>851</v>
      </c>
      <c r="D68">
        <v>89</v>
      </c>
      <c r="E68" t="s">
        <v>808</v>
      </c>
      <c r="F68" t="str">
        <f>_xlfn.XLOOKUP(_26_03_2026_Log_Reseau_v15[[#This Row],[Cell_ID]],_26_03_2026_Registre_Maintenance_v1[ID_Antenne],_26_03_2026_Registre_Maintenance_v1[zone],"pas trouvé")</f>
        <v>pas trouvé</v>
      </c>
      <c r="G68" t="str">
        <f>_xlfn.XLOOKUP(_26_03_2026_Log_Reseau_v15[[#This Row],[Cell_ID]],_26_03_2026_Registre_Maintenance_v1[ID_Antenne],_26_03_2026_Registre_Maintenance_v1[Latitude],"non trouvé")</f>
        <v>non trouvé</v>
      </c>
      <c r="H68" t="str">
        <f>_xlfn.XLOOKUP(_26_03_2026_Log_Reseau_v15[[#This Row],[Cell_ID]],_26_03_2026_Registre_Maintenance_v1[ID_Antenne],_26_03_2026_Registre_Maintenance_v1[Longitude],"pas trouvé")</f>
        <v>pas trouvé</v>
      </c>
      <c r="I68" t="str">
        <f>_xlfn.XLOOKUP(_26_03_2026_Log_Reseau_v15[[#This Row],[Cell_ID]],_26_03_2026_Registre_Maintenance_v1[ID_Antenne],_26_03_2026_Registre_Maintenance_v1[Technologie],"non trouvé")</f>
        <v>non trouvé</v>
      </c>
      <c r="J68" t="str">
        <f>_xlfn.XLOOKUP(_26_03_2026_Log_Reseau_v15[[#This Row],[Cell_ID]],_26_03_2026_Registre_Maintenance_v1[ID_Antenne],_26_03_2026_Registre_Maintenance_v1[Equipementier],"pas trouvé")</f>
        <v>pas trouvé</v>
      </c>
      <c r="K68" t="str">
        <f>_xlfn.XLOOKUP(_26_03_2026_Log_Reseau_v15[[#This Row],[province RDC]],_26_03_2026_Client_Churn_v1[Province_Client],_26_03_2026_Client_Churn_v1[ID_Client],"non trouvé")</f>
        <v>non trouvé</v>
      </c>
      <c r="L68" t="str">
        <f>_xlfn.XLOOKUP(_26_03_2026_Log_Reseau_v15[[#This Row],[province RDC]],_26_03_2026_Client_Churn_v1[Province_Client],_26_03_2026_Client_Churn_v1[Anciennete_Mois],"non trouvé")</f>
        <v>non trouvé</v>
      </c>
      <c r="M68" t="str">
        <f>_xlfn.XLOOKUP(_26_03_2026_Log_Reseau_v15[[#This Row],[province RDC]],_26_03_2026_Client_Churn_v1[Province_Client],_26_03_2026_Client_Churn_v1[Type_Forfait],"non trouvé")</f>
        <v>non trouvé</v>
      </c>
      <c r="N68" t="str">
        <f>_xlfn.XLOOKUP(_26_03_2026_Log_Reseau_v15[[#This Row],[province RDC]],_26_03_2026_Client_Churn_v1[Province_Client],_26_03_2026_Client_Churn_v1[Duree_Cumulee_Panne_Min],"non trouvé")</f>
        <v>non trouvé</v>
      </c>
      <c r="O68" t="str">
        <f>_xlfn.XLOOKUP(_26_03_2026_Log_Reseau_v15[[#This Row],[province RDC]],_26_03_2026_Client_Churn_v1[Province_Client],_26_03_2026_Client_Churn_v1[Facture_Mensuelle],"non trouvé")</f>
        <v>non trouvé</v>
      </c>
      <c r="P68" t="str">
        <f>_xlfn.XLOOKUP(_26_03_2026_Log_Reseau_v15[[#This Row],[province RDC]],_26_03_2026_Client_Churn_v1[Province_Client],_26_03_2026_Client_Churn_v1[Plaintes_Service_Client],"non trouvé")</f>
        <v>non trouvé</v>
      </c>
    </row>
    <row r="69" spans="1:16" hidden="1" x14ac:dyDescent="0.25">
      <c r="A69" s="1">
        <v>45209</v>
      </c>
      <c r="B69" s="2">
        <v>0.17430555555555555</v>
      </c>
      <c r="C69" t="s">
        <v>851</v>
      </c>
      <c r="D69">
        <v>5</v>
      </c>
      <c r="E69" t="s">
        <v>807</v>
      </c>
      <c r="F69" t="str">
        <f>_xlfn.XLOOKUP(_26_03_2026_Log_Reseau_v15[[#This Row],[Cell_ID]],_26_03_2026_Registre_Maintenance_v1[ID_Antenne],_26_03_2026_Registre_Maintenance_v1[zone],"pas trouvé")</f>
        <v>pas trouvé</v>
      </c>
      <c r="G69" t="str">
        <f>_xlfn.XLOOKUP(_26_03_2026_Log_Reseau_v15[[#This Row],[Cell_ID]],_26_03_2026_Registre_Maintenance_v1[ID_Antenne],_26_03_2026_Registre_Maintenance_v1[Latitude],"non trouvé")</f>
        <v>non trouvé</v>
      </c>
      <c r="H69" t="str">
        <f>_xlfn.XLOOKUP(_26_03_2026_Log_Reseau_v15[[#This Row],[Cell_ID]],_26_03_2026_Registre_Maintenance_v1[ID_Antenne],_26_03_2026_Registre_Maintenance_v1[Longitude],"pas trouvé")</f>
        <v>pas trouvé</v>
      </c>
      <c r="I69" t="str">
        <f>_xlfn.XLOOKUP(_26_03_2026_Log_Reseau_v15[[#This Row],[Cell_ID]],_26_03_2026_Registre_Maintenance_v1[ID_Antenne],_26_03_2026_Registre_Maintenance_v1[Technologie],"non trouvé")</f>
        <v>non trouvé</v>
      </c>
      <c r="J69" t="str">
        <f>_xlfn.XLOOKUP(_26_03_2026_Log_Reseau_v15[[#This Row],[Cell_ID]],_26_03_2026_Registre_Maintenance_v1[ID_Antenne],_26_03_2026_Registre_Maintenance_v1[Equipementier],"pas trouvé")</f>
        <v>pas trouvé</v>
      </c>
      <c r="K69" t="str">
        <f>_xlfn.XLOOKUP(_26_03_2026_Log_Reseau_v15[[#This Row],[province RDC]],_26_03_2026_Client_Churn_v1[Province_Client],_26_03_2026_Client_Churn_v1[ID_Client],"non trouvé")</f>
        <v>non trouvé</v>
      </c>
      <c r="L69" t="str">
        <f>_xlfn.XLOOKUP(_26_03_2026_Log_Reseau_v15[[#This Row],[province RDC]],_26_03_2026_Client_Churn_v1[Province_Client],_26_03_2026_Client_Churn_v1[Anciennete_Mois],"non trouvé")</f>
        <v>non trouvé</v>
      </c>
      <c r="M69" t="str">
        <f>_xlfn.XLOOKUP(_26_03_2026_Log_Reseau_v15[[#This Row],[province RDC]],_26_03_2026_Client_Churn_v1[Province_Client],_26_03_2026_Client_Churn_v1[Type_Forfait],"non trouvé")</f>
        <v>non trouvé</v>
      </c>
      <c r="N69" t="str">
        <f>_xlfn.XLOOKUP(_26_03_2026_Log_Reseau_v15[[#This Row],[province RDC]],_26_03_2026_Client_Churn_v1[Province_Client],_26_03_2026_Client_Churn_v1[Duree_Cumulee_Panne_Min],"non trouvé")</f>
        <v>non trouvé</v>
      </c>
      <c r="O69" t="str">
        <f>_xlfn.XLOOKUP(_26_03_2026_Log_Reseau_v15[[#This Row],[province RDC]],_26_03_2026_Client_Churn_v1[Province_Client],_26_03_2026_Client_Churn_v1[Facture_Mensuelle],"non trouvé")</f>
        <v>non trouvé</v>
      </c>
      <c r="P69" t="str">
        <f>_xlfn.XLOOKUP(_26_03_2026_Log_Reseau_v15[[#This Row],[province RDC]],_26_03_2026_Client_Churn_v1[Province_Client],_26_03_2026_Client_Churn_v1[Plaintes_Service_Client],"non trouvé")</f>
        <v>non trouvé</v>
      </c>
    </row>
    <row r="70" spans="1:16" x14ac:dyDescent="0.25">
      <c r="A70" s="1">
        <v>45211</v>
      </c>
      <c r="B70" s="2">
        <v>6.3888888888888884E-2</v>
      </c>
      <c r="C70" t="s">
        <v>852</v>
      </c>
      <c r="D70">
        <v>6</v>
      </c>
      <c r="E70" t="s">
        <v>812</v>
      </c>
      <c r="F70" t="str">
        <f>_xlfn.XLOOKUP(_26_03_2026_Log_Reseau_v15[[#This Row],[Cell_ID]],_26_03_2026_Registre_Maintenance_v1[ID_Antenne],_26_03_2026_Registre_Maintenance_v1[zone],"pas trouvé")</f>
        <v>Kasai-Oriental</v>
      </c>
      <c r="G70">
        <f>_xlfn.XLOOKUP(_26_03_2026_Log_Reseau_v15[[#This Row],[Cell_ID]],_26_03_2026_Registre_Maintenance_v1[ID_Antenne],_26_03_2026_Registre_Maintenance_v1[Latitude],"non trouvé")</f>
        <v>1.7832440000000001</v>
      </c>
      <c r="H70">
        <f>_xlfn.XLOOKUP(_26_03_2026_Log_Reseau_v15[[#This Row],[Cell_ID]],_26_03_2026_Registre_Maintenance_v1[ID_Antenne],_26_03_2026_Registre_Maintenance_v1[Longitude],"pas trouvé")</f>
        <v>25.477405999999998</v>
      </c>
      <c r="I70" t="str">
        <f>_xlfn.XLOOKUP(_26_03_2026_Log_Reseau_v15[[#This Row],[Cell_ID]],_26_03_2026_Registre_Maintenance_v1[ID_Antenne],_26_03_2026_Registre_Maintenance_v1[Technologie],"non trouvé")</f>
        <v>5G</v>
      </c>
      <c r="J70" t="str">
        <f>_xlfn.XLOOKUP(_26_03_2026_Log_Reseau_v15[[#This Row],[Cell_ID]],_26_03_2026_Registre_Maintenance_v1[ID_Antenne],_26_03_2026_Registre_Maintenance_v1[Equipementier],"pas trouvé")</f>
        <v>Huawei</v>
      </c>
      <c r="K70" t="str">
        <f>_xlfn.XLOOKUP(_26_03_2026_Log_Reseau_v15[[#This Row],[province RDC]],_26_03_2026_Client_Churn_v1[Province_Client],_26_03_2026_Client_Churn_v1[ID_Client],"non trouvé")</f>
        <v>CLI-01837</v>
      </c>
      <c r="L70">
        <f>_xlfn.XLOOKUP(_26_03_2026_Log_Reseau_v15[[#This Row],[province RDC]],_26_03_2026_Client_Churn_v1[Province_Client],_26_03_2026_Client_Churn_v1[Anciennete_Mois],"non trouvé")</f>
        <v>97</v>
      </c>
      <c r="M70" t="str">
        <f>_xlfn.XLOOKUP(_26_03_2026_Log_Reseau_v15[[#This Row],[province RDC]],_26_03_2026_Client_Churn_v1[Province_Client],_26_03_2026_Client_Churn_v1[Type_Forfait],"non trouvé")</f>
        <v>Pro Monde</v>
      </c>
      <c r="N70">
        <f>_xlfn.XLOOKUP(_26_03_2026_Log_Reseau_v15[[#This Row],[province RDC]],_26_03_2026_Client_Churn_v1[Province_Client],_26_03_2026_Client_Churn_v1[Duree_Cumulee_Panne_Min],"non trouvé")</f>
        <v>319</v>
      </c>
      <c r="O70">
        <f>_xlfn.XLOOKUP(_26_03_2026_Log_Reseau_v15[[#This Row],[province RDC]],_26_03_2026_Client_Churn_v1[Province_Client],_26_03_2026_Client_Churn_v1[Facture_Mensuelle],"non trouvé")</f>
        <v>31.25</v>
      </c>
      <c r="P70">
        <f>_xlfn.XLOOKUP(_26_03_2026_Log_Reseau_v15[[#This Row],[province RDC]],_26_03_2026_Client_Churn_v1[Province_Client],_26_03_2026_Client_Churn_v1[Plaintes_Service_Client],"non trouvé")</f>
        <v>1</v>
      </c>
    </row>
    <row r="71" spans="1:16" hidden="1" x14ac:dyDescent="0.25">
      <c r="A71" s="1">
        <v>45221</v>
      </c>
      <c r="B71" s="2">
        <v>0.48194444444444445</v>
      </c>
      <c r="C71" t="s">
        <v>853</v>
      </c>
      <c r="D71">
        <v>80</v>
      </c>
      <c r="E71" t="s">
        <v>812</v>
      </c>
      <c r="F71" t="str">
        <f>_xlfn.XLOOKUP(_26_03_2026_Log_Reseau_v15[[#This Row],[Cell_ID]],_26_03_2026_Registre_Maintenance_v1[ID_Antenne],_26_03_2026_Registre_Maintenance_v1[zone],"pas trouvé")</f>
        <v>pas trouvé</v>
      </c>
      <c r="G71" t="str">
        <f>_xlfn.XLOOKUP(_26_03_2026_Log_Reseau_v15[[#This Row],[Cell_ID]],_26_03_2026_Registre_Maintenance_v1[ID_Antenne],_26_03_2026_Registre_Maintenance_v1[Latitude],"non trouvé")</f>
        <v>non trouvé</v>
      </c>
      <c r="H71" t="str">
        <f>_xlfn.XLOOKUP(_26_03_2026_Log_Reseau_v15[[#This Row],[Cell_ID]],_26_03_2026_Registre_Maintenance_v1[ID_Antenne],_26_03_2026_Registre_Maintenance_v1[Longitude],"pas trouvé")</f>
        <v>pas trouvé</v>
      </c>
      <c r="I71" t="str">
        <f>_xlfn.XLOOKUP(_26_03_2026_Log_Reseau_v15[[#This Row],[Cell_ID]],_26_03_2026_Registre_Maintenance_v1[ID_Antenne],_26_03_2026_Registre_Maintenance_v1[Technologie],"non trouvé")</f>
        <v>non trouvé</v>
      </c>
      <c r="J71" t="str">
        <f>_xlfn.XLOOKUP(_26_03_2026_Log_Reseau_v15[[#This Row],[Cell_ID]],_26_03_2026_Registre_Maintenance_v1[ID_Antenne],_26_03_2026_Registre_Maintenance_v1[Equipementier],"pas trouvé")</f>
        <v>pas trouvé</v>
      </c>
      <c r="K71" t="str">
        <f>_xlfn.XLOOKUP(_26_03_2026_Log_Reseau_v15[[#This Row],[province RDC]],_26_03_2026_Client_Churn_v1[Province_Client],_26_03_2026_Client_Churn_v1[ID_Client],"non trouvé")</f>
        <v>non trouvé</v>
      </c>
      <c r="L71" t="str">
        <f>_xlfn.XLOOKUP(_26_03_2026_Log_Reseau_v15[[#This Row],[province RDC]],_26_03_2026_Client_Churn_v1[Province_Client],_26_03_2026_Client_Churn_v1[Anciennete_Mois],"non trouvé")</f>
        <v>non trouvé</v>
      </c>
      <c r="M71" t="str">
        <f>_xlfn.XLOOKUP(_26_03_2026_Log_Reseau_v15[[#This Row],[province RDC]],_26_03_2026_Client_Churn_v1[Province_Client],_26_03_2026_Client_Churn_v1[Type_Forfait],"non trouvé")</f>
        <v>non trouvé</v>
      </c>
      <c r="N71" t="str">
        <f>_xlfn.XLOOKUP(_26_03_2026_Log_Reseau_v15[[#This Row],[province RDC]],_26_03_2026_Client_Churn_v1[Province_Client],_26_03_2026_Client_Churn_v1[Duree_Cumulee_Panne_Min],"non trouvé")</f>
        <v>non trouvé</v>
      </c>
      <c r="O71" t="str">
        <f>_xlfn.XLOOKUP(_26_03_2026_Log_Reseau_v15[[#This Row],[province RDC]],_26_03_2026_Client_Churn_v1[Province_Client],_26_03_2026_Client_Churn_v1[Facture_Mensuelle],"non trouvé")</f>
        <v>non trouvé</v>
      </c>
      <c r="P71" t="str">
        <f>_xlfn.XLOOKUP(_26_03_2026_Log_Reseau_v15[[#This Row],[province RDC]],_26_03_2026_Client_Churn_v1[Province_Client],_26_03_2026_Client_Churn_v1[Plaintes_Service_Client],"non trouvé")</f>
        <v>non trouvé</v>
      </c>
    </row>
    <row r="72" spans="1:16" hidden="1" x14ac:dyDescent="0.25">
      <c r="A72" s="1">
        <v>45212</v>
      </c>
      <c r="B72" s="2">
        <v>0.87986111111111109</v>
      </c>
      <c r="C72" t="s">
        <v>854</v>
      </c>
      <c r="D72">
        <v>99</v>
      </c>
      <c r="E72" t="s">
        <v>807</v>
      </c>
      <c r="F72" t="str">
        <f>_xlfn.XLOOKUP(_26_03_2026_Log_Reseau_v15[[#This Row],[Cell_ID]],_26_03_2026_Registre_Maintenance_v1[ID_Antenne],_26_03_2026_Registre_Maintenance_v1[zone],"pas trouvé")</f>
        <v>pas trouvé</v>
      </c>
      <c r="G72" t="str">
        <f>_xlfn.XLOOKUP(_26_03_2026_Log_Reseau_v15[[#This Row],[Cell_ID]],_26_03_2026_Registre_Maintenance_v1[ID_Antenne],_26_03_2026_Registre_Maintenance_v1[Latitude],"non trouvé")</f>
        <v>non trouvé</v>
      </c>
      <c r="H72" t="str">
        <f>_xlfn.XLOOKUP(_26_03_2026_Log_Reseau_v15[[#This Row],[Cell_ID]],_26_03_2026_Registre_Maintenance_v1[ID_Antenne],_26_03_2026_Registre_Maintenance_v1[Longitude],"pas trouvé")</f>
        <v>pas trouvé</v>
      </c>
      <c r="I72" t="str">
        <f>_xlfn.XLOOKUP(_26_03_2026_Log_Reseau_v15[[#This Row],[Cell_ID]],_26_03_2026_Registre_Maintenance_v1[ID_Antenne],_26_03_2026_Registre_Maintenance_v1[Technologie],"non trouvé")</f>
        <v>non trouvé</v>
      </c>
      <c r="J72" t="str">
        <f>_xlfn.XLOOKUP(_26_03_2026_Log_Reseau_v15[[#This Row],[Cell_ID]],_26_03_2026_Registre_Maintenance_v1[ID_Antenne],_26_03_2026_Registre_Maintenance_v1[Equipementier],"pas trouvé")</f>
        <v>pas trouvé</v>
      </c>
      <c r="K72" t="str">
        <f>_xlfn.XLOOKUP(_26_03_2026_Log_Reseau_v15[[#This Row],[province RDC]],_26_03_2026_Client_Churn_v1[Province_Client],_26_03_2026_Client_Churn_v1[ID_Client],"non trouvé")</f>
        <v>non trouvé</v>
      </c>
      <c r="L72" t="str">
        <f>_xlfn.XLOOKUP(_26_03_2026_Log_Reseau_v15[[#This Row],[province RDC]],_26_03_2026_Client_Churn_v1[Province_Client],_26_03_2026_Client_Churn_v1[Anciennete_Mois],"non trouvé")</f>
        <v>non trouvé</v>
      </c>
      <c r="M72" t="str">
        <f>_xlfn.XLOOKUP(_26_03_2026_Log_Reseau_v15[[#This Row],[province RDC]],_26_03_2026_Client_Churn_v1[Province_Client],_26_03_2026_Client_Churn_v1[Type_Forfait],"non trouvé")</f>
        <v>non trouvé</v>
      </c>
      <c r="N72" t="str">
        <f>_xlfn.XLOOKUP(_26_03_2026_Log_Reseau_v15[[#This Row],[province RDC]],_26_03_2026_Client_Churn_v1[Province_Client],_26_03_2026_Client_Churn_v1[Duree_Cumulee_Panne_Min],"non trouvé")</f>
        <v>non trouvé</v>
      </c>
      <c r="O72" t="str">
        <f>_xlfn.XLOOKUP(_26_03_2026_Log_Reseau_v15[[#This Row],[province RDC]],_26_03_2026_Client_Churn_v1[Province_Client],_26_03_2026_Client_Churn_v1[Facture_Mensuelle],"non trouvé")</f>
        <v>non trouvé</v>
      </c>
      <c r="P72" t="str">
        <f>_xlfn.XLOOKUP(_26_03_2026_Log_Reseau_v15[[#This Row],[province RDC]],_26_03_2026_Client_Churn_v1[Province_Client],_26_03_2026_Client_Churn_v1[Plaintes_Service_Client],"non trouvé")</f>
        <v>non trouvé</v>
      </c>
    </row>
    <row r="73" spans="1:16" hidden="1" x14ac:dyDescent="0.25">
      <c r="A73" s="1">
        <v>45220</v>
      </c>
      <c r="B73" s="2">
        <v>0.26250000000000001</v>
      </c>
      <c r="C73" t="s">
        <v>854</v>
      </c>
      <c r="D73">
        <v>96</v>
      </c>
      <c r="E73" t="s">
        <v>807</v>
      </c>
      <c r="F73" t="str">
        <f>_xlfn.XLOOKUP(_26_03_2026_Log_Reseau_v15[[#This Row],[Cell_ID]],_26_03_2026_Registre_Maintenance_v1[ID_Antenne],_26_03_2026_Registre_Maintenance_v1[zone],"pas trouvé")</f>
        <v>pas trouvé</v>
      </c>
      <c r="G73" t="str">
        <f>_xlfn.XLOOKUP(_26_03_2026_Log_Reseau_v15[[#This Row],[Cell_ID]],_26_03_2026_Registre_Maintenance_v1[ID_Antenne],_26_03_2026_Registre_Maintenance_v1[Latitude],"non trouvé")</f>
        <v>non trouvé</v>
      </c>
      <c r="H73" t="str">
        <f>_xlfn.XLOOKUP(_26_03_2026_Log_Reseau_v15[[#This Row],[Cell_ID]],_26_03_2026_Registre_Maintenance_v1[ID_Antenne],_26_03_2026_Registre_Maintenance_v1[Longitude],"pas trouvé")</f>
        <v>pas trouvé</v>
      </c>
      <c r="I73" t="str">
        <f>_xlfn.XLOOKUP(_26_03_2026_Log_Reseau_v15[[#This Row],[Cell_ID]],_26_03_2026_Registre_Maintenance_v1[ID_Antenne],_26_03_2026_Registre_Maintenance_v1[Technologie],"non trouvé")</f>
        <v>non trouvé</v>
      </c>
      <c r="J73" t="str">
        <f>_xlfn.XLOOKUP(_26_03_2026_Log_Reseau_v15[[#This Row],[Cell_ID]],_26_03_2026_Registre_Maintenance_v1[ID_Antenne],_26_03_2026_Registre_Maintenance_v1[Equipementier],"pas trouvé")</f>
        <v>pas trouvé</v>
      </c>
      <c r="K73" t="str">
        <f>_xlfn.XLOOKUP(_26_03_2026_Log_Reseau_v15[[#This Row],[province RDC]],_26_03_2026_Client_Churn_v1[Province_Client],_26_03_2026_Client_Churn_v1[ID_Client],"non trouvé")</f>
        <v>non trouvé</v>
      </c>
      <c r="L73" t="str">
        <f>_xlfn.XLOOKUP(_26_03_2026_Log_Reseau_v15[[#This Row],[province RDC]],_26_03_2026_Client_Churn_v1[Province_Client],_26_03_2026_Client_Churn_v1[Anciennete_Mois],"non trouvé")</f>
        <v>non trouvé</v>
      </c>
      <c r="M73" t="str">
        <f>_xlfn.XLOOKUP(_26_03_2026_Log_Reseau_v15[[#This Row],[province RDC]],_26_03_2026_Client_Churn_v1[Province_Client],_26_03_2026_Client_Churn_v1[Type_Forfait],"non trouvé")</f>
        <v>non trouvé</v>
      </c>
      <c r="N73" t="str">
        <f>_xlfn.XLOOKUP(_26_03_2026_Log_Reseau_v15[[#This Row],[province RDC]],_26_03_2026_Client_Churn_v1[Province_Client],_26_03_2026_Client_Churn_v1[Duree_Cumulee_Panne_Min],"non trouvé")</f>
        <v>non trouvé</v>
      </c>
      <c r="O73" t="str">
        <f>_xlfn.XLOOKUP(_26_03_2026_Log_Reseau_v15[[#This Row],[province RDC]],_26_03_2026_Client_Churn_v1[Province_Client],_26_03_2026_Client_Churn_v1[Facture_Mensuelle],"non trouvé")</f>
        <v>non trouvé</v>
      </c>
      <c r="P73" t="str">
        <f>_xlfn.XLOOKUP(_26_03_2026_Log_Reseau_v15[[#This Row],[province RDC]],_26_03_2026_Client_Churn_v1[Province_Client],_26_03_2026_Client_Churn_v1[Plaintes_Service_Client],"non trouvé")</f>
        <v>non trouvé</v>
      </c>
    </row>
    <row r="74" spans="1:16" x14ac:dyDescent="0.25">
      <c r="A74" s="1">
        <v>45207</v>
      </c>
      <c r="B74" s="2">
        <v>0.70138888888888884</v>
      </c>
      <c r="C74" t="s">
        <v>855</v>
      </c>
      <c r="D74">
        <v>27</v>
      </c>
      <c r="E74" t="s">
        <v>812</v>
      </c>
      <c r="F74" t="str">
        <f>_xlfn.XLOOKUP(_26_03_2026_Log_Reseau_v15[[#This Row],[Cell_ID]],_26_03_2026_Registre_Maintenance_v1[ID_Antenne],_26_03_2026_Registre_Maintenance_v1[zone],"pas trouvé")</f>
        <v>Sankuru</v>
      </c>
      <c r="G74">
        <f>_xlfn.XLOOKUP(_26_03_2026_Log_Reseau_v15[[#This Row],[Cell_ID]],_26_03_2026_Registre_Maintenance_v1[ID_Antenne],_26_03_2026_Registre_Maintenance_v1[Latitude],"non trouvé")</f>
        <v>-10.764815</v>
      </c>
      <c r="H74">
        <f>_xlfn.XLOOKUP(_26_03_2026_Log_Reseau_v15[[#This Row],[Cell_ID]],_26_03_2026_Registre_Maintenance_v1[ID_Antenne],_26_03_2026_Registre_Maintenance_v1[Longitude],"pas trouvé")</f>
        <v>14.602039</v>
      </c>
      <c r="I74" t="str">
        <f>_xlfn.XLOOKUP(_26_03_2026_Log_Reseau_v15[[#This Row],[Cell_ID]],_26_03_2026_Registre_Maintenance_v1[ID_Antenne],_26_03_2026_Registre_Maintenance_v1[Technologie],"non trouvé")</f>
        <v>4G</v>
      </c>
      <c r="J74" t="str">
        <f>_xlfn.XLOOKUP(_26_03_2026_Log_Reseau_v15[[#This Row],[Cell_ID]],_26_03_2026_Registre_Maintenance_v1[ID_Antenne],_26_03_2026_Registre_Maintenance_v1[Equipementier],"pas trouvé")</f>
        <v>Nokia</v>
      </c>
      <c r="K74" t="str">
        <f>_xlfn.XLOOKUP(_26_03_2026_Log_Reseau_v15[[#This Row],[province RDC]],_26_03_2026_Client_Churn_v1[Province_Client],_26_03_2026_Client_Churn_v1[ID_Client],"non trouvé")</f>
        <v>CLI-00530</v>
      </c>
      <c r="L74">
        <f>_xlfn.XLOOKUP(_26_03_2026_Log_Reseau_v15[[#This Row],[province RDC]],_26_03_2026_Client_Churn_v1[Province_Client],_26_03_2026_Client_Churn_v1[Anciennete_Mois],"non trouvé")</f>
        <v>35</v>
      </c>
      <c r="M74" t="str">
        <f>_xlfn.XLOOKUP(_26_03_2026_Log_Reseau_v15[[#This Row],[province RDC]],_26_03_2026_Client_Churn_v1[Province_Client],_26_03_2026_Client_Churn_v1[Type_Forfait],"non trouvé")</f>
        <v>Pro Monde</v>
      </c>
      <c r="N74">
        <f>_xlfn.XLOOKUP(_26_03_2026_Log_Reseau_v15[[#This Row],[province RDC]],_26_03_2026_Client_Churn_v1[Province_Client],_26_03_2026_Client_Churn_v1[Duree_Cumulee_Panne_Min],"non trouvé")</f>
        <v>465</v>
      </c>
      <c r="O74">
        <f>_xlfn.XLOOKUP(_26_03_2026_Log_Reseau_v15[[#This Row],[province RDC]],_26_03_2026_Client_Churn_v1[Province_Client],_26_03_2026_Client_Churn_v1[Facture_Mensuelle],"non trouvé")</f>
        <v>58.59</v>
      </c>
      <c r="P74">
        <f>_xlfn.XLOOKUP(_26_03_2026_Log_Reseau_v15[[#This Row],[province RDC]],_26_03_2026_Client_Churn_v1[Province_Client],_26_03_2026_Client_Churn_v1[Plaintes_Service_Client],"non trouvé")</f>
        <v>5</v>
      </c>
    </row>
    <row r="75" spans="1:16" x14ac:dyDescent="0.25">
      <c r="A75" s="1">
        <v>45209</v>
      </c>
      <c r="B75" s="2">
        <v>0.55833333333333335</v>
      </c>
      <c r="C75" t="s">
        <v>856</v>
      </c>
      <c r="D75">
        <v>66</v>
      </c>
      <c r="E75" t="s">
        <v>808</v>
      </c>
      <c r="F75" t="str">
        <f>_xlfn.XLOOKUP(_26_03_2026_Log_Reseau_v15[[#This Row],[Cell_ID]],_26_03_2026_Registre_Maintenance_v1[ID_Antenne],_26_03_2026_Registre_Maintenance_v1[zone],"pas trouvé")</f>
        <v>Ituri</v>
      </c>
      <c r="G75">
        <f>_xlfn.XLOOKUP(_26_03_2026_Log_Reseau_v15[[#This Row],[Cell_ID]],_26_03_2026_Registre_Maintenance_v1[ID_Antenne],_26_03_2026_Registre_Maintenance_v1[Latitude],"non trouvé")</f>
        <v>-12.595355</v>
      </c>
      <c r="H75">
        <f>_xlfn.XLOOKUP(_26_03_2026_Log_Reseau_v15[[#This Row],[Cell_ID]],_26_03_2026_Registre_Maintenance_v1[ID_Antenne],_26_03_2026_Registre_Maintenance_v1[Longitude],"pas trouvé")</f>
        <v>17.897442000000002</v>
      </c>
      <c r="I75" t="str">
        <f>_xlfn.XLOOKUP(_26_03_2026_Log_Reseau_v15[[#This Row],[Cell_ID]],_26_03_2026_Registre_Maintenance_v1[ID_Antenne],_26_03_2026_Registre_Maintenance_v1[Technologie],"non trouvé")</f>
        <v>4G</v>
      </c>
      <c r="J75" t="str">
        <f>_xlfn.XLOOKUP(_26_03_2026_Log_Reseau_v15[[#This Row],[Cell_ID]],_26_03_2026_Registre_Maintenance_v1[ID_Antenne],_26_03_2026_Registre_Maintenance_v1[Equipementier],"pas trouvé")</f>
        <v>Huawei</v>
      </c>
      <c r="K75" t="str">
        <f>_xlfn.XLOOKUP(_26_03_2026_Log_Reseau_v15[[#This Row],[province RDC]],_26_03_2026_Client_Churn_v1[Province_Client],_26_03_2026_Client_Churn_v1[ID_Client],"non trouvé")</f>
        <v>CLI-01147</v>
      </c>
      <c r="L75">
        <f>_xlfn.XLOOKUP(_26_03_2026_Log_Reseau_v15[[#This Row],[province RDC]],_26_03_2026_Client_Churn_v1[Province_Client],_26_03_2026_Client_Churn_v1[Anciennete_Mois],"non trouvé")</f>
        <v>29</v>
      </c>
      <c r="M75" t="str">
        <f>_xlfn.XLOOKUP(_26_03_2026_Log_Reseau_v15[[#This Row],[province RDC]],_26_03_2026_Client_Churn_v1[Province_Client],_26_03_2026_Client_Churn_v1[Type_Forfait],"non trouvé")</f>
        <v>Premium 5G 150Go</v>
      </c>
      <c r="N75">
        <f>_xlfn.XLOOKUP(_26_03_2026_Log_Reseau_v15[[#This Row],[province RDC]],_26_03_2026_Client_Churn_v1[Province_Client],_26_03_2026_Client_Churn_v1[Duree_Cumulee_Panne_Min],"non trouvé")</f>
        <v>214</v>
      </c>
      <c r="O75">
        <f>_xlfn.XLOOKUP(_26_03_2026_Log_Reseau_v15[[#This Row],[province RDC]],_26_03_2026_Client_Churn_v1[Province_Client],_26_03_2026_Client_Churn_v1[Facture_Mensuelle],"non trouvé")</f>
        <v>74.7</v>
      </c>
      <c r="P75">
        <f>_xlfn.XLOOKUP(_26_03_2026_Log_Reseau_v15[[#This Row],[province RDC]],_26_03_2026_Client_Churn_v1[Province_Client],_26_03_2026_Client_Churn_v1[Plaintes_Service_Client],"non trouvé")</f>
        <v>3</v>
      </c>
    </row>
    <row r="76" spans="1:16" hidden="1" x14ac:dyDescent="0.25">
      <c r="A76" s="1">
        <v>45221</v>
      </c>
      <c r="B76" s="2">
        <v>0.58333333333333337</v>
      </c>
      <c r="C76" t="s">
        <v>857</v>
      </c>
      <c r="D76">
        <v>106</v>
      </c>
      <c r="E76" t="s">
        <v>812</v>
      </c>
      <c r="F76" t="str">
        <f>_xlfn.XLOOKUP(_26_03_2026_Log_Reseau_v15[[#This Row],[Cell_ID]],_26_03_2026_Registre_Maintenance_v1[ID_Antenne],_26_03_2026_Registre_Maintenance_v1[zone],"pas trouvé")</f>
        <v>pas trouvé</v>
      </c>
      <c r="G76" t="str">
        <f>_xlfn.XLOOKUP(_26_03_2026_Log_Reseau_v15[[#This Row],[Cell_ID]],_26_03_2026_Registre_Maintenance_v1[ID_Antenne],_26_03_2026_Registre_Maintenance_v1[Latitude],"non trouvé")</f>
        <v>non trouvé</v>
      </c>
      <c r="H76" t="str">
        <f>_xlfn.XLOOKUP(_26_03_2026_Log_Reseau_v15[[#This Row],[Cell_ID]],_26_03_2026_Registre_Maintenance_v1[ID_Antenne],_26_03_2026_Registre_Maintenance_v1[Longitude],"pas trouvé")</f>
        <v>pas trouvé</v>
      </c>
      <c r="I76" t="str">
        <f>_xlfn.XLOOKUP(_26_03_2026_Log_Reseau_v15[[#This Row],[Cell_ID]],_26_03_2026_Registre_Maintenance_v1[ID_Antenne],_26_03_2026_Registre_Maintenance_v1[Technologie],"non trouvé")</f>
        <v>non trouvé</v>
      </c>
      <c r="J76" t="str">
        <f>_xlfn.XLOOKUP(_26_03_2026_Log_Reseau_v15[[#This Row],[Cell_ID]],_26_03_2026_Registre_Maintenance_v1[ID_Antenne],_26_03_2026_Registre_Maintenance_v1[Equipementier],"pas trouvé")</f>
        <v>pas trouvé</v>
      </c>
      <c r="K76" t="str">
        <f>_xlfn.XLOOKUP(_26_03_2026_Log_Reseau_v15[[#This Row],[province RDC]],_26_03_2026_Client_Churn_v1[Province_Client],_26_03_2026_Client_Churn_v1[ID_Client],"non trouvé")</f>
        <v>non trouvé</v>
      </c>
      <c r="L76" t="str">
        <f>_xlfn.XLOOKUP(_26_03_2026_Log_Reseau_v15[[#This Row],[province RDC]],_26_03_2026_Client_Churn_v1[Province_Client],_26_03_2026_Client_Churn_v1[Anciennete_Mois],"non trouvé")</f>
        <v>non trouvé</v>
      </c>
      <c r="M76" t="str">
        <f>_xlfn.XLOOKUP(_26_03_2026_Log_Reseau_v15[[#This Row],[province RDC]],_26_03_2026_Client_Churn_v1[Province_Client],_26_03_2026_Client_Churn_v1[Type_Forfait],"non trouvé")</f>
        <v>non trouvé</v>
      </c>
      <c r="N76" t="str">
        <f>_xlfn.XLOOKUP(_26_03_2026_Log_Reseau_v15[[#This Row],[province RDC]],_26_03_2026_Client_Churn_v1[Province_Client],_26_03_2026_Client_Churn_v1[Duree_Cumulee_Panne_Min],"non trouvé")</f>
        <v>non trouvé</v>
      </c>
      <c r="O76" t="str">
        <f>_xlfn.XLOOKUP(_26_03_2026_Log_Reseau_v15[[#This Row],[province RDC]],_26_03_2026_Client_Churn_v1[Province_Client],_26_03_2026_Client_Churn_v1[Facture_Mensuelle],"non trouvé")</f>
        <v>non trouvé</v>
      </c>
      <c r="P76" t="str">
        <f>_xlfn.XLOOKUP(_26_03_2026_Log_Reseau_v15[[#This Row],[province RDC]],_26_03_2026_Client_Churn_v1[Province_Client],_26_03_2026_Client_Churn_v1[Plaintes_Service_Client],"non trouvé")</f>
        <v>non trouvé</v>
      </c>
    </row>
    <row r="77" spans="1:16" x14ac:dyDescent="0.25">
      <c r="A77" s="1">
        <v>45208</v>
      </c>
      <c r="B77" s="2">
        <v>0.55833333333333335</v>
      </c>
      <c r="C77" t="s">
        <v>858</v>
      </c>
      <c r="D77">
        <v>44</v>
      </c>
      <c r="E77" t="s">
        <v>812</v>
      </c>
      <c r="F77" t="str">
        <f>_xlfn.XLOOKUP(_26_03_2026_Log_Reseau_v15[[#This Row],[Cell_ID]],_26_03_2026_Registre_Maintenance_v1[ID_Antenne],_26_03_2026_Registre_Maintenance_v1[zone],"pas trouvé")</f>
        <v>Kasai-Central</v>
      </c>
      <c r="G77">
        <f>_xlfn.XLOOKUP(_26_03_2026_Log_Reseau_v15[[#This Row],[Cell_ID]],_26_03_2026_Registre_Maintenance_v1[ID_Antenne],_26_03_2026_Registre_Maintenance_v1[Latitude],"non trouvé")</f>
        <v>-8.0800809999999998</v>
      </c>
      <c r="H77">
        <f>_xlfn.XLOOKUP(_26_03_2026_Log_Reseau_v15[[#This Row],[Cell_ID]],_26_03_2026_Registre_Maintenance_v1[ID_Antenne],_26_03_2026_Registre_Maintenance_v1[Longitude],"pas trouvé")</f>
        <v>30.147970999999998</v>
      </c>
      <c r="I77" t="str">
        <f>_xlfn.XLOOKUP(_26_03_2026_Log_Reseau_v15[[#This Row],[Cell_ID]],_26_03_2026_Registre_Maintenance_v1[ID_Antenne],_26_03_2026_Registre_Maintenance_v1[Technologie],"non trouvé")</f>
        <v>5G</v>
      </c>
      <c r="J77" t="str">
        <f>_xlfn.XLOOKUP(_26_03_2026_Log_Reseau_v15[[#This Row],[Cell_ID]],_26_03_2026_Registre_Maintenance_v1[ID_Antenne],_26_03_2026_Registre_Maintenance_v1[Equipementier],"pas trouvé")</f>
        <v>Huawei</v>
      </c>
      <c r="K77" t="str">
        <f>_xlfn.XLOOKUP(_26_03_2026_Log_Reseau_v15[[#This Row],[province RDC]],_26_03_2026_Client_Churn_v1[Province_Client],_26_03_2026_Client_Churn_v1[ID_Client],"non trouvé")</f>
        <v>CLI-00060</v>
      </c>
      <c r="L77">
        <f>_xlfn.XLOOKUP(_26_03_2026_Log_Reseau_v15[[#This Row],[province RDC]],_26_03_2026_Client_Churn_v1[Province_Client],_26_03_2026_Client_Churn_v1[Anciennete_Mois],"non trouvé")</f>
        <v>72</v>
      </c>
      <c r="M77" t="str">
        <f>_xlfn.XLOOKUP(_26_03_2026_Log_Reseau_v15[[#This Row],[province RDC]],_26_03_2026_Client_Churn_v1[Province_Client],_26_03_2026_Client_Churn_v1[Type_Forfait],"non trouvé")</f>
        <v>Pro Monde</v>
      </c>
      <c r="N77">
        <f>_xlfn.XLOOKUP(_26_03_2026_Log_Reseau_v15[[#This Row],[province RDC]],_26_03_2026_Client_Churn_v1[Province_Client],_26_03_2026_Client_Churn_v1[Duree_Cumulee_Panne_Min],"non trouvé")</f>
        <v>160</v>
      </c>
      <c r="O77">
        <f>_xlfn.XLOOKUP(_26_03_2026_Log_Reseau_v15[[#This Row],[province RDC]],_26_03_2026_Client_Churn_v1[Province_Client],_26_03_2026_Client_Churn_v1[Facture_Mensuelle],"non trouvé")</f>
        <v>90.13</v>
      </c>
      <c r="P77">
        <f>_xlfn.XLOOKUP(_26_03_2026_Log_Reseau_v15[[#This Row],[province RDC]],_26_03_2026_Client_Churn_v1[Province_Client],_26_03_2026_Client_Churn_v1[Plaintes_Service_Client],"non trouvé")</f>
        <v>2</v>
      </c>
    </row>
    <row r="78" spans="1:16" x14ac:dyDescent="0.25">
      <c r="A78" s="1">
        <v>45225</v>
      </c>
      <c r="B78" s="2">
        <v>0.22083333333333333</v>
      </c>
      <c r="C78" t="s">
        <v>858</v>
      </c>
      <c r="D78">
        <v>104</v>
      </c>
      <c r="E78" t="s">
        <v>808</v>
      </c>
      <c r="F78" t="str">
        <f>_xlfn.XLOOKUP(_26_03_2026_Log_Reseau_v15[[#This Row],[Cell_ID]],_26_03_2026_Registre_Maintenance_v1[ID_Antenne],_26_03_2026_Registre_Maintenance_v1[zone],"pas trouvé")</f>
        <v>Kasai-Central</v>
      </c>
      <c r="G78">
        <f>_xlfn.XLOOKUP(_26_03_2026_Log_Reseau_v15[[#This Row],[Cell_ID]],_26_03_2026_Registre_Maintenance_v1[ID_Antenne],_26_03_2026_Registre_Maintenance_v1[Latitude],"non trouvé")</f>
        <v>-8.0800809999999998</v>
      </c>
      <c r="H78">
        <f>_xlfn.XLOOKUP(_26_03_2026_Log_Reseau_v15[[#This Row],[Cell_ID]],_26_03_2026_Registre_Maintenance_v1[ID_Antenne],_26_03_2026_Registre_Maintenance_v1[Longitude],"pas trouvé")</f>
        <v>30.147970999999998</v>
      </c>
      <c r="I78" t="str">
        <f>_xlfn.XLOOKUP(_26_03_2026_Log_Reseau_v15[[#This Row],[Cell_ID]],_26_03_2026_Registre_Maintenance_v1[ID_Antenne],_26_03_2026_Registre_Maintenance_v1[Technologie],"non trouvé")</f>
        <v>5G</v>
      </c>
      <c r="J78" t="str">
        <f>_xlfn.XLOOKUP(_26_03_2026_Log_Reseau_v15[[#This Row],[Cell_ID]],_26_03_2026_Registre_Maintenance_v1[ID_Antenne],_26_03_2026_Registre_Maintenance_v1[Equipementier],"pas trouvé")</f>
        <v>Huawei</v>
      </c>
      <c r="K78" t="str">
        <f>_xlfn.XLOOKUP(_26_03_2026_Log_Reseau_v15[[#This Row],[province RDC]],_26_03_2026_Client_Churn_v1[Province_Client],_26_03_2026_Client_Churn_v1[ID_Client],"non trouvé")</f>
        <v>CLI-00060</v>
      </c>
      <c r="L78">
        <f>_xlfn.XLOOKUP(_26_03_2026_Log_Reseau_v15[[#This Row],[province RDC]],_26_03_2026_Client_Churn_v1[Province_Client],_26_03_2026_Client_Churn_v1[Anciennete_Mois],"non trouvé")</f>
        <v>72</v>
      </c>
      <c r="M78" t="str">
        <f>_xlfn.XLOOKUP(_26_03_2026_Log_Reseau_v15[[#This Row],[province RDC]],_26_03_2026_Client_Churn_v1[Province_Client],_26_03_2026_Client_Churn_v1[Type_Forfait],"non trouvé")</f>
        <v>Pro Monde</v>
      </c>
      <c r="N78">
        <f>_xlfn.XLOOKUP(_26_03_2026_Log_Reseau_v15[[#This Row],[province RDC]],_26_03_2026_Client_Churn_v1[Province_Client],_26_03_2026_Client_Churn_v1[Duree_Cumulee_Panne_Min],"non trouvé")</f>
        <v>160</v>
      </c>
      <c r="O78">
        <f>_xlfn.XLOOKUP(_26_03_2026_Log_Reseau_v15[[#This Row],[province RDC]],_26_03_2026_Client_Churn_v1[Province_Client],_26_03_2026_Client_Churn_v1[Facture_Mensuelle],"non trouvé")</f>
        <v>90.13</v>
      </c>
      <c r="P78">
        <f>_xlfn.XLOOKUP(_26_03_2026_Log_Reseau_v15[[#This Row],[province RDC]],_26_03_2026_Client_Churn_v1[Province_Client],_26_03_2026_Client_Churn_v1[Plaintes_Service_Client],"non trouvé")</f>
        <v>2</v>
      </c>
    </row>
    <row r="79" spans="1:16" hidden="1" x14ac:dyDescent="0.25">
      <c r="A79" s="1">
        <v>45204</v>
      </c>
      <c r="B79" s="2">
        <v>0.57013888888888886</v>
      </c>
      <c r="C79" t="s">
        <v>859</v>
      </c>
      <c r="D79">
        <v>13</v>
      </c>
      <c r="E79" t="s">
        <v>812</v>
      </c>
      <c r="F79" t="str">
        <f>_xlfn.XLOOKUP(_26_03_2026_Log_Reseau_v15[[#This Row],[Cell_ID]],_26_03_2026_Registre_Maintenance_v1[ID_Antenne],_26_03_2026_Registre_Maintenance_v1[zone],"pas trouvé")</f>
        <v>pas trouvé</v>
      </c>
      <c r="G79" t="str">
        <f>_xlfn.XLOOKUP(_26_03_2026_Log_Reseau_v15[[#This Row],[Cell_ID]],_26_03_2026_Registre_Maintenance_v1[ID_Antenne],_26_03_2026_Registre_Maintenance_v1[Latitude],"non trouvé")</f>
        <v>non trouvé</v>
      </c>
      <c r="H79" t="str">
        <f>_xlfn.XLOOKUP(_26_03_2026_Log_Reseau_v15[[#This Row],[Cell_ID]],_26_03_2026_Registre_Maintenance_v1[ID_Antenne],_26_03_2026_Registre_Maintenance_v1[Longitude],"pas trouvé")</f>
        <v>pas trouvé</v>
      </c>
      <c r="I79" t="str">
        <f>_xlfn.XLOOKUP(_26_03_2026_Log_Reseau_v15[[#This Row],[Cell_ID]],_26_03_2026_Registre_Maintenance_v1[ID_Antenne],_26_03_2026_Registre_Maintenance_v1[Technologie],"non trouvé")</f>
        <v>non trouvé</v>
      </c>
      <c r="J79" t="str">
        <f>_xlfn.XLOOKUP(_26_03_2026_Log_Reseau_v15[[#This Row],[Cell_ID]],_26_03_2026_Registre_Maintenance_v1[ID_Antenne],_26_03_2026_Registre_Maintenance_v1[Equipementier],"pas trouvé")</f>
        <v>pas trouvé</v>
      </c>
      <c r="K79" t="str">
        <f>_xlfn.XLOOKUP(_26_03_2026_Log_Reseau_v15[[#This Row],[province RDC]],_26_03_2026_Client_Churn_v1[Province_Client],_26_03_2026_Client_Churn_v1[ID_Client],"non trouvé")</f>
        <v>non trouvé</v>
      </c>
      <c r="L79" t="str">
        <f>_xlfn.XLOOKUP(_26_03_2026_Log_Reseau_v15[[#This Row],[province RDC]],_26_03_2026_Client_Churn_v1[Province_Client],_26_03_2026_Client_Churn_v1[Anciennete_Mois],"non trouvé")</f>
        <v>non trouvé</v>
      </c>
      <c r="M79" t="str">
        <f>_xlfn.XLOOKUP(_26_03_2026_Log_Reseau_v15[[#This Row],[province RDC]],_26_03_2026_Client_Churn_v1[Province_Client],_26_03_2026_Client_Churn_v1[Type_Forfait],"non trouvé")</f>
        <v>non trouvé</v>
      </c>
      <c r="N79" t="str">
        <f>_xlfn.XLOOKUP(_26_03_2026_Log_Reseau_v15[[#This Row],[province RDC]],_26_03_2026_Client_Churn_v1[Province_Client],_26_03_2026_Client_Churn_v1[Duree_Cumulee_Panne_Min],"non trouvé")</f>
        <v>non trouvé</v>
      </c>
      <c r="O79" t="str">
        <f>_xlfn.XLOOKUP(_26_03_2026_Log_Reseau_v15[[#This Row],[province RDC]],_26_03_2026_Client_Churn_v1[Province_Client],_26_03_2026_Client_Churn_v1[Facture_Mensuelle],"non trouvé")</f>
        <v>non trouvé</v>
      </c>
      <c r="P79" t="str">
        <f>_xlfn.XLOOKUP(_26_03_2026_Log_Reseau_v15[[#This Row],[province RDC]],_26_03_2026_Client_Churn_v1[Province_Client],_26_03_2026_Client_Churn_v1[Plaintes_Service_Client],"non trouvé")</f>
        <v>non trouvé</v>
      </c>
    </row>
    <row r="80" spans="1:16" hidden="1" x14ac:dyDescent="0.25">
      <c r="A80" s="1">
        <v>45210</v>
      </c>
      <c r="B80" s="2">
        <v>0.30972222222222223</v>
      </c>
      <c r="C80" t="s">
        <v>860</v>
      </c>
      <c r="D80">
        <v>47</v>
      </c>
      <c r="E80" t="s">
        <v>808</v>
      </c>
      <c r="F80" t="str">
        <f>_xlfn.XLOOKUP(_26_03_2026_Log_Reseau_v15[[#This Row],[Cell_ID]],_26_03_2026_Registre_Maintenance_v1[ID_Antenne],_26_03_2026_Registre_Maintenance_v1[zone],"pas trouvé")</f>
        <v>pas trouvé</v>
      </c>
      <c r="G80" t="str">
        <f>_xlfn.XLOOKUP(_26_03_2026_Log_Reseau_v15[[#This Row],[Cell_ID]],_26_03_2026_Registre_Maintenance_v1[ID_Antenne],_26_03_2026_Registre_Maintenance_v1[Latitude],"non trouvé")</f>
        <v>non trouvé</v>
      </c>
      <c r="H80" t="str">
        <f>_xlfn.XLOOKUP(_26_03_2026_Log_Reseau_v15[[#This Row],[Cell_ID]],_26_03_2026_Registre_Maintenance_v1[ID_Antenne],_26_03_2026_Registre_Maintenance_v1[Longitude],"pas trouvé")</f>
        <v>pas trouvé</v>
      </c>
      <c r="I80" t="str">
        <f>_xlfn.XLOOKUP(_26_03_2026_Log_Reseau_v15[[#This Row],[Cell_ID]],_26_03_2026_Registre_Maintenance_v1[ID_Antenne],_26_03_2026_Registre_Maintenance_v1[Technologie],"non trouvé")</f>
        <v>non trouvé</v>
      </c>
      <c r="J80" t="str">
        <f>_xlfn.XLOOKUP(_26_03_2026_Log_Reseau_v15[[#This Row],[Cell_ID]],_26_03_2026_Registre_Maintenance_v1[ID_Antenne],_26_03_2026_Registre_Maintenance_v1[Equipementier],"pas trouvé")</f>
        <v>pas trouvé</v>
      </c>
      <c r="K80" t="str">
        <f>_xlfn.XLOOKUP(_26_03_2026_Log_Reseau_v15[[#This Row],[province RDC]],_26_03_2026_Client_Churn_v1[Province_Client],_26_03_2026_Client_Churn_v1[ID_Client],"non trouvé")</f>
        <v>non trouvé</v>
      </c>
      <c r="L80" t="str">
        <f>_xlfn.XLOOKUP(_26_03_2026_Log_Reseau_v15[[#This Row],[province RDC]],_26_03_2026_Client_Churn_v1[Province_Client],_26_03_2026_Client_Churn_v1[Anciennete_Mois],"non trouvé")</f>
        <v>non trouvé</v>
      </c>
      <c r="M80" t="str">
        <f>_xlfn.XLOOKUP(_26_03_2026_Log_Reseau_v15[[#This Row],[province RDC]],_26_03_2026_Client_Churn_v1[Province_Client],_26_03_2026_Client_Churn_v1[Type_Forfait],"non trouvé")</f>
        <v>non trouvé</v>
      </c>
      <c r="N80" t="str">
        <f>_xlfn.XLOOKUP(_26_03_2026_Log_Reseau_v15[[#This Row],[province RDC]],_26_03_2026_Client_Churn_v1[Province_Client],_26_03_2026_Client_Churn_v1[Duree_Cumulee_Panne_Min],"non trouvé")</f>
        <v>non trouvé</v>
      </c>
      <c r="O80" t="str">
        <f>_xlfn.XLOOKUP(_26_03_2026_Log_Reseau_v15[[#This Row],[province RDC]],_26_03_2026_Client_Churn_v1[Province_Client],_26_03_2026_Client_Churn_v1[Facture_Mensuelle],"non trouvé")</f>
        <v>non trouvé</v>
      </c>
      <c r="P80" t="str">
        <f>_xlfn.XLOOKUP(_26_03_2026_Log_Reseau_v15[[#This Row],[province RDC]],_26_03_2026_Client_Churn_v1[Province_Client],_26_03_2026_Client_Churn_v1[Plaintes_Service_Client],"non trouvé")</f>
        <v>non trouvé</v>
      </c>
    </row>
    <row r="81" spans="1:16" hidden="1" x14ac:dyDescent="0.25">
      <c r="A81" s="1">
        <v>45212</v>
      </c>
      <c r="B81" s="2">
        <v>0.62638888888888888</v>
      </c>
      <c r="C81" t="s">
        <v>860</v>
      </c>
      <c r="D81">
        <v>107</v>
      </c>
      <c r="E81" t="s">
        <v>808</v>
      </c>
      <c r="F81" t="str">
        <f>_xlfn.XLOOKUP(_26_03_2026_Log_Reseau_v15[[#This Row],[Cell_ID]],_26_03_2026_Registre_Maintenance_v1[ID_Antenne],_26_03_2026_Registre_Maintenance_v1[zone],"pas trouvé")</f>
        <v>pas trouvé</v>
      </c>
      <c r="G81" t="str">
        <f>_xlfn.XLOOKUP(_26_03_2026_Log_Reseau_v15[[#This Row],[Cell_ID]],_26_03_2026_Registre_Maintenance_v1[ID_Antenne],_26_03_2026_Registre_Maintenance_v1[Latitude],"non trouvé")</f>
        <v>non trouvé</v>
      </c>
      <c r="H81" t="str">
        <f>_xlfn.XLOOKUP(_26_03_2026_Log_Reseau_v15[[#This Row],[Cell_ID]],_26_03_2026_Registre_Maintenance_v1[ID_Antenne],_26_03_2026_Registre_Maintenance_v1[Longitude],"pas trouvé")</f>
        <v>pas trouvé</v>
      </c>
      <c r="I81" t="str">
        <f>_xlfn.XLOOKUP(_26_03_2026_Log_Reseau_v15[[#This Row],[Cell_ID]],_26_03_2026_Registre_Maintenance_v1[ID_Antenne],_26_03_2026_Registre_Maintenance_v1[Technologie],"non trouvé")</f>
        <v>non trouvé</v>
      </c>
      <c r="J81" t="str">
        <f>_xlfn.XLOOKUP(_26_03_2026_Log_Reseau_v15[[#This Row],[Cell_ID]],_26_03_2026_Registre_Maintenance_v1[ID_Antenne],_26_03_2026_Registre_Maintenance_v1[Equipementier],"pas trouvé")</f>
        <v>pas trouvé</v>
      </c>
      <c r="K81" t="str">
        <f>_xlfn.XLOOKUP(_26_03_2026_Log_Reseau_v15[[#This Row],[province RDC]],_26_03_2026_Client_Churn_v1[Province_Client],_26_03_2026_Client_Churn_v1[ID_Client],"non trouvé")</f>
        <v>non trouvé</v>
      </c>
      <c r="L81" t="str">
        <f>_xlfn.XLOOKUP(_26_03_2026_Log_Reseau_v15[[#This Row],[province RDC]],_26_03_2026_Client_Churn_v1[Province_Client],_26_03_2026_Client_Churn_v1[Anciennete_Mois],"non trouvé")</f>
        <v>non trouvé</v>
      </c>
      <c r="M81" t="str">
        <f>_xlfn.XLOOKUP(_26_03_2026_Log_Reseau_v15[[#This Row],[province RDC]],_26_03_2026_Client_Churn_v1[Province_Client],_26_03_2026_Client_Churn_v1[Type_Forfait],"non trouvé")</f>
        <v>non trouvé</v>
      </c>
      <c r="N81" t="str">
        <f>_xlfn.XLOOKUP(_26_03_2026_Log_Reseau_v15[[#This Row],[province RDC]],_26_03_2026_Client_Churn_v1[Province_Client],_26_03_2026_Client_Churn_v1[Duree_Cumulee_Panne_Min],"non trouvé")</f>
        <v>non trouvé</v>
      </c>
      <c r="O81" t="str">
        <f>_xlfn.XLOOKUP(_26_03_2026_Log_Reseau_v15[[#This Row],[province RDC]],_26_03_2026_Client_Churn_v1[Province_Client],_26_03_2026_Client_Churn_v1[Facture_Mensuelle],"non trouvé")</f>
        <v>non trouvé</v>
      </c>
      <c r="P81" t="str">
        <f>_xlfn.XLOOKUP(_26_03_2026_Log_Reseau_v15[[#This Row],[province RDC]],_26_03_2026_Client_Churn_v1[Province_Client],_26_03_2026_Client_Churn_v1[Plaintes_Service_Client],"non trouvé")</f>
        <v>non trouvé</v>
      </c>
    </row>
    <row r="82" spans="1:16" x14ac:dyDescent="0.25">
      <c r="A82" s="1">
        <v>45216</v>
      </c>
      <c r="B82" s="2">
        <v>0.67361111111111116</v>
      </c>
      <c r="C82" t="s">
        <v>861</v>
      </c>
      <c r="D82">
        <v>117</v>
      </c>
      <c r="E82" t="s">
        <v>807</v>
      </c>
      <c r="F82" t="str">
        <f>_xlfn.XLOOKUP(_26_03_2026_Log_Reseau_v15[[#This Row],[Cell_ID]],_26_03_2026_Registre_Maintenance_v1[ID_Antenne],_26_03_2026_Registre_Maintenance_v1[zone],"pas trouvé")</f>
        <v>Sud-Ubangi</v>
      </c>
      <c r="G82">
        <f>_xlfn.XLOOKUP(_26_03_2026_Log_Reseau_v15[[#This Row],[Cell_ID]],_26_03_2026_Registre_Maintenance_v1[ID_Antenne],_26_03_2026_Registre_Maintenance_v1[Latitude],"non trouvé")</f>
        <v>-12.141233</v>
      </c>
      <c r="H82">
        <f>_xlfn.XLOOKUP(_26_03_2026_Log_Reseau_v15[[#This Row],[Cell_ID]],_26_03_2026_Registre_Maintenance_v1[ID_Antenne],_26_03_2026_Registre_Maintenance_v1[Longitude],"pas trouvé")</f>
        <v>15.179043999999999</v>
      </c>
      <c r="I82" t="str">
        <f>_xlfn.XLOOKUP(_26_03_2026_Log_Reseau_v15[[#This Row],[Cell_ID]],_26_03_2026_Registre_Maintenance_v1[ID_Antenne],_26_03_2026_Registre_Maintenance_v1[Technologie],"non trouvé")</f>
        <v>5G</v>
      </c>
      <c r="J82" t="str">
        <f>_xlfn.XLOOKUP(_26_03_2026_Log_Reseau_v15[[#This Row],[Cell_ID]],_26_03_2026_Registre_Maintenance_v1[ID_Antenne],_26_03_2026_Registre_Maintenance_v1[Equipementier],"pas trouvé")</f>
        <v>Ericsson</v>
      </c>
      <c r="K82" t="str">
        <f>_xlfn.XLOOKUP(_26_03_2026_Log_Reseau_v15[[#This Row],[province RDC]],_26_03_2026_Client_Churn_v1[Province_Client],_26_03_2026_Client_Churn_v1[ID_Client],"non trouvé")</f>
        <v>CLI-00280</v>
      </c>
      <c r="L82">
        <f>_xlfn.XLOOKUP(_26_03_2026_Log_Reseau_v15[[#This Row],[province RDC]],_26_03_2026_Client_Churn_v1[Province_Client],_26_03_2026_Client_Churn_v1[Anciennete_Mois],"non trouvé")</f>
        <v>113</v>
      </c>
      <c r="M82" t="str">
        <f>_xlfn.XLOOKUP(_26_03_2026_Log_Reseau_v15[[#This Row],[province RDC]],_26_03_2026_Client_Churn_v1[Province_Client],_26_03_2026_Client_Churn_v1[Type_Forfait],"non trouvé")</f>
        <v>Illimité 50Go</v>
      </c>
      <c r="N82">
        <f>_xlfn.XLOOKUP(_26_03_2026_Log_Reseau_v15[[#This Row],[province RDC]],_26_03_2026_Client_Churn_v1[Province_Client],_26_03_2026_Client_Churn_v1[Duree_Cumulee_Panne_Min],"non trouvé")</f>
        <v>380</v>
      </c>
      <c r="O82">
        <f>_xlfn.XLOOKUP(_26_03_2026_Log_Reseau_v15[[#This Row],[province RDC]],_26_03_2026_Client_Churn_v1[Province_Client],_26_03_2026_Client_Churn_v1[Facture_Mensuelle],"non trouvé")</f>
        <v>12.11</v>
      </c>
      <c r="P82">
        <f>_xlfn.XLOOKUP(_26_03_2026_Log_Reseau_v15[[#This Row],[province RDC]],_26_03_2026_Client_Churn_v1[Province_Client],_26_03_2026_Client_Churn_v1[Plaintes_Service_Client],"non trouvé")</f>
        <v>0</v>
      </c>
    </row>
    <row r="83" spans="1:16" x14ac:dyDescent="0.25">
      <c r="A83" s="1">
        <v>45221</v>
      </c>
      <c r="B83" s="2">
        <v>0.37638888888888888</v>
      </c>
      <c r="C83" t="s">
        <v>862</v>
      </c>
      <c r="D83">
        <v>59</v>
      </c>
      <c r="E83" t="s">
        <v>812</v>
      </c>
      <c r="F83" t="str">
        <f>_xlfn.XLOOKUP(_26_03_2026_Log_Reseau_v15[[#This Row],[Cell_ID]],_26_03_2026_Registre_Maintenance_v1[ID_Antenne],_26_03_2026_Registre_Maintenance_v1[zone],"pas trouvé")</f>
        <v>Maniema</v>
      </c>
      <c r="G83">
        <f>_xlfn.XLOOKUP(_26_03_2026_Log_Reseau_v15[[#This Row],[Cell_ID]],_26_03_2026_Registre_Maintenance_v1[ID_Antenne],_26_03_2026_Registre_Maintenance_v1[Latitude],"non trouvé")</f>
        <v>-8.4824669999999998</v>
      </c>
      <c r="H83">
        <f>_xlfn.XLOOKUP(_26_03_2026_Log_Reseau_v15[[#This Row],[Cell_ID]],_26_03_2026_Registre_Maintenance_v1[ID_Antenne],_26_03_2026_Registre_Maintenance_v1[Longitude],"pas trouvé")</f>
        <v>21.897777999999999</v>
      </c>
      <c r="I83" t="str">
        <f>_xlfn.XLOOKUP(_26_03_2026_Log_Reseau_v15[[#This Row],[Cell_ID]],_26_03_2026_Registre_Maintenance_v1[ID_Antenne],_26_03_2026_Registre_Maintenance_v1[Technologie],"non trouvé")</f>
        <v>5G</v>
      </c>
      <c r="J83" t="str">
        <f>_xlfn.XLOOKUP(_26_03_2026_Log_Reseau_v15[[#This Row],[Cell_ID]],_26_03_2026_Registre_Maintenance_v1[ID_Antenne],_26_03_2026_Registre_Maintenance_v1[Equipementier],"pas trouvé")</f>
        <v>Ericsson</v>
      </c>
      <c r="K83" t="str">
        <f>_xlfn.XLOOKUP(_26_03_2026_Log_Reseau_v15[[#This Row],[province RDC]],_26_03_2026_Client_Churn_v1[Province_Client],_26_03_2026_Client_Churn_v1[ID_Client],"non trouvé")</f>
        <v>CLI-00185</v>
      </c>
      <c r="L83">
        <f>_xlfn.XLOOKUP(_26_03_2026_Log_Reseau_v15[[#This Row],[province RDC]],_26_03_2026_Client_Churn_v1[Province_Client],_26_03_2026_Client_Churn_v1[Anciennete_Mois],"non trouvé")</f>
        <v>81</v>
      </c>
      <c r="M83" t="str">
        <f>_xlfn.XLOOKUP(_26_03_2026_Log_Reseau_v15[[#This Row],[province RDC]],_26_03_2026_Client_Churn_v1[Province_Client],_26_03_2026_Client_Churn_v1[Type_Forfait],"non trouvé")</f>
        <v>Pro Monde</v>
      </c>
      <c r="N83">
        <f>_xlfn.XLOOKUP(_26_03_2026_Log_Reseau_v15[[#This Row],[province RDC]],_26_03_2026_Client_Churn_v1[Province_Client],_26_03_2026_Client_Churn_v1[Duree_Cumulee_Panne_Min],"non trouvé")</f>
        <v>154</v>
      </c>
      <c r="O83">
        <f>_xlfn.XLOOKUP(_26_03_2026_Log_Reseau_v15[[#This Row],[province RDC]],_26_03_2026_Client_Churn_v1[Province_Client],_26_03_2026_Client_Churn_v1[Facture_Mensuelle],"non trouvé")</f>
        <v>19.47</v>
      </c>
      <c r="P83">
        <f>_xlfn.XLOOKUP(_26_03_2026_Log_Reseau_v15[[#This Row],[province RDC]],_26_03_2026_Client_Churn_v1[Province_Client],_26_03_2026_Client_Churn_v1[Plaintes_Service_Client],"non trouvé")</f>
        <v>3</v>
      </c>
    </row>
    <row r="84" spans="1:16" x14ac:dyDescent="0.25">
      <c r="A84" s="1">
        <v>45206</v>
      </c>
      <c r="B84" s="2">
        <v>0.1673611111111111</v>
      </c>
      <c r="C84" t="s">
        <v>863</v>
      </c>
      <c r="D84">
        <v>64</v>
      </c>
      <c r="E84" t="s">
        <v>808</v>
      </c>
      <c r="F84" t="str">
        <f>_xlfn.XLOOKUP(_26_03_2026_Log_Reseau_v15[[#This Row],[Cell_ID]],_26_03_2026_Registre_Maintenance_v1[ID_Antenne],_26_03_2026_Registre_Maintenance_v1[zone],"pas trouvé")</f>
        <v>Ituri</v>
      </c>
      <c r="G84">
        <f>_xlfn.XLOOKUP(_26_03_2026_Log_Reseau_v15[[#This Row],[Cell_ID]],_26_03_2026_Registre_Maintenance_v1[ID_Antenne],_26_03_2026_Registre_Maintenance_v1[Latitude],"non trouvé")</f>
        <v>0.24202000000000001</v>
      </c>
      <c r="H84">
        <f>_xlfn.XLOOKUP(_26_03_2026_Log_Reseau_v15[[#This Row],[Cell_ID]],_26_03_2026_Registre_Maintenance_v1[ID_Antenne],_26_03_2026_Registre_Maintenance_v1[Longitude],"pas trouvé")</f>
        <v>17.396256999999999</v>
      </c>
      <c r="I84" t="str">
        <f>_xlfn.XLOOKUP(_26_03_2026_Log_Reseau_v15[[#This Row],[Cell_ID]],_26_03_2026_Registre_Maintenance_v1[ID_Antenne],_26_03_2026_Registre_Maintenance_v1[Technologie],"non trouvé")</f>
        <v>4G</v>
      </c>
      <c r="J84" t="str">
        <f>_xlfn.XLOOKUP(_26_03_2026_Log_Reseau_v15[[#This Row],[Cell_ID]],_26_03_2026_Registre_Maintenance_v1[ID_Antenne],_26_03_2026_Registre_Maintenance_v1[Equipementier],"pas trouvé")</f>
        <v>Huawei</v>
      </c>
      <c r="K84" t="str">
        <f>_xlfn.XLOOKUP(_26_03_2026_Log_Reseau_v15[[#This Row],[province RDC]],_26_03_2026_Client_Churn_v1[Province_Client],_26_03_2026_Client_Churn_v1[ID_Client],"non trouvé")</f>
        <v>CLI-01147</v>
      </c>
      <c r="L84">
        <f>_xlfn.XLOOKUP(_26_03_2026_Log_Reseau_v15[[#This Row],[province RDC]],_26_03_2026_Client_Churn_v1[Province_Client],_26_03_2026_Client_Churn_v1[Anciennete_Mois],"non trouvé")</f>
        <v>29</v>
      </c>
      <c r="M84" t="str">
        <f>_xlfn.XLOOKUP(_26_03_2026_Log_Reseau_v15[[#This Row],[province RDC]],_26_03_2026_Client_Churn_v1[Province_Client],_26_03_2026_Client_Churn_v1[Type_Forfait],"non trouvé")</f>
        <v>Premium 5G 150Go</v>
      </c>
      <c r="N84">
        <f>_xlfn.XLOOKUP(_26_03_2026_Log_Reseau_v15[[#This Row],[province RDC]],_26_03_2026_Client_Churn_v1[Province_Client],_26_03_2026_Client_Churn_v1[Duree_Cumulee_Panne_Min],"non trouvé")</f>
        <v>214</v>
      </c>
      <c r="O84">
        <f>_xlfn.XLOOKUP(_26_03_2026_Log_Reseau_v15[[#This Row],[province RDC]],_26_03_2026_Client_Churn_v1[Province_Client],_26_03_2026_Client_Churn_v1[Facture_Mensuelle],"non trouvé")</f>
        <v>74.7</v>
      </c>
      <c r="P84">
        <f>_xlfn.XLOOKUP(_26_03_2026_Log_Reseau_v15[[#This Row],[province RDC]],_26_03_2026_Client_Churn_v1[Province_Client],_26_03_2026_Client_Churn_v1[Plaintes_Service_Client],"non trouvé")</f>
        <v>3</v>
      </c>
    </row>
    <row r="85" spans="1:16" x14ac:dyDescent="0.25">
      <c r="A85" s="1">
        <v>45225</v>
      </c>
      <c r="B85" s="2">
        <v>0.97916666666666663</v>
      </c>
      <c r="C85" t="s">
        <v>864</v>
      </c>
      <c r="D85">
        <v>6</v>
      </c>
      <c r="E85" t="s">
        <v>807</v>
      </c>
      <c r="F85" t="str">
        <f>_xlfn.XLOOKUP(_26_03_2026_Log_Reseau_v15[[#This Row],[Cell_ID]],_26_03_2026_Registre_Maintenance_v1[ID_Antenne],_26_03_2026_Registre_Maintenance_v1[zone],"pas trouvé")</f>
        <v>Tshuapa</v>
      </c>
      <c r="G85">
        <f>_xlfn.XLOOKUP(_26_03_2026_Log_Reseau_v15[[#This Row],[Cell_ID]],_26_03_2026_Registre_Maintenance_v1[ID_Antenne],_26_03_2026_Registre_Maintenance_v1[Latitude],"non trouvé")</f>
        <v>-10.577049000000001</v>
      </c>
      <c r="H85">
        <f>_xlfn.XLOOKUP(_26_03_2026_Log_Reseau_v15[[#This Row],[Cell_ID]],_26_03_2026_Registre_Maintenance_v1[ID_Antenne],_26_03_2026_Registre_Maintenance_v1[Longitude],"pas trouvé")</f>
        <v>23.721854</v>
      </c>
      <c r="I85" t="str">
        <f>_xlfn.XLOOKUP(_26_03_2026_Log_Reseau_v15[[#This Row],[Cell_ID]],_26_03_2026_Registre_Maintenance_v1[ID_Antenne],_26_03_2026_Registre_Maintenance_v1[Technologie],"non trouvé")</f>
        <v>4G</v>
      </c>
      <c r="J85" t="str">
        <f>_xlfn.XLOOKUP(_26_03_2026_Log_Reseau_v15[[#This Row],[Cell_ID]],_26_03_2026_Registre_Maintenance_v1[ID_Antenne],_26_03_2026_Registre_Maintenance_v1[Equipementier],"pas trouvé")</f>
        <v>ZTE</v>
      </c>
      <c r="K85" t="str">
        <f>_xlfn.XLOOKUP(_26_03_2026_Log_Reseau_v15[[#This Row],[province RDC]],_26_03_2026_Client_Churn_v1[Province_Client],_26_03_2026_Client_Churn_v1[ID_Client],"non trouvé")</f>
        <v>CLI-00894</v>
      </c>
      <c r="L85">
        <f>_xlfn.XLOOKUP(_26_03_2026_Log_Reseau_v15[[#This Row],[province RDC]],_26_03_2026_Client_Churn_v1[Province_Client],_26_03_2026_Client_Churn_v1[Anciennete_Mois],"non trouvé")</f>
        <v>63</v>
      </c>
      <c r="M85" t="str">
        <f>_xlfn.XLOOKUP(_26_03_2026_Log_Reseau_v15[[#This Row],[province RDC]],_26_03_2026_Client_Churn_v1[Province_Client],_26_03_2026_Client_Churn_v1[Type_Forfait],"non trouvé")</f>
        <v>Pro Monde</v>
      </c>
      <c r="N85">
        <f>_xlfn.XLOOKUP(_26_03_2026_Log_Reseau_v15[[#This Row],[province RDC]],_26_03_2026_Client_Churn_v1[Province_Client],_26_03_2026_Client_Churn_v1[Duree_Cumulee_Panne_Min],"non trouvé")</f>
        <v>205</v>
      </c>
      <c r="O85">
        <f>_xlfn.XLOOKUP(_26_03_2026_Log_Reseau_v15[[#This Row],[province RDC]],_26_03_2026_Client_Churn_v1[Province_Client],_26_03_2026_Client_Churn_v1[Facture_Mensuelle],"non trouvé")</f>
        <v>89.19</v>
      </c>
      <c r="P85">
        <f>_xlfn.XLOOKUP(_26_03_2026_Log_Reseau_v15[[#This Row],[province RDC]],_26_03_2026_Client_Churn_v1[Province_Client],_26_03_2026_Client_Churn_v1[Plaintes_Service_Client],"non trouvé")</f>
        <v>0</v>
      </c>
    </row>
    <row r="86" spans="1:16" x14ac:dyDescent="0.25">
      <c r="A86" s="1">
        <v>45202</v>
      </c>
      <c r="B86" s="2">
        <v>4.791666666666667E-2</v>
      </c>
      <c r="C86" t="s">
        <v>864</v>
      </c>
      <c r="D86">
        <v>115</v>
      </c>
      <c r="E86" t="s">
        <v>808</v>
      </c>
      <c r="F86" t="str">
        <f>_xlfn.XLOOKUP(_26_03_2026_Log_Reseau_v15[[#This Row],[Cell_ID]],_26_03_2026_Registre_Maintenance_v1[ID_Antenne],_26_03_2026_Registre_Maintenance_v1[zone],"pas trouvé")</f>
        <v>Tshuapa</v>
      </c>
      <c r="G86">
        <f>_xlfn.XLOOKUP(_26_03_2026_Log_Reseau_v15[[#This Row],[Cell_ID]],_26_03_2026_Registre_Maintenance_v1[ID_Antenne],_26_03_2026_Registre_Maintenance_v1[Latitude],"non trouvé")</f>
        <v>-10.577049000000001</v>
      </c>
      <c r="H86">
        <f>_xlfn.XLOOKUP(_26_03_2026_Log_Reseau_v15[[#This Row],[Cell_ID]],_26_03_2026_Registre_Maintenance_v1[ID_Antenne],_26_03_2026_Registre_Maintenance_v1[Longitude],"pas trouvé")</f>
        <v>23.721854</v>
      </c>
      <c r="I86" t="str">
        <f>_xlfn.XLOOKUP(_26_03_2026_Log_Reseau_v15[[#This Row],[Cell_ID]],_26_03_2026_Registre_Maintenance_v1[ID_Antenne],_26_03_2026_Registre_Maintenance_v1[Technologie],"non trouvé")</f>
        <v>4G</v>
      </c>
      <c r="J86" t="str">
        <f>_xlfn.XLOOKUP(_26_03_2026_Log_Reseau_v15[[#This Row],[Cell_ID]],_26_03_2026_Registre_Maintenance_v1[ID_Antenne],_26_03_2026_Registre_Maintenance_v1[Equipementier],"pas trouvé")</f>
        <v>ZTE</v>
      </c>
      <c r="K86" t="str">
        <f>_xlfn.XLOOKUP(_26_03_2026_Log_Reseau_v15[[#This Row],[province RDC]],_26_03_2026_Client_Churn_v1[Province_Client],_26_03_2026_Client_Churn_v1[ID_Client],"non trouvé")</f>
        <v>CLI-00894</v>
      </c>
      <c r="L86">
        <f>_xlfn.XLOOKUP(_26_03_2026_Log_Reseau_v15[[#This Row],[province RDC]],_26_03_2026_Client_Churn_v1[Province_Client],_26_03_2026_Client_Churn_v1[Anciennete_Mois],"non trouvé")</f>
        <v>63</v>
      </c>
      <c r="M86" t="str">
        <f>_xlfn.XLOOKUP(_26_03_2026_Log_Reseau_v15[[#This Row],[province RDC]],_26_03_2026_Client_Churn_v1[Province_Client],_26_03_2026_Client_Churn_v1[Type_Forfait],"non trouvé")</f>
        <v>Pro Monde</v>
      </c>
      <c r="N86">
        <f>_xlfn.XLOOKUP(_26_03_2026_Log_Reseau_v15[[#This Row],[province RDC]],_26_03_2026_Client_Churn_v1[Province_Client],_26_03_2026_Client_Churn_v1[Duree_Cumulee_Panne_Min],"non trouvé")</f>
        <v>205</v>
      </c>
      <c r="O86">
        <f>_xlfn.XLOOKUP(_26_03_2026_Log_Reseau_v15[[#This Row],[province RDC]],_26_03_2026_Client_Churn_v1[Province_Client],_26_03_2026_Client_Churn_v1[Facture_Mensuelle],"non trouvé")</f>
        <v>89.19</v>
      </c>
      <c r="P86">
        <f>_xlfn.XLOOKUP(_26_03_2026_Log_Reseau_v15[[#This Row],[province RDC]],_26_03_2026_Client_Churn_v1[Province_Client],_26_03_2026_Client_Churn_v1[Plaintes_Service_Client],"non trouvé")</f>
        <v>0</v>
      </c>
    </row>
    <row r="87" spans="1:16" x14ac:dyDescent="0.25">
      <c r="A87" s="1">
        <v>45219</v>
      </c>
      <c r="B87" s="2">
        <v>0.65625</v>
      </c>
      <c r="C87" t="s">
        <v>864</v>
      </c>
      <c r="D87">
        <v>118</v>
      </c>
      <c r="E87" t="s">
        <v>808</v>
      </c>
      <c r="F87" t="str">
        <f>_xlfn.XLOOKUP(_26_03_2026_Log_Reseau_v15[[#This Row],[Cell_ID]],_26_03_2026_Registre_Maintenance_v1[ID_Antenne],_26_03_2026_Registre_Maintenance_v1[zone],"pas trouvé")</f>
        <v>Tshuapa</v>
      </c>
      <c r="G87">
        <f>_xlfn.XLOOKUP(_26_03_2026_Log_Reseau_v15[[#This Row],[Cell_ID]],_26_03_2026_Registre_Maintenance_v1[ID_Antenne],_26_03_2026_Registre_Maintenance_v1[Latitude],"non trouvé")</f>
        <v>-10.577049000000001</v>
      </c>
      <c r="H87">
        <f>_xlfn.XLOOKUP(_26_03_2026_Log_Reseau_v15[[#This Row],[Cell_ID]],_26_03_2026_Registre_Maintenance_v1[ID_Antenne],_26_03_2026_Registre_Maintenance_v1[Longitude],"pas trouvé")</f>
        <v>23.721854</v>
      </c>
      <c r="I87" t="str">
        <f>_xlfn.XLOOKUP(_26_03_2026_Log_Reseau_v15[[#This Row],[Cell_ID]],_26_03_2026_Registre_Maintenance_v1[ID_Antenne],_26_03_2026_Registre_Maintenance_v1[Technologie],"non trouvé")</f>
        <v>4G</v>
      </c>
      <c r="J87" t="str">
        <f>_xlfn.XLOOKUP(_26_03_2026_Log_Reseau_v15[[#This Row],[Cell_ID]],_26_03_2026_Registre_Maintenance_v1[ID_Antenne],_26_03_2026_Registre_Maintenance_v1[Equipementier],"pas trouvé")</f>
        <v>ZTE</v>
      </c>
      <c r="K87" t="str">
        <f>_xlfn.XLOOKUP(_26_03_2026_Log_Reseau_v15[[#This Row],[province RDC]],_26_03_2026_Client_Churn_v1[Province_Client],_26_03_2026_Client_Churn_v1[ID_Client],"non trouvé")</f>
        <v>CLI-00894</v>
      </c>
      <c r="L87">
        <f>_xlfn.XLOOKUP(_26_03_2026_Log_Reseau_v15[[#This Row],[province RDC]],_26_03_2026_Client_Churn_v1[Province_Client],_26_03_2026_Client_Churn_v1[Anciennete_Mois],"non trouvé")</f>
        <v>63</v>
      </c>
      <c r="M87" t="str">
        <f>_xlfn.XLOOKUP(_26_03_2026_Log_Reseau_v15[[#This Row],[province RDC]],_26_03_2026_Client_Churn_v1[Province_Client],_26_03_2026_Client_Churn_v1[Type_Forfait],"non trouvé")</f>
        <v>Pro Monde</v>
      </c>
      <c r="N87">
        <f>_xlfn.XLOOKUP(_26_03_2026_Log_Reseau_v15[[#This Row],[province RDC]],_26_03_2026_Client_Churn_v1[Province_Client],_26_03_2026_Client_Churn_v1[Duree_Cumulee_Panne_Min],"non trouvé")</f>
        <v>205</v>
      </c>
      <c r="O87">
        <f>_xlfn.XLOOKUP(_26_03_2026_Log_Reseau_v15[[#This Row],[province RDC]],_26_03_2026_Client_Churn_v1[Province_Client],_26_03_2026_Client_Churn_v1[Facture_Mensuelle],"non trouvé")</f>
        <v>89.19</v>
      </c>
      <c r="P87">
        <f>_xlfn.XLOOKUP(_26_03_2026_Log_Reseau_v15[[#This Row],[province RDC]],_26_03_2026_Client_Churn_v1[Province_Client],_26_03_2026_Client_Churn_v1[Plaintes_Service_Client],"non trouvé")</f>
        <v>0</v>
      </c>
    </row>
    <row r="88" spans="1:16" hidden="1" x14ac:dyDescent="0.25">
      <c r="A88" s="1">
        <v>45213</v>
      </c>
      <c r="B88" s="2">
        <v>0.3347222222222222</v>
      </c>
      <c r="C88" t="s">
        <v>865</v>
      </c>
      <c r="D88">
        <v>62</v>
      </c>
      <c r="E88" t="s">
        <v>807</v>
      </c>
      <c r="F88" t="str">
        <f>_xlfn.XLOOKUP(_26_03_2026_Log_Reseau_v15[[#This Row],[Cell_ID]],_26_03_2026_Registre_Maintenance_v1[ID_Antenne],_26_03_2026_Registre_Maintenance_v1[zone],"pas trouvé")</f>
        <v>pas trouvé</v>
      </c>
      <c r="G88" t="str">
        <f>_xlfn.XLOOKUP(_26_03_2026_Log_Reseau_v15[[#This Row],[Cell_ID]],_26_03_2026_Registre_Maintenance_v1[ID_Antenne],_26_03_2026_Registre_Maintenance_v1[Latitude],"non trouvé")</f>
        <v>non trouvé</v>
      </c>
      <c r="H88" t="str">
        <f>_xlfn.XLOOKUP(_26_03_2026_Log_Reseau_v15[[#This Row],[Cell_ID]],_26_03_2026_Registre_Maintenance_v1[ID_Antenne],_26_03_2026_Registre_Maintenance_v1[Longitude],"pas trouvé")</f>
        <v>pas trouvé</v>
      </c>
      <c r="I88" t="str">
        <f>_xlfn.XLOOKUP(_26_03_2026_Log_Reseau_v15[[#This Row],[Cell_ID]],_26_03_2026_Registre_Maintenance_v1[ID_Antenne],_26_03_2026_Registre_Maintenance_v1[Technologie],"non trouvé")</f>
        <v>non trouvé</v>
      </c>
      <c r="J88" t="str">
        <f>_xlfn.XLOOKUP(_26_03_2026_Log_Reseau_v15[[#This Row],[Cell_ID]],_26_03_2026_Registre_Maintenance_v1[ID_Antenne],_26_03_2026_Registre_Maintenance_v1[Equipementier],"pas trouvé")</f>
        <v>pas trouvé</v>
      </c>
      <c r="K88" t="str">
        <f>_xlfn.XLOOKUP(_26_03_2026_Log_Reseau_v15[[#This Row],[province RDC]],_26_03_2026_Client_Churn_v1[Province_Client],_26_03_2026_Client_Churn_v1[ID_Client],"non trouvé")</f>
        <v>non trouvé</v>
      </c>
      <c r="L88" t="str">
        <f>_xlfn.XLOOKUP(_26_03_2026_Log_Reseau_v15[[#This Row],[province RDC]],_26_03_2026_Client_Churn_v1[Province_Client],_26_03_2026_Client_Churn_v1[Anciennete_Mois],"non trouvé")</f>
        <v>non trouvé</v>
      </c>
      <c r="M88" t="str">
        <f>_xlfn.XLOOKUP(_26_03_2026_Log_Reseau_v15[[#This Row],[province RDC]],_26_03_2026_Client_Churn_v1[Province_Client],_26_03_2026_Client_Churn_v1[Type_Forfait],"non trouvé")</f>
        <v>non trouvé</v>
      </c>
      <c r="N88" t="str">
        <f>_xlfn.XLOOKUP(_26_03_2026_Log_Reseau_v15[[#This Row],[province RDC]],_26_03_2026_Client_Churn_v1[Province_Client],_26_03_2026_Client_Churn_v1[Duree_Cumulee_Panne_Min],"non trouvé")</f>
        <v>non trouvé</v>
      </c>
      <c r="O88" t="str">
        <f>_xlfn.XLOOKUP(_26_03_2026_Log_Reseau_v15[[#This Row],[province RDC]],_26_03_2026_Client_Churn_v1[Province_Client],_26_03_2026_Client_Churn_v1[Facture_Mensuelle],"non trouvé")</f>
        <v>non trouvé</v>
      </c>
      <c r="P88" t="str">
        <f>_xlfn.XLOOKUP(_26_03_2026_Log_Reseau_v15[[#This Row],[province RDC]],_26_03_2026_Client_Churn_v1[Province_Client],_26_03_2026_Client_Churn_v1[Plaintes_Service_Client],"non trouvé")</f>
        <v>non trouvé</v>
      </c>
    </row>
    <row r="89" spans="1:16" hidden="1" x14ac:dyDescent="0.25">
      <c r="A89" s="1">
        <v>45226</v>
      </c>
      <c r="B89" s="2">
        <v>0.65694444444444444</v>
      </c>
      <c r="C89" t="s">
        <v>865</v>
      </c>
      <c r="D89">
        <v>7</v>
      </c>
      <c r="E89" t="s">
        <v>807</v>
      </c>
      <c r="F89" t="str">
        <f>_xlfn.XLOOKUP(_26_03_2026_Log_Reseau_v15[[#This Row],[Cell_ID]],_26_03_2026_Registre_Maintenance_v1[ID_Antenne],_26_03_2026_Registre_Maintenance_v1[zone],"pas trouvé")</f>
        <v>pas trouvé</v>
      </c>
      <c r="G89" t="str">
        <f>_xlfn.XLOOKUP(_26_03_2026_Log_Reseau_v15[[#This Row],[Cell_ID]],_26_03_2026_Registre_Maintenance_v1[ID_Antenne],_26_03_2026_Registre_Maintenance_v1[Latitude],"non trouvé")</f>
        <v>non trouvé</v>
      </c>
      <c r="H89" t="str">
        <f>_xlfn.XLOOKUP(_26_03_2026_Log_Reseau_v15[[#This Row],[Cell_ID]],_26_03_2026_Registre_Maintenance_v1[ID_Antenne],_26_03_2026_Registre_Maintenance_v1[Longitude],"pas trouvé")</f>
        <v>pas trouvé</v>
      </c>
      <c r="I89" t="str">
        <f>_xlfn.XLOOKUP(_26_03_2026_Log_Reseau_v15[[#This Row],[Cell_ID]],_26_03_2026_Registre_Maintenance_v1[ID_Antenne],_26_03_2026_Registre_Maintenance_v1[Technologie],"non trouvé")</f>
        <v>non trouvé</v>
      </c>
      <c r="J89" t="str">
        <f>_xlfn.XLOOKUP(_26_03_2026_Log_Reseau_v15[[#This Row],[Cell_ID]],_26_03_2026_Registre_Maintenance_v1[ID_Antenne],_26_03_2026_Registre_Maintenance_v1[Equipementier],"pas trouvé")</f>
        <v>pas trouvé</v>
      </c>
      <c r="K89" t="str">
        <f>_xlfn.XLOOKUP(_26_03_2026_Log_Reseau_v15[[#This Row],[province RDC]],_26_03_2026_Client_Churn_v1[Province_Client],_26_03_2026_Client_Churn_v1[ID_Client],"non trouvé")</f>
        <v>non trouvé</v>
      </c>
      <c r="L89" t="str">
        <f>_xlfn.XLOOKUP(_26_03_2026_Log_Reseau_v15[[#This Row],[province RDC]],_26_03_2026_Client_Churn_v1[Province_Client],_26_03_2026_Client_Churn_v1[Anciennete_Mois],"non trouvé")</f>
        <v>non trouvé</v>
      </c>
      <c r="M89" t="str">
        <f>_xlfn.XLOOKUP(_26_03_2026_Log_Reseau_v15[[#This Row],[province RDC]],_26_03_2026_Client_Churn_v1[Province_Client],_26_03_2026_Client_Churn_v1[Type_Forfait],"non trouvé")</f>
        <v>non trouvé</v>
      </c>
      <c r="N89" t="str">
        <f>_xlfn.XLOOKUP(_26_03_2026_Log_Reseau_v15[[#This Row],[province RDC]],_26_03_2026_Client_Churn_v1[Province_Client],_26_03_2026_Client_Churn_v1[Duree_Cumulee_Panne_Min],"non trouvé")</f>
        <v>non trouvé</v>
      </c>
      <c r="O89" t="str">
        <f>_xlfn.XLOOKUP(_26_03_2026_Log_Reseau_v15[[#This Row],[province RDC]],_26_03_2026_Client_Churn_v1[Province_Client],_26_03_2026_Client_Churn_v1[Facture_Mensuelle],"non trouvé")</f>
        <v>non trouvé</v>
      </c>
      <c r="P89" t="str">
        <f>_xlfn.XLOOKUP(_26_03_2026_Log_Reseau_v15[[#This Row],[province RDC]],_26_03_2026_Client_Churn_v1[Province_Client],_26_03_2026_Client_Churn_v1[Plaintes_Service_Client],"non trouvé")</f>
        <v>non trouvé</v>
      </c>
    </row>
    <row r="90" spans="1:16" x14ac:dyDescent="0.25">
      <c r="A90" s="1">
        <v>45225</v>
      </c>
      <c r="B90" s="2">
        <v>0.14722222222222223</v>
      </c>
      <c r="C90" t="s">
        <v>866</v>
      </c>
      <c r="D90">
        <v>44</v>
      </c>
      <c r="E90" t="s">
        <v>807</v>
      </c>
      <c r="F90" t="str">
        <f>_xlfn.XLOOKUP(_26_03_2026_Log_Reseau_v15[[#This Row],[Cell_ID]],_26_03_2026_Registre_Maintenance_v1[ID_Antenne],_26_03_2026_Registre_Maintenance_v1[zone],"pas trouvé")</f>
        <v>Sud-Kivu</v>
      </c>
      <c r="G90">
        <f>_xlfn.XLOOKUP(_26_03_2026_Log_Reseau_v15[[#This Row],[Cell_ID]],_26_03_2026_Registre_Maintenance_v1[ID_Antenne],_26_03_2026_Registre_Maintenance_v1[Latitude],"non trouvé")</f>
        <v>4.2904629999999999</v>
      </c>
      <c r="H90">
        <f>_xlfn.XLOOKUP(_26_03_2026_Log_Reseau_v15[[#This Row],[Cell_ID]],_26_03_2026_Registre_Maintenance_v1[ID_Antenne],_26_03_2026_Registre_Maintenance_v1[Longitude],"pas trouvé")</f>
        <v>26.354195000000001</v>
      </c>
      <c r="I90" t="str">
        <f>_xlfn.XLOOKUP(_26_03_2026_Log_Reseau_v15[[#This Row],[Cell_ID]],_26_03_2026_Registre_Maintenance_v1[ID_Antenne],_26_03_2026_Registre_Maintenance_v1[Technologie],"non trouvé")</f>
        <v>3G</v>
      </c>
      <c r="J90" t="str">
        <f>_xlfn.XLOOKUP(_26_03_2026_Log_Reseau_v15[[#This Row],[Cell_ID]],_26_03_2026_Registre_Maintenance_v1[ID_Antenne],_26_03_2026_Registre_Maintenance_v1[Equipementier],"pas trouvé")</f>
        <v>Ericsson</v>
      </c>
      <c r="K90" t="str">
        <f>_xlfn.XLOOKUP(_26_03_2026_Log_Reseau_v15[[#This Row],[province RDC]],_26_03_2026_Client_Churn_v1[Province_Client],_26_03_2026_Client_Churn_v1[ID_Client],"non trouvé")</f>
        <v>CLI-01855</v>
      </c>
      <c r="L90">
        <f>_xlfn.XLOOKUP(_26_03_2026_Log_Reseau_v15[[#This Row],[province RDC]],_26_03_2026_Client_Churn_v1[Province_Client],_26_03_2026_Client_Churn_v1[Anciennete_Mois],"non trouvé")</f>
        <v>101</v>
      </c>
      <c r="M90" t="str">
        <f>_xlfn.XLOOKUP(_26_03_2026_Log_Reseau_v15[[#This Row],[province RDC]],_26_03_2026_Client_Churn_v1[Province_Client],_26_03_2026_Client_Churn_v1[Type_Forfait],"non trouvé")</f>
        <v>Illimité 50Go</v>
      </c>
      <c r="N90">
        <f>_xlfn.XLOOKUP(_26_03_2026_Log_Reseau_v15[[#This Row],[province RDC]],_26_03_2026_Client_Churn_v1[Province_Client],_26_03_2026_Client_Churn_v1[Duree_Cumulee_Panne_Min],"non trouvé")</f>
        <v>358</v>
      </c>
      <c r="O90">
        <f>_xlfn.XLOOKUP(_26_03_2026_Log_Reseau_v15[[#This Row],[province RDC]],_26_03_2026_Client_Churn_v1[Province_Client],_26_03_2026_Client_Churn_v1[Facture_Mensuelle],"non trouvé")</f>
        <v>29.24</v>
      </c>
      <c r="P90">
        <f>_xlfn.XLOOKUP(_26_03_2026_Log_Reseau_v15[[#This Row],[province RDC]],_26_03_2026_Client_Churn_v1[Province_Client],_26_03_2026_Client_Churn_v1[Plaintes_Service_Client],"non trouvé")</f>
        <v>3</v>
      </c>
    </row>
    <row r="91" spans="1:16" hidden="1" x14ac:dyDescent="0.25">
      <c r="A91" s="1">
        <v>45203</v>
      </c>
      <c r="B91" s="2">
        <v>0.32430555555555557</v>
      </c>
      <c r="C91" t="s">
        <v>867</v>
      </c>
      <c r="D91">
        <v>34</v>
      </c>
      <c r="E91" t="s">
        <v>807</v>
      </c>
      <c r="F91" t="str">
        <f>_xlfn.XLOOKUP(_26_03_2026_Log_Reseau_v15[[#This Row],[Cell_ID]],_26_03_2026_Registre_Maintenance_v1[ID_Antenne],_26_03_2026_Registre_Maintenance_v1[zone],"pas trouvé")</f>
        <v>pas trouvé</v>
      </c>
      <c r="G91" t="str">
        <f>_xlfn.XLOOKUP(_26_03_2026_Log_Reseau_v15[[#This Row],[Cell_ID]],_26_03_2026_Registre_Maintenance_v1[ID_Antenne],_26_03_2026_Registre_Maintenance_v1[Latitude],"non trouvé")</f>
        <v>non trouvé</v>
      </c>
      <c r="H91" t="str">
        <f>_xlfn.XLOOKUP(_26_03_2026_Log_Reseau_v15[[#This Row],[Cell_ID]],_26_03_2026_Registre_Maintenance_v1[ID_Antenne],_26_03_2026_Registre_Maintenance_v1[Longitude],"pas trouvé")</f>
        <v>pas trouvé</v>
      </c>
      <c r="I91" t="str">
        <f>_xlfn.XLOOKUP(_26_03_2026_Log_Reseau_v15[[#This Row],[Cell_ID]],_26_03_2026_Registre_Maintenance_v1[ID_Antenne],_26_03_2026_Registre_Maintenance_v1[Technologie],"non trouvé")</f>
        <v>non trouvé</v>
      </c>
      <c r="J91" t="str">
        <f>_xlfn.XLOOKUP(_26_03_2026_Log_Reseau_v15[[#This Row],[Cell_ID]],_26_03_2026_Registre_Maintenance_v1[ID_Antenne],_26_03_2026_Registre_Maintenance_v1[Equipementier],"pas trouvé")</f>
        <v>pas trouvé</v>
      </c>
      <c r="K91" t="str">
        <f>_xlfn.XLOOKUP(_26_03_2026_Log_Reseau_v15[[#This Row],[province RDC]],_26_03_2026_Client_Churn_v1[Province_Client],_26_03_2026_Client_Churn_v1[ID_Client],"non trouvé")</f>
        <v>non trouvé</v>
      </c>
      <c r="L91" t="str">
        <f>_xlfn.XLOOKUP(_26_03_2026_Log_Reseau_v15[[#This Row],[province RDC]],_26_03_2026_Client_Churn_v1[Province_Client],_26_03_2026_Client_Churn_v1[Anciennete_Mois],"non trouvé")</f>
        <v>non trouvé</v>
      </c>
      <c r="M91" t="str">
        <f>_xlfn.XLOOKUP(_26_03_2026_Log_Reseau_v15[[#This Row],[province RDC]],_26_03_2026_Client_Churn_v1[Province_Client],_26_03_2026_Client_Churn_v1[Type_Forfait],"non trouvé")</f>
        <v>non trouvé</v>
      </c>
      <c r="N91" t="str">
        <f>_xlfn.XLOOKUP(_26_03_2026_Log_Reseau_v15[[#This Row],[province RDC]],_26_03_2026_Client_Churn_v1[Province_Client],_26_03_2026_Client_Churn_v1[Duree_Cumulee_Panne_Min],"non trouvé")</f>
        <v>non trouvé</v>
      </c>
      <c r="O91" t="str">
        <f>_xlfn.XLOOKUP(_26_03_2026_Log_Reseau_v15[[#This Row],[province RDC]],_26_03_2026_Client_Churn_v1[Province_Client],_26_03_2026_Client_Churn_v1[Facture_Mensuelle],"non trouvé")</f>
        <v>non trouvé</v>
      </c>
      <c r="P91" t="str">
        <f>_xlfn.XLOOKUP(_26_03_2026_Log_Reseau_v15[[#This Row],[province RDC]],_26_03_2026_Client_Churn_v1[Province_Client],_26_03_2026_Client_Churn_v1[Plaintes_Service_Client],"non trouvé")</f>
        <v>non trouvé</v>
      </c>
    </row>
    <row r="92" spans="1:16" x14ac:dyDescent="0.25">
      <c r="A92" s="1">
        <v>45210</v>
      </c>
      <c r="B92" s="2">
        <v>0.45</v>
      </c>
      <c r="C92" t="s">
        <v>868</v>
      </c>
      <c r="D92">
        <v>66</v>
      </c>
      <c r="E92" t="s">
        <v>807</v>
      </c>
      <c r="F92" t="str">
        <f>_xlfn.XLOOKUP(_26_03_2026_Log_Reseau_v15[[#This Row],[Cell_ID]],_26_03_2026_Registre_Maintenance_v1[ID_Antenne],_26_03_2026_Registre_Maintenance_v1[zone],"pas trouvé")</f>
        <v>Lualaba</v>
      </c>
      <c r="G92">
        <f>_xlfn.XLOOKUP(_26_03_2026_Log_Reseau_v15[[#This Row],[Cell_ID]],_26_03_2026_Registre_Maintenance_v1[ID_Antenne],_26_03_2026_Registre_Maintenance_v1[Latitude],"non trouvé")</f>
        <v>-9.7803979999999999</v>
      </c>
      <c r="H92">
        <f>_xlfn.XLOOKUP(_26_03_2026_Log_Reseau_v15[[#This Row],[Cell_ID]],_26_03_2026_Registre_Maintenance_v1[ID_Antenne],_26_03_2026_Registre_Maintenance_v1[Longitude],"pas trouvé")</f>
        <v>17.686595000000001</v>
      </c>
      <c r="I92" t="str">
        <f>_xlfn.XLOOKUP(_26_03_2026_Log_Reseau_v15[[#This Row],[Cell_ID]],_26_03_2026_Registre_Maintenance_v1[ID_Antenne],_26_03_2026_Registre_Maintenance_v1[Technologie],"non trouvé")</f>
        <v>4G</v>
      </c>
      <c r="J92" t="str">
        <f>_xlfn.XLOOKUP(_26_03_2026_Log_Reseau_v15[[#This Row],[Cell_ID]],_26_03_2026_Registre_Maintenance_v1[ID_Antenne],_26_03_2026_Registre_Maintenance_v1[Equipementier],"pas trouvé")</f>
        <v>Ericsson</v>
      </c>
      <c r="K92" t="str">
        <f>_xlfn.XLOOKUP(_26_03_2026_Log_Reseau_v15[[#This Row],[province RDC]],_26_03_2026_Client_Churn_v1[Province_Client],_26_03_2026_Client_Churn_v1[ID_Client],"non trouvé")</f>
        <v>CLI-01005</v>
      </c>
      <c r="L92">
        <f>_xlfn.XLOOKUP(_26_03_2026_Log_Reseau_v15[[#This Row],[province RDC]],_26_03_2026_Client_Churn_v1[Province_Client],_26_03_2026_Client_Churn_v1[Anciennete_Mois],"non trouvé")</f>
        <v>80</v>
      </c>
      <c r="M92" t="str">
        <f>_xlfn.XLOOKUP(_26_03_2026_Log_Reseau_v15[[#This Row],[province RDC]],_26_03_2026_Client_Churn_v1[Province_Client],_26_03_2026_Client_Churn_v1[Type_Forfait],"non trouvé")</f>
        <v>Illimité 50Go</v>
      </c>
      <c r="N92">
        <f>_xlfn.XLOOKUP(_26_03_2026_Log_Reseau_v15[[#This Row],[province RDC]],_26_03_2026_Client_Churn_v1[Province_Client],_26_03_2026_Client_Churn_v1[Duree_Cumulee_Panne_Min],"non trouvé")</f>
        <v>155</v>
      </c>
      <c r="O92">
        <f>_xlfn.XLOOKUP(_26_03_2026_Log_Reseau_v15[[#This Row],[province RDC]],_26_03_2026_Client_Churn_v1[Province_Client],_26_03_2026_Client_Churn_v1[Facture_Mensuelle],"non trouvé")</f>
        <v>28.96</v>
      </c>
      <c r="P92">
        <f>_xlfn.XLOOKUP(_26_03_2026_Log_Reseau_v15[[#This Row],[province RDC]],_26_03_2026_Client_Churn_v1[Province_Client],_26_03_2026_Client_Churn_v1[Plaintes_Service_Client],"non trouvé")</f>
        <v>2</v>
      </c>
    </row>
    <row r="93" spans="1:16" x14ac:dyDescent="0.25">
      <c r="A93" s="1">
        <v>45220</v>
      </c>
      <c r="B93" s="2">
        <v>0.75416666666666665</v>
      </c>
      <c r="C93" t="s">
        <v>868</v>
      </c>
      <c r="D93">
        <v>85</v>
      </c>
      <c r="E93" t="s">
        <v>807</v>
      </c>
      <c r="F93" t="str">
        <f>_xlfn.XLOOKUP(_26_03_2026_Log_Reseau_v15[[#This Row],[Cell_ID]],_26_03_2026_Registre_Maintenance_v1[ID_Antenne],_26_03_2026_Registre_Maintenance_v1[zone],"pas trouvé")</f>
        <v>Lualaba</v>
      </c>
      <c r="G93">
        <f>_xlfn.XLOOKUP(_26_03_2026_Log_Reseau_v15[[#This Row],[Cell_ID]],_26_03_2026_Registre_Maintenance_v1[ID_Antenne],_26_03_2026_Registre_Maintenance_v1[Latitude],"non trouvé")</f>
        <v>-9.7803979999999999</v>
      </c>
      <c r="H93">
        <f>_xlfn.XLOOKUP(_26_03_2026_Log_Reseau_v15[[#This Row],[Cell_ID]],_26_03_2026_Registre_Maintenance_v1[ID_Antenne],_26_03_2026_Registre_Maintenance_v1[Longitude],"pas trouvé")</f>
        <v>17.686595000000001</v>
      </c>
      <c r="I93" t="str">
        <f>_xlfn.XLOOKUP(_26_03_2026_Log_Reseau_v15[[#This Row],[Cell_ID]],_26_03_2026_Registre_Maintenance_v1[ID_Antenne],_26_03_2026_Registre_Maintenance_v1[Technologie],"non trouvé")</f>
        <v>4G</v>
      </c>
      <c r="J93" t="str">
        <f>_xlfn.XLOOKUP(_26_03_2026_Log_Reseau_v15[[#This Row],[Cell_ID]],_26_03_2026_Registre_Maintenance_v1[ID_Antenne],_26_03_2026_Registre_Maintenance_v1[Equipementier],"pas trouvé")</f>
        <v>Ericsson</v>
      </c>
      <c r="K93" t="str">
        <f>_xlfn.XLOOKUP(_26_03_2026_Log_Reseau_v15[[#This Row],[province RDC]],_26_03_2026_Client_Churn_v1[Province_Client],_26_03_2026_Client_Churn_v1[ID_Client],"non trouvé")</f>
        <v>CLI-01005</v>
      </c>
      <c r="L93">
        <f>_xlfn.XLOOKUP(_26_03_2026_Log_Reseau_v15[[#This Row],[province RDC]],_26_03_2026_Client_Churn_v1[Province_Client],_26_03_2026_Client_Churn_v1[Anciennete_Mois],"non trouvé")</f>
        <v>80</v>
      </c>
      <c r="M93" t="str">
        <f>_xlfn.XLOOKUP(_26_03_2026_Log_Reseau_v15[[#This Row],[province RDC]],_26_03_2026_Client_Churn_v1[Province_Client],_26_03_2026_Client_Churn_v1[Type_Forfait],"non trouvé")</f>
        <v>Illimité 50Go</v>
      </c>
      <c r="N93">
        <f>_xlfn.XLOOKUP(_26_03_2026_Log_Reseau_v15[[#This Row],[province RDC]],_26_03_2026_Client_Churn_v1[Province_Client],_26_03_2026_Client_Churn_v1[Duree_Cumulee_Panne_Min],"non trouvé")</f>
        <v>155</v>
      </c>
      <c r="O93">
        <f>_xlfn.XLOOKUP(_26_03_2026_Log_Reseau_v15[[#This Row],[province RDC]],_26_03_2026_Client_Churn_v1[Province_Client],_26_03_2026_Client_Churn_v1[Facture_Mensuelle],"non trouvé")</f>
        <v>28.96</v>
      </c>
      <c r="P93">
        <f>_xlfn.XLOOKUP(_26_03_2026_Log_Reseau_v15[[#This Row],[province RDC]],_26_03_2026_Client_Churn_v1[Province_Client],_26_03_2026_Client_Churn_v1[Plaintes_Service_Client],"non trouvé")</f>
        <v>2</v>
      </c>
    </row>
    <row r="94" spans="1:16" x14ac:dyDescent="0.25">
      <c r="A94" s="1">
        <v>45212</v>
      </c>
      <c r="B94" s="2">
        <v>0.56805555555555554</v>
      </c>
      <c r="C94" t="s">
        <v>869</v>
      </c>
      <c r="D94">
        <v>42</v>
      </c>
      <c r="E94" t="s">
        <v>808</v>
      </c>
      <c r="F94" t="str">
        <f>_xlfn.XLOOKUP(_26_03_2026_Log_Reseau_v15[[#This Row],[Cell_ID]],_26_03_2026_Registre_Maintenance_v1[ID_Antenne],_26_03_2026_Registre_Maintenance_v1[zone],"pas trouvé")</f>
        <v>Kasai-Central</v>
      </c>
      <c r="G94">
        <f>_xlfn.XLOOKUP(_26_03_2026_Log_Reseau_v15[[#This Row],[Cell_ID]],_26_03_2026_Registre_Maintenance_v1[ID_Antenne],_26_03_2026_Registre_Maintenance_v1[Latitude],"non trouvé")</f>
        <v>-7.3379339999999997</v>
      </c>
      <c r="H94">
        <f>_xlfn.XLOOKUP(_26_03_2026_Log_Reseau_v15[[#This Row],[Cell_ID]],_26_03_2026_Registre_Maintenance_v1[ID_Antenne],_26_03_2026_Registre_Maintenance_v1[Longitude],"pas trouvé")</f>
        <v>28.404001999999998</v>
      </c>
      <c r="I94" t="str">
        <f>_xlfn.XLOOKUP(_26_03_2026_Log_Reseau_v15[[#This Row],[Cell_ID]],_26_03_2026_Registre_Maintenance_v1[ID_Antenne],_26_03_2026_Registre_Maintenance_v1[Technologie],"non trouvé")</f>
        <v>3G</v>
      </c>
      <c r="J94" t="str">
        <f>_xlfn.XLOOKUP(_26_03_2026_Log_Reseau_v15[[#This Row],[Cell_ID]],_26_03_2026_Registre_Maintenance_v1[ID_Antenne],_26_03_2026_Registre_Maintenance_v1[Equipementier],"pas trouvé")</f>
        <v>Nokia</v>
      </c>
      <c r="K94" t="str">
        <f>_xlfn.XLOOKUP(_26_03_2026_Log_Reseau_v15[[#This Row],[province RDC]],_26_03_2026_Client_Churn_v1[Province_Client],_26_03_2026_Client_Churn_v1[ID_Client],"non trouvé")</f>
        <v>CLI-00060</v>
      </c>
      <c r="L94">
        <f>_xlfn.XLOOKUP(_26_03_2026_Log_Reseau_v15[[#This Row],[province RDC]],_26_03_2026_Client_Churn_v1[Province_Client],_26_03_2026_Client_Churn_v1[Anciennete_Mois],"non trouvé")</f>
        <v>72</v>
      </c>
      <c r="M94" t="str">
        <f>_xlfn.XLOOKUP(_26_03_2026_Log_Reseau_v15[[#This Row],[province RDC]],_26_03_2026_Client_Churn_v1[Province_Client],_26_03_2026_Client_Churn_v1[Type_Forfait],"non trouvé")</f>
        <v>Pro Monde</v>
      </c>
      <c r="N94">
        <f>_xlfn.XLOOKUP(_26_03_2026_Log_Reseau_v15[[#This Row],[province RDC]],_26_03_2026_Client_Churn_v1[Province_Client],_26_03_2026_Client_Churn_v1[Duree_Cumulee_Panne_Min],"non trouvé")</f>
        <v>160</v>
      </c>
      <c r="O94">
        <f>_xlfn.XLOOKUP(_26_03_2026_Log_Reseau_v15[[#This Row],[province RDC]],_26_03_2026_Client_Churn_v1[Province_Client],_26_03_2026_Client_Churn_v1[Facture_Mensuelle],"non trouvé")</f>
        <v>90.13</v>
      </c>
      <c r="P94">
        <f>_xlfn.XLOOKUP(_26_03_2026_Log_Reseau_v15[[#This Row],[province RDC]],_26_03_2026_Client_Churn_v1[Province_Client],_26_03_2026_Client_Churn_v1[Plaintes_Service_Client],"non trouvé")</f>
        <v>2</v>
      </c>
    </row>
    <row r="95" spans="1:16" x14ac:dyDescent="0.25">
      <c r="A95" s="1">
        <v>45205</v>
      </c>
      <c r="B95" s="2">
        <v>0.19166666666666668</v>
      </c>
      <c r="C95" t="s">
        <v>870</v>
      </c>
      <c r="D95">
        <v>34</v>
      </c>
      <c r="E95" t="s">
        <v>807</v>
      </c>
      <c r="F95" t="str">
        <f>_xlfn.XLOOKUP(_26_03_2026_Log_Reseau_v15[[#This Row],[Cell_ID]],_26_03_2026_Registre_Maintenance_v1[ID_Antenne],_26_03_2026_Registre_Maintenance_v1[zone],"pas trouvé")</f>
        <v>Sankuru</v>
      </c>
      <c r="G95">
        <f>_xlfn.XLOOKUP(_26_03_2026_Log_Reseau_v15[[#This Row],[Cell_ID]],_26_03_2026_Registre_Maintenance_v1[ID_Antenne],_26_03_2026_Registre_Maintenance_v1[Latitude],"non trouvé")</f>
        <v>-4.7886769999999999</v>
      </c>
      <c r="H95">
        <f>_xlfn.XLOOKUP(_26_03_2026_Log_Reseau_v15[[#This Row],[Cell_ID]],_26_03_2026_Registre_Maintenance_v1[ID_Antenne],_26_03_2026_Registre_Maintenance_v1[Longitude],"pas trouvé")</f>
        <v>23.600221999999999</v>
      </c>
      <c r="I95" t="str">
        <f>_xlfn.XLOOKUP(_26_03_2026_Log_Reseau_v15[[#This Row],[Cell_ID]],_26_03_2026_Registre_Maintenance_v1[ID_Antenne],_26_03_2026_Registre_Maintenance_v1[Technologie],"non trouvé")</f>
        <v>3G</v>
      </c>
      <c r="J95" t="str">
        <f>_xlfn.XLOOKUP(_26_03_2026_Log_Reseau_v15[[#This Row],[Cell_ID]],_26_03_2026_Registre_Maintenance_v1[ID_Antenne],_26_03_2026_Registre_Maintenance_v1[Equipementier],"pas trouvé")</f>
        <v>ZTE</v>
      </c>
      <c r="K95" t="str">
        <f>_xlfn.XLOOKUP(_26_03_2026_Log_Reseau_v15[[#This Row],[province RDC]],_26_03_2026_Client_Churn_v1[Province_Client],_26_03_2026_Client_Churn_v1[ID_Client],"non trouvé")</f>
        <v>CLI-00530</v>
      </c>
      <c r="L95">
        <f>_xlfn.XLOOKUP(_26_03_2026_Log_Reseau_v15[[#This Row],[province RDC]],_26_03_2026_Client_Churn_v1[Province_Client],_26_03_2026_Client_Churn_v1[Anciennete_Mois],"non trouvé")</f>
        <v>35</v>
      </c>
      <c r="M95" t="str">
        <f>_xlfn.XLOOKUP(_26_03_2026_Log_Reseau_v15[[#This Row],[province RDC]],_26_03_2026_Client_Churn_v1[Province_Client],_26_03_2026_Client_Churn_v1[Type_Forfait],"non trouvé")</f>
        <v>Pro Monde</v>
      </c>
      <c r="N95">
        <f>_xlfn.XLOOKUP(_26_03_2026_Log_Reseau_v15[[#This Row],[province RDC]],_26_03_2026_Client_Churn_v1[Province_Client],_26_03_2026_Client_Churn_v1[Duree_Cumulee_Panne_Min],"non trouvé")</f>
        <v>465</v>
      </c>
      <c r="O95">
        <f>_xlfn.XLOOKUP(_26_03_2026_Log_Reseau_v15[[#This Row],[province RDC]],_26_03_2026_Client_Churn_v1[Province_Client],_26_03_2026_Client_Churn_v1[Facture_Mensuelle],"non trouvé")</f>
        <v>58.59</v>
      </c>
      <c r="P95">
        <f>_xlfn.XLOOKUP(_26_03_2026_Log_Reseau_v15[[#This Row],[province RDC]],_26_03_2026_Client_Churn_v1[Province_Client],_26_03_2026_Client_Churn_v1[Plaintes_Service_Client],"non trouvé")</f>
        <v>5</v>
      </c>
    </row>
    <row r="96" spans="1:16" hidden="1" x14ac:dyDescent="0.25">
      <c r="A96" s="1">
        <v>45219</v>
      </c>
      <c r="B96" s="2">
        <v>0.6333333333333333</v>
      </c>
      <c r="C96" t="s">
        <v>871</v>
      </c>
      <c r="D96">
        <v>18</v>
      </c>
      <c r="E96" t="s">
        <v>812</v>
      </c>
      <c r="F96" t="str">
        <f>_xlfn.XLOOKUP(_26_03_2026_Log_Reseau_v15[[#This Row],[Cell_ID]],_26_03_2026_Registre_Maintenance_v1[ID_Antenne],_26_03_2026_Registre_Maintenance_v1[zone],"pas trouvé")</f>
        <v>pas trouvé</v>
      </c>
      <c r="G96" t="str">
        <f>_xlfn.XLOOKUP(_26_03_2026_Log_Reseau_v15[[#This Row],[Cell_ID]],_26_03_2026_Registre_Maintenance_v1[ID_Antenne],_26_03_2026_Registre_Maintenance_v1[Latitude],"non trouvé")</f>
        <v>non trouvé</v>
      </c>
      <c r="H96" t="str">
        <f>_xlfn.XLOOKUP(_26_03_2026_Log_Reseau_v15[[#This Row],[Cell_ID]],_26_03_2026_Registre_Maintenance_v1[ID_Antenne],_26_03_2026_Registre_Maintenance_v1[Longitude],"pas trouvé")</f>
        <v>pas trouvé</v>
      </c>
      <c r="I96" t="str">
        <f>_xlfn.XLOOKUP(_26_03_2026_Log_Reseau_v15[[#This Row],[Cell_ID]],_26_03_2026_Registre_Maintenance_v1[ID_Antenne],_26_03_2026_Registre_Maintenance_v1[Technologie],"non trouvé")</f>
        <v>non trouvé</v>
      </c>
      <c r="J96" t="str">
        <f>_xlfn.XLOOKUP(_26_03_2026_Log_Reseau_v15[[#This Row],[Cell_ID]],_26_03_2026_Registre_Maintenance_v1[ID_Antenne],_26_03_2026_Registre_Maintenance_v1[Equipementier],"pas trouvé")</f>
        <v>pas trouvé</v>
      </c>
      <c r="K96" t="str">
        <f>_xlfn.XLOOKUP(_26_03_2026_Log_Reseau_v15[[#This Row],[province RDC]],_26_03_2026_Client_Churn_v1[Province_Client],_26_03_2026_Client_Churn_v1[ID_Client],"non trouvé")</f>
        <v>non trouvé</v>
      </c>
      <c r="L96" t="str">
        <f>_xlfn.XLOOKUP(_26_03_2026_Log_Reseau_v15[[#This Row],[province RDC]],_26_03_2026_Client_Churn_v1[Province_Client],_26_03_2026_Client_Churn_v1[Anciennete_Mois],"non trouvé")</f>
        <v>non trouvé</v>
      </c>
      <c r="M96" t="str">
        <f>_xlfn.XLOOKUP(_26_03_2026_Log_Reseau_v15[[#This Row],[province RDC]],_26_03_2026_Client_Churn_v1[Province_Client],_26_03_2026_Client_Churn_v1[Type_Forfait],"non trouvé")</f>
        <v>non trouvé</v>
      </c>
      <c r="N96" t="str">
        <f>_xlfn.XLOOKUP(_26_03_2026_Log_Reseau_v15[[#This Row],[province RDC]],_26_03_2026_Client_Churn_v1[Province_Client],_26_03_2026_Client_Churn_v1[Duree_Cumulee_Panne_Min],"non trouvé")</f>
        <v>non trouvé</v>
      </c>
      <c r="O96" t="str">
        <f>_xlfn.XLOOKUP(_26_03_2026_Log_Reseau_v15[[#This Row],[province RDC]],_26_03_2026_Client_Churn_v1[Province_Client],_26_03_2026_Client_Churn_v1[Facture_Mensuelle],"non trouvé")</f>
        <v>non trouvé</v>
      </c>
      <c r="P96" t="str">
        <f>_xlfn.XLOOKUP(_26_03_2026_Log_Reseau_v15[[#This Row],[province RDC]],_26_03_2026_Client_Churn_v1[Province_Client],_26_03_2026_Client_Churn_v1[Plaintes_Service_Client],"non trouvé")</f>
        <v>non trouvé</v>
      </c>
    </row>
    <row r="97" spans="1:16" x14ac:dyDescent="0.25">
      <c r="A97" s="1">
        <v>45222</v>
      </c>
      <c r="B97" s="2">
        <v>0.66319444444444442</v>
      </c>
      <c r="C97" t="s">
        <v>872</v>
      </c>
      <c r="D97">
        <v>6</v>
      </c>
      <c r="E97" t="s">
        <v>812</v>
      </c>
      <c r="F97" t="str">
        <f>_xlfn.XLOOKUP(_26_03_2026_Log_Reseau_v15[[#This Row],[Cell_ID]],_26_03_2026_Registre_Maintenance_v1[ID_Antenne],_26_03_2026_Registre_Maintenance_v1[zone],"pas trouvé")</f>
        <v>Kongo-Central</v>
      </c>
      <c r="G97">
        <f>_xlfn.XLOOKUP(_26_03_2026_Log_Reseau_v15[[#This Row],[Cell_ID]],_26_03_2026_Registre_Maintenance_v1[ID_Antenne],_26_03_2026_Registre_Maintenance_v1[Latitude],"non trouvé")</f>
        <v>2.975352</v>
      </c>
      <c r="H97">
        <f>_xlfn.XLOOKUP(_26_03_2026_Log_Reseau_v15[[#This Row],[Cell_ID]],_26_03_2026_Registre_Maintenance_v1[ID_Antenne],_26_03_2026_Registre_Maintenance_v1[Longitude],"pas trouvé")</f>
        <v>22.535886000000001</v>
      </c>
      <c r="I97" t="str">
        <f>_xlfn.XLOOKUP(_26_03_2026_Log_Reseau_v15[[#This Row],[Cell_ID]],_26_03_2026_Registre_Maintenance_v1[ID_Antenne],_26_03_2026_Registre_Maintenance_v1[Technologie],"non trouvé")</f>
        <v>4G</v>
      </c>
      <c r="J97" t="str">
        <f>_xlfn.XLOOKUP(_26_03_2026_Log_Reseau_v15[[#This Row],[Cell_ID]],_26_03_2026_Registre_Maintenance_v1[ID_Antenne],_26_03_2026_Registre_Maintenance_v1[Equipementier],"pas trouvé")</f>
        <v>Huawei</v>
      </c>
      <c r="K97" t="str">
        <f>_xlfn.XLOOKUP(_26_03_2026_Log_Reseau_v15[[#This Row],[province RDC]],_26_03_2026_Client_Churn_v1[Province_Client],_26_03_2026_Client_Churn_v1[ID_Client],"non trouvé")</f>
        <v>CLI-01233</v>
      </c>
      <c r="L97">
        <f>_xlfn.XLOOKUP(_26_03_2026_Log_Reseau_v15[[#This Row],[province RDC]],_26_03_2026_Client_Churn_v1[Province_Client],_26_03_2026_Client_Churn_v1[Anciennete_Mois],"non trouvé")</f>
        <v>101</v>
      </c>
      <c r="M97" t="str">
        <f>_xlfn.XLOOKUP(_26_03_2026_Log_Reseau_v15[[#This Row],[province RDC]],_26_03_2026_Client_Churn_v1[Province_Client],_26_03_2026_Client_Churn_v1[Type_Forfait],"non trouvé")</f>
        <v>Pro Monde</v>
      </c>
      <c r="N97">
        <f>_xlfn.XLOOKUP(_26_03_2026_Log_Reseau_v15[[#This Row],[province RDC]],_26_03_2026_Client_Churn_v1[Province_Client],_26_03_2026_Client_Churn_v1[Duree_Cumulee_Panne_Min],"non trouvé")</f>
        <v>333</v>
      </c>
      <c r="O97">
        <f>_xlfn.XLOOKUP(_26_03_2026_Log_Reseau_v15[[#This Row],[province RDC]],_26_03_2026_Client_Churn_v1[Province_Client],_26_03_2026_Client_Churn_v1[Facture_Mensuelle],"non trouvé")</f>
        <v>74.319999999999993</v>
      </c>
      <c r="P97">
        <f>_xlfn.XLOOKUP(_26_03_2026_Log_Reseau_v15[[#This Row],[province RDC]],_26_03_2026_Client_Churn_v1[Province_Client],_26_03_2026_Client_Churn_v1[Plaintes_Service_Client],"non trouvé")</f>
        <v>1</v>
      </c>
    </row>
    <row r="98" spans="1:16" x14ac:dyDescent="0.25">
      <c r="A98" s="1">
        <v>45204</v>
      </c>
      <c r="B98" s="2">
        <v>0.23749999999999999</v>
      </c>
      <c r="C98" t="s">
        <v>872</v>
      </c>
      <c r="D98">
        <v>21</v>
      </c>
      <c r="E98" t="s">
        <v>808</v>
      </c>
      <c r="F98" t="str">
        <f>_xlfn.XLOOKUP(_26_03_2026_Log_Reseau_v15[[#This Row],[Cell_ID]],_26_03_2026_Registre_Maintenance_v1[ID_Antenne],_26_03_2026_Registre_Maintenance_v1[zone],"pas trouvé")</f>
        <v>Kongo-Central</v>
      </c>
      <c r="G98">
        <f>_xlfn.XLOOKUP(_26_03_2026_Log_Reseau_v15[[#This Row],[Cell_ID]],_26_03_2026_Registre_Maintenance_v1[ID_Antenne],_26_03_2026_Registre_Maintenance_v1[Latitude],"non trouvé")</f>
        <v>2.975352</v>
      </c>
      <c r="H98">
        <f>_xlfn.XLOOKUP(_26_03_2026_Log_Reseau_v15[[#This Row],[Cell_ID]],_26_03_2026_Registre_Maintenance_v1[ID_Antenne],_26_03_2026_Registre_Maintenance_v1[Longitude],"pas trouvé")</f>
        <v>22.535886000000001</v>
      </c>
      <c r="I98" t="str">
        <f>_xlfn.XLOOKUP(_26_03_2026_Log_Reseau_v15[[#This Row],[Cell_ID]],_26_03_2026_Registre_Maintenance_v1[ID_Antenne],_26_03_2026_Registre_Maintenance_v1[Technologie],"non trouvé")</f>
        <v>4G</v>
      </c>
      <c r="J98" t="str">
        <f>_xlfn.XLOOKUP(_26_03_2026_Log_Reseau_v15[[#This Row],[Cell_ID]],_26_03_2026_Registre_Maintenance_v1[ID_Antenne],_26_03_2026_Registre_Maintenance_v1[Equipementier],"pas trouvé")</f>
        <v>Huawei</v>
      </c>
      <c r="K98" t="str">
        <f>_xlfn.XLOOKUP(_26_03_2026_Log_Reseau_v15[[#This Row],[province RDC]],_26_03_2026_Client_Churn_v1[Province_Client],_26_03_2026_Client_Churn_v1[ID_Client],"non trouvé")</f>
        <v>CLI-01233</v>
      </c>
      <c r="L98">
        <f>_xlfn.XLOOKUP(_26_03_2026_Log_Reseau_v15[[#This Row],[province RDC]],_26_03_2026_Client_Churn_v1[Province_Client],_26_03_2026_Client_Churn_v1[Anciennete_Mois],"non trouvé")</f>
        <v>101</v>
      </c>
      <c r="M98" t="str">
        <f>_xlfn.XLOOKUP(_26_03_2026_Log_Reseau_v15[[#This Row],[province RDC]],_26_03_2026_Client_Churn_v1[Province_Client],_26_03_2026_Client_Churn_v1[Type_Forfait],"non trouvé")</f>
        <v>Pro Monde</v>
      </c>
      <c r="N98">
        <f>_xlfn.XLOOKUP(_26_03_2026_Log_Reseau_v15[[#This Row],[province RDC]],_26_03_2026_Client_Churn_v1[Province_Client],_26_03_2026_Client_Churn_v1[Duree_Cumulee_Panne_Min],"non trouvé")</f>
        <v>333</v>
      </c>
      <c r="O98">
        <f>_xlfn.XLOOKUP(_26_03_2026_Log_Reseau_v15[[#This Row],[province RDC]],_26_03_2026_Client_Churn_v1[Province_Client],_26_03_2026_Client_Churn_v1[Facture_Mensuelle],"non trouvé")</f>
        <v>74.319999999999993</v>
      </c>
      <c r="P98">
        <f>_xlfn.XLOOKUP(_26_03_2026_Log_Reseau_v15[[#This Row],[province RDC]],_26_03_2026_Client_Churn_v1[Province_Client],_26_03_2026_Client_Churn_v1[Plaintes_Service_Client],"non trouvé")</f>
        <v>1</v>
      </c>
    </row>
    <row r="99" spans="1:16" x14ac:dyDescent="0.25">
      <c r="A99" s="1">
        <v>45204</v>
      </c>
      <c r="B99" s="2">
        <v>0.55000000000000004</v>
      </c>
      <c r="C99" t="s">
        <v>872</v>
      </c>
      <c r="D99">
        <v>113</v>
      </c>
      <c r="E99" t="s">
        <v>808</v>
      </c>
      <c r="F99" t="str">
        <f>_xlfn.XLOOKUP(_26_03_2026_Log_Reseau_v15[[#This Row],[Cell_ID]],_26_03_2026_Registre_Maintenance_v1[ID_Antenne],_26_03_2026_Registre_Maintenance_v1[zone],"pas trouvé")</f>
        <v>Kongo-Central</v>
      </c>
      <c r="G99">
        <f>_xlfn.XLOOKUP(_26_03_2026_Log_Reseau_v15[[#This Row],[Cell_ID]],_26_03_2026_Registre_Maintenance_v1[ID_Antenne],_26_03_2026_Registre_Maintenance_v1[Latitude],"non trouvé")</f>
        <v>2.975352</v>
      </c>
      <c r="H99">
        <f>_xlfn.XLOOKUP(_26_03_2026_Log_Reseau_v15[[#This Row],[Cell_ID]],_26_03_2026_Registre_Maintenance_v1[ID_Antenne],_26_03_2026_Registre_Maintenance_v1[Longitude],"pas trouvé")</f>
        <v>22.535886000000001</v>
      </c>
      <c r="I99" t="str">
        <f>_xlfn.XLOOKUP(_26_03_2026_Log_Reseau_v15[[#This Row],[Cell_ID]],_26_03_2026_Registre_Maintenance_v1[ID_Antenne],_26_03_2026_Registre_Maintenance_v1[Technologie],"non trouvé")</f>
        <v>4G</v>
      </c>
      <c r="J99" t="str">
        <f>_xlfn.XLOOKUP(_26_03_2026_Log_Reseau_v15[[#This Row],[Cell_ID]],_26_03_2026_Registre_Maintenance_v1[ID_Antenne],_26_03_2026_Registre_Maintenance_v1[Equipementier],"pas trouvé")</f>
        <v>Huawei</v>
      </c>
      <c r="K99" t="str">
        <f>_xlfn.XLOOKUP(_26_03_2026_Log_Reseau_v15[[#This Row],[province RDC]],_26_03_2026_Client_Churn_v1[Province_Client],_26_03_2026_Client_Churn_v1[ID_Client],"non trouvé")</f>
        <v>CLI-01233</v>
      </c>
      <c r="L99">
        <f>_xlfn.XLOOKUP(_26_03_2026_Log_Reseau_v15[[#This Row],[province RDC]],_26_03_2026_Client_Churn_v1[Province_Client],_26_03_2026_Client_Churn_v1[Anciennete_Mois],"non trouvé")</f>
        <v>101</v>
      </c>
      <c r="M99" t="str">
        <f>_xlfn.XLOOKUP(_26_03_2026_Log_Reseau_v15[[#This Row],[province RDC]],_26_03_2026_Client_Churn_v1[Province_Client],_26_03_2026_Client_Churn_v1[Type_Forfait],"non trouvé")</f>
        <v>Pro Monde</v>
      </c>
      <c r="N99">
        <f>_xlfn.XLOOKUP(_26_03_2026_Log_Reseau_v15[[#This Row],[province RDC]],_26_03_2026_Client_Churn_v1[Province_Client],_26_03_2026_Client_Churn_v1[Duree_Cumulee_Panne_Min],"non trouvé")</f>
        <v>333</v>
      </c>
      <c r="O99">
        <f>_xlfn.XLOOKUP(_26_03_2026_Log_Reseau_v15[[#This Row],[province RDC]],_26_03_2026_Client_Churn_v1[Province_Client],_26_03_2026_Client_Churn_v1[Facture_Mensuelle],"non trouvé")</f>
        <v>74.319999999999993</v>
      </c>
      <c r="P99">
        <f>_xlfn.XLOOKUP(_26_03_2026_Log_Reseau_v15[[#This Row],[province RDC]],_26_03_2026_Client_Churn_v1[Province_Client],_26_03_2026_Client_Churn_v1[Plaintes_Service_Client],"non trouvé")</f>
        <v>1</v>
      </c>
    </row>
    <row r="100" spans="1:16" x14ac:dyDescent="0.25">
      <c r="A100" s="1">
        <v>45226</v>
      </c>
      <c r="B100" s="2">
        <v>0.53055555555555556</v>
      </c>
      <c r="C100" t="s">
        <v>873</v>
      </c>
      <c r="D100">
        <v>101</v>
      </c>
      <c r="E100" t="s">
        <v>812</v>
      </c>
      <c r="F100" t="str">
        <f>_xlfn.XLOOKUP(_26_03_2026_Log_Reseau_v15[[#This Row],[Cell_ID]],_26_03_2026_Registre_Maintenance_v1[ID_Antenne],_26_03_2026_Registre_Maintenance_v1[zone],"pas trouvé")</f>
        <v>Maniema</v>
      </c>
      <c r="G100">
        <f>_xlfn.XLOOKUP(_26_03_2026_Log_Reseau_v15[[#This Row],[Cell_ID]],_26_03_2026_Registre_Maintenance_v1[ID_Antenne],_26_03_2026_Registre_Maintenance_v1[Latitude],"non trouvé")</f>
        <v>-10.650321</v>
      </c>
      <c r="H100">
        <f>_xlfn.XLOOKUP(_26_03_2026_Log_Reseau_v15[[#This Row],[Cell_ID]],_26_03_2026_Registre_Maintenance_v1[ID_Antenne],_26_03_2026_Registre_Maintenance_v1[Longitude],"pas trouvé")</f>
        <v>15.917044000000001</v>
      </c>
      <c r="I100" t="str">
        <f>_xlfn.XLOOKUP(_26_03_2026_Log_Reseau_v15[[#This Row],[Cell_ID]],_26_03_2026_Registre_Maintenance_v1[ID_Antenne],_26_03_2026_Registre_Maintenance_v1[Technologie],"non trouvé")</f>
        <v>4G</v>
      </c>
      <c r="J100" t="str">
        <f>_xlfn.XLOOKUP(_26_03_2026_Log_Reseau_v15[[#This Row],[Cell_ID]],_26_03_2026_Registre_Maintenance_v1[ID_Antenne],_26_03_2026_Registre_Maintenance_v1[Equipementier],"pas trouvé")</f>
        <v>Nokia</v>
      </c>
      <c r="K100" t="str">
        <f>_xlfn.XLOOKUP(_26_03_2026_Log_Reseau_v15[[#This Row],[province RDC]],_26_03_2026_Client_Churn_v1[Province_Client],_26_03_2026_Client_Churn_v1[ID_Client],"non trouvé")</f>
        <v>CLI-00185</v>
      </c>
      <c r="L100">
        <f>_xlfn.XLOOKUP(_26_03_2026_Log_Reseau_v15[[#This Row],[province RDC]],_26_03_2026_Client_Churn_v1[Province_Client],_26_03_2026_Client_Churn_v1[Anciennete_Mois],"non trouvé")</f>
        <v>81</v>
      </c>
      <c r="M100" t="str">
        <f>_xlfn.XLOOKUP(_26_03_2026_Log_Reseau_v15[[#This Row],[province RDC]],_26_03_2026_Client_Churn_v1[Province_Client],_26_03_2026_Client_Churn_v1[Type_Forfait],"non trouvé")</f>
        <v>Pro Monde</v>
      </c>
      <c r="N100">
        <f>_xlfn.XLOOKUP(_26_03_2026_Log_Reseau_v15[[#This Row],[province RDC]],_26_03_2026_Client_Churn_v1[Province_Client],_26_03_2026_Client_Churn_v1[Duree_Cumulee_Panne_Min],"non trouvé")</f>
        <v>154</v>
      </c>
      <c r="O100">
        <f>_xlfn.XLOOKUP(_26_03_2026_Log_Reseau_v15[[#This Row],[province RDC]],_26_03_2026_Client_Churn_v1[Province_Client],_26_03_2026_Client_Churn_v1[Facture_Mensuelle],"non trouvé")</f>
        <v>19.47</v>
      </c>
      <c r="P100">
        <f>_xlfn.XLOOKUP(_26_03_2026_Log_Reseau_v15[[#This Row],[province RDC]],_26_03_2026_Client_Churn_v1[Province_Client],_26_03_2026_Client_Churn_v1[Plaintes_Service_Client],"non trouvé")</f>
        <v>3</v>
      </c>
    </row>
    <row r="101" spans="1:16" hidden="1" x14ac:dyDescent="0.25">
      <c r="A101" s="1">
        <v>45206</v>
      </c>
      <c r="B101" s="2">
        <v>0.27361111111111114</v>
      </c>
      <c r="C101" t="s">
        <v>874</v>
      </c>
      <c r="D101">
        <v>117</v>
      </c>
      <c r="E101" t="s">
        <v>812</v>
      </c>
      <c r="F101" t="str">
        <f>_xlfn.XLOOKUP(_26_03_2026_Log_Reseau_v15[[#This Row],[Cell_ID]],_26_03_2026_Registre_Maintenance_v1[ID_Antenne],_26_03_2026_Registre_Maintenance_v1[zone],"pas trouvé")</f>
        <v>pas trouvé</v>
      </c>
      <c r="G101" t="str">
        <f>_xlfn.XLOOKUP(_26_03_2026_Log_Reseau_v15[[#This Row],[Cell_ID]],_26_03_2026_Registre_Maintenance_v1[ID_Antenne],_26_03_2026_Registre_Maintenance_v1[Latitude],"non trouvé")</f>
        <v>non trouvé</v>
      </c>
      <c r="H101" t="str">
        <f>_xlfn.XLOOKUP(_26_03_2026_Log_Reseau_v15[[#This Row],[Cell_ID]],_26_03_2026_Registre_Maintenance_v1[ID_Antenne],_26_03_2026_Registre_Maintenance_v1[Longitude],"pas trouvé")</f>
        <v>pas trouvé</v>
      </c>
      <c r="I101" t="str">
        <f>_xlfn.XLOOKUP(_26_03_2026_Log_Reseau_v15[[#This Row],[Cell_ID]],_26_03_2026_Registre_Maintenance_v1[ID_Antenne],_26_03_2026_Registre_Maintenance_v1[Technologie],"non trouvé")</f>
        <v>non trouvé</v>
      </c>
      <c r="J101" t="str">
        <f>_xlfn.XLOOKUP(_26_03_2026_Log_Reseau_v15[[#This Row],[Cell_ID]],_26_03_2026_Registre_Maintenance_v1[ID_Antenne],_26_03_2026_Registre_Maintenance_v1[Equipementier],"pas trouvé")</f>
        <v>pas trouvé</v>
      </c>
      <c r="K101" t="str">
        <f>_xlfn.XLOOKUP(_26_03_2026_Log_Reseau_v15[[#This Row],[province RDC]],_26_03_2026_Client_Churn_v1[Province_Client],_26_03_2026_Client_Churn_v1[ID_Client],"non trouvé")</f>
        <v>non trouvé</v>
      </c>
      <c r="L101" t="str">
        <f>_xlfn.XLOOKUP(_26_03_2026_Log_Reseau_v15[[#This Row],[province RDC]],_26_03_2026_Client_Churn_v1[Province_Client],_26_03_2026_Client_Churn_v1[Anciennete_Mois],"non trouvé")</f>
        <v>non trouvé</v>
      </c>
      <c r="M101" t="str">
        <f>_xlfn.XLOOKUP(_26_03_2026_Log_Reseau_v15[[#This Row],[province RDC]],_26_03_2026_Client_Churn_v1[Province_Client],_26_03_2026_Client_Churn_v1[Type_Forfait],"non trouvé")</f>
        <v>non trouvé</v>
      </c>
      <c r="N101" t="str">
        <f>_xlfn.XLOOKUP(_26_03_2026_Log_Reseau_v15[[#This Row],[province RDC]],_26_03_2026_Client_Churn_v1[Province_Client],_26_03_2026_Client_Churn_v1[Duree_Cumulee_Panne_Min],"non trouvé")</f>
        <v>non trouvé</v>
      </c>
      <c r="O101" t="str">
        <f>_xlfn.XLOOKUP(_26_03_2026_Log_Reseau_v15[[#This Row],[province RDC]],_26_03_2026_Client_Churn_v1[Province_Client],_26_03_2026_Client_Churn_v1[Facture_Mensuelle],"non trouvé")</f>
        <v>non trouvé</v>
      </c>
      <c r="P101" t="str">
        <f>_xlfn.XLOOKUP(_26_03_2026_Log_Reseau_v15[[#This Row],[province RDC]],_26_03_2026_Client_Churn_v1[Province_Client],_26_03_2026_Client_Churn_v1[Plaintes_Service_Client],"non trouvé")</f>
        <v>non trouvé</v>
      </c>
    </row>
    <row r="102" spans="1:16" x14ac:dyDescent="0.25">
      <c r="A102" s="1">
        <v>45226</v>
      </c>
      <c r="B102" s="2">
        <v>0.96944444444444444</v>
      </c>
      <c r="C102" t="s">
        <v>875</v>
      </c>
      <c r="D102">
        <v>68</v>
      </c>
      <c r="E102" t="s">
        <v>807</v>
      </c>
      <c r="F102" t="str">
        <f>_xlfn.XLOOKUP(_26_03_2026_Log_Reseau_v15[[#This Row],[Cell_ID]],_26_03_2026_Registre_Maintenance_v1[ID_Antenne],_26_03_2026_Registre_Maintenance_v1[zone],"pas trouvé")</f>
        <v>Tshopo</v>
      </c>
      <c r="G102">
        <f>_xlfn.XLOOKUP(_26_03_2026_Log_Reseau_v15[[#This Row],[Cell_ID]],_26_03_2026_Registre_Maintenance_v1[ID_Antenne],_26_03_2026_Registre_Maintenance_v1[Latitude],"non trouvé")</f>
        <v>3.0603760000000002</v>
      </c>
      <c r="H102">
        <f>_xlfn.XLOOKUP(_26_03_2026_Log_Reseau_v15[[#This Row],[Cell_ID]],_26_03_2026_Registre_Maintenance_v1[ID_Antenne],_26_03_2026_Registre_Maintenance_v1[Longitude],"pas trouvé")</f>
        <v>19.708034000000001</v>
      </c>
      <c r="I102" t="str">
        <f>_xlfn.XLOOKUP(_26_03_2026_Log_Reseau_v15[[#This Row],[Cell_ID]],_26_03_2026_Registre_Maintenance_v1[ID_Antenne],_26_03_2026_Registre_Maintenance_v1[Technologie],"non trouvé")</f>
        <v>3G</v>
      </c>
      <c r="J102" t="str">
        <f>_xlfn.XLOOKUP(_26_03_2026_Log_Reseau_v15[[#This Row],[Cell_ID]],_26_03_2026_Registre_Maintenance_v1[ID_Antenne],_26_03_2026_Registre_Maintenance_v1[Equipementier],"pas trouvé")</f>
        <v>ZTE</v>
      </c>
      <c r="K102" t="str">
        <f>_xlfn.XLOOKUP(_26_03_2026_Log_Reseau_v15[[#This Row],[province RDC]],_26_03_2026_Client_Churn_v1[Province_Client],_26_03_2026_Client_Churn_v1[ID_Client],"non trouvé")</f>
        <v>CLI-00745</v>
      </c>
      <c r="L102">
        <f>_xlfn.XLOOKUP(_26_03_2026_Log_Reseau_v15[[#This Row],[province RDC]],_26_03_2026_Client_Churn_v1[Province_Client],_26_03_2026_Client_Churn_v1[Anciennete_Mois],"non trouvé")</f>
        <v>6</v>
      </c>
      <c r="M102" t="str">
        <f>_xlfn.XLOOKUP(_26_03_2026_Log_Reseau_v15[[#This Row],[province RDC]],_26_03_2026_Client_Churn_v1[Province_Client],_26_03_2026_Client_Churn_v1[Type_Forfait],"non trouvé")</f>
        <v>Premium 5G 150Go</v>
      </c>
      <c r="N102">
        <f>_xlfn.XLOOKUP(_26_03_2026_Log_Reseau_v15[[#This Row],[province RDC]],_26_03_2026_Client_Churn_v1[Province_Client],_26_03_2026_Client_Churn_v1[Duree_Cumulee_Panne_Min],"non trouvé")</f>
        <v>207</v>
      </c>
      <c r="O102">
        <f>_xlfn.XLOOKUP(_26_03_2026_Log_Reseau_v15[[#This Row],[province RDC]],_26_03_2026_Client_Churn_v1[Province_Client],_26_03_2026_Client_Churn_v1[Facture_Mensuelle],"non trouvé")</f>
        <v>61.55</v>
      </c>
      <c r="P102">
        <f>_xlfn.XLOOKUP(_26_03_2026_Log_Reseau_v15[[#This Row],[province RDC]],_26_03_2026_Client_Churn_v1[Province_Client],_26_03_2026_Client_Churn_v1[Plaintes_Service_Client],"non trouvé")</f>
        <v>0</v>
      </c>
    </row>
    <row r="103" spans="1:16" x14ac:dyDescent="0.25">
      <c r="A103" s="1">
        <v>45203</v>
      </c>
      <c r="B103" s="2">
        <v>0.22152777777777777</v>
      </c>
      <c r="C103" t="s">
        <v>875</v>
      </c>
      <c r="D103">
        <v>101</v>
      </c>
      <c r="E103" t="s">
        <v>807</v>
      </c>
      <c r="F103" t="str">
        <f>_xlfn.XLOOKUP(_26_03_2026_Log_Reseau_v15[[#This Row],[Cell_ID]],_26_03_2026_Registre_Maintenance_v1[ID_Antenne],_26_03_2026_Registre_Maintenance_v1[zone],"pas trouvé")</f>
        <v>Tshopo</v>
      </c>
      <c r="G103">
        <f>_xlfn.XLOOKUP(_26_03_2026_Log_Reseau_v15[[#This Row],[Cell_ID]],_26_03_2026_Registre_Maintenance_v1[ID_Antenne],_26_03_2026_Registre_Maintenance_v1[Latitude],"non trouvé")</f>
        <v>3.0603760000000002</v>
      </c>
      <c r="H103">
        <f>_xlfn.XLOOKUP(_26_03_2026_Log_Reseau_v15[[#This Row],[Cell_ID]],_26_03_2026_Registre_Maintenance_v1[ID_Antenne],_26_03_2026_Registre_Maintenance_v1[Longitude],"pas trouvé")</f>
        <v>19.708034000000001</v>
      </c>
      <c r="I103" t="str">
        <f>_xlfn.XLOOKUP(_26_03_2026_Log_Reseau_v15[[#This Row],[Cell_ID]],_26_03_2026_Registre_Maintenance_v1[ID_Antenne],_26_03_2026_Registre_Maintenance_v1[Technologie],"non trouvé")</f>
        <v>3G</v>
      </c>
      <c r="J103" t="str">
        <f>_xlfn.XLOOKUP(_26_03_2026_Log_Reseau_v15[[#This Row],[Cell_ID]],_26_03_2026_Registre_Maintenance_v1[ID_Antenne],_26_03_2026_Registre_Maintenance_v1[Equipementier],"pas trouvé")</f>
        <v>ZTE</v>
      </c>
      <c r="K103" t="str">
        <f>_xlfn.XLOOKUP(_26_03_2026_Log_Reseau_v15[[#This Row],[province RDC]],_26_03_2026_Client_Churn_v1[Province_Client],_26_03_2026_Client_Churn_v1[ID_Client],"non trouvé")</f>
        <v>CLI-00745</v>
      </c>
      <c r="L103">
        <f>_xlfn.XLOOKUP(_26_03_2026_Log_Reseau_v15[[#This Row],[province RDC]],_26_03_2026_Client_Churn_v1[Province_Client],_26_03_2026_Client_Churn_v1[Anciennete_Mois],"non trouvé")</f>
        <v>6</v>
      </c>
      <c r="M103" t="str">
        <f>_xlfn.XLOOKUP(_26_03_2026_Log_Reseau_v15[[#This Row],[province RDC]],_26_03_2026_Client_Churn_v1[Province_Client],_26_03_2026_Client_Churn_v1[Type_Forfait],"non trouvé")</f>
        <v>Premium 5G 150Go</v>
      </c>
      <c r="N103">
        <f>_xlfn.XLOOKUP(_26_03_2026_Log_Reseau_v15[[#This Row],[province RDC]],_26_03_2026_Client_Churn_v1[Province_Client],_26_03_2026_Client_Churn_v1[Duree_Cumulee_Panne_Min],"non trouvé")</f>
        <v>207</v>
      </c>
      <c r="O103">
        <f>_xlfn.XLOOKUP(_26_03_2026_Log_Reseau_v15[[#This Row],[province RDC]],_26_03_2026_Client_Churn_v1[Province_Client],_26_03_2026_Client_Churn_v1[Facture_Mensuelle],"non trouvé")</f>
        <v>61.55</v>
      </c>
      <c r="P103">
        <f>_xlfn.XLOOKUP(_26_03_2026_Log_Reseau_v15[[#This Row],[province RDC]],_26_03_2026_Client_Churn_v1[Province_Client],_26_03_2026_Client_Churn_v1[Plaintes_Service_Client],"non trouvé")</f>
        <v>0</v>
      </c>
    </row>
    <row r="104" spans="1:16" hidden="1" x14ac:dyDescent="0.25">
      <c r="A104" s="1">
        <v>45227</v>
      </c>
      <c r="B104" s="2">
        <v>1.0416666666666666E-2</v>
      </c>
      <c r="C104" t="s">
        <v>876</v>
      </c>
      <c r="D104">
        <v>49</v>
      </c>
      <c r="E104" t="s">
        <v>812</v>
      </c>
      <c r="F104" t="str">
        <f>_xlfn.XLOOKUP(_26_03_2026_Log_Reseau_v15[[#This Row],[Cell_ID]],_26_03_2026_Registre_Maintenance_v1[ID_Antenne],_26_03_2026_Registre_Maintenance_v1[zone],"pas trouvé")</f>
        <v>pas trouvé</v>
      </c>
      <c r="G104" t="str">
        <f>_xlfn.XLOOKUP(_26_03_2026_Log_Reseau_v15[[#This Row],[Cell_ID]],_26_03_2026_Registre_Maintenance_v1[ID_Antenne],_26_03_2026_Registre_Maintenance_v1[Latitude],"non trouvé")</f>
        <v>non trouvé</v>
      </c>
      <c r="H104" t="str">
        <f>_xlfn.XLOOKUP(_26_03_2026_Log_Reseau_v15[[#This Row],[Cell_ID]],_26_03_2026_Registre_Maintenance_v1[ID_Antenne],_26_03_2026_Registre_Maintenance_v1[Longitude],"pas trouvé")</f>
        <v>pas trouvé</v>
      </c>
      <c r="I104" t="str">
        <f>_xlfn.XLOOKUP(_26_03_2026_Log_Reseau_v15[[#This Row],[Cell_ID]],_26_03_2026_Registre_Maintenance_v1[ID_Antenne],_26_03_2026_Registre_Maintenance_v1[Technologie],"non trouvé")</f>
        <v>non trouvé</v>
      </c>
      <c r="J104" t="str">
        <f>_xlfn.XLOOKUP(_26_03_2026_Log_Reseau_v15[[#This Row],[Cell_ID]],_26_03_2026_Registre_Maintenance_v1[ID_Antenne],_26_03_2026_Registre_Maintenance_v1[Equipementier],"pas trouvé")</f>
        <v>pas trouvé</v>
      </c>
      <c r="K104" t="str">
        <f>_xlfn.XLOOKUP(_26_03_2026_Log_Reseau_v15[[#This Row],[province RDC]],_26_03_2026_Client_Churn_v1[Province_Client],_26_03_2026_Client_Churn_v1[ID_Client],"non trouvé")</f>
        <v>non trouvé</v>
      </c>
      <c r="L104" t="str">
        <f>_xlfn.XLOOKUP(_26_03_2026_Log_Reseau_v15[[#This Row],[province RDC]],_26_03_2026_Client_Churn_v1[Province_Client],_26_03_2026_Client_Churn_v1[Anciennete_Mois],"non trouvé")</f>
        <v>non trouvé</v>
      </c>
      <c r="M104" t="str">
        <f>_xlfn.XLOOKUP(_26_03_2026_Log_Reseau_v15[[#This Row],[province RDC]],_26_03_2026_Client_Churn_v1[Province_Client],_26_03_2026_Client_Churn_v1[Type_Forfait],"non trouvé")</f>
        <v>non trouvé</v>
      </c>
      <c r="N104" t="str">
        <f>_xlfn.XLOOKUP(_26_03_2026_Log_Reseau_v15[[#This Row],[province RDC]],_26_03_2026_Client_Churn_v1[Province_Client],_26_03_2026_Client_Churn_v1[Duree_Cumulee_Panne_Min],"non trouvé")</f>
        <v>non trouvé</v>
      </c>
      <c r="O104" t="str">
        <f>_xlfn.XLOOKUP(_26_03_2026_Log_Reseau_v15[[#This Row],[province RDC]],_26_03_2026_Client_Churn_v1[Province_Client],_26_03_2026_Client_Churn_v1[Facture_Mensuelle],"non trouvé")</f>
        <v>non trouvé</v>
      </c>
      <c r="P104" t="str">
        <f>_xlfn.XLOOKUP(_26_03_2026_Log_Reseau_v15[[#This Row],[province RDC]],_26_03_2026_Client_Churn_v1[Province_Client],_26_03_2026_Client_Churn_v1[Plaintes_Service_Client],"non trouvé")</f>
        <v>non trouvé</v>
      </c>
    </row>
    <row r="105" spans="1:16" x14ac:dyDescent="0.25">
      <c r="A105" s="1">
        <v>45215</v>
      </c>
      <c r="B105" s="2">
        <v>0.28819444444444442</v>
      </c>
      <c r="C105" t="s">
        <v>877</v>
      </c>
      <c r="D105">
        <v>109</v>
      </c>
      <c r="E105" t="s">
        <v>807</v>
      </c>
      <c r="F105" t="str">
        <f>_xlfn.XLOOKUP(_26_03_2026_Log_Reseau_v15[[#This Row],[Cell_ID]],_26_03_2026_Registre_Maintenance_v1[ID_Antenne],_26_03_2026_Registre_Maintenance_v1[zone],"pas trouvé")</f>
        <v>Kongo-Central</v>
      </c>
      <c r="G105">
        <f>_xlfn.XLOOKUP(_26_03_2026_Log_Reseau_v15[[#This Row],[Cell_ID]],_26_03_2026_Registre_Maintenance_v1[ID_Antenne],_26_03_2026_Registre_Maintenance_v1[Latitude],"non trouvé")</f>
        <v>-11.157245</v>
      </c>
      <c r="H105">
        <f>_xlfn.XLOOKUP(_26_03_2026_Log_Reseau_v15[[#This Row],[Cell_ID]],_26_03_2026_Registre_Maintenance_v1[ID_Antenne],_26_03_2026_Registre_Maintenance_v1[Longitude],"pas trouvé")</f>
        <v>21.262627999999999</v>
      </c>
      <c r="I105" t="str">
        <f>_xlfn.XLOOKUP(_26_03_2026_Log_Reseau_v15[[#This Row],[Cell_ID]],_26_03_2026_Registre_Maintenance_v1[ID_Antenne],_26_03_2026_Registre_Maintenance_v1[Technologie],"non trouvé")</f>
        <v>5G</v>
      </c>
      <c r="J105" t="str">
        <f>_xlfn.XLOOKUP(_26_03_2026_Log_Reseau_v15[[#This Row],[Cell_ID]],_26_03_2026_Registre_Maintenance_v1[ID_Antenne],_26_03_2026_Registre_Maintenance_v1[Equipementier],"pas trouvé")</f>
        <v>ZTE</v>
      </c>
      <c r="K105" t="str">
        <f>_xlfn.XLOOKUP(_26_03_2026_Log_Reseau_v15[[#This Row],[province RDC]],_26_03_2026_Client_Churn_v1[Province_Client],_26_03_2026_Client_Churn_v1[ID_Client],"non trouvé")</f>
        <v>CLI-01233</v>
      </c>
      <c r="L105">
        <f>_xlfn.XLOOKUP(_26_03_2026_Log_Reseau_v15[[#This Row],[province RDC]],_26_03_2026_Client_Churn_v1[Province_Client],_26_03_2026_Client_Churn_v1[Anciennete_Mois],"non trouvé")</f>
        <v>101</v>
      </c>
      <c r="M105" t="str">
        <f>_xlfn.XLOOKUP(_26_03_2026_Log_Reseau_v15[[#This Row],[province RDC]],_26_03_2026_Client_Churn_v1[Province_Client],_26_03_2026_Client_Churn_v1[Type_Forfait],"non trouvé")</f>
        <v>Pro Monde</v>
      </c>
      <c r="N105">
        <f>_xlfn.XLOOKUP(_26_03_2026_Log_Reseau_v15[[#This Row],[province RDC]],_26_03_2026_Client_Churn_v1[Province_Client],_26_03_2026_Client_Churn_v1[Duree_Cumulee_Panne_Min],"non trouvé")</f>
        <v>333</v>
      </c>
      <c r="O105">
        <f>_xlfn.XLOOKUP(_26_03_2026_Log_Reseau_v15[[#This Row],[province RDC]],_26_03_2026_Client_Churn_v1[Province_Client],_26_03_2026_Client_Churn_v1[Facture_Mensuelle],"non trouvé")</f>
        <v>74.319999999999993</v>
      </c>
      <c r="P105">
        <f>_xlfn.XLOOKUP(_26_03_2026_Log_Reseau_v15[[#This Row],[province RDC]],_26_03_2026_Client_Churn_v1[Province_Client],_26_03_2026_Client_Churn_v1[Plaintes_Service_Client],"non trouvé")</f>
        <v>1</v>
      </c>
    </row>
    <row r="106" spans="1:16" hidden="1" x14ac:dyDescent="0.25">
      <c r="A106" s="1">
        <v>45222</v>
      </c>
      <c r="B106" s="2">
        <v>0.94444444444444442</v>
      </c>
      <c r="C106" t="s">
        <v>878</v>
      </c>
      <c r="D106">
        <v>87</v>
      </c>
      <c r="E106" t="s">
        <v>808</v>
      </c>
      <c r="F106" t="str">
        <f>_xlfn.XLOOKUP(_26_03_2026_Log_Reseau_v15[[#This Row],[Cell_ID]],_26_03_2026_Registre_Maintenance_v1[ID_Antenne],_26_03_2026_Registre_Maintenance_v1[zone],"pas trouvé")</f>
        <v>pas trouvé</v>
      </c>
      <c r="G106" t="str">
        <f>_xlfn.XLOOKUP(_26_03_2026_Log_Reseau_v15[[#This Row],[Cell_ID]],_26_03_2026_Registre_Maintenance_v1[ID_Antenne],_26_03_2026_Registre_Maintenance_v1[Latitude],"non trouvé")</f>
        <v>non trouvé</v>
      </c>
      <c r="H106" t="str">
        <f>_xlfn.XLOOKUP(_26_03_2026_Log_Reseau_v15[[#This Row],[Cell_ID]],_26_03_2026_Registre_Maintenance_v1[ID_Antenne],_26_03_2026_Registre_Maintenance_v1[Longitude],"pas trouvé")</f>
        <v>pas trouvé</v>
      </c>
      <c r="I106" t="str">
        <f>_xlfn.XLOOKUP(_26_03_2026_Log_Reseau_v15[[#This Row],[Cell_ID]],_26_03_2026_Registre_Maintenance_v1[ID_Antenne],_26_03_2026_Registre_Maintenance_v1[Technologie],"non trouvé")</f>
        <v>non trouvé</v>
      </c>
      <c r="J106" t="str">
        <f>_xlfn.XLOOKUP(_26_03_2026_Log_Reseau_v15[[#This Row],[Cell_ID]],_26_03_2026_Registre_Maintenance_v1[ID_Antenne],_26_03_2026_Registre_Maintenance_v1[Equipementier],"pas trouvé")</f>
        <v>pas trouvé</v>
      </c>
      <c r="K106" t="str">
        <f>_xlfn.XLOOKUP(_26_03_2026_Log_Reseau_v15[[#This Row],[province RDC]],_26_03_2026_Client_Churn_v1[Province_Client],_26_03_2026_Client_Churn_v1[ID_Client],"non trouvé")</f>
        <v>non trouvé</v>
      </c>
      <c r="L106" t="str">
        <f>_xlfn.XLOOKUP(_26_03_2026_Log_Reseau_v15[[#This Row],[province RDC]],_26_03_2026_Client_Churn_v1[Province_Client],_26_03_2026_Client_Churn_v1[Anciennete_Mois],"non trouvé")</f>
        <v>non trouvé</v>
      </c>
      <c r="M106" t="str">
        <f>_xlfn.XLOOKUP(_26_03_2026_Log_Reseau_v15[[#This Row],[province RDC]],_26_03_2026_Client_Churn_v1[Province_Client],_26_03_2026_Client_Churn_v1[Type_Forfait],"non trouvé")</f>
        <v>non trouvé</v>
      </c>
      <c r="N106" t="str">
        <f>_xlfn.XLOOKUP(_26_03_2026_Log_Reseau_v15[[#This Row],[province RDC]],_26_03_2026_Client_Churn_v1[Province_Client],_26_03_2026_Client_Churn_v1[Duree_Cumulee_Panne_Min],"non trouvé")</f>
        <v>non trouvé</v>
      </c>
      <c r="O106" t="str">
        <f>_xlfn.XLOOKUP(_26_03_2026_Log_Reseau_v15[[#This Row],[province RDC]],_26_03_2026_Client_Churn_v1[Province_Client],_26_03_2026_Client_Churn_v1[Facture_Mensuelle],"non trouvé")</f>
        <v>non trouvé</v>
      </c>
      <c r="P106" t="str">
        <f>_xlfn.XLOOKUP(_26_03_2026_Log_Reseau_v15[[#This Row],[province RDC]],_26_03_2026_Client_Churn_v1[Province_Client],_26_03_2026_Client_Churn_v1[Plaintes_Service_Client],"non trouvé")</f>
        <v>non trouvé</v>
      </c>
    </row>
    <row r="107" spans="1:16" hidden="1" x14ac:dyDescent="0.25">
      <c r="A107" s="1">
        <v>45229</v>
      </c>
      <c r="B107" s="2">
        <v>0.80138888888888893</v>
      </c>
      <c r="C107" t="s">
        <v>878</v>
      </c>
      <c r="D107">
        <v>89</v>
      </c>
      <c r="E107" t="s">
        <v>807</v>
      </c>
      <c r="F107" t="str">
        <f>_xlfn.XLOOKUP(_26_03_2026_Log_Reseau_v15[[#This Row],[Cell_ID]],_26_03_2026_Registre_Maintenance_v1[ID_Antenne],_26_03_2026_Registre_Maintenance_v1[zone],"pas trouvé")</f>
        <v>pas trouvé</v>
      </c>
      <c r="G107" t="str">
        <f>_xlfn.XLOOKUP(_26_03_2026_Log_Reseau_v15[[#This Row],[Cell_ID]],_26_03_2026_Registre_Maintenance_v1[ID_Antenne],_26_03_2026_Registre_Maintenance_v1[Latitude],"non trouvé")</f>
        <v>non trouvé</v>
      </c>
      <c r="H107" t="str">
        <f>_xlfn.XLOOKUP(_26_03_2026_Log_Reseau_v15[[#This Row],[Cell_ID]],_26_03_2026_Registre_Maintenance_v1[ID_Antenne],_26_03_2026_Registre_Maintenance_v1[Longitude],"pas trouvé")</f>
        <v>pas trouvé</v>
      </c>
      <c r="I107" t="str">
        <f>_xlfn.XLOOKUP(_26_03_2026_Log_Reseau_v15[[#This Row],[Cell_ID]],_26_03_2026_Registre_Maintenance_v1[ID_Antenne],_26_03_2026_Registre_Maintenance_v1[Technologie],"non trouvé")</f>
        <v>non trouvé</v>
      </c>
      <c r="J107" t="str">
        <f>_xlfn.XLOOKUP(_26_03_2026_Log_Reseau_v15[[#This Row],[Cell_ID]],_26_03_2026_Registre_Maintenance_v1[ID_Antenne],_26_03_2026_Registre_Maintenance_v1[Equipementier],"pas trouvé")</f>
        <v>pas trouvé</v>
      </c>
      <c r="K107" t="str">
        <f>_xlfn.XLOOKUP(_26_03_2026_Log_Reseau_v15[[#This Row],[province RDC]],_26_03_2026_Client_Churn_v1[Province_Client],_26_03_2026_Client_Churn_v1[ID_Client],"non trouvé")</f>
        <v>non trouvé</v>
      </c>
      <c r="L107" t="str">
        <f>_xlfn.XLOOKUP(_26_03_2026_Log_Reseau_v15[[#This Row],[province RDC]],_26_03_2026_Client_Churn_v1[Province_Client],_26_03_2026_Client_Churn_v1[Anciennete_Mois],"non trouvé")</f>
        <v>non trouvé</v>
      </c>
      <c r="M107" t="str">
        <f>_xlfn.XLOOKUP(_26_03_2026_Log_Reseau_v15[[#This Row],[province RDC]],_26_03_2026_Client_Churn_v1[Province_Client],_26_03_2026_Client_Churn_v1[Type_Forfait],"non trouvé")</f>
        <v>non trouvé</v>
      </c>
      <c r="N107" t="str">
        <f>_xlfn.XLOOKUP(_26_03_2026_Log_Reseau_v15[[#This Row],[province RDC]],_26_03_2026_Client_Churn_v1[Province_Client],_26_03_2026_Client_Churn_v1[Duree_Cumulee_Panne_Min],"non trouvé")</f>
        <v>non trouvé</v>
      </c>
      <c r="O107" t="str">
        <f>_xlfn.XLOOKUP(_26_03_2026_Log_Reseau_v15[[#This Row],[province RDC]],_26_03_2026_Client_Churn_v1[Province_Client],_26_03_2026_Client_Churn_v1[Facture_Mensuelle],"non trouvé")</f>
        <v>non trouvé</v>
      </c>
      <c r="P107" t="str">
        <f>_xlfn.XLOOKUP(_26_03_2026_Log_Reseau_v15[[#This Row],[province RDC]],_26_03_2026_Client_Churn_v1[Province_Client],_26_03_2026_Client_Churn_v1[Plaintes_Service_Client],"non trouvé")</f>
        <v>non trouvé</v>
      </c>
    </row>
    <row r="108" spans="1:16" hidden="1" x14ac:dyDescent="0.25">
      <c r="A108" s="1">
        <v>45215</v>
      </c>
      <c r="B108" s="2">
        <v>4.7222222222222221E-2</v>
      </c>
      <c r="C108" t="s">
        <v>878</v>
      </c>
      <c r="D108">
        <v>35</v>
      </c>
      <c r="E108" t="s">
        <v>807</v>
      </c>
      <c r="F108" t="str">
        <f>_xlfn.XLOOKUP(_26_03_2026_Log_Reseau_v15[[#This Row],[Cell_ID]],_26_03_2026_Registre_Maintenance_v1[ID_Antenne],_26_03_2026_Registre_Maintenance_v1[zone],"pas trouvé")</f>
        <v>pas trouvé</v>
      </c>
      <c r="G108" t="str">
        <f>_xlfn.XLOOKUP(_26_03_2026_Log_Reseau_v15[[#This Row],[Cell_ID]],_26_03_2026_Registre_Maintenance_v1[ID_Antenne],_26_03_2026_Registre_Maintenance_v1[Latitude],"non trouvé")</f>
        <v>non trouvé</v>
      </c>
      <c r="H108" t="str">
        <f>_xlfn.XLOOKUP(_26_03_2026_Log_Reseau_v15[[#This Row],[Cell_ID]],_26_03_2026_Registre_Maintenance_v1[ID_Antenne],_26_03_2026_Registre_Maintenance_v1[Longitude],"pas trouvé")</f>
        <v>pas trouvé</v>
      </c>
      <c r="I108" t="str">
        <f>_xlfn.XLOOKUP(_26_03_2026_Log_Reseau_v15[[#This Row],[Cell_ID]],_26_03_2026_Registre_Maintenance_v1[ID_Antenne],_26_03_2026_Registre_Maintenance_v1[Technologie],"non trouvé")</f>
        <v>non trouvé</v>
      </c>
      <c r="J108" t="str">
        <f>_xlfn.XLOOKUP(_26_03_2026_Log_Reseau_v15[[#This Row],[Cell_ID]],_26_03_2026_Registre_Maintenance_v1[ID_Antenne],_26_03_2026_Registre_Maintenance_v1[Equipementier],"pas trouvé")</f>
        <v>pas trouvé</v>
      </c>
      <c r="K108" t="str">
        <f>_xlfn.XLOOKUP(_26_03_2026_Log_Reseau_v15[[#This Row],[province RDC]],_26_03_2026_Client_Churn_v1[Province_Client],_26_03_2026_Client_Churn_v1[ID_Client],"non trouvé")</f>
        <v>non trouvé</v>
      </c>
      <c r="L108" t="str">
        <f>_xlfn.XLOOKUP(_26_03_2026_Log_Reseau_v15[[#This Row],[province RDC]],_26_03_2026_Client_Churn_v1[Province_Client],_26_03_2026_Client_Churn_v1[Anciennete_Mois],"non trouvé")</f>
        <v>non trouvé</v>
      </c>
      <c r="M108" t="str">
        <f>_xlfn.XLOOKUP(_26_03_2026_Log_Reseau_v15[[#This Row],[province RDC]],_26_03_2026_Client_Churn_v1[Province_Client],_26_03_2026_Client_Churn_v1[Type_Forfait],"non trouvé")</f>
        <v>non trouvé</v>
      </c>
      <c r="N108" t="str">
        <f>_xlfn.XLOOKUP(_26_03_2026_Log_Reseau_v15[[#This Row],[province RDC]],_26_03_2026_Client_Churn_v1[Province_Client],_26_03_2026_Client_Churn_v1[Duree_Cumulee_Panne_Min],"non trouvé")</f>
        <v>non trouvé</v>
      </c>
      <c r="O108" t="str">
        <f>_xlfn.XLOOKUP(_26_03_2026_Log_Reseau_v15[[#This Row],[province RDC]],_26_03_2026_Client_Churn_v1[Province_Client],_26_03_2026_Client_Churn_v1[Facture_Mensuelle],"non trouvé")</f>
        <v>non trouvé</v>
      </c>
      <c r="P108" t="str">
        <f>_xlfn.XLOOKUP(_26_03_2026_Log_Reseau_v15[[#This Row],[province RDC]],_26_03_2026_Client_Churn_v1[Province_Client],_26_03_2026_Client_Churn_v1[Plaintes_Service_Client],"non trouvé")</f>
        <v>non trouvé</v>
      </c>
    </row>
    <row r="109" spans="1:16" x14ac:dyDescent="0.25">
      <c r="A109" s="1">
        <v>45223</v>
      </c>
      <c r="B109" s="2">
        <v>0.7944444444444444</v>
      </c>
      <c r="C109" t="s">
        <v>879</v>
      </c>
      <c r="D109">
        <v>97</v>
      </c>
      <c r="E109" t="s">
        <v>807</v>
      </c>
      <c r="F109" t="str">
        <f>_xlfn.XLOOKUP(_26_03_2026_Log_Reseau_v15[[#This Row],[Cell_ID]],_26_03_2026_Registre_Maintenance_v1[ID_Antenne],_26_03_2026_Registre_Maintenance_v1[zone],"pas trouvé")</f>
        <v>Haut-Uele</v>
      </c>
      <c r="G109">
        <f>_xlfn.XLOOKUP(_26_03_2026_Log_Reseau_v15[[#This Row],[Cell_ID]],_26_03_2026_Registre_Maintenance_v1[ID_Antenne],_26_03_2026_Registre_Maintenance_v1[Latitude],"non trouvé")</f>
        <v>1.0134879999999999</v>
      </c>
      <c r="H109">
        <f>_xlfn.XLOOKUP(_26_03_2026_Log_Reseau_v15[[#This Row],[Cell_ID]],_26_03_2026_Registre_Maintenance_v1[ID_Antenne],_26_03_2026_Registre_Maintenance_v1[Longitude],"pas trouvé")</f>
        <v>20.363515</v>
      </c>
      <c r="I109" t="str">
        <f>_xlfn.XLOOKUP(_26_03_2026_Log_Reseau_v15[[#This Row],[Cell_ID]],_26_03_2026_Registre_Maintenance_v1[ID_Antenne],_26_03_2026_Registre_Maintenance_v1[Technologie],"non trouvé")</f>
        <v>4G</v>
      </c>
      <c r="J109" t="str">
        <f>_xlfn.XLOOKUP(_26_03_2026_Log_Reseau_v15[[#This Row],[Cell_ID]],_26_03_2026_Registre_Maintenance_v1[ID_Antenne],_26_03_2026_Registre_Maintenance_v1[Equipementier],"pas trouvé")</f>
        <v>Nokia</v>
      </c>
      <c r="K109" t="str">
        <f>_xlfn.XLOOKUP(_26_03_2026_Log_Reseau_v15[[#This Row],[province RDC]],_26_03_2026_Client_Churn_v1[Province_Client],_26_03_2026_Client_Churn_v1[ID_Client],"non trouvé")</f>
        <v>CLI-00439</v>
      </c>
      <c r="L109">
        <f>_xlfn.XLOOKUP(_26_03_2026_Log_Reseau_v15[[#This Row],[province RDC]],_26_03_2026_Client_Churn_v1[Province_Client],_26_03_2026_Client_Churn_v1[Anciennete_Mois],"non trouvé")</f>
        <v>40</v>
      </c>
      <c r="M109" t="str">
        <f>_xlfn.XLOOKUP(_26_03_2026_Log_Reseau_v15[[#This Row],[province RDC]],_26_03_2026_Client_Churn_v1[Province_Client],_26_03_2026_Client_Churn_v1[Type_Forfait],"non trouvé")</f>
        <v>Premium 5G 150Go</v>
      </c>
      <c r="N109">
        <f>_xlfn.XLOOKUP(_26_03_2026_Log_Reseau_v15[[#This Row],[province RDC]],_26_03_2026_Client_Churn_v1[Province_Client],_26_03_2026_Client_Churn_v1[Duree_Cumulee_Panne_Min],"non trouvé")</f>
        <v>345</v>
      </c>
      <c r="O109">
        <f>_xlfn.XLOOKUP(_26_03_2026_Log_Reseau_v15[[#This Row],[province RDC]],_26_03_2026_Client_Churn_v1[Province_Client],_26_03_2026_Client_Churn_v1[Facture_Mensuelle],"non trouvé")</f>
        <v>89.55</v>
      </c>
      <c r="P109">
        <f>_xlfn.XLOOKUP(_26_03_2026_Log_Reseau_v15[[#This Row],[province RDC]],_26_03_2026_Client_Churn_v1[Province_Client],_26_03_2026_Client_Churn_v1[Plaintes_Service_Client],"non trouvé")</f>
        <v>3</v>
      </c>
    </row>
    <row r="110" spans="1:16" hidden="1" x14ac:dyDescent="0.25">
      <c r="A110" s="1">
        <v>45227</v>
      </c>
      <c r="B110" s="2">
        <v>5.5555555555555558E-3</v>
      </c>
      <c r="C110" t="s">
        <v>880</v>
      </c>
      <c r="D110">
        <v>66</v>
      </c>
      <c r="E110" t="s">
        <v>812</v>
      </c>
      <c r="F110" t="str">
        <f>_xlfn.XLOOKUP(_26_03_2026_Log_Reseau_v15[[#This Row],[Cell_ID]],_26_03_2026_Registre_Maintenance_v1[ID_Antenne],_26_03_2026_Registre_Maintenance_v1[zone],"pas trouvé")</f>
        <v>pas trouvé</v>
      </c>
      <c r="G110" t="str">
        <f>_xlfn.XLOOKUP(_26_03_2026_Log_Reseau_v15[[#This Row],[Cell_ID]],_26_03_2026_Registre_Maintenance_v1[ID_Antenne],_26_03_2026_Registre_Maintenance_v1[Latitude],"non trouvé")</f>
        <v>non trouvé</v>
      </c>
      <c r="H110" t="str">
        <f>_xlfn.XLOOKUP(_26_03_2026_Log_Reseau_v15[[#This Row],[Cell_ID]],_26_03_2026_Registre_Maintenance_v1[ID_Antenne],_26_03_2026_Registre_Maintenance_v1[Longitude],"pas trouvé")</f>
        <v>pas trouvé</v>
      </c>
      <c r="I110" t="str">
        <f>_xlfn.XLOOKUP(_26_03_2026_Log_Reseau_v15[[#This Row],[Cell_ID]],_26_03_2026_Registre_Maintenance_v1[ID_Antenne],_26_03_2026_Registre_Maintenance_v1[Technologie],"non trouvé")</f>
        <v>non trouvé</v>
      </c>
      <c r="J110" t="str">
        <f>_xlfn.XLOOKUP(_26_03_2026_Log_Reseau_v15[[#This Row],[Cell_ID]],_26_03_2026_Registre_Maintenance_v1[ID_Antenne],_26_03_2026_Registre_Maintenance_v1[Equipementier],"pas trouvé")</f>
        <v>pas trouvé</v>
      </c>
      <c r="K110" t="str">
        <f>_xlfn.XLOOKUP(_26_03_2026_Log_Reseau_v15[[#This Row],[province RDC]],_26_03_2026_Client_Churn_v1[Province_Client],_26_03_2026_Client_Churn_v1[ID_Client],"non trouvé")</f>
        <v>non trouvé</v>
      </c>
      <c r="L110" t="str">
        <f>_xlfn.XLOOKUP(_26_03_2026_Log_Reseau_v15[[#This Row],[province RDC]],_26_03_2026_Client_Churn_v1[Province_Client],_26_03_2026_Client_Churn_v1[Anciennete_Mois],"non trouvé")</f>
        <v>non trouvé</v>
      </c>
      <c r="M110" t="str">
        <f>_xlfn.XLOOKUP(_26_03_2026_Log_Reseau_v15[[#This Row],[province RDC]],_26_03_2026_Client_Churn_v1[Province_Client],_26_03_2026_Client_Churn_v1[Type_Forfait],"non trouvé")</f>
        <v>non trouvé</v>
      </c>
      <c r="N110" t="str">
        <f>_xlfn.XLOOKUP(_26_03_2026_Log_Reseau_v15[[#This Row],[province RDC]],_26_03_2026_Client_Churn_v1[Province_Client],_26_03_2026_Client_Churn_v1[Duree_Cumulee_Panne_Min],"non trouvé")</f>
        <v>non trouvé</v>
      </c>
      <c r="O110" t="str">
        <f>_xlfn.XLOOKUP(_26_03_2026_Log_Reseau_v15[[#This Row],[province RDC]],_26_03_2026_Client_Churn_v1[Province_Client],_26_03_2026_Client_Churn_v1[Facture_Mensuelle],"non trouvé")</f>
        <v>non trouvé</v>
      </c>
      <c r="P110" t="str">
        <f>_xlfn.XLOOKUP(_26_03_2026_Log_Reseau_v15[[#This Row],[province RDC]],_26_03_2026_Client_Churn_v1[Province_Client],_26_03_2026_Client_Churn_v1[Plaintes_Service_Client],"non trouvé")</f>
        <v>non trouvé</v>
      </c>
    </row>
    <row r="111" spans="1:16" x14ac:dyDescent="0.25">
      <c r="A111" s="1">
        <v>45213</v>
      </c>
      <c r="B111" s="2">
        <v>0.7631944444444444</v>
      </c>
      <c r="C111" t="s">
        <v>881</v>
      </c>
      <c r="D111">
        <v>119</v>
      </c>
      <c r="E111" t="s">
        <v>812</v>
      </c>
      <c r="F111" t="str">
        <f>_xlfn.XLOOKUP(_26_03_2026_Log_Reseau_v15[[#This Row],[Cell_ID]],_26_03_2026_Registre_Maintenance_v1[ID_Antenne],_26_03_2026_Registre_Maintenance_v1[zone],"pas trouvé")</f>
        <v>Equateur</v>
      </c>
      <c r="G111">
        <f>_xlfn.XLOOKUP(_26_03_2026_Log_Reseau_v15[[#This Row],[Cell_ID]],_26_03_2026_Registre_Maintenance_v1[ID_Antenne],_26_03_2026_Registre_Maintenance_v1[Latitude],"non trouvé")</f>
        <v>-0.79459900000000006</v>
      </c>
      <c r="H111">
        <f>_xlfn.XLOOKUP(_26_03_2026_Log_Reseau_v15[[#This Row],[Cell_ID]],_26_03_2026_Registre_Maintenance_v1[ID_Antenne],_26_03_2026_Registre_Maintenance_v1[Longitude],"pas trouvé")</f>
        <v>26.775570999999999</v>
      </c>
      <c r="I111" t="str">
        <f>_xlfn.XLOOKUP(_26_03_2026_Log_Reseau_v15[[#This Row],[Cell_ID]],_26_03_2026_Registre_Maintenance_v1[ID_Antenne],_26_03_2026_Registre_Maintenance_v1[Technologie],"non trouvé")</f>
        <v>5G</v>
      </c>
      <c r="J111" t="str">
        <f>_xlfn.XLOOKUP(_26_03_2026_Log_Reseau_v15[[#This Row],[Cell_ID]],_26_03_2026_Registre_Maintenance_v1[ID_Antenne],_26_03_2026_Registre_Maintenance_v1[Equipementier],"pas trouvé")</f>
        <v>Huawei</v>
      </c>
      <c r="K111" t="str">
        <f>_xlfn.XLOOKUP(_26_03_2026_Log_Reseau_v15[[#This Row],[province RDC]],_26_03_2026_Client_Churn_v1[Province_Client],_26_03_2026_Client_Churn_v1[ID_Client],"non trouvé")</f>
        <v>CLI-00643</v>
      </c>
      <c r="L111">
        <f>_xlfn.XLOOKUP(_26_03_2026_Log_Reseau_v15[[#This Row],[province RDC]],_26_03_2026_Client_Churn_v1[Province_Client],_26_03_2026_Client_Churn_v1[Anciennete_Mois],"non trouvé")</f>
        <v>14</v>
      </c>
      <c r="M111" t="str">
        <f>_xlfn.XLOOKUP(_26_03_2026_Log_Reseau_v15[[#This Row],[province RDC]],_26_03_2026_Client_Churn_v1[Province_Client],_26_03_2026_Client_Churn_v1[Type_Forfait],"non trouvé")</f>
        <v>Pro Monde</v>
      </c>
      <c r="N111">
        <f>_xlfn.XLOOKUP(_26_03_2026_Log_Reseau_v15[[#This Row],[province RDC]],_26_03_2026_Client_Churn_v1[Province_Client],_26_03_2026_Client_Churn_v1[Duree_Cumulee_Panne_Min],"non trouvé")</f>
        <v>316</v>
      </c>
      <c r="O111">
        <f>_xlfn.XLOOKUP(_26_03_2026_Log_Reseau_v15[[#This Row],[province RDC]],_26_03_2026_Client_Churn_v1[Province_Client],_26_03_2026_Client_Churn_v1[Facture_Mensuelle],"non trouvé")</f>
        <v>62.34</v>
      </c>
      <c r="P111">
        <f>_xlfn.XLOOKUP(_26_03_2026_Log_Reseau_v15[[#This Row],[province RDC]],_26_03_2026_Client_Churn_v1[Province_Client],_26_03_2026_Client_Churn_v1[Plaintes_Service_Client],"non trouvé")</f>
        <v>4</v>
      </c>
    </row>
    <row r="112" spans="1:16" x14ac:dyDescent="0.25">
      <c r="A112" s="1">
        <v>45230</v>
      </c>
      <c r="B112" s="2">
        <v>0.83958333333333335</v>
      </c>
      <c r="C112" t="s">
        <v>881</v>
      </c>
      <c r="D112">
        <v>83</v>
      </c>
      <c r="E112" t="s">
        <v>812</v>
      </c>
      <c r="F112" t="str">
        <f>_xlfn.XLOOKUP(_26_03_2026_Log_Reseau_v15[[#This Row],[Cell_ID]],_26_03_2026_Registre_Maintenance_v1[ID_Antenne],_26_03_2026_Registre_Maintenance_v1[zone],"pas trouvé")</f>
        <v>Equateur</v>
      </c>
      <c r="G112">
        <f>_xlfn.XLOOKUP(_26_03_2026_Log_Reseau_v15[[#This Row],[Cell_ID]],_26_03_2026_Registre_Maintenance_v1[ID_Antenne],_26_03_2026_Registre_Maintenance_v1[Latitude],"non trouvé")</f>
        <v>-0.79459900000000006</v>
      </c>
      <c r="H112">
        <f>_xlfn.XLOOKUP(_26_03_2026_Log_Reseau_v15[[#This Row],[Cell_ID]],_26_03_2026_Registre_Maintenance_v1[ID_Antenne],_26_03_2026_Registre_Maintenance_v1[Longitude],"pas trouvé")</f>
        <v>26.775570999999999</v>
      </c>
      <c r="I112" t="str">
        <f>_xlfn.XLOOKUP(_26_03_2026_Log_Reseau_v15[[#This Row],[Cell_ID]],_26_03_2026_Registre_Maintenance_v1[ID_Antenne],_26_03_2026_Registre_Maintenance_v1[Technologie],"non trouvé")</f>
        <v>5G</v>
      </c>
      <c r="J112" t="str">
        <f>_xlfn.XLOOKUP(_26_03_2026_Log_Reseau_v15[[#This Row],[Cell_ID]],_26_03_2026_Registre_Maintenance_v1[ID_Antenne],_26_03_2026_Registre_Maintenance_v1[Equipementier],"pas trouvé")</f>
        <v>Huawei</v>
      </c>
      <c r="K112" t="str">
        <f>_xlfn.XLOOKUP(_26_03_2026_Log_Reseau_v15[[#This Row],[province RDC]],_26_03_2026_Client_Churn_v1[Province_Client],_26_03_2026_Client_Churn_v1[ID_Client],"non trouvé")</f>
        <v>CLI-00643</v>
      </c>
      <c r="L112">
        <f>_xlfn.XLOOKUP(_26_03_2026_Log_Reseau_v15[[#This Row],[province RDC]],_26_03_2026_Client_Churn_v1[Province_Client],_26_03_2026_Client_Churn_v1[Anciennete_Mois],"non trouvé")</f>
        <v>14</v>
      </c>
      <c r="M112" t="str">
        <f>_xlfn.XLOOKUP(_26_03_2026_Log_Reseau_v15[[#This Row],[province RDC]],_26_03_2026_Client_Churn_v1[Province_Client],_26_03_2026_Client_Churn_v1[Type_Forfait],"non trouvé")</f>
        <v>Pro Monde</v>
      </c>
      <c r="N112">
        <f>_xlfn.XLOOKUP(_26_03_2026_Log_Reseau_v15[[#This Row],[province RDC]],_26_03_2026_Client_Churn_v1[Province_Client],_26_03_2026_Client_Churn_v1[Duree_Cumulee_Panne_Min],"non trouvé")</f>
        <v>316</v>
      </c>
      <c r="O112">
        <f>_xlfn.XLOOKUP(_26_03_2026_Log_Reseau_v15[[#This Row],[province RDC]],_26_03_2026_Client_Churn_v1[Province_Client],_26_03_2026_Client_Churn_v1[Facture_Mensuelle],"non trouvé")</f>
        <v>62.34</v>
      </c>
      <c r="P112">
        <f>_xlfn.XLOOKUP(_26_03_2026_Log_Reseau_v15[[#This Row],[province RDC]],_26_03_2026_Client_Churn_v1[Province_Client],_26_03_2026_Client_Churn_v1[Plaintes_Service_Client],"non trouvé")</f>
        <v>4</v>
      </c>
    </row>
    <row r="113" spans="1:16" x14ac:dyDescent="0.25">
      <c r="A113" s="1">
        <v>45210</v>
      </c>
      <c r="B113" s="2">
        <v>0.70347222222222228</v>
      </c>
      <c r="C113" t="s">
        <v>881</v>
      </c>
      <c r="D113">
        <v>20</v>
      </c>
      <c r="E113" t="s">
        <v>807</v>
      </c>
      <c r="F113" t="str">
        <f>_xlfn.XLOOKUP(_26_03_2026_Log_Reseau_v15[[#This Row],[Cell_ID]],_26_03_2026_Registre_Maintenance_v1[ID_Antenne],_26_03_2026_Registre_Maintenance_v1[zone],"pas trouvé")</f>
        <v>Equateur</v>
      </c>
      <c r="G113">
        <f>_xlfn.XLOOKUP(_26_03_2026_Log_Reseau_v15[[#This Row],[Cell_ID]],_26_03_2026_Registre_Maintenance_v1[ID_Antenne],_26_03_2026_Registre_Maintenance_v1[Latitude],"non trouvé")</f>
        <v>-0.79459900000000006</v>
      </c>
      <c r="H113">
        <f>_xlfn.XLOOKUP(_26_03_2026_Log_Reseau_v15[[#This Row],[Cell_ID]],_26_03_2026_Registre_Maintenance_v1[ID_Antenne],_26_03_2026_Registre_Maintenance_v1[Longitude],"pas trouvé")</f>
        <v>26.775570999999999</v>
      </c>
      <c r="I113" t="str">
        <f>_xlfn.XLOOKUP(_26_03_2026_Log_Reseau_v15[[#This Row],[Cell_ID]],_26_03_2026_Registre_Maintenance_v1[ID_Antenne],_26_03_2026_Registre_Maintenance_v1[Technologie],"non trouvé")</f>
        <v>5G</v>
      </c>
      <c r="J113" t="str">
        <f>_xlfn.XLOOKUP(_26_03_2026_Log_Reseau_v15[[#This Row],[Cell_ID]],_26_03_2026_Registre_Maintenance_v1[ID_Antenne],_26_03_2026_Registre_Maintenance_v1[Equipementier],"pas trouvé")</f>
        <v>Huawei</v>
      </c>
      <c r="K113" t="str">
        <f>_xlfn.XLOOKUP(_26_03_2026_Log_Reseau_v15[[#This Row],[province RDC]],_26_03_2026_Client_Churn_v1[Province_Client],_26_03_2026_Client_Churn_v1[ID_Client],"non trouvé")</f>
        <v>CLI-00643</v>
      </c>
      <c r="L113">
        <f>_xlfn.XLOOKUP(_26_03_2026_Log_Reseau_v15[[#This Row],[province RDC]],_26_03_2026_Client_Churn_v1[Province_Client],_26_03_2026_Client_Churn_v1[Anciennete_Mois],"non trouvé")</f>
        <v>14</v>
      </c>
      <c r="M113" t="str">
        <f>_xlfn.XLOOKUP(_26_03_2026_Log_Reseau_v15[[#This Row],[province RDC]],_26_03_2026_Client_Churn_v1[Province_Client],_26_03_2026_Client_Churn_v1[Type_Forfait],"non trouvé")</f>
        <v>Pro Monde</v>
      </c>
      <c r="N113">
        <f>_xlfn.XLOOKUP(_26_03_2026_Log_Reseau_v15[[#This Row],[province RDC]],_26_03_2026_Client_Churn_v1[Province_Client],_26_03_2026_Client_Churn_v1[Duree_Cumulee_Panne_Min],"non trouvé")</f>
        <v>316</v>
      </c>
      <c r="O113">
        <f>_xlfn.XLOOKUP(_26_03_2026_Log_Reseau_v15[[#This Row],[province RDC]],_26_03_2026_Client_Churn_v1[Province_Client],_26_03_2026_Client_Churn_v1[Facture_Mensuelle],"non trouvé")</f>
        <v>62.34</v>
      </c>
      <c r="P113">
        <f>_xlfn.XLOOKUP(_26_03_2026_Log_Reseau_v15[[#This Row],[province RDC]],_26_03_2026_Client_Churn_v1[Province_Client],_26_03_2026_Client_Churn_v1[Plaintes_Service_Client],"non trouvé")</f>
        <v>4</v>
      </c>
    </row>
    <row r="114" spans="1:16" hidden="1" x14ac:dyDescent="0.25">
      <c r="A114" s="1">
        <v>45225</v>
      </c>
      <c r="B114" s="2">
        <v>8.8888888888888892E-2</v>
      </c>
      <c r="C114" t="s">
        <v>882</v>
      </c>
      <c r="D114">
        <v>51</v>
      </c>
      <c r="E114" t="s">
        <v>807</v>
      </c>
      <c r="F114" t="str">
        <f>_xlfn.XLOOKUP(_26_03_2026_Log_Reseau_v15[[#This Row],[Cell_ID]],_26_03_2026_Registre_Maintenance_v1[ID_Antenne],_26_03_2026_Registre_Maintenance_v1[zone],"pas trouvé")</f>
        <v>pas trouvé</v>
      </c>
      <c r="G114" t="str">
        <f>_xlfn.XLOOKUP(_26_03_2026_Log_Reseau_v15[[#This Row],[Cell_ID]],_26_03_2026_Registre_Maintenance_v1[ID_Antenne],_26_03_2026_Registre_Maintenance_v1[Latitude],"non trouvé")</f>
        <v>non trouvé</v>
      </c>
      <c r="H114" t="str">
        <f>_xlfn.XLOOKUP(_26_03_2026_Log_Reseau_v15[[#This Row],[Cell_ID]],_26_03_2026_Registre_Maintenance_v1[ID_Antenne],_26_03_2026_Registre_Maintenance_v1[Longitude],"pas trouvé")</f>
        <v>pas trouvé</v>
      </c>
      <c r="I114" t="str">
        <f>_xlfn.XLOOKUP(_26_03_2026_Log_Reseau_v15[[#This Row],[Cell_ID]],_26_03_2026_Registre_Maintenance_v1[ID_Antenne],_26_03_2026_Registre_Maintenance_v1[Technologie],"non trouvé")</f>
        <v>non trouvé</v>
      </c>
      <c r="J114" t="str">
        <f>_xlfn.XLOOKUP(_26_03_2026_Log_Reseau_v15[[#This Row],[Cell_ID]],_26_03_2026_Registre_Maintenance_v1[ID_Antenne],_26_03_2026_Registre_Maintenance_v1[Equipementier],"pas trouvé")</f>
        <v>pas trouvé</v>
      </c>
      <c r="K114" t="str">
        <f>_xlfn.XLOOKUP(_26_03_2026_Log_Reseau_v15[[#This Row],[province RDC]],_26_03_2026_Client_Churn_v1[Province_Client],_26_03_2026_Client_Churn_v1[ID_Client],"non trouvé")</f>
        <v>non trouvé</v>
      </c>
      <c r="L114" t="str">
        <f>_xlfn.XLOOKUP(_26_03_2026_Log_Reseau_v15[[#This Row],[province RDC]],_26_03_2026_Client_Churn_v1[Province_Client],_26_03_2026_Client_Churn_v1[Anciennete_Mois],"non trouvé")</f>
        <v>non trouvé</v>
      </c>
      <c r="M114" t="str">
        <f>_xlfn.XLOOKUP(_26_03_2026_Log_Reseau_v15[[#This Row],[province RDC]],_26_03_2026_Client_Churn_v1[Province_Client],_26_03_2026_Client_Churn_v1[Type_Forfait],"non trouvé")</f>
        <v>non trouvé</v>
      </c>
      <c r="N114" t="str">
        <f>_xlfn.XLOOKUP(_26_03_2026_Log_Reseau_v15[[#This Row],[province RDC]],_26_03_2026_Client_Churn_v1[Province_Client],_26_03_2026_Client_Churn_v1[Duree_Cumulee_Panne_Min],"non trouvé")</f>
        <v>non trouvé</v>
      </c>
      <c r="O114" t="str">
        <f>_xlfn.XLOOKUP(_26_03_2026_Log_Reseau_v15[[#This Row],[province RDC]],_26_03_2026_Client_Churn_v1[Province_Client],_26_03_2026_Client_Churn_v1[Facture_Mensuelle],"non trouvé")</f>
        <v>non trouvé</v>
      </c>
      <c r="P114" t="str">
        <f>_xlfn.XLOOKUP(_26_03_2026_Log_Reseau_v15[[#This Row],[province RDC]],_26_03_2026_Client_Churn_v1[Province_Client],_26_03_2026_Client_Churn_v1[Plaintes_Service_Client],"non trouvé")</f>
        <v>non trouvé</v>
      </c>
    </row>
    <row r="115" spans="1:16" hidden="1" x14ac:dyDescent="0.25">
      <c r="A115" s="1">
        <v>45214</v>
      </c>
      <c r="B115" s="2">
        <v>0.1361111111111111</v>
      </c>
      <c r="C115" t="s">
        <v>883</v>
      </c>
      <c r="D115">
        <v>92</v>
      </c>
      <c r="E115" t="s">
        <v>807</v>
      </c>
      <c r="F115" t="str">
        <f>_xlfn.XLOOKUP(_26_03_2026_Log_Reseau_v15[[#This Row],[Cell_ID]],_26_03_2026_Registre_Maintenance_v1[ID_Antenne],_26_03_2026_Registre_Maintenance_v1[zone],"pas trouvé")</f>
        <v>pas trouvé</v>
      </c>
      <c r="G115" t="str">
        <f>_xlfn.XLOOKUP(_26_03_2026_Log_Reseau_v15[[#This Row],[Cell_ID]],_26_03_2026_Registre_Maintenance_v1[ID_Antenne],_26_03_2026_Registre_Maintenance_v1[Latitude],"non trouvé")</f>
        <v>non trouvé</v>
      </c>
      <c r="H115" t="str">
        <f>_xlfn.XLOOKUP(_26_03_2026_Log_Reseau_v15[[#This Row],[Cell_ID]],_26_03_2026_Registre_Maintenance_v1[ID_Antenne],_26_03_2026_Registre_Maintenance_v1[Longitude],"pas trouvé")</f>
        <v>pas trouvé</v>
      </c>
      <c r="I115" t="str">
        <f>_xlfn.XLOOKUP(_26_03_2026_Log_Reseau_v15[[#This Row],[Cell_ID]],_26_03_2026_Registre_Maintenance_v1[ID_Antenne],_26_03_2026_Registre_Maintenance_v1[Technologie],"non trouvé")</f>
        <v>non trouvé</v>
      </c>
      <c r="J115" t="str">
        <f>_xlfn.XLOOKUP(_26_03_2026_Log_Reseau_v15[[#This Row],[Cell_ID]],_26_03_2026_Registre_Maintenance_v1[ID_Antenne],_26_03_2026_Registre_Maintenance_v1[Equipementier],"pas trouvé")</f>
        <v>pas trouvé</v>
      </c>
      <c r="K115" t="str">
        <f>_xlfn.XLOOKUP(_26_03_2026_Log_Reseau_v15[[#This Row],[province RDC]],_26_03_2026_Client_Churn_v1[Province_Client],_26_03_2026_Client_Churn_v1[ID_Client],"non trouvé")</f>
        <v>non trouvé</v>
      </c>
      <c r="L115" t="str">
        <f>_xlfn.XLOOKUP(_26_03_2026_Log_Reseau_v15[[#This Row],[province RDC]],_26_03_2026_Client_Churn_v1[Province_Client],_26_03_2026_Client_Churn_v1[Anciennete_Mois],"non trouvé")</f>
        <v>non trouvé</v>
      </c>
      <c r="M115" t="str">
        <f>_xlfn.XLOOKUP(_26_03_2026_Log_Reseau_v15[[#This Row],[province RDC]],_26_03_2026_Client_Churn_v1[Province_Client],_26_03_2026_Client_Churn_v1[Type_Forfait],"non trouvé")</f>
        <v>non trouvé</v>
      </c>
      <c r="N115" t="str">
        <f>_xlfn.XLOOKUP(_26_03_2026_Log_Reseau_v15[[#This Row],[province RDC]],_26_03_2026_Client_Churn_v1[Province_Client],_26_03_2026_Client_Churn_v1[Duree_Cumulee_Panne_Min],"non trouvé")</f>
        <v>non trouvé</v>
      </c>
      <c r="O115" t="str">
        <f>_xlfn.XLOOKUP(_26_03_2026_Log_Reseau_v15[[#This Row],[province RDC]],_26_03_2026_Client_Churn_v1[Province_Client],_26_03_2026_Client_Churn_v1[Facture_Mensuelle],"non trouvé")</f>
        <v>non trouvé</v>
      </c>
      <c r="P115" t="str">
        <f>_xlfn.XLOOKUP(_26_03_2026_Log_Reseau_v15[[#This Row],[province RDC]],_26_03_2026_Client_Churn_v1[Province_Client],_26_03_2026_Client_Churn_v1[Plaintes_Service_Client],"non trouvé")</f>
        <v>non trouvé</v>
      </c>
    </row>
    <row r="116" spans="1:16" hidden="1" x14ac:dyDescent="0.25">
      <c r="A116" s="1">
        <v>45219</v>
      </c>
      <c r="B116" s="2">
        <v>0.82152777777777775</v>
      </c>
      <c r="C116" t="s">
        <v>883</v>
      </c>
      <c r="D116">
        <v>31</v>
      </c>
      <c r="E116" t="s">
        <v>808</v>
      </c>
      <c r="F116" t="str">
        <f>_xlfn.XLOOKUP(_26_03_2026_Log_Reseau_v15[[#This Row],[Cell_ID]],_26_03_2026_Registre_Maintenance_v1[ID_Antenne],_26_03_2026_Registre_Maintenance_v1[zone],"pas trouvé")</f>
        <v>pas trouvé</v>
      </c>
      <c r="G116" t="str">
        <f>_xlfn.XLOOKUP(_26_03_2026_Log_Reseau_v15[[#This Row],[Cell_ID]],_26_03_2026_Registre_Maintenance_v1[ID_Antenne],_26_03_2026_Registre_Maintenance_v1[Latitude],"non trouvé")</f>
        <v>non trouvé</v>
      </c>
      <c r="H116" t="str">
        <f>_xlfn.XLOOKUP(_26_03_2026_Log_Reseau_v15[[#This Row],[Cell_ID]],_26_03_2026_Registre_Maintenance_v1[ID_Antenne],_26_03_2026_Registre_Maintenance_v1[Longitude],"pas trouvé")</f>
        <v>pas trouvé</v>
      </c>
      <c r="I116" t="str">
        <f>_xlfn.XLOOKUP(_26_03_2026_Log_Reseau_v15[[#This Row],[Cell_ID]],_26_03_2026_Registre_Maintenance_v1[ID_Antenne],_26_03_2026_Registre_Maintenance_v1[Technologie],"non trouvé")</f>
        <v>non trouvé</v>
      </c>
      <c r="J116" t="str">
        <f>_xlfn.XLOOKUP(_26_03_2026_Log_Reseau_v15[[#This Row],[Cell_ID]],_26_03_2026_Registre_Maintenance_v1[ID_Antenne],_26_03_2026_Registre_Maintenance_v1[Equipementier],"pas trouvé")</f>
        <v>pas trouvé</v>
      </c>
      <c r="K116" t="str">
        <f>_xlfn.XLOOKUP(_26_03_2026_Log_Reseau_v15[[#This Row],[province RDC]],_26_03_2026_Client_Churn_v1[Province_Client],_26_03_2026_Client_Churn_v1[ID_Client],"non trouvé")</f>
        <v>non trouvé</v>
      </c>
      <c r="L116" t="str">
        <f>_xlfn.XLOOKUP(_26_03_2026_Log_Reseau_v15[[#This Row],[province RDC]],_26_03_2026_Client_Churn_v1[Province_Client],_26_03_2026_Client_Churn_v1[Anciennete_Mois],"non trouvé")</f>
        <v>non trouvé</v>
      </c>
      <c r="M116" t="str">
        <f>_xlfn.XLOOKUP(_26_03_2026_Log_Reseau_v15[[#This Row],[province RDC]],_26_03_2026_Client_Churn_v1[Province_Client],_26_03_2026_Client_Churn_v1[Type_Forfait],"non trouvé")</f>
        <v>non trouvé</v>
      </c>
      <c r="N116" t="str">
        <f>_xlfn.XLOOKUP(_26_03_2026_Log_Reseau_v15[[#This Row],[province RDC]],_26_03_2026_Client_Churn_v1[Province_Client],_26_03_2026_Client_Churn_v1[Duree_Cumulee_Panne_Min],"non trouvé")</f>
        <v>non trouvé</v>
      </c>
      <c r="O116" t="str">
        <f>_xlfn.XLOOKUP(_26_03_2026_Log_Reseau_v15[[#This Row],[province RDC]],_26_03_2026_Client_Churn_v1[Province_Client],_26_03_2026_Client_Churn_v1[Facture_Mensuelle],"non trouvé")</f>
        <v>non trouvé</v>
      </c>
      <c r="P116" t="str">
        <f>_xlfn.XLOOKUP(_26_03_2026_Log_Reseau_v15[[#This Row],[province RDC]],_26_03_2026_Client_Churn_v1[Province_Client],_26_03_2026_Client_Churn_v1[Plaintes_Service_Client],"non trouvé")</f>
        <v>non trouvé</v>
      </c>
    </row>
    <row r="117" spans="1:16" x14ac:dyDescent="0.25">
      <c r="A117" s="1">
        <v>45220</v>
      </c>
      <c r="B117" s="2">
        <v>0.89375000000000004</v>
      </c>
      <c r="C117" t="s">
        <v>884</v>
      </c>
      <c r="D117">
        <v>101</v>
      </c>
      <c r="E117" t="s">
        <v>812</v>
      </c>
      <c r="F117" t="str">
        <f>_xlfn.XLOOKUP(_26_03_2026_Log_Reseau_v15[[#This Row],[Cell_ID]],_26_03_2026_Registre_Maintenance_v1[ID_Antenne],_26_03_2026_Registre_Maintenance_v1[zone],"pas trouvé")</f>
        <v>Bas-Uele</v>
      </c>
      <c r="G117">
        <f>_xlfn.XLOOKUP(_26_03_2026_Log_Reseau_v15[[#This Row],[Cell_ID]],_26_03_2026_Registre_Maintenance_v1[ID_Antenne],_26_03_2026_Registre_Maintenance_v1[Latitude],"non trouvé")</f>
        <v>-2.2876210000000001</v>
      </c>
      <c r="H117">
        <f>_xlfn.XLOOKUP(_26_03_2026_Log_Reseau_v15[[#This Row],[Cell_ID]],_26_03_2026_Registre_Maintenance_v1[ID_Antenne],_26_03_2026_Registre_Maintenance_v1[Longitude],"pas trouvé")</f>
        <v>27.582545</v>
      </c>
      <c r="I117" t="str">
        <f>_xlfn.XLOOKUP(_26_03_2026_Log_Reseau_v15[[#This Row],[Cell_ID]],_26_03_2026_Registre_Maintenance_v1[ID_Antenne],_26_03_2026_Registre_Maintenance_v1[Technologie],"non trouvé")</f>
        <v>4G</v>
      </c>
      <c r="J117" t="str">
        <f>_xlfn.XLOOKUP(_26_03_2026_Log_Reseau_v15[[#This Row],[Cell_ID]],_26_03_2026_Registre_Maintenance_v1[ID_Antenne],_26_03_2026_Registre_Maintenance_v1[Equipementier],"pas trouvé")</f>
        <v>Huawei</v>
      </c>
      <c r="K117" t="str">
        <f>_xlfn.XLOOKUP(_26_03_2026_Log_Reseau_v15[[#This Row],[province RDC]],_26_03_2026_Client_Churn_v1[Province_Client],_26_03_2026_Client_Churn_v1[ID_Client],"non trouvé")</f>
        <v>CLI-00414</v>
      </c>
      <c r="L117">
        <f>_xlfn.XLOOKUP(_26_03_2026_Log_Reseau_v15[[#This Row],[province RDC]],_26_03_2026_Client_Churn_v1[Province_Client],_26_03_2026_Client_Churn_v1[Anciennete_Mois],"non trouvé")</f>
        <v>99</v>
      </c>
      <c r="M117" t="str">
        <f>_xlfn.XLOOKUP(_26_03_2026_Log_Reseau_v15[[#This Row],[province RDC]],_26_03_2026_Client_Churn_v1[Province_Client],_26_03_2026_Client_Churn_v1[Type_Forfait],"non trouvé")</f>
        <v>Premium 5G 150Go</v>
      </c>
      <c r="N117">
        <f>_xlfn.XLOOKUP(_26_03_2026_Log_Reseau_v15[[#This Row],[province RDC]],_26_03_2026_Client_Churn_v1[Province_Client],_26_03_2026_Client_Churn_v1[Duree_Cumulee_Panne_Min],"non trouvé")</f>
        <v>447</v>
      </c>
      <c r="O117">
        <f>_xlfn.XLOOKUP(_26_03_2026_Log_Reseau_v15[[#This Row],[province RDC]],_26_03_2026_Client_Churn_v1[Province_Client],_26_03_2026_Client_Churn_v1[Facture_Mensuelle],"non trouvé")</f>
        <v>38.1</v>
      </c>
      <c r="P117">
        <f>_xlfn.XLOOKUP(_26_03_2026_Log_Reseau_v15[[#This Row],[province RDC]],_26_03_2026_Client_Churn_v1[Province_Client],_26_03_2026_Client_Churn_v1[Plaintes_Service_Client],"non trouvé")</f>
        <v>3</v>
      </c>
    </row>
    <row r="118" spans="1:16" x14ac:dyDescent="0.25">
      <c r="A118" s="1">
        <v>45203</v>
      </c>
      <c r="B118" s="2">
        <v>4.1666666666666664E-2</v>
      </c>
      <c r="C118" t="s">
        <v>884</v>
      </c>
      <c r="D118">
        <v>69</v>
      </c>
      <c r="E118" t="s">
        <v>812</v>
      </c>
      <c r="F118" t="str">
        <f>_xlfn.XLOOKUP(_26_03_2026_Log_Reseau_v15[[#This Row],[Cell_ID]],_26_03_2026_Registre_Maintenance_v1[ID_Antenne],_26_03_2026_Registre_Maintenance_v1[zone],"pas trouvé")</f>
        <v>Bas-Uele</v>
      </c>
      <c r="G118">
        <f>_xlfn.XLOOKUP(_26_03_2026_Log_Reseau_v15[[#This Row],[Cell_ID]],_26_03_2026_Registre_Maintenance_v1[ID_Antenne],_26_03_2026_Registre_Maintenance_v1[Latitude],"non trouvé")</f>
        <v>-2.2876210000000001</v>
      </c>
      <c r="H118">
        <f>_xlfn.XLOOKUP(_26_03_2026_Log_Reseau_v15[[#This Row],[Cell_ID]],_26_03_2026_Registre_Maintenance_v1[ID_Antenne],_26_03_2026_Registre_Maintenance_v1[Longitude],"pas trouvé")</f>
        <v>27.582545</v>
      </c>
      <c r="I118" t="str">
        <f>_xlfn.XLOOKUP(_26_03_2026_Log_Reseau_v15[[#This Row],[Cell_ID]],_26_03_2026_Registre_Maintenance_v1[ID_Antenne],_26_03_2026_Registre_Maintenance_v1[Technologie],"non trouvé")</f>
        <v>4G</v>
      </c>
      <c r="J118" t="str">
        <f>_xlfn.XLOOKUP(_26_03_2026_Log_Reseau_v15[[#This Row],[Cell_ID]],_26_03_2026_Registre_Maintenance_v1[ID_Antenne],_26_03_2026_Registre_Maintenance_v1[Equipementier],"pas trouvé")</f>
        <v>Huawei</v>
      </c>
      <c r="K118" t="str">
        <f>_xlfn.XLOOKUP(_26_03_2026_Log_Reseau_v15[[#This Row],[province RDC]],_26_03_2026_Client_Churn_v1[Province_Client],_26_03_2026_Client_Churn_v1[ID_Client],"non trouvé")</f>
        <v>CLI-00414</v>
      </c>
      <c r="L118">
        <f>_xlfn.XLOOKUP(_26_03_2026_Log_Reseau_v15[[#This Row],[province RDC]],_26_03_2026_Client_Churn_v1[Province_Client],_26_03_2026_Client_Churn_v1[Anciennete_Mois],"non trouvé")</f>
        <v>99</v>
      </c>
      <c r="M118" t="str">
        <f>_xlfn.XLOOKUP(_26_03_2026_Log_Reseau_v15[[#This Row],[province RDC]],_26_03_2026_Client_Churn_v1[Province_Client],_26_03_2026_Client_Churn_v1[Type_Forfait],"non trouvé")</f>
        <v>Premium 5G 150Go</v>
      </c>
      <c r="N118">
        <f>_xlfn.XLOOKUP(_26_03_2026_Log_Reseau_v15[[#This Row],[province RDC]],_26_03_2026_Client_Churn_v1[Province_Client],_26_03_2026_Client_Churn_v1[Duree_Cumulee_Panne_Min],"non trouvé")</f>
        <v>447</v>
      </c>
      <c r="O118">
        <f>_xlfn.XLOOKUP(_26_03_2026_Log_Reseau_v15[[#This Row],[province RDC]],_26_03_2026_Client_Churn_v1[Province_Client],_26_03_2026_Client_Churn_v1[Facture_Mensuelle],"non trouvé")</f>
        <v>38.1</v>
      </c>
      <c r="P118">
        <f>_xlfn.XLOOKUP(_26_03_2026_Log_Reseau_v15[[#This Row],[province RDC]],_26_03_2026_Client_Churn_v1[Province_Client],_26_03_2026_Client_Churn_v1[Plaintes_Service_Client],"non trouvé")</f>
        <v>3</v>
      </c>
    </row>
    <row r="119" spans="1:16" hidden="1" x14ac:dyDescent="0.25">
      <c r="A119" s="1">
        <v>45211</v>
      </c>
      <c r="B119" s="2">
        <v>0.38055555555555554</v>
      </c>
      <c r="C119" t="s">
        <v>885</v>
      </c>
      <c r="D119">
        <v>84</v>
      </c>
      <c r="E119" t="s">
        <v>807</v>
      </c>
      <c r="F119" t="str">
        <f>_xlfn.XLOOKUP(_26_03_2026_Log_Reseau_v15[[#This Row],[Cell_ID]],_26_03_2026_Registre_Maintenance_v1[ID_Antenne],_26_03_2026_Registre_Maintenance_v1[zone],"pas trouvé")</f>
        <v>pas trouvé</v>
      </c>
      <c r="G119" t="str">
        <f>_xlfn.XLOOKUP(_26_03_2026_Log_Reseau_v15[[#This Row],[Cell_ID]],_26_03_2026_Registre_Maintenance_v1[ID_Antenne],_26_03_2026_Registre_Maintenance_v1[Latitude],"non trouvé")</f>
        <v>non trouvé</v>
      </c>
      <c r="H119" t="str">
        <f>_xlfn.XLOOKUP(_26_03_2026_Log_Reseau_v15[[#This Row],[Cell_ID]],_26_03_2026_Registre_Maintenance_v1[ID_Antenne],_26_03_2026_Registre_Maintenance_v1[Longitude],"pas trouvé")</f>
        <v>pas trouvé</v>
      </c>
      <c r="I119" t="str">
        <f>_xlfn.XLOOKUP(_26_03_2026_Log_Reseau_v15[[#This Row],[Cell_ID]],_26_03_2026_Registre_Maintenance_v1[ID_Antenne],_26_03_2026_Registre_Maintenance_v1[Technologie],"non trouvé")</f>
        <v>non trouvé</v>
      </c>
      <c r="J119" t="str">
        <f>_xlfn.XLOOKUP(_26_03_2026_Log_Reseau_v15[[#This Row],[Cell_ID]],_26_03_2026_Registre_Maintenance_v1[ID_Antenne],_26_03_2026_Registre_Maintenance_v1[Equipementier],"pas trouvé")</f>
        <v>pas trouvé</v>
      </c>
      <c r="K119" t="str">
        <f>_xlfn.XLOOKUP(_26_03_2026_Log_Reseau_v15[[#This Row],[province RDC]],_26_03_2026_Client_Churn_v1[Province_Client],_26_03_2026_Client_Churn_v1[ID_Client],"non trouvé")</f>
        <v>non trouvé</v>
      </c>
      <c r="L119" t="str">
        <f>_xlfn.XLOOKUP(_26_03_2026_Log_Reseau_v15[[#This Row],[province RDC]],_26_03_2026_Client_Churn_v1[Province_Client],_26_03_2026_Client_Churn_v1[Anciennete_Mois],"non trouvé")</f>
        <v>non trouvé</v>
      </c>
      <c r="M119" t="str">
        <f>_xlfn.XLOOKUP(_26_03_2026_Log_Reseau_v15[[#This Row],[province RDC]],_26_03_2026_Client_Churn_v1[Province_Client],_26_03_2026_Client_Churn_v1[Type_Forfait],"non trouvé")</f>
        <v>non trouvé</v>
      </c>
      <c r="N119" t="str">
        <f>_xlfn.XLOOKUP(_26_03_2026_Log_Reseau_v15[[#This Row],[province RDC]],_26_03_2026_Client_Churn_v1[Province_Client],_26_03_2026_Client_Churn_v1[Duree_Cumulee_Panne_Min],"non trouvé")</f>
        <v>non trouvé</v>
      </c>
      <c r="O119" t="str">
        <f>_xlfn.XLOOKUP(_26_03_2026_Log_Reseau_v15[[#This Row],[province RDC]],_26_03_2026_Client_Churn_v1[Province_Client],_26_03_2026_Client_Churn_v1[Facture_Mensuelle],"non trouvé")</f>
        <v>non trouvé</v>
      </c>
      <c r="P119" t="str">
        <f>_xlfn.XLOOKUP(_26_03_2026_Log_Reseau_v15[[#This Row],[province RDC]],_26_03_2026_Client_Churn_v1[Province_Client],_26_03_2026_Client_Churn_v1[Plaintes_Service_Client],"non trouvé")</f>
        <v>non trouvé</v>
      </c>
    </row>
    <row r="120" spans="1:16" hidden="1" x14ac:dyDescent="0.25">
      <c r="A120" s="1">
        <v>45200</v>
      </c>
      <c r="B120" s="2">
        <v>0.11597222222222223</v>
      </c>
      <c r="C120" t="s">
        <v>886</v>
      </c>
      <c r="D120">
        <v>111</v>
      </c>
      <c r="E120" t="s">
        <v>812</v>
      </c>
      <c r="F120" t="str">
        <f>_xlfn.XLOOKUP(_26_03_2026_Log_Reseau_v15[[#This Row],[Cell_ID]],_26_03_2026_Registre_Maintenance_v1[ID_Antenne],_26_03_2026_Registre_Maintenance_v1[zone],"pas trouvé")</f>
        <v>pas trouvé</v>
      </c>
      <c r="G120" t="str">
        <f>_xlfn.XLOOKUP(_26_03_2026_Log_Reseau_v15[[#This Row],[Cell_ID]],_26_03_2026_Registre_Maintenance_v1[ID_Antenne],_26_03_2026_Registre_Maintenance_v1[Latitude],"non trouvé")</f>
        <v>non trouvé</v>
      </c>
      <c r="H120" t="str">
        <f>_xlfn.XLOOKUP(_26_03_2026_Log_Reseau_v15[[#This Row],[Cell_ID]],_26_03_2026_Registre_Maintenance_v1[ID_Antenne],_26_03_2026_Registre_Maintenance_v1[Longitude],"pas trouvé")</f>
        <v>pas trouvé</v>
      </c>
      <c r="I120" t="str">
        <f>_xlfn.XLOOKUP(_26_03_2026_Log_Reseau_v15[[#This Row],[Cell_ID]],_26_03_2026_Registre_Maintenance_v1[ID_Antenne],_26_03_2026_Registre_Maintenance_v1[Technologie],"non trouvé")</f>
        <v>non trouvé</v>
      </c>
      <c r="J120" t="str">
        <f>_xlfn.XLOOKUP(_26_03_2026_Log_Reseau_v15[[#This Row],[Cell_ID]],_26_03_2026_Registre_Maintenance_v1[ID_Antenne],_26_03_2026_Registre_Maintenance_v1[Equipementier],"pas trouvé")</f>
        <v>pas trouvé</v>
      </c>
      <c r="K120" t="str">
        <f>_xlfn.XLOOKUP(_26_03_2026_Log_Reseau_v15[[#This Row],[province RDC]],_26_03_2026_Client_Churn_v1[Province_Client],_26_03_2026_Client_Churn_v1[ID_Client],"non trouvé")</f>
        <v>non trouvé</v>
      </c>
      <c r="L120" t="str">
        <f>_xlfn.XLOOKUP(_26_03_2026_Log_Reseau_v15[[#This Row],[province RDC]],_26_03_2026_Client_Churn_v1[Province_Client],_26_03_2026_Client_Churn_v1[Anciennete_Mois],"non trouvé")</f>
        <v>non trouvé</v>
      </c>
      <c r="M120" t="str">
        <f>_xlfn.XLOOKUP(_26_03_2026_Log_Reseau_v15[[#This Row],[province RDC]],_26_03_2026_Client_Churn_v1[Province_Client],_26_03_2026_Client_Churn_v1[Type_Forfait],"non trouvé")</f>
        <v>non trouvé</v>
      </c>
      <c r="N120" t="str">
        <f>_xlfn.XLOOKUP(_26_03_2026_Log_Reseau_v15[[#This Row],[province RDC]],_26_03_2026_Client_Churn_v1[Province_Client],_26_03_2026_Client_Churn_v1[Duree_Cumulee_Panne_Min],"non trouvé")</f>
        <v>non trouvé</v>
      </c>
      <c r="O120" t="str">
        <f>_xlfn.XLOOKUP(_26_03_2026_Log_Reseau_v15[[#This Row],[province RDC]],_26_03_2026_Client_Churn_v1[Province_Client],_26_03_2026_Client_Churn_v1[Facture_Mensuelle],"non trouvé")</f>
        <v>non trouvé</v>
      </c>
      <c r="P120" t="str">
        <f>_xlfn.XLOOKUP(_26_03_2026_Log_Reseau_v15[[#This Row],[province RDC]],_26_03_2026_Client_Churn_v1[Province_Client],_26_03_2026_Client_Churn_v1[Plaintes_Service_Client],"non trouvé")</f>
        <v>non trouvé</v>
      </c>
    </row>
    <row r="121" spans="1:16" hidden="1" x14ac:dyDescent="0.25">
      <c r="A121" s="1">
        <v>45225</v>
      </c>
      <c r="B121" s="2">
        <v>0.2388888888888889</v>
      </c>
      <c r="C121" t="s">
        <v>886</v>
      </c>
      <c r="D121">
        <v>16</v>
      </c>
      <c r="E121" t="s">
        <v>808</v>
      </c>
      <c r="F121" t="str">
        <f>_xlfn.XLOOKUP(_26_03_2026_Log_Reseau_v15[[#This Row],[Cell_ID]],_26_03_2026_Registre_Maintenance_v1[ID_Antenne],_26_03_2026_Registre_Maintenance_v1[zone],"pas trouvé")</f>
        <v>pas trouvé</v>
      </c>
      <c r="G121" t="str">
        <f>_xlfn.XLOOKUP(_26_03_2026_Log_Reseau_v15[[#This Row],[Cell_ID]],_26_03_2026_Registre_Maintenance_v1[ID_Antenne],_26_03_2026_Registre_Maintenance_v1[Latitude],"non trouvé")</f>
        <v>non trouvé</v>
      </c>
      <c r="H121" t="str">
        <f>_xlfn.XLOOKUP(_26_03_2026_Log_Reseau_v15[[#This Row],[Cell_ID]],_26_03_2026_Registre_Maintenance_v1[ID_Antenne],_26_03_2026_Registre_Maintenance_v1[Longitude],"pas trouvé")</f>
        <v>pas trouvé</v>
      </c>
      <c r="I121" t="str">
        <f>_xlfn.XLOOKUP(_26_03_2026_Log_Reseau_v15[[#This Row],[Cell_ID]],_26_03_2026_Registre_Maintenance_v1[ID_Antenne],_26_03_2026_Registre_Maintenance_v1[Technologie],"non trouvé")</f>
        <v>non trouvé</v>
      </c>
      <c r="J121" t="str">
        <f>_xlfn.XLOOKUP(_26_03_2026_Log_Reseau_v15[[#This Row],[Cell_ID]],_26_03_2026_Registre_Maintenance_v1[ID_Antenne],_26_03_2026_Registre_Maintenance_v1[Equipementier],"pas trouvé")</f>
        <v>pas trouvé</v>
      </c>
      <c r="K121" t="str">
        <f>_xlfn.XLOOKUP(_26_03_2026_Log_Reseau_v15[[#This Row],[province RDC]],_26_03_2026_Client_Churn_v1[Province_Client],_26_03_2026_Client_Churn_v1[ID_Client],"non trouvé")</f>
        <v>non trouvé</v>
      </c>
      <c r="L121" t="str">
        <f>_xlfn.XLOOKUP(_26_03_2026_Log_Reseau_v15[[#This Row],[province RDC]],_26_03_2026_Client_Churn_v1[Province_Client],_26_03_2026_Client_Churn_v1[Anciennete_Mois],"non trouvé")</f>
        <v>non trouvé</v>
      </c>
      <c r="M121" t="str">
        <f>_xlfn.XLOOKUP(_26_03_2026_Log_Reseau_v15[[#This Row],[province RDC]],_26_03_2026_Client_Churn_v1[Province_Client],_26_03_2026_Client_Churn_v1[Type_Forfait],"non trouvé")</f>
        <v>non trouvé</v>
      </c>
      <c r="N121" t="str">
        <f>_xlfn.XLOOKUP(_26_03_2026_Log_Reseau_v15[[#This Row],[province RDC]],_26_03_2026_Client_Churn_v1[Province_Client],_26_03_2026_Client_Churn_v1[Duree_Cumulee_Panne_Min],"non trouvé")</f>
        <v>non trouvé</v>
      </c>
      <c r="O121" t="str">
        <f>_xlfn.XLOOKUP(_26_03_2026_Log_Reseau_v15[[#This Row],[province RDC]],_26_03_2026_Client_Churn_v1[Province_Client],_26_03_2026_Client_Churn_v1[Facture_Mensuelle],"non trouvé")</f>
        <v>non trouvé</v>
      </c>
      <c r="P121" t="str">
        <f>_xlfn.XLOOKUP(_26_03_2026_Log_Reseau_v15[[#This Row],[province RDC]],_26_03_2026_Client_Churn_v1[Province_Client],_26_03_2026_Client_Churn_v1[Plaintes_Service_Client],"non trouvé")</f>
        <v>non trouvé</v>
      </c>
    </row>
    <row r="122" spans="1:16" x14ac:dyDescent="0.25">
      <c r="A122" s="1">
        <v>45225</v>
      </c>
      <c r="B122" s="2">
        <v>0.78194444444444444</v>
      </c>
      <c r="C122" t="s">
        <v>887</v>
      </c>
      <c r="D122">
        <v>113</v>
      </c>
      <c r="E122" t="s">
        <v>808</v>
      </c>
      <c r="F122" t="str">
        <f>_xlfn.XLOOKUP(_26_03_2026_Log_Reseau_v15[[#This Row],[Cell_ID]],_26_03_2026_Registre_Maintenance_v1[ID_Antenne],_26_03_2026_Registre_Maintenance_v1[zone],"pas trouvé")</f>
        <v>Tanganyika</v>
      </c>
      <c r="G122">
        <f>_xlfn.XLOOKUP(_26_03_2026_Log_Reseau_v15[[#This Row],[Cell_ID]],_26_03_2026_Registre_Maintenance_v1[ID_Antenne],_26_03_2026_Registre_Maintenance_v1[Latitude],"non trouvé")</f>
        <v>-7.9425049999999997</v>
      </c>
      <c r="H122">
        <f>_xlfn.XLOOKUP(_26_03_2026_Log_Reseau_v15[[#This Row],[Cell_ID]],_26_03_2026_Registre_Maintenance_v1[ID_Antenne],_26_03_2026_Registre_Maintenance_v1[Longitude],"pas trouvé")</f>
        <v>24.111059000000001</v>
      </c>
      <c r="I122" t="str">
        <f>_xlfn.XLOOKUP(_26_03_2026_Log_Reseau_v15[[#This Row],[Cell_ID]],_26_03_2026_Registre_Maintenance_v1[ID_Antenne],_26_03_2026_Registre_Maintenance_v1[Technologie],"non trouvé")</f>
        <v>3G</v>
      </c>
      <c r="J122" t="str">
        <f>_xlfn.XLOOKUP(_26_03_2026_Log_Reseau_v15[[#This Row],[Cell_ID]],_26_03_2026_Registre_Maintenance_v1[ID_Antenne],_26_03_2026_Registre_Maintenance_v1[Equipementier],"pas trouvé")</f>
        <v>ZTE</v>
      </c>
      <c r="K122" t="str">
        <f>_xlfn.XLOOKUP(_26_03_2026_Log_Reseau_v15[[#This Row],[province RDC]],_26_03_2026_Client_Churn_v1[Province_Client],_26_03_2026_Client_Churn_v1[ID_Client],"non trouvé")</f>
        <v>CLI-01618</v>
      </c>
      <c r="L122">
        <f>_xlfn.XLOOKUP(_26_03_2026_Log_Reseau_v15[[#This Row],[province RDC]],_26_03_2026_Client_Churn_v1[Province_Client],_26_03_2026_Client_Churn_v1[Anciennete_Mois],"non trouvé")</f>
        <v>115</v>
      </c>
      <c r="M122" t="str">
        <f>_xlfn.XLOOKUP(_26_03_2026_Log_Reseau_v15[[#This Row],[province RDC]],_26_03_2026_Client_Churn_v1[Province_Client],_26_03_2026_Client_Churn_v1[Type_Forfait],"non trouvé")</f>
        <v>Bloqué 5Go</v>
      </c>
      <c r="N122">
        <f>_xlfn.XLOOKUP(_26_03_2026_Log_Reseau_v15[[#This Row],[province RDC]],_26_03_2026_Client_Churn_v1[Province_Client],_26_03_2026_Client_Churn_v1[Duree_Cumulee_Panne_Min],"non trouvé")</f>
        <v>176</v>
      </c>
      <c r="O122">
        <f>_xlfn.XLOOKUP(_26_03_2026_Log_Reseau_v15[[#This Row],[province RDC]],_26_03_2026_Client_Churn_v1[Province_Client],_26_03_2026_Client_Churn_v1[Facture_Mensuelle],"non trouvé")</f>
        <v>33.28</v>
      </c>
      <c r="P122">
        <f>_xlfn.XLOOKUP(_26_03_2026_Log_Reseau_v15[[#This Row],[province RDC]],_26_03_2026_Client_Churn_v1[Province_Client],_26_03_2026_Client_Churn_v1[Plaintes_Service_Client],"non trouvé")</f>
        <v>4</v>
      </c>
    </row>
    <row r="123" spans="1:16" hidden="1" x14ac:dyDescent="0.25">
      <c r="A123" s="1">
        <v>45207</v>
      </c>
      <c r="B123" s="2">
        <v>0.71388888888888891</v>
      </c>
      <c r="C123" t="s">
        <v>888</v>
      </c>
      <c r="D123">
        <v>99</v>
      </c>
      <c r="E123" t="s">
        <v>808</v>
      </c>
      <c r="F123" t="str">
        <f>_xlfn.XLOOKUP(_26_03_2026_Log_Reseau_v15[[#This Row],[Cell_ID]],_26_03_2026_Registre_Maintenance_v1[ID_Antenne],_26_03_2026_Registre_Maintenance_v1[zone],"pas trouvé")</f>
        <v>pas trouvé</v>
      </c>
      <c r="G123" t="str">
        <f>_xlfn.XLOOKUP(_26_03_2026_Log_Reseau_v15[[#This Row],[Cell_ID]],_26_03_2026_Registre_Maintenance_v1[ID_Antenne],_26_03_2026_Registre_Maintenance_v1[Latitude],"non trouvé")</f>
        <v>non trouvé</v>
      </c>
      <c r="H123" t="str">
        <f>_xlfn.XLOOKUP(_26_03_2026_Log_Reseau_v15[[#This Row],[Cell_ID]],_26_03_2026_Registre_Maintenance_v1[ID_Antenne],_26_03_2026_Registre_Maintenance_v1[Longitude],"pas trouvé")</f>
        <v>pas trouvé</v>
      </c>
      <c r="I123" t="str">
        <f>_xlfn.XLOOKUP(_26_03_2026_Log_Reseau_v15[[#This Row],[Cell_ID]],_26_03_2026_Registre_Maintenance_v1[ID_Antenne],_26_03_2026_Registre_Maintenance_v1[Technologie],"non trouvé")</f>
        <v>non trouvé</v>
      </c>
      <c r="J123" t="str">
        <f>_xlfn.XLOOKUP(_26_03_2026_Log_Reseau_v15[[#This Row],[Cell_ID]],_26_03_2026_Registre_Maintenance_v1[ID_Antenne],_26_03_2026_Registre_Maintenance_v1[Equipementier],"pas trouvé")</f>
        <v>pas trouvé</v>
      </c>
      <c r="K123" t="str">
        <f>_xlfn.XLOOKUP(_26_03_2026_Log_Reseau_v15[[#This Row],[province RDC]],_26_03_2026_Client_Churn_v1[Province_Client],_26_03_2026_Client_Churn_v1[ID_Client],"non trouvé")</f>
        <v>non trouvé</v>
      </c>
      <c r="L123" t="str">
        <f>_xlfn.XLOOKUP(_26_03_2026_Log_Reseau_v15[[#This Row],[province RDC]],_26_03_2026_Client_Churn_v1[Province_Client],_26_03_2026_Client_Churn_v1[Anciennete_Mois],"non trouvé")</f>
        <v>non trouvé</v>
      </c>
      <c r="M123" t="str">
        <f>_xlfn.XLOOKUP(_26_03_2026_Log_Reseau_v15[[#This Row],[province RDC]],_26_03_2026_Client_Churn_v1[Province_Client],_26_03_2026_Client_Churn_v1[Type_Forfait],"non trouvé")</f>
        <v>non trouvé</v>
      </c>
      <c r="N123" t="str">
        <f>_xlfn.XLOOKUP(_26_03_2026_Log_Reseau_v15[[#This Row],[province RDC]],_26_03_2026_Client_Churn_v1[Province_Client],_26_03_2026_Client_Churn_v1[Duree_Cumulee_Panne_Min],"non trouvé")</f>
        <v>non trouvé</v>
      </c>
      <c r="O123" t="str">
        <f>_xlfn.XLOOKUP(_26_03_2026_Log_Reseau_v15[[#This Row],[province RDC]],_26_03_2026_Client_Churn_v1[Province_Client],_26_03_2026_Client_Churn_v1[Facture_Mensuelle],"non trouvé")</f>
        <v>non trouvé</v>
      </c>
      <c r="P123" t="str">
        <f>_xlfn.XLOOKUP(_26_03_2026_Log_Reseau_v15[[#This Row],[province RDC]],_26_03_2026_Client_Churn_v1[Province_Client],_26_03_2026_Client_Churn_v1[Plaintes_Service_Client],"non trouvé")</f>
        <v>non trouvé</v>
      </c>
    </row>
    <row r="124" spans="1:16" hidden="1" x14ac:dyDescent="0.25">
      <c r="A124" s="1">
        <v>45226</v>
      </c>
      <c r="B124" s="2">
        <v>0.57430555555555551</v>
      </c>
      <c r="C124" t="s">
        <v>888</v>
      </c>
      <c r="D124">
        <v>81</v>
      </c>
      <c r="E124" t="s">
        <v>808</v>
      </c>
      <c r="F124" t="str">
        <f>_xlfn.XLOOKUP(_26_03_2026_Log_Reseau_v15[[#This Row],[Cell_ID]],_26_03_2026_Registre_Maintenance_v1[ID_Antenne],_26_03_2026_Registre_Maintenance_v1[zone],"pas trouvé")</f>
        <v>pas trouvé</v>
      </c>
      <c r="G124" t="str">
        <f>_xlfn.XLOOKUP(_26_03_2026_Log_Reseau_v15[[#This Row],[Cell_ID]],_26_03_2026_Registre_Maintenance_v1[ID_Antenne],_26_03_2026_Registre_Maintenance_v1[Latitude],"non trouvé")</f>
        <v>non trouvé</v>
      </c>
      <c r="H124" t="str">
        <f>_xlfn.XLOOKUP(_26_03_2026_Log_Reseau_v15[[#This Row],[Cell_ID]],_26_03_2026_Registre_Maintenance_v1[ID_Antenne],_26_03_2026_Registre_Maintenance_v1[Longitude],"pas trouvé")</f>
        <v>pas trouvé</v>
      </c>
      <c r="I124" t="str">
        <f>_xlfn.XLOOKUP(_26_03_2026_Log_Reseau_v15[[#This Row],[Cell_ID]],_26_03_2026_Registre_Maintenance_v1[ID_Antenne],_26_03_2026_Registre_Maintenance_v1[Technologie],"non trouvé")</f>
        <v>non trouvé</v>
      </c>
      <c r="J124" t="str">
        <f>_xlfn.XLOOKUP(_26_03_2026_Log_Reseau_v15[[#This Row],[Cell_ID]],_26_03_2026_Registre_Maintenance_v1[ID_Antenne],_26_03_2026_Registre_Maintenance_v1[Equipementier],"pas trouvé")</f>
        <v>pas trouvé</v>
      </c>
      <c r="K124" t="str">
        <f>_xlfn.XLOOKUP(_26_03_2026_Log_Reseau_v15[[#This Row],[province RDC]],_26_03_2026_Client_Churn_v1[Province_Client],_26_03_2026_Client_Churn_v1[ID_Client],"non trouvé")</f>
        <v>non trouvé</v>
      </c>
      <c r="L124" t="str">
        <f>_xlfn.XLOOKUP(_26_03_2026_Log_Reseau_v15[[#This Row],[province RDC]],_26_03_2026_Client_Churn_v1[Province_Client],_26_03_2026_Client_Churn_v1[Anciennete_Mois],"non trouvé")</f>
        <v>non trouvé</v>
      </c>
      <c r="M124" t="str">
        <f>_xlfn.XLOOKUP(_26_03_2026_Log_Reseau_v15[[#This Row],[province RDC]],_26_03_2026_Client_Churn_v1[Province_Client],_26_03_2026_Client_Churn_v1[Type_Forfait],"non trouvé")</f>
        <v>non trouvé</v>
      </c>
      <c r="N124" t="str">
        <f>_xlfn.XLOOKUP(_26_03_2026_Log_Reseau_v15[[#This Row],[province RDC]],_26_03_2026_Client_Churn_v1[Province_Client],_26_03_2026_Client_Churn_v1[Duree_Cumulee_Panne_Min],"non trouvé")</f>
        <v>non trouvé</v>
      </c>
      <c r="O124" t="str">
        <f>_xlfn.XLOOKUP(_26_03_2026_Log_Reseau_v15[[#This Row],[province RDC]],_26_03_2026_Client_Churn_v1[Province_Client],_26_03_2026_Client_Churn_v1[Facture_Mensuelle],"non trouvé")</f>
        <v>non trouvé</v>
      </c>
      <c r="P124" t="str">
        <f>_xlfn.XLOOKUP(_26_03_2026_Log_Reseau_v15[[#This Row],[province RDC]],_26_03_2026_Client_Churn_v1[Province_Client],_26_03_2026_Client_Churn_v1[Plaintes_Service_Client],"non trouvé")</f>
        <v>non trouvé</v>
      </c>
    </row>
    <row r="125" spans="1:16" hidden="1" x14ac:dyDescent="0.25">
      <c r="A125" s="1">
        <v>45205</v>
      </c>
      <c r="B125" s="2">
        <v>0.6</v>
      </c>
      <c r="C125" t="s">
        <v>889</v>
      </c>
      <c r="D125">
        <v>19</v>
      </c>
      <c r="E125" t="s">
        <v>808</v>
      </c>
      <c r="F125" t="str">
        <f>_xlfn.XLOOKUP(_26_03_2026_Log_Reseau_v15[[#This Row],[Cell_ID]],_26_03_2026_Registre_Maintenance_v1[ID_Antenne],_26_03_2026_Registre_Maintenance_v1[zone],"pas trouvé")</f>
        <v>pas trouvé</v>
      </c>
      <c r="G125" t="str">
        <f>_xlfn.XLOOKUP(_26_03_2026_Log_Reseau_v15[[#This Row],[Cell_ID]],_26_03_2026_Registre_Maintenance_v1[ID_Antenne],_26_03_2026_Registre_Maintenance_v1[Latitude],"non trouvé")</f>
        <v>non trouvé</v>
      </c>
      <c r="H125" t="str">
        <f>_xlfn.XLOOKUP(_26_03_2026_Log_Reseau_v15[[#This Row],[Cell_ID]],_26_03_2026_Registre_Maintenance_v1[ID_Antenne],_26_03_2026_Registre_Maintenance_v1[Longitude],"pas trouvé")</f>
        <v>pas trouvé</v>
      </c>
      <c r="I125" t="str">
        <f>_xlfn.XLOOKUP(_26_03_2026_Log_Reseau_v15[[#This Row],[Cell_ID]],_26_03_2026_Registre_Maintenance_v1[ID_Antenne],_26_03_2026_Registre_Maintenance_v1[Technologie],"non trouvé")</f>
        <v>non trouvé</v>
      </c>
      <c r="J125" t="str">
        <f>_xlfn.XLOOKUP(_26_03_2026_Log_Reseau_v15[[#This Row],[Cell_ID]],_26_03_2026_Registre_Maintenance_v1[ID_Antenne],_26_03_2026_Registre_Maintenance_v1[Equipementier],"pas trouvé")</f>
        <v>pas trouvé</v>
      </c>
      <c r="K125" t="str">
        <f>_xlfn.XLOOKUP(_26_03_2026_Log_Reseau_v15[[#This Row],[province RDC]],_26_03_2026_Client_Churn_v1[Province_Client],_26_03_2026_Client_Churn_v1[ID_Client],"non trouvé")</f>
        <v>non trouvé</v>
      </c>
      <c r="L125" t="str">
        <f>_xlfn.XLOOKUP(_26_03_2026_Log_Reseau_v15[[#This Row],[province RDC]],_26_03_2026_Client_Churn_v1[Province_Client],_26_03_2026_Client_Churn_v1[Anciennete_Mois],"non trouvé")</f>
        <v>non trouvé</v>
      </c>
      <c r="M125" t="str">
        <f>_xlfn.XLOOKUP(_26_03_2026_Log_Reseau_v15[[#This Row],[province RDC]],_26_03_2026_Client_Churn_v1[Province_Client],_26_03_2026_Client_Churn_v1[Type_Forfait],"non trouvé")</f>
        <v>non trouvé</v>
      </c>
      <c r="N125" t="str">
        <f>_xlfn.XLOOKUP(_26_03_2026_Log_Reseau_v15[[#This Row],[province RDC]],_26_03_2026_Client_Churn_v1[Province_Client],_26_03_2026_Client_Churn_v1[Duree_Cumulee_Panne_Min],"non trouvé")</f>
        <v>non trouvé</v>
      </c>
      <c r="O125" t="str">
        <f>_xlfn.XLOOKUP(_26_03_2026_Log_Reseau_v15[[#This Row],[province RDC]],_26_03_2026_Client_Churn_v1[Province_Client],_26_03_2026_Client_Churn_v1[Facture_Mensuelle],"non trouvé")</f>
        <v>non trouvé</v>
      </c>
      <c r="P125" t="str">
        <f>_xlfn.XLOOKUP(_26_03_2026_Log_Reseau_v15[[#This Row],[province RDC]],_26_03_2026_Client_Churn_v1[Province_Client],_26_03_2026_Client_Churn_v1[Plaintes_Service_Client],"non trouvé")</f>
        <v>non trouvé</v>
      </c>
    </row>
    <row r="126" spans="1:16" hidden="1" x14ac:dyDescent="0.25">
      <c r="A126" s="1">
        <v>45201</v>
      </c>
      <c r="B126" s="2">
        <v>0.77083333333333337</v>
      </c>
      <c r="C126" t="s">
        <v>889</v>
      </c>
      <c r="D126">
        <v>18</v>
      </c>
      <c r="E126" t="s">
        <v>812</v>
      </c>
      <c r="F126" t="str">
        <f>_xlfn.XLOOKUP(_26_03_2026_Log_Reseau_v15[[#This Row],[Cell_ID]],_26_03_2026_Registre_Maintenance_v1[ID_Antenne],_26_03_2026_Registre_Maintenance_v1[zone],"pas trouvé")</f>
        <v>pas trouvé</v>
      </c>
      <c r="G126" t="str">
        <f>_xlfn.XLOOKUP(_26_03_2026_Log_Reseau_v15[[#This Row],[Cell_ID]],_26_03_2026_Registre_Maintenance_v1[ID_Antenne],_26_03_2026_Registre_Maintenance_v1[Latitude],"non trouvé")</f>
        <v>non trouvé</v>
      </c>
      <c r="H126" t="str">
        <f>_xlfn.XLOOKUP(_26_03_2026_Log_Reseau_v15[[#This Row],[Cell_ID]],_26_03_2026_Registre_Maintenance_v1[ID_Antenne],_26_03_2026_Registre_Maintenance_v1[Longitude],"pas trouvé")</f>
        <v>pas trouvé</v>
      </c>
      <c r="I126" t="str">
        <f>_xlfn.XLOOKUP(_26_03_2026_Log_Reseau_v15[[#This Row],[Cell_ID]],_26_03_2026_Registre_Maintenance_v1[ID_Antenne],_26_03_2026_Registre_Maintenance_v1[Technologie],"non trouvé")</f>
        <v>non trouvé</v>
      </c>
      <c r="J126" t="str">
        <f>_xlfn.XLOOKUP(_26_03_2026_Log_Reseau_v15[[#This Row],[Cell_ID]],_26_03_2026_Registre_Maintenance_v1[ID_Antenne],_26_03_2026_Registre_Maintenance_v1[Equipementier],"pas trouvé")</f>
        <v>pas trouvé</v>
      </c>
      <c r="K126" t="str">
        <f>_xlfn.XLOOKUP(_26_03_2026_Log_Reseau_v15[[#This Row],[province RDC]],_26_03_2026_Client_Churn_v1[Province_Client],_26_03_2026_Client_Churn_v1[ID_Client],"non trouvé")</f>
        <v>non trouvé</v>
      </c>
      <c r="L126" t="str">
        <f>_xlfn.XLOOKUP(_26_03_2026_Log_Reseau_v15[[#This Row],[province RDC]],_26_03_2026_Client_Churn_v1[Province_Client],_26_03_2026_Client_Churn_v1[Anciennete_Mois],"non trouvé")</f>
        <v>non trouvé</v>
      </c>
      <c r="M126" t="str">
        <f>_xlfn.XLOOKUP(_26_03_2026_Log_Reseau_v15[[#This Row],[province RDC]],_26_03_2026_Client_Churn_v1[Province_Client],_26_03_2026_Client_Churn_v1[Type_Forfait],"non trouvé")</f>
        <v>non trouvé</v>
      </c>
      <c r="N126" t="str">
        <f>_xlfn.XLOOKUP(_26_03_2026_Log_Reseau_v15[[#This Row],[province RDC]],_26_03_2026_Client_Churn_v1[Province_Client],_26_03_2026_Client_Churn_v1[Duree_Cumulee_Panne_Min],"non trouvé")</f>
        <v>non trouvé</v>
      </c>
      <c r="O126" t="str">
        <f>_xlfn.XLOOKUP(_26_03_2026_Log_Reseau_v15[[#This Row],[province RDC]],_26_03_2026_Client_Churn_v1[Province_Client],_26_03_2026_Client_Churn_v1[Facture_Mensuelle],"non trouvé")</f>
        <v>non trouvé</v>
      </c>
      <c r="P126" t="str">
        <f>_xlfn.XLOOKUP(_26_03_2026_Log_Reseau_v15[[#This Row],[province RDC]],_26_03_2026_Client_Churn_v1[Province_Client],_26_03_2026_Client_Churn_v1[Plaintes_Service_Client],"non trouvé")</f>
        <v>non trouvé</v>
      </c>
    </row>
    <row r="127" spans="1:16" hidden="1" x14ac:dyDescent="0.25">
      <c r="A127" s="1">
        <v>45225</v>
      </c>
      <c r="B127" s="2">
        <v>0.92152777777777772</v>
      </c>
      <c r="C127" t="s">
        <v>890</v>
      </c>
      <c r="D127">
        <v>45</v>
      </c>
      <c r="E127" t="s">
        <v>807</v>
      </c>
      <c r="F127" t="str">
        <f>_xlfn.XLOOKUP(_26_03_2026_Log_Reseau_v15[[#This Row],[Cell_ID]],_26_03_2026_Registre_Maintenance_v1[ID_Antenne],_26_03_2026_Registre_Maintenance_v1[zone],"pas trouvé")</f>
        <v>pas trouvé</v>
      </c>
      <c r="G127" t="str">
        <f>_xlfn.XLOOKUP(_26_03_2026_Log_Reseau_v15[[#This Row],[Cell_ID]],_26_03_2026_Registre_Maintenance_v1[ID_Antenne],_26_03_2026_Registre_Maintenance_v1[Latitude],"non trouvé")</f>
        <v>non trouvé</v>
      </c>
      <c r="H127" t="str">
        <f>_xlfn.XLOOKUP(_26_03_2026_Log_Reseau_v15[[#This Row],[Cell_ID]],_26_03_2026_Registre_Maintenance_v1[ID_Antenne],_26_03_2026_Registre_Maintenance_v1[Longitude],"pas trouvé")</f>
        <v>pas trouvé</v>
      </c>
      <c r="I127" t="str">
        <f>_xlfn.XLOOKUP(_26_03_2026_Log_Reseau_v15[[#This Row],[Cell_ID]],_26_03_2026_Registre_Maintenance_v1[ID_Antenne],_26_03_2026_Registre_Maintenance_v1[Technologie],"non trouvé")</f>
        <v>non trouvé</v>
      </c>
      <c r="J127" t="str">
        <f>_xlfn.XLOOKUP(_26_03_2026_Log_Reseau_v15[[#This Row],[Cell_ID]],_26_03_2026_Registre_Maintenance_v1[ID_Antenne],_26_03_2026_Registre_Maintenance_v1[Equipementier],"pas trouvé")</f>
        <v>pas trouvé</v>
      </c>
      <c r="K127" t="str">
        <f>_xlfn.XLOOKUP(_26_03_2026_Log_Reseau_v15[[#This Row],[province RDC]],_26_03_2026_Client_Churn_v1[Province_Client],_26_03_2026_Client_Churn_v1[ID_Client],"non trouvé")</f>
        <v>non trouvé</v>
      </c>
      <c r="L127" t="str">
        <f>_xlfn.XLOOKUP(_26_03_2026_Log_Reseau_v15[[#This Row],[province RDC]],_26_03_2026_Client_Churn_v1[Province_Client],_26_03_2026_Client_Churn_v1[Anciennete_Mois],"non trouvé")</f>
        <v>non trouvé</v>
      </c>
      <c r="M127" t="str">
        <f>_xlfn.XLOOKUP(_26_03_2026_Log_Reseau_v15[[#This Row],[province RDC]],_26_03_2026_Client_Churn_v1[Province_Client],_26_03_2026_Client_Churn_v1[Type_Forfait],"non trouvé")</f>
        <v>non trouvé</v>
      </c>
      <c r="N127" t="str">
        <f>_xlfn.XLOOKUP(_26_03_2026_Log_Reseau_v15[[#This Row],[province RDC]],_26_03_2026_Client_Churn_v1[Province_Client],_26_03_2026_Client_Churn_v1[Duree_Cumulee_Panne_Min],"non trouvé")</f>
        <v>non trouvé</v>
      </c>
      <c r="O127" t="str">
        <f>_xlfn.XLOOKUP(_26_03_2026_Log_Reseau_v15[[#This Row],[province RDC]],_26_03_2026_Client_Churn_v1[Province_Client],_26_03_2026_Client_Churn_v1[Facture_Mensuelle],"non trouvé")</f>
        <v>non trouvé</v>
      </c>
      <c r="P127" t="str">
        <f>_xlfn.XLOOKUP(_26_03_2026_Log_Reseau_v15[[#This Row],[province RDC]],_26_03_2026_Client_Churn_v1[Province_Client],_26_03_2026_Client_Churn_v1[Plaintes_Service_Client],"non trouvé")</f>
        <v>non trouvé</v>
      </c>
    </row>
    <row r="128" spans="1:16" hidden="1" x14ac:dyDescent="0.25">
      <c r="A128" s="1">
        <v>45204</v>
      </c>
      <c r="B128" s="2">
        <v>0.68472222222222223</v>
      </c>
      <c r="C128" t="s">
        <v>890</v>
      </c>
      <c r="D128">
        <v>92</v>
      </c>
      <c r="E128" t="s">
        <v>807</v>
      </c>
      <c r="F128" t="str">
        <f>_xlfn.XLOOKUP(_26_03_2026_Log_Reseau_v15[[#This Row],[Cell_ID]],_26_03_2026_Registre_Maintenance_v1[ID_Antenne],_26_03_2026_Registre_Maintenance_v1[zone],"pas trouvé")</f>
        <v>pas trouvé</v>
      </c>
      <c r="G128" t="str">
        <f>_xlfn.XLOOKUP(_26_03_2026_Log_Reseau_v15[[#This Row],[Cell_ID]],_26_03_2026_Registre_Maintenance_v1[ID_Antenne],_26_03_2026_Registre_Maintenance_v1[Latitude],"non trouvé")</f>
        <v>non trouvé</v>
      </c>
      <c r="H128" t="str">
        <f>_xlfn.XLOOKUP(_26_03_2026_Log_Reseau_v15[[#This Row],[Cell_ID]],_26_03_2026_Registre_Maintenance_v1[ID_Antenne],_26_03_2026_Registre_Maintenance_v1[Longitude],"pas trouvé")</f>
        <v>pas trouvé</v>
      </c>
      <c r="I128" t="str">
        <f>_xlfn.XLOOKUP(_26_03_2026_Log_Reseau_v15[[#This Row],[Cell_ID]],_26_03_2026_Registre_Maintenance_v1[ID_Antenne],_26_03_2026_Registre_Maintenance_v1[Technologie],"non trouvé")</f>
        <v>non trouvé</v>
      </c>
      <c r="J128" t="str">
        <f>_xlfn.XLOOKUP(_26_03_2026_Log_Reseau_v15[[#This Row],[Cell_ID]],_26_03_2026_Registre_Maintenance_v1[ID_Antenne],_26_03_2026_Registre_Maintenance_v1[Equipementier],"pas trouvé")</f>
        <v>pas trouvé</v>
      </c>
      <c r="K128" t="str">
        <f>_xlfn.XLOOKUP(_26_03_2026_Log_Reseau_v15[[#This Row],[province RDC]],_26_03_2026_Client_Churn_v1[Province_Client],_26_03_2026_Client_Churn_v1[ID_Client],"non trouvé")</f>
        <v>non trouvé</v>
      </c>
      <c r="L128" t="str">
        <f>_xlfn.XLOOKUP(_26_03_2026_Log_Reseau_v15[[#This Row],[province RDC]],_26_03_2026_Client_Churn_v1[Province_Client],_26_03_2026_Client_Churn_v1[Anciennete_Mois],"non trouvé")</f>
        <v>non trouvé</v>
      </c>
      <c r="M128" t="str">
        <f>_xlfn.XLOOKUP(_26_03_2026_Log_Reseau_v15[[#This Row],[province RDC]],_26_03_2026_Client_Churn_v1[Province_Client],_26_03_2026_Client_Churn_v1[Type_Forfait],"non trouvé")</f>
        <v>non trouvé</v>
      </c>
      <c r="N128" t="str">
        <f>_xlfn.XLOOKUP(_26_03_2026_Log_Reseau_v15[[#This Row],[province RDC]],_26_03_2026_Client_Churn_v1[Province_Client],_26_03_2026_Client_Churn_v1[Duree_Cumulee_Panne_Min],"non trouvé")</f>
        <v>non trouvé</v>
      </c>
      <c r="O128" t="str">
        <f>_xlfn.XLOOKUP(_26_03_2026_Log_Reseau_v15[[#This Row],[province RDC]],_26_03_2026_Client_Churn_v1[Province_Client],_26_03_2026_Client_Churn_v1[Facture_Mensuelle],"non trouvé")</f>
        <v>non trouvé</v>
      </c>
      <c r="P128" t="str">
        <f>_xlfn.XLOOKUP(_26_03_2026_Log_Reseau_v15[[#This Row],[province RDC]],_26_03_2026_Client_Churn_v1[Province_Client],_26_03_2026_Client_Churn_v1[Plaintes_Service_Client],"non trouvé")</f>
        <v>non trouvé</v>
      </c>
    </row>
    <row r="129" spans="1:16" hidden="1" x14ac:dyDescent="0.25">
      <c r="A129" s="1">
        <v>45224</v>
      </c>
      <c r="B129" s="2">
        <v>0.31041666666666667</v>
      </c>
      <c r="C129" t="s">
        <v>890</v>
      </c>
      <c r="D129">
        <v>98</v>
      </c>
      <c r="E129" t="s">
        <v>808</v>
      </c>
      <c r="F129" t="str">
        <f>_xlfn.XLOOKUP(_26_03_2026_Log_Reseau_v15[[#This Row],[Cell_ID]],_26_03_2026_Registre_Maintenance_v1[ID_Antenne],_26_03_2026_Registre_Maintenance_v1[zone],"pas trouvé")</f>
        <v>pas trouvé</v>
      </c>
      <c r="G129" t="str">
        <f>_xlfn.XLOOKUP(_26_03_2026_Log_Reseau_v15[[#This Row],[Cell_ID]],_26_03_2026_Registre_Maintenance_v1[ID_Antenne],_26_03_2026_Registre_Maintenance_v1[Latitude],"non trouvé")</f>
        <v>non trouvé</v>
      </c>
      <c r="H129" t="str">
        <f>_xlfn.XLOOKUP(_26_03_2026_Log_Reseau_v15[[#This Row],[Cell_ID]],_26_03_2026_Registre_Maintenance_v1[ID_Antenne],_26_03_2026_Registre_Maintenance_v1[Longitude],"pas trouvé")</f>
        <v>pas trouvé</v>
      </c>
      <c r="I129" t="str">
        <f>_xlfn.XLOOKUP(_26_03_2026_Log_Reseau_v15[[#This Row],[Cell_ID]],_26_03_2026_Registre_Maintenance_v1[ID_Antenne],_26_03_2026_Registre_Maintenance_v1[Technologie],"non trouvé")</f>
        <v>non trouvé</v>
      </c>
      <c r="J129" t="str">
        <f>_xlfn.XLOOKUP(_26_03_2026_Log_Reseau_v15[[#This Row],[Cell_ID]],_26_03_2026_Registre_Maintenance_v1[ID_Antenne],_26_03_2026_Registre_Maintenance_v1[Equipementier],"pas trouvé")</f>
        <v>pas trouvé</v>
      </c>
      <c r="K129" t="str">
        <f>_xlfn.XLOOKUP(_26_03_2026_Log_Reseau_v15[[#This Row],[province RDC]],_26_03_2026_Client_Churn_v1[Province_Client],_26_03_2026_Client_Churn_v1[ID_Client],"non trouvé")</f>
        <v>non trouvé</v>
      </c>
      <c r="L129" t="str">
        <f>_xlfn.XLOOKUP(_26_03_2026_Log_Reseau_v15[[#This Row],[province RDC]],_26_03_2026_Client_Churn_v1[Province_Client],_26_03_2026_Client_Churn_v1[Anciennete_Mois],"non trouvé")</f>
        <v>non trouvé</v>
      </c>
      <c r="M129" t="str">
        <f>_xlfn.XLOOKUP(_26_03_2026_Log_Reseau_v15[[#This Row],[province RDC]],_26_03_2026_Client_Churn_v1[Province_Client],_26_03_2026_Client_Churn_v1[Type_Forfait],"non trouvé")</f>
        <v>non trouvé</v>
      </c>
      <c r="N129" t="str">
        <f>_xlfn.XLOOKUP(_26_03_2026_Log_Reseau_v15[[#This Row],[province RDC]],_26_03_2026_Client_Churn_v1[Province_Client],_26_03_2026_Client_Churn_v1[Duree_Cumulee_Panne_Min],"non trouvé")</f>
        <v>non trouvé</v>
      </c>
      <c r="O129" t="str">
        <f>_xlfn.XLOOKUP(_26_03_2026_Log_Reseau_v15[[#This Row],[province RDC]],_26_03_2026_Client_Churn_v1[Province_Client],_26_03_2026_Client_Churn_v1[Facture_Mensuelle],"non trouvé")</f>
        <v>non trouvé</v>
      </c>
      <c r="P129" t="str">
        <f>_xlfn.XLOOKUP(_26_03_2026_Log_Reseau_v15[[#This Row],[province RDC]],_26_03_2026_Client_Churn_v1[Province_Client],_26_03_2026_Client_Churn_v1[Plaintes_Service_Client],"non trouvé")</f>
        <v>non trouvé</v>
      </c>
    </row>
    <row r="130" spans="1:16" x14ac:dyDescent="0.25">
      <c r="A130" s="1">
        <v>45212</v>
      </c>
      <c r="B130" s="2">
        <v>0.41736111111111113</v>
      </c>
      <c r="C130" t="s">
        <v>891</v>
      </c>
      <c r="D130">
        <v>55</v>
      </c>
      <c r="E130" t="s">
        <v>808</v>
      </c>
      <c r="F130" t="str">
        <f>_xlfn.XLOOKUP(_26_03_2026_Log_Reseau_v15[[#This Row],[Cell_ID]],_26_03_2026_Registre_Maintenance_v1[ID_Antenne],_26_03_2026_Registre_Maintenance_v1[zone],"pas trouvé")</f>
        <v>Maniema</v>
      </c>
      <c r="G130">
        <f>_xlfn.XLOOKUP(_26_03_2026_Log_Reseau_v15[[#This Row],[Cell_ID]],_26_03_2026_Registre_Maintenance_v1[ID_Antenne],_26_03_2026_Registre_Maintenance_v1[Latitude],"non trouvé")</f>
        <v>1.938083</v>
      </c>
      <c r="H130">
        <f>_xlfn.XLOOKUP(_26_03_2026_Log_Reseau_v15[[#This Row],[Cell_ID]],_26_03_2026_Registre_Maintenance_v1[ID_Antenne],_26_03_2026_Registre_Maintenance_v1[Longitude],"pas trouvé")</f>
        <v>28.25281</v>
      </c>
      <c r="I130" t="str">
        <f>_xlfn.XLOOKUP(_26_03_2026_Log_Reseau_v15[[#This Row],[Cell_ID]],_26_03_2026_Registre_Maintenance_v1[ID_Antenne],_26_03_2026_Registre_Maintenance_v1[Technologie],"non trouvé")</f>
        <v>4G</v>
      </c>
      <c r="J130" t="str">
        <f>_xlfn.XLOOKUP(_26_03_2026_Log_Reseau_v15[[#This Row],[Cell_ID]],_26_03_2026_Registre_Maintenance_v1[ID_Antenne],_26_03_2026_Registre_Maintenance_v1[Equipementier],"pas trouvé")</f>
        <v>Nokia</v>
      </c>
      <c r="K130" t="str">
        <f>_xlfn.XLOOKUP(_26_03_2026_Log_Reseau_v15[[#This Row],[province RDC]],_26_03_2026_Client_Churn_v1[Province_Client],_26_03_2026_Client_Churn_v1[ID_Client],"non trouvé")</f>
        <v>CLI-00185</v>
      </c>
      <c r="L130">
        <f>_xlfn.XLOOKUP(_26_03_2026_Log_Reseau_v15[[#This Row],[province RDC]],_26_03_2026_Client_Churn_v1[Province_Client],_26_03_2026_Client_Churn_v1[Anciennete_Mois],"non trouvé")</f>
        <v>81</v>
      </c>
      <c r="M130" t="str">
        <f>_xlfn.XLOOKUP(_26_03_2026_Log_Reseau_v15[[#This Row],[province RDC]],_26_03_2026_Client_Churn_v1[Province_Client],_26_03_2026_Client_Churn_v1[Type_Forfait],"non trouvé")</f>
        <v>Pro Monde</v>
      </c>
      <c r="N130">
        <f>_xlfn.XLOOKUP(_26_03_2026_Log_Reseau_v15[[#This Row],[province RDC]],_26_03_2026_Client_Churn_v1[Province_Client],_26_03_2026_Client_Churn_v1[Duree_Cumulee_Panne_Min],"non trouvé")</f>
        <v>154</v>
      </c>
      <c r="O130">
        <f>_xlfn.XLOOKUP(_26_03_2026_Log_Reseau_v15[[#This Row],[province RDC]],_26_03_2026_Client_Churn_v1[Province_Client],_26_03_2026_Client_Churn_v1[Facture_Mensuelle],"non trouvé")</f>
        <v>19.47</v>
      </c>
      <c r="P130">
        <f>_xlfn.XLOOKUP(_26_03_2026_Log_Reseau_v15[[#This Row],[province RDC]],_26_03_2026_Client_Churn_v1[Province_Client],_26_03_2026_Client_Churn_v1[Plaintes_Service_Client],"non trouvé")</f>
        <v>3</v>
      </c>
    </row>
    <row r="131" spans="1:16" x14ac:dyDescent="0.25">
      <c r="A131" s="1">
        <v>45203</v>
      </c>
      <c r="B131" s="2">
        <v>0.91041666666666665</v>
      </c>
      <c r="C131" t="s">
        <v>891</v>
      </c>
      <c r="D131">
        <v>62</v>
      </c>
      <c r="E131" t="s">
        <v>807</v>
      </c>
      <c r="F131" t="str">
        <f>_xlfn.XLOOKUP(_26_03_2026_Log_Reseau_v15[[#This Row],[Cell_ID]],_26_03_2026_Registre_Maintenance_v1[ID_Antenne],_26_03_2026_Registre_Maintenance_v1[zone],"pas trouvé")</f>
        <v>Maniema</v>
      </c>
      <c r="G131">
        <f>_xlfn.XLOOKUP(_26_03_2026_Log_Reseau_v15[[#This Row],[Cell_ID]],_26_03_2026_Registre_Maintenance_v1[ID_Antenne],_26_03_2026_Registre_Maintenance_v1[Latitude],"non trouvé")</f>
        <v>1.938083</v>
      </c>
      <c r="H131">
        <f>_xlfn.XLOOKUP(_26_03_2026_Log_Reseau_v15[[#This Row],[Cell_ID]],_26_03_2026_Registre_Maintenance_v1[ID_Antenne],_26_03_2026_Registre_Maintenance_v1[Longitude],"pas trouvé")</f>
        <v>28.25281</v>
      </c>
      <c r="I131" t="str">
        <f>_xlfn.XLOOKUP(_26_03_2026_Log_Reseau_v15[[#This Row],[Cell_ID]],_26_03_2026_Registre_Maintenance_v1[ID_Antenne],_26_03_2026_Registre_Maintenance_v1[Technologie],"non trouvé")</f>
        <v>4G</v>
      </c>
      <c r="J131" t="str">
        <f>_xlfn.XLOOKUP(_26_03_2026_Log_Reseau_v15[[#This Row],[Cell_ID]],_26_03_2026_Registre_Maintenance_v1[ID_Antenne],_26_03_2026_Registre_Maintenance_v1[Equipementier],"pas trouvé")</f>
        <v>Nokia</v>
      </c>
      <c r="K131" t="str">
        <f>_xlfn.XLOOKUP(_26_03_2026_Log_Reseau_v15[[#This Row],[province RDC]],_26_03_2026_Client_Churn_v1[Province_Client],_26_03_2026_Client_Churn_v1[ID_Client],"non trouvé")</f>
        <v>CLI-00185</v>
      </c>
      <c r="L131">
        <f>_xlfn.XLOOKUP(_26_03_2026_Log_Reseau_v15[[#This Row],[province RDC]],_26_03_2026_Client_Churn_v1[Province_Client],_26_03_2026_Client_Churn_v1[Anciennete_Mois],"non trouvé")</f>
        <v>81</v>
      </c>
      <c r="M131" t="str">
        <f>_xlfn.XLOOKUP(_26_03_2026_Log_Reseau_v15[[#This Row],[province RDC]],_26_03_2026_Client_Churn_v1[Province_Client],_26_03_2026_Client_Churn_v1[Type_Forfait],"non trouvé")</f>
        <v>Pro Monde</v>
      </c>
      <c r="N131">
        <f>_xlfn.XLOOKUP(_26_03_2026_Log_Reseau_v15[[#This Row],[province RDC]],_26_03_2026_Client_Churn_v1[Province_Client],_26_03_2026_Client_Churn_v1[Duree_Cumulee_Panne_Min],"non trouvé")</f>
        <v>154</v>
      </c>
      <c r="O131">
        <f>_xlfn.XLOOKUP(_26_03_2026_Log_Reseau_v15[[#This Row],[province RDC]],_26_03_2026_Client_Churn_v1[Province_Client],_26_03_2026_Client_Churn_v1[Facture_Mensuelle],"non trouvé")</f>
        <v>19.47</v>
      </c>
      <c r="P131">
        <f>_xlfn.XLOOKUP(_26_03_2026_Log_Reseau_v15[[#This Row],[province RDC]],_26_03_2026_Client_Churn_v1[Province_Client],_26_03_2026_Client_Churn_v1[Plaintes_Service_Client],"non trouvé")</f>
        <v>3</v>
      </c>
    </row>
    <row r="132" spans="1:16" x14ac:dyDescent="0.25">
      <c r="A132" s="1">
        <v>45216</v>
      </c>
      <c r="B132" s="2">
        <v>0.43541666666666667</v>
      </c>
      <c r="C132" t="s">
        <v>891</v>
      </c>
      <c r="D132">
        <v>88</v>
      </c>
      <c r="E132" t="s">
        <v>807</v>
      </c>
      <c r="F132" t="str">
        <f>_xlfn.XLOOKUP(_26_03_2026_Log_Reseau_v15[[#This Row],[Cell_ID]],_26_03_2026_Registre_Maintenance_v1[ID_Antenne],_26_03_2026_Registre_Maintenance_v1[zone],"pas trouvé")</f>
        <v>Maniema</v>
      </c>
      <c r="G132">
        <f>_xlfn.XLOOKUP(_26_03_2026_Log_Reseau_v15[[#This Row],[Cell_ID]],_26_03_2026_Registre_Maintenance_v1[ID_Antenne],_26_03_2026_Registre_Maintenance_v1[Latitude],"non trouvé")</f>
        <v>1.938083</v>
      </c>
      <c r="H132">
        <f>_xlfn.XLOOKUP(_26_03_2026_Log_Reseau_v15[[#This Row],[Cell_ID]],_26_03_2026_Registre_Maintenance_v1[ID_Antenne],_26_03_2026_Registre_Maintenance_v1[Longitude],"pas trouvé")</f>
        <v>28.25281</v>
      </c>
      <c r="I132" t="str">
        <f>_xlfn.XLOOKUP(_26_03_2026_Log_Reseau_v15[[#This Row],[Cell_ID]],_26_03_2026_Registre_Maintenance_v1[ID_Antenne],_26_03_2026_Registre_Maintenance_v1[Technologie],"non trouvé")</f>
        <v>4G</v>
      </c>
      <c r="J132" t="str">
        <f>_xlfn.XLOOKUP(_26_03_2026_Log_Reseau_v15[[#This Row],[Cell_ID]],_26_03_2026_Registre_Maintenance_v1[ID_Antenne],_26_03_2026_Registre_Maintenance_v1[Equipementier],"pas trouvé")</f>
        <v>Nokia</v>
      </c>
      <c r="K132" t="str">
        <f>_xlfn.XLOOKUP(_26_03_2026_Log_Reseau_v15[[#This Row],[province RDC]],_26_03_2026_Client_Churn_v1[Province_Client],_26_03_2026_Client_Churn_v1[ID_Client],"non trouvé")</f>
        <v>CLI-00185</v>
      </c>
      <c r="L132">
        <f>_xlfn.XLOOKUP(_26_03_2026_Log_Reseau_v15[[#This Row],[province RDC]],_26_03_2026_Client_Churn_v1[Province_Client],_26_03_2026_Client_Churn_v1[Anciennete_Mois],"non trouvé")</f>
        <v>81</v>
      </c>
      <c r="M132" t="str">
        <f>_xlfn.XLOOKUP(_26_03_2026_Log_Reseau_v15[[#This Row],[province RDC]],_26_03_2026_Client_Churn_v1[Province_Client],_26_03_2026_Client_Churn_v1[Type_Forfait],"non trouvé")</f>
        <v>Pro Monde</v>
      </c>
      <c r="N132">
        <f>_xlfn.XLOOKUP(_26_03_2026_Log_Reseau_v15[[#This Row],[province RDC]],_26_03_2026_Client_Churn_v1[Province_Client],_26_03_2026_Client_Churn_v1[Duree_Cumulee_Panne_Min],"non trouvé")</f>
        <v>154</v>
      </c>
      <c r="O132">
        <f>_xlfn.XLOOKUP(_26_03_2026_Log_Reseau_v15[[#This Row],[province RDC]],_26_03_2026_Client_Churn_v1[Province_Client],_26_03_2026_Client_Churn_v1[Facture_Mensuelle],"non trouvé")</f>
        <v>19.47</v>
      </c>
      <c r="P132">
        <f>_xlfn.XLOOKUP(_26_03_2026_Log_Reseau_v15[[#This Row],[province RDC]],_26_03_2026_Client_Churn_v1[Province_Client],_26_03_2026_Client_Churn_v1[Plaintes_Service_Client],"non trouvé")</f>
        <v>3</v>
      </c>
    </row>
    <row r="133" spans="1:16" hidden="1" x14ac:dyDescent="0.25">
      <c r="A133" s="1">
        <v>45210</v>
      </c>
      <c r="B133" s="2">
        <v>7.6388888888888886E-3</v>
      </c>
      <c r="C133" t="s">
        <v>892</v>
      </c>
      <c r="D133">
        <v>59</v>
      </c>
      <c r="E133" t="s">
        <v>808</v>
      </c>
      <c r="F133" t="str">
        <f>_xlfn.XLOOKUP(_26_03_2026_Log_Reseau_v15[[#This Row],[Cell_ID]],_26_03_2026_Registre_Maintenance_v1[ID_Antenne],_26_03_2026_Registre_Maintenance_v1[zone],"pas trouvé")</f>
        <v>pas trouvé</v>
      </c>
      <c r="G133" t="str">
        <f>_xlfn.XLOOKUP(_26_03_2026_Log_Reseau_v15[[#This Row],[Cell_ID]],_26_03_2026_Registre_Maintenance_v1[ID_Antenne],_26_03_2026_Registre_Maintenance_v1[Latitude],"non trouvé")</f>
        <v>non trouvé</v>
      </c>
      <c r="H133" t="str">
        <f>_xlfn.XLOOKUP(_26_03_2026_Log_Reseau_v15[[#This Row],[Cell_ID]],_26_03_2026_Registre_Maintenance_v1[ID_Antenne],_26_03_2026_Registre_Maintenance_v1[Longitude],"pas trouvé")</f>
        <v>pas trouvé</v>
      </c>
      <c r="I133" t="str">
        <f>_xlfn.XLOOKUP(_26_03_2026_Log_Reseau_v15[[#This Row],[Cell_ID]],_26_03_2026_Registre_Maintenance_v1[ID_Antenne],_26_03_2026_Registre_Maintenance_v1[Technologie],"non trouvé")</f>
        <v>non trouvé</v>
      </c>
      <c r="J133" t="str">
        <f>_xlfn.XLOOKUP(_26_03_2026_Log_Reseau_v15[[#This Row],[Cell_ID]],_26_03_2026_Registre_Maintenance_v1[ID_Antenne],_26_03_2026_Registre_Maintenance_v1[Equipementier],"pas trouvé")</f>
        <v>pas trouvé</v>
      </c>
      <c r="K133" t="str">
        <f>_xlfn.XLOOKUP(_26_03_2026_Log_Reseau_v15[[#This Row],[province RDC]],_26_03_2026_Client_Churn_v1[Province_Client],_26_03_2026_Client_Churn_v1[ID_Client],"non trouvé")</f>
        <v>non trouvé</v>
      </c>
      <c r="L133" t="str">
        <f>_xlfn.XLOOKUP(_26_03_2026_Log_Reseau_v15[[#This Row],[province RDC]],_26_03_2026_Client_Churn_v1[Province_Client],_26_03_2026_Client_Churn_v1[Anciennete_Mois],"non trouvé")</f>
        <v>non trouvé</v>
      </c>
      <c r="M133" t="str">
        <f>_xlfn.XLOOKUP(_26_03_2026_Log_Reseau_v15[[#This Row],[province RDC]],_26_03_2026_Client_Churn_v1[Province_Client],_26_03_2026_Client_Churn_v1[Type_Forfait],"non trouvé")</f>
        <v>non trouvé</v>
      </c>
      <c r="N133" t="str">
        <f>_xlfn.XLOOKUP(_26_03_2026_Log_Reseau_v15[[#This Row],[province RDC]],_26_03_2026_Client_Churn_v1[Province_Client],_26_03_2026_Client_Churn_v1[Duree_Cumulee_Panne_Min],"non trouvé")</f>
        <v>non trouvé</v>
      </c>
      <c r="O133" t="str">
        <f>_xlfn.XLOOKUP(_26_03_2026_Log_Reseau_v15[[#This Row],[province RDC]],_26_03_2026_Client_Churn_v1[Province_Client],_26_03_2026_Client_Churn_v1[Facture_Mensuelle],"non trouvé")</f>
        <v>non trouvé</v>
      </c>
      <c r="P133" t="str">
        <f>_xlfn.XLOOKUP(_26_03_2026_Log_Reseau_v15[[#This Row],[province RDC]],_26_03_2026_Client_Churn_v1[Province_Client],_26_03_2026_Client_Churn_v1[Plaintes_Service_Client],"non trouvé")</f>
        <v>non trouvé</v>
      </c>
    </row>
    <row r="134" spans="1:16" hidden="1" x14ac:dyDescent="0.25">
      <c r="A134" s="1">
        <v>45200</v>
      </c>
      <c r="B134" s="2">
        <v>0.83611111111111114</v>
      </c>
      <c r="C134" t="s">
        <v>892</v>
      </c>
      <c r="D134">
        <v>6</v>
      </c>
      <c r="E134" t="s">
        <v>807</v>
      </c>
      <c r="F134" t="str">
        <f>_xlfn.XLOOKUP(_26_03_2026_Log_Reseau_v15[[#This Row],[Cell_ID]],_26_03_2026_Registre_Maintenance_v1[ID_Antenne],_26_03_2026_Registre_Maintenance_v1[zone],"pas trouvé")</f>
        <v>pas trouvé</v>
      </c>
      <c r="G134" t="str">
        <f>_xlfn.XLOOKUP(_26_03_2026_Log_Reseau_v15[[#This Row],[Cell_ID]],_26_03_2026_Registre_Maintenance_v1[ID_Antenne],_26_03_2026_Registre_Maintenance_v1[Latitude],"non trouvé")</f>
        <v>non trouvé</v>
      </c>
      <c r="H134" t="str">
        <f>_xlfn.XLOOKUP(_26_03_2026_Log_Reseau_v15[[#This Row],[Cell_ID]],_26_03_2026_Registre_Maintenance_v1[ID_Antenne],_26_03_2026_Registre_Maintenance_v1[Longitude],"pas trouvé")</f>
        <v>pas trouvé</v>
      </c>
      <c r="I134" t="str">
        <f>_xlfn.XLOOKUP(_26_03_2026_Log_Reseau_v15[[#This Row],[Cell_ID]],_26_03_2026_Registre_Maintenance_v1[ID_Antenne],_26_03_2026_Registre_Maintenance_v1[Technologie],"non trouvé")</f>
        <v>non trouvé</v>
      </c>
      <c r="J134" t="str">
        <f>_xlfn.XLOOKUP(_26_03_2026_Log_Reseau_v15[[#This Row],[Cell_ID]],_26_03_2026_Registre_Maintenance_v1[ID_Antenne],_26_03_2026_Registre_Maintenance_v1[Equipementier],"pas trouvé")</f>
        <v>pas trouvé</v>
      </c>
      <c r="K134" t="str">
        <f>_xlfn.XLOOKUP(_26_03_2026_Log_Reseau_v15[[#This Row],[province RDC]],_26_03_2026_Client_Churn_v1[Province_Client],_26_03_2026_Client_Churn_v1[ID_Client],"non trouvé")</f>
        <v>non trouvé</v>
      </c>
      <c r="L134" t="str">
        <f>_xlfn.XLOOKUP(_26_03_2026_Log_Reseau_v15[[#This Row],[province RDC]],_26_03_2026_Client_Churn_v1[Province_Client],_26_03_2026_Client_Churn_v1[Anciennete_Mois],"non trouvé")</f>
        <v>non trouvé</v>
      </c>
      <c r="M134" t="str">
        <f>_xlfn.XLOOKUP(_26_03_2026_Log_Reseau_v15[[#This Row],[province RDC]],_26_03_2026_Client_Churn_v1[Province_Client],_26_03_2026_Client_Churn_v1[Type_Forfait],"non trouvé")</f>
        <v>non trouvé</v>
      </c>
      <c r="N134" t="str">
        <f>_xlfn.XLOOKUP(_26_03_2026_Log_Reseau_v15[[#This Row],[province RDC]],_26_03_2026_Client_Churn_v1[Province_Client],_26_03_2026_Client_Churn_v1[Duree_Cumulee_Panne_Min],"non trouvé")</f>
        <v>non trouvé</v>
      </c>
      <c r="O134" t="str">
        <f>_xlfn.XLOOKUP(_26_03_2026_Log_Reseau_v15[[#This Row],[province RDC]],_26_03_2026_Client_Churn_v1[Province_Client],_26_03_2026_Client_Churn_v1[Facture_Mensuelle],"non trouvé")</f>
        <v>non trouvé</v>
      </c>
      <c r="P134" t="str">
        <f>_xlfn.XLOOKUP(_26_03_2026_Log_Reseau_v15[[#This Row],[province RDC]],_26_03_2026_Client_Churn_v1[Province_Client],_26_03_2026_Client_Churn_v1[Plaintes_Service_Client],"non trouvé")</f>
        <v>non trouvé</v>
      </c>
    </row>
    <row r="135" spans="1:16" hidden="1" x14ac:dyDescent="0.25">
      <c r="A135" s="1">
        <v>45209</v>
      </c>
      <c r="B135" s="2">
        <v>0.46250000000000002</v>
      </c>
      <c r="C135" t="s">
        <v>892</v>
      </c>
      <c r="D135">
        <v>102</v>
      </c>
      <c r="E135" t="s">
        <v>812</v>
      </c>
      <c r="F135" t="str">
        <f>_xlfn.XLOOKUP(_26_03_2026_Log_Reseau_v15[[#This Row],[Cell_ID]],_26_03_2026_Registre_Maintenance_v1[ID_Antenne],_26_03_2026_Registre_Maintenance_v1[zone],"pas trouvé")</f>
        <v>pas trouvé</v>
      </c>
      <c r="G135" t="str">
        <f>_xlfn.XLOOKUP(_26_03_2026_Log_Reseau_v15[[#This Row],[Cell_ID]],_26_03_2026_Registre_Maintenance_v1[ID_Antenne],_26_03_2026_Registre_Maintenance_v1[Latitude],"non trouvé")</f>
        <v>non trouvé</v>
      </c>
      <c r="H135" t="str">
        <f>_xlfn.XLOOKUP(_26_03_2026_Log_Reseau_v15[[#This Row],[Cell_ID]],_26_03_2026_Registre_Maintenance_v1[ID_Antenne],_26_03_2026_Registre_Maintenance_v1[Longitude],"pas trouvé")</f>
        <v>pas trouvé</v>
      </c>
      <c r="I135" t="str">
        <f>_xlfn.XLOOKUP(_26_03_2026_Log_Reseau_v15[[#This Row],[Cell_ID]],_26_03_2026_Registre_Maintenance_v1[ID_Antenne],_26_03_2026_Registre_Maintenance_v1[Technologie],"non trouvé")</f>
        <v>non trouvé</v>
      </c>
      <c r="J135" t="str">
        <f>_xlfn.XLOOKUP(_26_03_2026_Log_Reseau_v15[[#This Row],[Cell_ID]],_26_03_2026_Registre_Maintenance_v1[ID_Antenne],_26_03_2026_Registre_Maintenance_v1[Equipementier],"pas trouvé")</f>
        <v>pas trouvé</v>
      </c>
      <c r="K135" t="str">
        <f>_xlfn.XLOOKUP(_26_03_2026_Log_Reseau_v15[[#This Row],[province RDC]],_26_03_2026_Client_Churn_v1[Province_Client],_26_03_2026_Client_Churn_v1[ID_Client],"non trouvé")</f>
        <v>non trouvé</v>
      </c>
      <c r="L135" t="str">
        <f>_xlfn.XLOOKUP(_26_03_2026_Log_Reseau_v15[[#This Row],[province RDC]],_26_03_2026_Client_Churn_v1[Province_Client],_26_03_2026_Client_Churn_v1[Anciennete_Mois],"non trouvé")</f>
        <v>non trouvé</v>
      </c>
      <c r="M135" t="str">
        <f>_xlfn.XLOOKUP(_26_03_2026_Log_Reseau_v15[[#This Row],[province RDC]],_26_03_2026_Client_Churn_v1[Province_Client],_26_03_2026_Client_Churn_v1[Type_Forfait],"non trouvé")</f>
        <v>non trouvé</v>
      </c>
      <c r="N135" t="str">
        <f>_xlfn.XLOOKUP(_26_03_2026_Log_Reseau_v15[[#This Row],[province RDC]],_26_03_2026_Client_Churn_v1[Province_Client],_26_03_2026_Client_Churn_v1[Duree_Cumulee_Panne_Min],"non trouvé")</f>
        <v>non trouvé</v>
      </c>
      <c r="O135" t="str">
        <f>_xlfn.XLOOKUP(_26_03_2026_Log_Reseau_v15[[#This Row],[province RDC]],_26_03_2026_Client_Churn_v1[Province_Client],_26_03_2026_Client_Churn_v1[Facture_Mensuelle],"non trouvé")</f>
        <v>non trouvé</v>
      </c>
      <c r="P135" t="str">
        <f>_xlfn.XLOOKUP(_26_03_2026_Log_Reseau_v15[[#This Row],[province RDC]],_26_03_2026_Client_Churn_v1[Province_Client],_26_03_2026_Client_Churn_v1[Plaintes_Service_Client],"non trouvé")</f>
        <v>non trouvé</v>
      </c>
    </row>
    <row r="136" spans="1:16" hidden="1" x14ac:dyDescent="0.25">
      <c r="A136" s="1">
        <v>45230</v>
      </c>
      <c r="B136" s="2">
        <v>0.62986111111111109</v>
      </c>
      <c r="C136" t="s">
        <v>893</v>
      </c>
      <c r="D136">
        <v>91</v>
      </c>
      <c r="E136" t="s">
        <v>807</v>
      </c>
      <c r="F136" t="str">
        <f>_xlfn.XLOOKUP(_26_03_2026_Log_Reseau_v15[[#This Row],[Cell_ID]],_26_03_2026_Registre_Maintenance_v1[ID_Antenne],_26_03_2026_Registre_Maintenance_v1[zone],"pas trouvé")</f>
        <v>pas trouvé</v>
      </c>
      <c r="G136" t="str">
        <f>_xlfn.XLOOKUP(_26_03_2026_Log_Reseau_v15[[#This Row],[Cell_ID]],_26_03_2026_Registre_Maintenance_v1[ID_Antenne],_26_03_2026_Registre_Maintenance_v1[Latitude],"non trouvé")</f>
        <v>non trouvé</v>
      </c>
      <c r="H136" t="str">
        <f>_xlfn.XLOOKUP(_26_03_2026_Log_Reseau_v15[[#This Row],[Cell_ID]],_26_03_2026_Registre_Maintenance_v1[ID_Antenne],_26_03_2026_Registre_Maintenance_v1[Longitude],"pas trouvé")</f>
        <v>pas trouvé</v>
      </c>
      <c r="I136" t="str">
        <f>_xlfn.XLOOKUP(_26_03_2026_Log_Reseau_v15[[#This Row],[Cell_ID]],_26_03_2026_Registre_Maintenance_v1[ID_Antenne],_26_03_2026_Registre_Maintenance_v1[Technologie],"non trouvé")</f>
        <v>non trouvé</v>
      </c>
      <c r="J136" t="str">
        <f>_xlfn.XLOOKUP(_26_03_2026_Log_Reseau_v15[[#This Row],[Cell_ID]],_26_03_2026_Registre_Maintenance_v1[ID_Antenne],_26_03_2026_Registre_Maintenance_v1[Equipementier],"pas trouvé")</f>
        <v>pas trouvé</v>
      </c>
      <c r="K136" t="str">
        <f>_xlfn.XLOOKUP(_26_03_2026_Log_Reseau_v15[[#This Row],[province RDC]],_26_03_2026_Client_Churn_v1[Province_Client],_26_03_2026_Client_Churn_v1[ID_Client],"non trouvé")</f>
        <v>non trouvé</v>
      </c>
      <c r="L136" t="str">
        <f>_xlfn.XLOOKUP(_26_03_2026_Log_Reseau_v15[[#This Row],[province RDC]],_26_03_2026_Client_Churn_v1[Province_Client],_26_03_2026_Client_Churn_v1[Anciennete_Mois],"non trouvé")</f>
        <v>non trouvé</v>
      </c>
      <c r="M136" t="str">
        <f>_xlfn.XLOOKUP(_26_03_2026_Log_Reseau_v15[[#This Row],[province RDC]],_26_03_2026_Client_Churn_v1[Province_Client],_26_03_2026_Client_Churn_v1[Type_Forfait],"non trouvé")</f>
        <v>non trouvé</v>
      </c>
      <c r="N136" t="str">
        <f>_xlfn.XLOOKUP(_26_03_2026_Log_Reseau_v15[[#This Row],[province RDC]],_26_03_2026_Client_Churn_v1[Province_Client],_26_03_2026_Client_Churn_v1[Duree_Cumulee_Panne_Min],"non trouvé")</f>
        <v>non trouvé</v>
      </c>
      <c r="O136" t="str">
        <f>_xlfn.XLOOKUP(_26_03_2026_Log_Reseau_v15[[#This Row],[province RDC]],_26_03_2026_Client_Churn_v1[Province_Client],_26_03_2026_Client_Churn_v1[Facture_Mensuelle],"non trouvé")</f>
        <v>non trouvé</v>
      </c>
      <c r="P136" t="str">
        <f>_xlfn.XLOOKUP(_26_03_2026_Log_Reseau_v15[[#This Row],[province RDC]],_26_03_2026_Client_Churn_v1[Province_Client],_26_03_2026_Client_Churn_v1[Plaintes_Service_Client],"non trouvé")</f>
        <v>non trouvé</v>
      </c>
    </row>
    <row r="137" spans="1:16" hidden="1" x14ac:dyDescent="0.25">
      <c r="A137" s="1">
        <v>45225</v>
      </c>
      <c r="B137" s="2">
        <v>0.43263888888888891</v>
      </c>
      <c r="C137" t="s">
        <v>893</v>
      </c>
      <c r="D137">
        <v>50</v>
      </c>
      <c r="E137" t="s">
        <v>808</v>
      </c>
      <c r="F137" t="str">
        <f>_xlfn.XLOOKUP(_26_03_2026_Log_Reseau_v15[[#This Row],[Cell_ID]],_26_03_2026_Registre_Maintenance_v1[ID_Antenne],_26_03_2026_Registre_Maintenance_v1[zone],"pas trouvé")</f>
        <v>pas trouvé</v>
      </c>
      <c r="G137" t="str">
        <f>_xlfn.XLOOKUP(_26_03_2026_Log_Reseau_v15[[#This Row],[Cell_ID]],_26_03_2026_Registre_Maintenance_v1[ID_Antenne],_26_03_2026_Registre_Maintenance_v1[Latitude],"non trouvé")</f>
        <v>non trouvé</v>
      </c>
      <c r="H137" t="str">
        <f>_xlfn.XLOOKUP(_26_03_2026_Log_Reseau_v15[[#This Row],[Cell_ID]],_26_03_2026_Registre_Maintenance_v1[ID_Antenne],_26_03_2026_Registre_Maintenance_v1[Longitude],"pas trouvé")</f>
        <v>pas trouvé</v>
      </c>
      <c r="I137" t="str">
        <f>_xlfn.XLOOKUP(_26_03_2026_Log_Reseau_v15[[#This Row],[Cell_ID]],_26_03_2026_Registre_Maintenance_v1[ID_Antenne],_26_03_2026_Registre_Maintenance_v1[Technologie],"non trouvé")</f>
        <v>non trouvé</v>
      </c>
      <c r="J137" t="str">
        <f>_xlfn.XLOOKUP(_26_03_2026_Log_Reseau_v15[[#This Row],[Cell_ID]],_26_03_2026_Registre_Maintenance_v1[ID_Antenne],_26_03_2026_Registre_Maintenance_v1[Equipementier],"pas trouvé")</f>
        <v>pas trouvé</v>
      </c>
      <c r="K137" t="str">
        <f>_xlfn.XLOOKUP(_26_03_2026_Log_Reseau_v15[[#This Row],[province RDC]],_26_03_2026_Client_Churn_v1[Province_Client],_26_03_2026_Client_Churn_v1[ID_Client],"non trouvé")</f>
        <v>non trouvé</v>
      </c>
      <c r="L137" t="str">
        <f>_xlfn.XLOOKUP(_26_03_2026_Log_Reseau_v15[[#This Row],[province RDC]],_26_03_2026_Client_Churn_v1[Province_Client],_26_03_2026_Client_Churn_v1[Anciennete_Mois],"non trouvé")</f>
        <v>non trouvé</v>
      </c>
      <c r="M137" t="str">
        <f>_xlfn.XLOOKUP(_26_03_2026_Log_Reseau_v15[[#This Row],[province RDC]],_26_03_2026_Client_Churn_v1[Province_Client],_26_03_2026_Client_Churn_v1[Type_Forfait],"non trouvé")</f>
        <v>non trouvé</v>
      </c>
      <c r="N137" t="str">
        <f>_xlfn.XLOOKUP(_26_03_2026_Log_Reseau_v15[[#This Row],[province RDC]],_26_03_2026_Client_Churn_v1[Province_Client],_26_03_2026_Client_Churn_v1[Duree_Cumulee_Panne_Min],"non trouvé")</f>
        <v>non trouvé</v>
      </c>
      <c r="O137" t="str">
        <f>_xlfn.XLOOKUP(_26_03_2026_Log_Reseau_v15[[#This Row],[province RDC]],_26_03_2026_Client_Churn_v1[Province_Client],_26_03_2026_Client_Churn_v1[Facture_Mensuelle],"non trouvé")</f>
        <v>non trouvé</v>
      </c>
      <c r="P137" t="str">
        <f>_xlfn.XLOOKUP(_26_03_2026_Log_Reseau_v15[[#This Row],[province RDC]],_26_03_2026_Client_Churn_v1[Province_Client],_26_03_2026_Client_Churn_v1[Plaintes_Service_Client],"non trouvé")</f>
        <v>non trouvé</v>
      </c>
    </row>
    <row r="138" spans="1:16" x14ac:dyDescent="0.25">
      <c r="A138" s="1">
        <v>45230</v>
      </c>
      <c r="B138" s="2">
        <v>0.39513888888888887</v>
      </c>
      <c r="C138" t="s">
        <v>894</v>
      </c>
      <c r="D138">
        <v>89</v>
      </c>
      <c r="E138" t="s">
        <v>812</v>
      </c>
      <c r="F138" t="str">
        <f>_xlfn.XLOOKUP(_26_03_2026_Log_Reseau_v15[[#This Row],[Cell_ID]],_26_03_2026_Registre_Maintenance_v1[ID_Antenne],_26_03_2026_Registre_Maintenance_v1[zone],"pas trouvé")</f>
        <v>Bas-Uele</v>
      </c>
      <c r="G138">
        <f>_xlfn.XLOOKUP(_26_03_2026_Log_Reseau_v15[[#This Row],[Cell_ID]],_26_03_2026_Registre_Maintenance_v1[ID_Antenne],_26_03_2026_Registre_Maintenance_v1[Latitude],"non trouvé")</f>
        <v>-7.3952039999999997</v>
      </c>
      <c r="H138">
        <f>_xlfn.XLOOKUP(_26_03_2026_Log_Reseau_v15[[#This Row],[Cell_ID]],_26_03_2026_Registre_Maintenance_v1[ID_Antenne],_26_03_2026_Registre_Maintenance_v1[Longitude],"pas trouvé")</f>
        <v>21.651043999999999</v>
      </c>
      <c r="I138" t="str">
        <f>_xlfn.XLOOKUP(_26_03_2026_Log_Reseau_v15[[#This Row],[Cell_ID]],_26_03_2026_Registre_Maintenance_v1[ID_Antenne],_26_03_2026_Registre_Maintenance_v1[Technologie],"non trouvé")</f>
        <v>4G</v>
      </c>
      <c r="J138" t="str">
        <f>_xlfn.XLOOKUP(_26_03_2026_Log_Reseau_v15[[#This Row],[Cell_ID]],_26_03_2026_Registre_Maintenance_v1[ID_Antenne],_26_03_2026_Registre_Maintenance_v1[Equipementier],"pas trouvé")</f>
        <v>Huawei</v>
      </c>
      <c r="K138" t="str">
        <f>_xlfn.XLOOKUP(_26_03_2026_Log_Reseau_v15[[#This Row],[province RDC]],_26_03_2026_Client_Churn_v1[Province_Client],_26_03_2026_Client_Churn_v1[ID_Client],"non trouvé")</f>
        <v>CLI-00414</v>
      </c>
      <c r="L138">
        <f>_xlfn.XLOOKUP(_26_03_2026_Log_Reseau_v15[[#This Row],[province RDC]],_26_03_2026_Client_Churn_v1[Province_Client],_26_03_2026_Client_Churn_v1[Anciennete_Mois],"non trouvé")</f>
        <v>99</v>
      </c>
      <c r="M138" t="str">
        <f>_xlfn.XLOOKUP(_26_03_2026_Log_Reseau_v15[[#This Row],[province RDC]],_26_03_2026_Client_Churn_v1[Province_Client],_26_03_2026_Client_Churn_v1[Type_Forfait],"non trouvé")</f>
        <v>Premium 5G 150Go</v>
      </c>
      <c r="N138">
        <f>_xlfn.XLOOKUP(_26_03_2026_Log_Reseau_v15[[#This Row],[province RDC]],_26_03_2026_Client_Churn_v1[Province_Client],_26_03_2026_Client_Churn_v1[Duree_Cumulee_Panne_Min],"non trouvé")</f>
        <v>447</v>
      </c>
      <c r="O138">
        <f>_xlfn.XLOOKUP(_26_03_2026_Log_Reseau_v15[[#This Row],[province RDC]],_26_03_2026_Client_Churn_v1[Province_Client],_26_03_2026_Client_Churn_v1[Facture_Mensuelle],"non trouvé")</f>
        <v>38.1</v>
      </c>
      <c r="P138">
        <f>_xlfn.XLOOKUP(_26_03_2026_Log_Reseau_v15[[#This Row],[province RDC]],_26_03_2026_Client_Churn_v1[Province_Client],_26_03_2026_Client_Churn_v1[Plaintes_Service_Client],"non trouvé")</f>
        <v>3</v>
      </c>
    </row>
    <row r="139" spans="1:16" x14ac:dyDescent="0.25">
      <c r="A139" s="1">
        <v>45207</v>
      </c>
      <c r="B139" s="2">
        <v>1.1111111111111112E-2</v>
      </c>
      <c r="C139" t="s">
        <v>895</v>
      </c>
      <c r="D139">
        <v>32</v>
      </c>
      <c r="E139" t="s">
        <v>807</v>
      </c>
      <c r="F139" t="str">
        <f>_xlfn.XLOOKUP(_26_03_2026_Log_Reseau_v15[[#This Row],[Cell_ID]],_26_03_2026_Registre_Maintenance_v1[ID_Antenne],_26_03_2026_Registre_Maintenance_v1[zone],"pas trouvé")</f>
        <v>Kasai-Central</v>
      </c>
      <c r="G139">
        <f>_xlfn.XLOOKUP(_26_03_2026_Log_Reseau_v15[[#This Row],[Cell_ID]],_26_03_2026_Registre_Maintenance_v1[ID_Antenne],_26_03_2026_Registre_Maintenance_v1[Latitude],"non trouvé")</f>
        <v>1.897178</v>
      </c>
      <c r="H139">
        <f>_xlfn.XLOOKUP(_26_03_2026_Log_Reseau_v15[[#This Row],[Cell_ID]],_26_03_2026_Registre_Maintenance_v1[ID_Antenne],_26_03_2026_Registre_Maintenance_v1[Longitude],"pas trouvé")</f>
        <v>23.902604</v>
      </c>
      <c r="I139" t="str">
        <f>_xlfn.XLOOKUP(_26_03_2026_Log_Reseau_v15[[#This Row],[Cell_ID]],_26_03_2026_Registre_Maintenance_v1[ID_Antenne],_26_03_2026_Registre_Maintenance_v1[Technologie],"non trouvé")</f>
        <v>3G</v>
      </c>
      <c r="J139" t="str">
        <f>_xlfn.XLOOKUP(_26_03_2026_Log_Reseau_v15[[#This Row],[Cell_ID]],_26_03_2026_Registre_Maintenance_v1[ID_Antenne],_26_03_2026_Registre_Maintenance_v1[Equipementier],"pas trouvé")</f>
        <v>Nokia</v>
      </c>
      <c r="K139" t="str">
        <f>_xlfn.XLOOKUP(_26_03_2026_Log_Reseau_v15[[#This Row],[province RDC]],_26_03_2026_Client_Churn_v1[Province_Client],_26_03_2026_Client_Churn_v1[ID_Client],"non trouvé")</f>
        <v>CLI-00060</v>
      </c>
      <c r="L139">
        <f>_xlfn.XLOOKUP(_26_03_2026_Log_Reseau_v15[[#This Row],[province RDC]],_26_03_2026_Client_Churn_v1[Province_Client],_26_03_2026_Client_Churn_v1[Anciennete_Mois],"non trouvé")</f>
        <v>72</v>
      </c>
      <c r="M139" t="str">
        <f>_xlfn.XLOOKUP(_26_03_2026_Log_Reseau_v15[[#This Row],[province RDC]],_26_03_2026_Client_Churn_v1[Province_Client],_26_03_2026_Client_Churn_v1[Type_Forfait],"non trouvé")</f>
        <v>Pro Monde</v>
      </c>
      <c r="N139">
        <f>_xlfn.XLOOKUP(_26_03_2026_Log_Reseau_v15[[#This Row],[province RDC]],_26_03_2026_Client_Churn_v1[Province_Client],_26_03_2026_Client_Churn_v1[Duree_Cumulee_Panne_Min],"non trouvé")</f>
        <v>160</v>
      </c>
      <c r="O139">
        <f>_xlfn.XLOOKUP(_26_03_2026_Log_Reseau_v15[[#This Row],[province RDC]],_26_03_2026_Client_Churn_v1[Province_Client],_26_03_2026_Client_Churn_v1[Facture_Mensuelle],"non trouvé")</f>
        <v>90.13</v>
      </c>
      <c r="P139">
        <f>_xlfn.XLOOKUP(_26_03_2026_Log_Reseau_v15[[#This Row],[province RDC]],_26_03_2026_Client_Churn_v1[Province_Client],_26_03_2026_Client_Churn_v1[Plaintes_Service_Client],"non trouvé")</f>
        <v>2</v>
      </c>
    </row>
    <row r="140" spans="1:16" x14ac:dyDescent="0.25">
      <c r="A140" s="1">
        <v>45204</v>
      </c>
      <c r="B140" s="2">
        <v>0.625</v>
      </c>
      <c r="C140" t="s">
        <v>896</v>
      </c>
      <c r="D140">
        <v>94</v>
      </c>
      <c r="E140" t="s">
        <v>812</v>
      </c>
      <c r="F140" t="str">
        <f>_xlfn.XLOOKUP(_26_03_2026_Log_Reseau_v15[[#This Row],[Cell_ID]],_26_03_2026_Registre_Maintenance_v1[ID_Antenne],_26_03_2026_Registre_Maintenance_v1[zone],"pas trouvé")</f>
        <v>Bas-Uele</v>
      </c>
      <c r="G140">
        <f>_xlfn.XLOOKUP(_26_03_2026_Log_Reseau_v15[[#This Row],[Cell_ID]],_26_03_2026_Registre_Maintenance_v1[ID_Antenne],_26_03_2026_Registre_Maintenance_v1[Latitude],"non trouvé")</f>
        <v>-1.6893210000000001</v>
      </c>
      <c r="H140">
        <f>_xlfn.XLOOKUP(_26_03_2026_Log_Reseau_v15[[#This Row],[Cell_ID]],_26_03_2026_Registre_Maintenance_v1[ID_Antenne],_26_03_2026_Registre_Maintenance_v1[Longitude],"pas trouvé")</f>
        <v>30.446543999999999</v>
      </c>
      <c r="I140" t="str">
        <f>_xlfn.XLOOKUP(_26_03_2026_Log_Reseau_v15[[#This Row],[Cell_ID]],_26_03_2026_Registre_Maintenance_v1[ID_Antenne],_26_03_2026_Registre_Maintenance_v1[Technologie],"non trouvé")</f>
        <v>4G</v>
      </c>
      <c r="J140" t="str">
        <f>_xlfn.XLOOKUP(_26_03_2026_Log_Reseau_v15[[#This Row],[Cell_ID]],_26_03_2026_Registre_Maintenance_v1[ID_Antenne],_26_03_2026_Registre_Maintenance_v1[Equipementier],"pas trouvé")</f>
        <v>Huawei</v>
      </c>
      <c r="K140" t="str">
        <f>_xlfn.XLOOKUP(_26_03_2026_Log_Reseau_v15[[#This Row],[province RDC]],_26_03_2026_Client_Churn_v1[Province_Client],_26_03_2026_Client_Churn_v1[ID_Client],"non trouvé")</f>
        <v>CLI-00414</v>
      </c>
      <c r="L140">
        <f>_xlfn.XLOOKUP(_26_03_2026_Log_Reseau_v15[[#This Row],[province RDC]],_26_03_2026_Client_Churn_v1[Province_Client],_26_03_2026_Client_Churn_v1[Anciennete_Mois],"non trouvé")</f>
        <v>99</v>
      </c>
      <c r="M140" t="str">
        <f>_xlfn.XLOOKUP(_26_03_2026_Log_Reseau_v15[[#This Row],[province RDC]],_26_03_2026_Client_Churn_v1[Province_Client],_26_03_2026_Client_Churn_v1[Type_Forfait],"non trouvé")</f>
        <v>Premium 5G 150Go</v>
      </c>
      <c r="N140">
        <f>_xlfn.XLOOKUP(_26_03_2026_Log_Reseau_v15[[#This Row],[province RDC]],_26_03_2026_Client_Churn_v1[Province_Client],_26_03_2026_Client_Churn_v1[Duree_Cumulee_Panne_Min],"non trouvé")</f>
        <v>447</v>
      </c>
      <c r="O140">
        <f>_xlfn.XLOOKUP(_26_03_2026_Log_Reseau_v15[[#This Row],[province RDC]],_26_03_2026_Client_Churn_v1[Province_Client],_26_03_2026_Client_Churn_v1[Facture_Mensuelle],"non trouvé")</f>
        <v>38.1</v>
      </c>
      <c r="P140">
        <f>_xlfn.XLOOKUP(_26_03_2026_Log_Reseau_v15[[#This Row],[province RDC]],_26_03_2026_Client_Churn_v1[Province_Client],_26_03_2026_Client_Churn_v1[Plaintes_Service_Client],"non trouvé")</f>
        <v>3</v>
      </c>
    </row>
    <row r="141" spans="1:16" hidden="1" x14ac:dyDescent="0.25">
      <c r="A141" s="1">
        <v>45214</v>
      </c>
      <c r="B141" s="2">
        <v>0.92986111111111114</v>
      </c>
      <c r="C141" t="s">
        <v>897</v>
      </c>
      <c r="D141">
        <v>89</v>
      </c>
      <c r="E141" t="s">
        <v>812</v>
      </c>
      <c r="F141" t="str">
        <f>_xlfn.XLOOKUP(_26_03_2026_Log_Reseau_v15[[#This Row],[Cell_ID]],_26_03_2026_Registre_Maintenance_v1[ID_Antenne],_26_03_2026_Registre_Maintenance_v1[zone],"pas trouvé")</f>
        <v>pas trouvé</v>
      </c>
      <c r="G141" t="str">
        <f>_xlfn.XLOOKUP(_26_03_2026_Log_Reseau_v15[[#This Row],[Cell_ID]],_26_03_2026_Registre_Maintenance_v1[ID_Antenne],_26_03_2026_Registre_Maintenance_v1[Latitude],"non trouvé")</f>
        <v>non trouvé</v>
      </c>
      <c r="H141" t="str">
        <f>_xlfn.XLOOKUP(_26_03_2026_Log_Reseau_v15[[#This Row],[Cell_ID]],_26_03_2026_Registre_Maintenance_v1[ID_Antenne],_26_03_2026_Registre_Maintenance_v1[Longitude],"pas trouvé")</f>
        <v>pas trouvé</v>
      </c>
      <c r="I141" t="str">
        <f>_xlfn.XLOOKUP(_26_03_2026_Log_Reseau_v15[[#This Row],[Cell_ID]],_26_03_2026_Registre_Maintenance_v1[ID_Antenne],_26_03_2026_Registre_Maintenance_v1[Technologie],"non trouvé")</f>
        <v>non trouvé</v>
      </c>
      <c r="J141" t="str">
        <f>_xlfn.XLOOKUP(_26_03_2026_Log_Reseau_v15[[#This Row],[Cell_ID]],_26_03_2026_Registre_Maintenance_v1[ID_Antenne],_26_03_2026_Registre_Maintenance_v1[Equipementier],"pas trouvé")</f>
        <v>pas trouvé</v>
      </c>
      <c r="K141" t="str">
        <f>_xlfn.XLOOKUP(_26_03_2026_Log_Reseau_v15[[#This Row],[province RDC]],_26_03_2026_Client_Churn_v1[Province_Client],_26_03_2026_Client_Churn_v1[ID_Client],"non trouvé")</f>
        <v>non trouvé</v>
      </c>
      <c r="L141" t="str">
        <f>_xlfn.XLOOKUP(_26_03_2026_Log_Reseau_v15[[#This Row],[province RDC]],_26_03_2026_Client_Churn_v1[Province_Client],_26_03_2026_Client_Churn_v1[Anciennete_Mois],"non trouvé")</f>
        <v>non trouvé</v>
      </c>
      <c r="M141" t="str">
        <f>_xlfn.XLOOKUP(_26_03_2026_Log_Reseau_v15[[#This Row],[province RDC]],_26_03_2026_Client_Churn_v1[Province_Client],_26_03_2026_Client_Churn_v1[Type_Forfait],"non trouvé")</f>
        <v>non trouvé</v>
      </c>
      <c r="N141" t="str">
        <f>_xlfn.XLOOKUP(_26_03_2026_Log_Reseau_v15[[#This Row],[province RDC]],_26_03_2026_Client_Churn_v1[Province_Client],_26_03_2026_Client_Churn_v1[Duree_Cumulee_Panne_Min],"non trouvé")</f>
        <v>non trouvé</v>
      </c>
      <c r="O141" t="str">
        <f>_xlfn.XLOOKUP(_26_03_2026_Log_Reseau_v15[[#This Row],[province RDC]],_26_03_2026_Client_Churn_v1[Province_Client],_26_03_2026_Client_Churn_v1[Facture_Mensuelle],"non trouvé")</f>
        <v>non trouvé</v>
      </c>
      <c r="P141" t="str">
        <f>_xlfn.XLOOKUP(_26_03_2026_Log_Reseau_v15[[#This Row],[province RDC]],_26_03_2026_Client_Churn_v1[Province_Client],_26_03_2026_Client_Churn_v1[Plaintes_Service_Client],"non trouvé")</f>
        <v>non trouvé</v>
      </c>
    </row>
    <row r="142" spans="1:16" hidden="1" x14ac:dyDescent="0.25">
      <c r="A142" s="1">
        <v>45202</v>
      </c>
      <c r="B142" s="2">
        <v>0.91249999999999998</v>
      </c>
      <c r="C142" t="s">
        <v>898</v>
      </c>
      <c r="D142">
        <v>68</v>
      </c>
      <c r="E142" t="s">
        <v>812</v>
      </c>
      <c r="F142" t="str">
        <f>_xlfn.XLOOKUP(_26_03_2026_Log_Reseau_v15[[#This Row],[Cell_ID]],_26_03_2026_Registre_Maintenance_v1[ID_Antenne],_26_03_2026_Registre_Maintenance_v1[zone],"pas trouvé")</f>
        <v>pas trouvé</v>
      </c>
      <c r="G142" t="str">
        <f>_xlfn.XLOOKUP(_26_03_2026_Log_Reseau_v15[[#This Row],[Cell_ID]],_26_03_2026_Registre_Maintenance_v1[ID_Antenne],_26_03_2026_Registre_Maintenance_v1[Latitude],"non trouvé")</f>
        <v>non trouvé</v>
      </c>
      <c r="H142" t="str">
        <f>_xlfn.XLOOKUP(_26_03_2026_Log_Reseau_v15[[#This Row],[Cell_ID]],_26_03_2026_Registre_Maintenance_v1[ID_Antenne],_26_03_2026_Registre_Maintenance_v1[Longitude],"pas trouvé")</f>
        <v>pas trouvé</v>
      </c>
      <c r="I142" t="str">
        <f>_xlfn.XLOOKUP(_26_03_2026_Log_Reseau_v15[[#This Row],[Cell_ID]],_26_03_2026_Registre_Maintenance_v1[ID_Antenne],_26_03_2026_Registre_Maintenance_v1[Technologie],"non trouvé")</f>
        <v>non trouvé</v>
      </c>
      <c r="J142" t="str">
        <f>_xlfn.XLOOKUP(_26_03_2026_Log_Reseau_v15[[#This Row],[Cell_ID]],_26_03_2026_Registre_Maintenance_v1[ID_Antenne],_26_03_2026_Registre_Maintenance_v1[Equipementier],"pas trouvé")</f>
        <v>pas trouvé</v>
      </c>
      <c r="K142" t="str">
        <f>_xlfn.XLOOKUP(_26_03_2026_Log_Reseau_v15[[#This Row],[province RDC]],_26_03_2026_Client_Churn_v1[Province_Client],_26_03_2026_Client_Churn_v1[ID_Client],"non trouvé")</f>
        <v>non trouvé</v>
      </c>
      <c r="L142" t="str">
        <f>_xlfn.XLOOKUP(_26_03_2026_Log_Reseau_v15[[#This Row],[province RDC]],_26_03_2026_Client_Churn_v1[Province_Client],_26_03_2026_Client_Churn_v1[Anciennete_Mois],"non trouvé")</f>
        <v>non trouvé</v>
      </c>
      <c r="M142" t="str">
        <f>_xlfn.XLOOKUP(_26_03_2026_Log_Reseau_v15[[#This Row],[province RDC]],_26_03_2026_Client_Churn_v1[Province_Client],_26_03_2026_Client_Churn_v1[Type_Forfait],"non trouvé")</f>
        <v>non trouvé</v>
      </c>
      <c r="N142" t="str">
        <f>_xlfn.XLOOKUP(_26_03_2026_Log_Reseau_v15[[#This Row],[province RDC]],_26_03_2026_Client_Churn_v1[Province_Client],_26_03_2026_Client_Churn_v1[Duree_Cumulee_Panne_Min],"non trouvé")</f>
        <v>non trouvé</v>
      </c>
      <c r="O142" t="str">
        <f>_xlfn.XLOOKUP(_26_03_2026_Log_Reseau_v15[[#This Row],[province RDC]],_26_03_2026_Client_Churn_v1[Province_Client],_26_03_2026_Client_Churn_v1[Facture_Mensuelle],"non trouvé")</f>
        <v>non trouvé</v>
      </c>
      <c r="P142" t="str">
        <f>_xlfn.XLOOKUP(_26_03_2026_Log_Reseau_v15[[#This Row],[province RDC]],_26_03_2026_Client_Churn_v1[Province_Client],_26_03_2026_Client_Churn_v1[Plaintes_Service_Client],"non trouvé")</f>
        <v>non trouvé</v>
      </c>
    </row>
    <row r="143" spans="1:16" hidden="1" x14ac:dyDescent="0.25">
      <c r="A143" s="1">
        <v>45218</v>
      </c>
      <c r="B143" s="2">
        <v>0.7944444444444444</v>
      </c>
      <c r="C143" t="s">
        <v>899</v>
      </c>
      <c r="D143">
        <v>108</v>
      </c>
      <c r="E143" t="s">
        <v>807</v>
      </c>
      <c r="F143" t="str">
        <f>_xlfn.XLOOKUP(_26_03_2026_Log_Reseau_v15[[#This Row],[Cell_ID]],_26_03_2026_Registre_Maintenance_v1[ID_Antenne],_26_03_2026_Registre_Maintenance_v1[zone],"pas trouvé")</f>
        <v>pas trouvé</v>
      </c>
      <c r="G143" t="str">
        <f>_xlfn.XLOOKUP(_26_03_2026_Log_Reseau_v15[[#This Row],[Cell_ID]],_26_03_2026_Registre_Maintenance_v1[ID_Antenne],_26_03_2026_Registre_Maintenance_v1[Latitude],"non trouvé")</f>
        <v>non trouvé</v>
      </c>
      <c r="H143" t="str">
        <f>_xlfn.XLOOKUP(_26_03_2026_Log_Reseau_v15[[#This Row],[Cell_ID]],_26_03_2026_Registre_Maintenance_v1[ID_Antenne],_26_03_2026_Registre_Maintenance_v1[Longitude],"pas trouvé")</f>
        <v>pas trouvé</v>
      </c>
      <c r="I143" t="str">
        <f>_xlfn.XLOOKUP(_26_03_2026_Log_Reseau_v15[[#This Row],[Cell_ID]],_26_03_2026_Registre_Maintenance_v1[ID_Antenne],_26_03_2026_Registre_Maintenance_v1[Technologie],"non trouvé")</f>
        <v>non trouvé</v>
      </c>
      <c r="J143" t="str">
        <f>_xlfn.XLOOKUP(_26_03_2026_Log_Reseau_v15[[#This Row],[Cell_ID]],_26_03_2026_Registre_Maintenance_v1[ID_Antenne],_26_03_2026_Registre_Maintenance_v1[Equipementier],"pas trouvé")</f>
        <v>pas trouvé</v>
      </c>
      <c r="K143" t="str">
        <f>_xlfn.XLOOKUP(_26_03_2026_Log_Reseau_v15[[#This Row],[province RDC]],_26_03_2026_Client_Churn_v1[Province_Client],_26_03_2026_Client_Churn_v1[ID_Client],"non trouvé")</f>
        <v>non trouvé</v>
      </c>
      <c r="L143" t="str">
        <f>_xlfn.XLOOKUP(_26_03_2026_Log_Reseau_v15[[#This Row],[province RDC]],_26_03_2026_Client_Churn_v1[Province_Client],_26_03_2026_Client_Churn_v1[Anciennete_Mois],"non trouvé")</f>
        <v>non trouvé</v>
      </c>
      <c r="M143" t="str">
        <f>_xlfn.XLOOKUP(_26_03_2026_Log_Reseau_v15[[#This Row],[province RDC]],_26_03_2026_Client_Churn_v1[Province_Client],_26_03_2026_Client_Churn_v1[Type_Forfait],"non trouvé")</f>
        <v>non trouvé</v>
      </c>
      <c r="N143" t="str">
        <f>_xlfn.XLOOKUP(_26_03_2026_Log_Reseau_v15[[#This Row],[province RDC]],_26_03_2026_Client_Churn_v1[Province_Client],_26_03_2026_Client_Churn_v1[Duree_Cumulee_Panne_Min],"non trouvé")</f>
        <v>non trouvé</v>
      </c>
      <c r="O143" t="str">
        <f>_xlfn.XLOOKUP(_26_03_2026_Log_Reseau_v15[[#This Row],[province RDC]],_26_03_2026_Client_Churn_v1[Province_Client],_26_03_2026_Client_Churn_v1[Facture_Mensuelle],"non trouvé")</f>
        <v>non trouvé</v>
      </c>
      <c r="P143" t="str">
        <f>_xlfn.XLOOKUP(_26_03_2026_Log_Reseau_v15[[#This Row],[province RDC]],_26_03_2026_Client_Churn_v1[Province_Client],_26_03_2026_Client_Churn_v1[Plaintes_Service_Client],"non trouvé")</f>
        <v>non trouvé</v>
      </c>
    </row>
    <row r="144" spans="1:16" hidden="1" x14ac:dyDescent="0.25">
      <c r="A144" s="1">
        <v>45207</v>
      </c>
      <c r="B144" s="2">
        <v>0.17291666666666666</v>
      </c>
      <c r="C144" t="s">
        <v>900</v>
      </c>
      <c r="D144">
        <v>73</v>
      </c>
      <c r="E144" t="s">
        <v>812</v>
      </c>
      <c r="F144" t="str">
        <f>_xlfn.XLOOKUP(_26_03_2026_Log_Reseau_v15[[#This Row],[Cell_ID]],_26_03_2026_Registre_Maintenance_v1[ID_Antenne],_26_03_2026_Registre_Maintenance_v1[zone],"pas trouvé")</f>
        <v>pas trouvé</v>
      </c>
      <c r="G144" t="str">
        <f>_xlfn.XLOOKUP(_26_03_2026_Log_Reseau_v15[[#This Row],[Cell_ID]],_26_03_2026_Registre_Maintenance_v1[ID_Antenne],_26_03_2026_Registre_Maintenance_v1[Latitude],"non trouvé")</f>
        <v>non trouvé</v>
      </c>
      <c r="H144" t="str">
        <f>_xlfn.XLOOKUP(_26_03_2026_Log_Reseau_v15[[#This Row],[Cell_ID]],_26_03_2026_Registre_Maintenance_v1[ID_Antenne],_26_03_2026_Registre_Maintenance_v1[Longitude],"pas trouvé")</f>
        <v>pas trouvé</v>
      </c>
      <c r="I144" t="str">
        <f>_xlfn.XLOOKUP(_26_03_2026_Log_Reseau_v15[[#This Row],[Cell_ID]],_26_03_2026_Registre_Maintenance_v1[ID_Antenne],_26_03_2026_Registre_Maintenance_v1[Technologie],"non trouvé")</f>
        <v>non trouvé</v>
      </c>
      <c r="J144" t="str">
        <f>_xlfn.XLOOKUP(_26_03_2026_Log_Reseau_v15[[#This Row],[Cell_ID]],_26_03_2026_Registre_Maintenance_v1[ID_Antenne],_26_03_2026_Registre_Maintenance_v1[Equipementier],"pas trouvé")</f>
        <v>pas trouvé</v>
      </c>
      <c r="K144" t="str">
        <f>_xlfn.XLOOKUP(_26_03_2026_Log_Reseau_v15[[#This Row],[province RDC]],_26_03_2026_Client_Churn_v1[Province_Client],_26_03_2026_Client_Churn_v1[ID_Client],"non trouvé")</f>
        <v>non trouvé</v>
      </c>
      <c r="L144" t="str">
        <f>_xlfn.XLOOKUP(_26_03_2026_Log_Reseau_v15[[#This Row],[province RDC]],_26_03_2026_Client_Churn_v1[Province_Client],_26_03_2026_Client_Churn_v1[Anciennete_Mois],"non trouvé")</f>
        <v>non trouvé</v>
      </c>
      <c r="M144" t="str">
        <f>_xlfn.XLOOKUP(_26_03_2026_Log_Reseau_v15[[#This Row],[province RDC]],_26_03_2026_Client_Churn_v1[Province_Client],_26_03_2026_Client_Churn_v1[Type_Forfait],"non trouvé")</f>
        <v>non trouvé</v>
      </c>
      <c r="N144" t="str">
        <f>_xlfn.XLOOKUP(_26_03_2026_Log_Reseau_v15[[#This Row],[province RDC]],_26_03_2026_Client_Churn_v1[Province_Client],_26_03_2026_Client_Churn_v1[Duree_Cumulee_Panne_Min],"non trouvé")</f>
        <v>non trouvé</v>
      </c>
      <c r="O144" t="str">
        <f>_xlfn.XLOOKUP(_26_03_2026_Log_Reseau_v15[[#This Row],[province RDC]],_26_03_2026_Client_Churn_v1[Province_Client],_26_03_2026_Client_Churn_v1[Facture_Mensuelle],"non trouvé")</f>
        <v>non trouvé</v>
      </c>
      <c r="P144" t="str">
        <f>_xlfn.XLOOKUP(_26_03_2026_Log_Reseau_v15[[#This Row],[province RDC]],_26_03_2026_Client_Churn_v1[Province_Client],_26_03_2026_Client_Churn_v1[Plaintes_Service_Client],"non trouvé")</f>
        <v>non trouvé</v>
      </c>
    </row>
    <row r="145" spans="1:16" hidden="1" x14ac:dyDescent="0.25">
      <c r="A145" s="1">
        <v>45208</v>
      </c>
      <c r="B145" s="2">
        <v>7.4999999999999997E-2</v>
      </c>
      <c r="C145" t="s">
        <v>901</v>
      </c>
      <c r="D145">
        <v>82</v>
      </c>
      <c r="E145" t="s">
        <v>812</v>
      </c>
      <c r="F145" t="str">
        <f>_xlfn.XLOOKUP(_26_03_2026_Log_Reseau_v15[[#This Row],[Cell_ID]],_26_03_2026_Registre_Maintenance_v1[ID_Antenne],_26_03_2026_Registre_Maintenance_v1[zone],"pas trouvé")</f>
        <v>pas trouvé</v>
      </c>
      <c r="G145" t="str">
        <f>_xlfn.XLOOKUP(_26_03_2026_Log_Reseau_v15[[#This Row],[Cell_ID]],_26_03_2026_Registre_Maintenance_v1[ID_Antenne],_26_03_2026_Registre_Maintenance_v1[Latitude],"non trouvé")</f>
        <v>non trouvé</v>
      </c>
      <c r="H145" t="str">
        <f>_xlfn.XLOOKUP(_26_03_2026_Log_Reseau_v15[[#This Row],[Cell_ID]],_26_03_2026_Registre_Maintenance_v1[ID_Antenne],_26_03_2026_Registre_Maintenance_v1[Longitude],"pas trouvé")</f>
        <v>pas trouvé</v>
      </c>
      <c r="I145" t="str">
        <f>_xlfn.XLOOKUP(_26_03_2026_Log_Reseau_v15[[#This Row],[Cell_ID]],_26_03_2026_Registre_Maintenance_v1[ID_Antenne],_26_03_2026_Registre_Maintenance_v1[Technologie],"non trouvé")</f>
        <v>non trouvé</v>
      </c>
      <c r="J145" t="str">
        <f>_xlfn.XLOOKUP(_26_03_2026_Log_Reseau_v15[[#This Row],[Cell_ID]],_26_03_2026_Registre_Maintenance_v1[ID_Antenne],_26_03_2026_Registre_Maintenance_v1[Equipementier],"pas trouvé")</f>
        <v>pas trouvé</v>
      </c>
      <c r="K145" t="str">
        <f>_xlfn.XLOOKUP(_26_03_2026_Log_Reseau_v15[[#This Row],[province RDC]],_26_03_2026_Client_Churn_v1[Province_Client],_26_03_2026_Client_Churn_v1[ID_Client],"non trouvé")</f>
        <v>non trouvé</v>
      </c>
      <c r="L145" t="str">
        <f>_xlfn.XLOOKUP(_26_03_2026_Log_Reseau_v15[[#This Row],[province RDC]],_26_03_2026_Client_Churn_v1[Province_Client],_26_03_2026_Client_Churn_v1[Anciennete_Mois],"non trouvé")</f>
        <v>non trouvé</v>
      </c>
      <c r="M145" t="str">
        <f>_xlfn.XLOOKUP(_26_03_2026_Log_Reseau_v15[[#This Row],[province RDC]],_26_03_2026_Client_Churn_v1[Province_Client],_26_03_2026_Client_Churn_v1[Type_Forfait],"non trouvé")</f>
        <v>non trouvé</v>
      </c>
      <c r="N145" t="str">
        <f>_xlfn.XLOOKUP(_26_03_2026_Log_Reseau_v15[[#This Row],[province RDC]],_26_03_2026_Client_Churn_v1[Province_Client],_26_03_2026_Client_Churn_v1[Duree_Cumulee_Panne_Min],"non trouvé")</f>
        <v>non trouvé</v>
      </c>
      <c r="O145" t="str">
        <f>_xlfn.XLOOKUP(_26_03_2026_Log_Reseau_v15[[#This Row],[province RDC]],_26_03_2026_Client_Churn_v1[Province_Client],_26_03_2026_Client_Churn_v1[Facture_Mensuelle],"non trouvé")</f>
        <v>non trouvé</v>
      </c>
      <c r="P145" t="str">
        <f>_xlfn.XLOOKUP(_26_03_2026_Log_Reseau_v15[[#This Row],[province RDC]],_26_03_2026_Client_Churn_v1[Province_Client],_26_03_2026_Client_Churn_v1[Plaintes_Service_Client],"non trouvé")</f>
        <v>non trouvé</v>
      </c>
    </row>
    <row r="146" spans="1:16" hidden="1" x14ac:dyDescent="0.25">
      <c r="A146" s="1">
        <v>45228</v>
      </c>
      <c r="B146" s="2">
        <v>0.84861111111111109</v>
      </c>
      <c r="C146" t="s">
        <v>901</v>
      </c>
      <c r="D146">
        <v>18</v>
      </c>
      <c r="E146" t="s">
        <v>812</v>
      </c>
      <c r="F146" t="str">
        <f>_xlfn.XLOOKUP(_26_03_2026_Log_Reseau_v15[[#This Row],[Cell_ID]],_26_03_2026_Registre_Maintenance_v1[ID_Antenne],_26_03_2026_Registre_Maintenance_v1[zone],"pas trouvé")</f>
        <v>pas trouvé</v>
      </c>
      <c r="G146" t="str">
        <f>_xlfn.XLOOKUP(_26_03_2026_Log_Reseau_v15[[#This Row],[Cell_ID]],_26_03_2026_Registre_Maintenance_v1[ID_Antenne],_26_03_2026_Registre_Maintenance_v1[Latitude],"non trouvé")</f>
        <v>non trouvé</v>
      </c>
      <c r="H146" t="str">
        <f>_xlfn.XLOOKUP(_26_03_2026_Log_Reseau_v15[[#This Row],[Cell_ID]],_26_03_2026_Registre_Maintenance_v1[ID_Antenne],_26_03_2026_Registre_Maintenance_v1[Longitude],"pas trouvé")</f>
        <v>pas trouvé</v>
      </c>
      <c r="I146" t="str">
        <f>_xlfn.XLOOKUP(_26_03_2026_Log_Reseau_v15[[#This Row],[Cell_ID]],_26_03_2026_Registre_Maintenance_v1[ID_Antenne],_26_03_2026_Registre_Maintenance_v1[Technologie],"non trouvé")</f>
        <v>non trouvé</v>
      </c>
      <c r="J146" t="str">
        <f>_xlfn.XLOOKUP(_26_03_2026_Log_Reseau_v15[[#This Row],[Cell_ID]],_26_03_2026_Registre_Maintenance_v1[ID_Antenne],_26_03_2026_Registre_Maintenance_v1[Equipementier],"pas trouvé")</f>
        <v>pas trouvé</v>
      </c>
      <c r="K146" t="str">
        <f>_xlfn.XLOOKUP(_26_03_2026_Log_Reseau_v15[[#This Row],[province RDC]],_26_03_2026_Client_Churn_v1[Province_Client],_26_03_2026_Client_Churn_v1[ID_Client],"non trouvé")</f>
        <v>non trouvé</v>
      </c>
      <c r="L146" t="str">
        <f>_xlfn.XLOOKUP(_26_03_2026_Log_Reseau_v15[[#This Row],[province RDC]],_26_03_2026_Client_Churn_v1[Province_Client],_26_03_2026_Client_Churn_v1[Anciennete_Mois],"non trouvé")</f>
        <v>non trouvé</v>
      </c>
      <c r="M146" t="str">
        <f>_xlfn.XLOOKUP(_26_03_2026_Log_Reseau_v15[[#This Row],[province RDC]],_26_03_2026_Client_Churn_v1[Province_Client],_26_03_2026_Client_Churn_v1[Type_Forfait],"non trouvé")</f>
        <v>non trouvé</v>
      </c>
      <c r="N146" t="str">
        <f>_xlfn.XLOOKUP(_26_03_2026_Log_Reseau_v15[[#This Row],[province RDC]],_26_03_2026_Client_Churn_v1[Province_Client],_26_03_2026_Client_Churn_v1[Duree_Cumulee_Panne_Min],"non trouvé")</f>
        <v>non trouvé</v>
      </c>
      <c r="O146" t="str">
        <f>_xlfn.XLOOKUP(_26_03_2026_Log_Reseau_v15[[#This Row],[province RDC]],_26_03_2026_Client_Churn_v1[Province_Client],_26_03_2026_Client_Churn_v1[Facture_Mensuelle],"non trouvé")</f>
        <v>non trouvé</v>
      </c>
      <c r="P146" t="str">
        <f>_xlfn.XLOOKUP(_26_03_2026_Log_Reseau_v15[[#This Row],[province RDC]],_26_03_2026_Client_Churn_v1[Province_Client],_26_03_2026_Client_Churn_v1[Plaintes_Service_Client],"non trouvé")</f>
        <v>non trouvé</v>
      </c>
    </row>
    <row r="147" spans="1:16" x14ac:dyDescent="0.25">
      <c r="A147" s="1">
        <v>45214</v>
      </c>
      <c r="B147" s="2">
        <v>0.45763888888888887</v>
      </c>
      <c r="C147" t="s">
        <v>902</v>
      </c>
      <c r="D147">
        <v>48</v>
      </c>
      <c r="E147" t="s">
        <v>812</v>
      </c>
      <c r="F147" t="str">
        <f>_xlfn.XLOOKUP(_26_03_2026_Log_Reseau_v15[[#This Row],[Cell_ID]],_26_03_2026_Registre_Maintenance_v1[ID_Antenne],_26_03_2026_Registre_Maintenance_v1[zone],"pas trouvé")</f>
        <v>Sud-Ubangi</v>
      </c>
      <c r="G147">
        <f>_xlfn.XLOOKUP(_26_03_2026_Log_Reseau_v15[[#This Row],[Cell_ID]],_26_03_2026_Registre_Maintenance_v1[ID_Antenne],_26_03_2026_Registre_Maintenance_v1[Latitude],"non trouvé")</f>
        <v>-9.3652239999999995</v>
      </c>
      <c r="H147">
        <f>_xlfn.XLOOKUP(_26_03_2026_Log_Reseau_v15[[#This Row],[Cell_ID]],_26_03_2026_Registre_Maintenance_v1[ID_Antenne],_26_03_2026_Registre_Maintenance_v1[Longitude],"pas trouvé")</f>
        <v>22.593423999999999</v>
      </c>
      <c r="I147" t="str">
        <f>_xlfn.XLOOKUP(_26_03_2026_Log_Reseau_v15[[#This Row],[Cell_ID]],_26_03_2026_Registre_Maintenance_v1[ID_Antenne],_26_03_2026_Registre_Maintenance_v1[Technologie],"non trouvé")</f>
        <v>5G</v>
      </c>
      <c r="J147" t="str">
        <f>_xlfn.XLOOKUP(_26_03_2026_Log_Reseau_v15[[#This Row],[Cell_ID]],_26_03_2026_Registre_Maintenance_v1[ID_Antenne],_26_03_2026_Registre_Maintenance_v1[Equipementier],"pas trouvé")</f>
        <v>Nokia</v>
      </c>
      <c r="K147" t="str">
        <f>_xlfn.XLOOKUP(_26_03_2026_Log_Reseau_v15[[#This Row],[province RDC]],_26_03_2026_Client_Churn_v1[Province_Client],_26_03_2026_Client_Churn_v1[ID_Client],"non trouvé")</f>
        <v>CLI-00280</v>
      </c>
      <c r="L147">
        <f>_xlfn.XLOOKUP(_26_03_2026_Log_Reseau_v15[[#This Row],[province RDC]],_26_03_2026_Client_Churn_v1[Province_Client],_26_03_2026_Client_Churn_v1[Anciennete_Mois],"non trouvé")</f>
        <v>113</v>
      </c>
      <c r="M147" t="str">
        <f>_xlfn.XLOOKUP(_26_03_2026_Log_Reseau_v15[[#This Row],[province RDC]],_26_03_2026_Client_Churn_v1[Province_Client],_26_03_2026_Client_Churn_v1[Type_Forfait],"non trouvé")</f>
        <v>Illimité 50Go</v>
      </c>
      <c r="N147">
        <f>_xlfn.XLOOKUP(_26_03_2026_Log_Reseau_v15[[#This Row],[province RDC]],_26_03_2026_Client_Churn_v1[Province_Client],_26_03_2026_Client_Churn_v1[Duree_Cumulee_Panne_Min],"non trouvé")</f>
        <v>380</v>
      </c>
      <c r="O147">
        <f>_xlfn.XLOOKUP(_26_03_2026_Log_Reseau_v15[[#This Row],[province RDC]],_26_03_2026_Client_Churn_v1[Province_Client],_26_03_2026_Client_Churn_v1[Facture_Mensuelle],"non trouvé")</f>
        <v>12.11</v>
      </c>
      <c r="P147">
        <f>_xlfn.XLOOKUP(_26_03_2026_Log_Reseau_v15[[#This Row],[province RDC]],_26_03_2026_Client_Churn_v1[Province_Client],_26_03_2026_Client_Churn_v1[Plaintes_Service_Client],"non trouvé")</f>
        <v>0</v>
      </c>
    </row>
    <row r="148" spans="1:16" x14ac:dyDescent="0.25">
      <c r="A148" s="1">
        <v>45220</v>
      </c>
      <c r="B148" s="2">
        <v>0.48888888888888887</v>
      </c>
      <c r="C148" t="s">
        <v>902</v>
      </c>
      <c r="D148">
        <v>49</v>
      </c>
      <c r="E148" t="s">
        <v>812</v>
      </c>
      <c r="F148" t="str">
        <f>_xlfn.XLOOKUP(_26_03_2026_Log_Reseau_v15[[#This Row],[Cell_ID]],_26_03_2026_Registre_Maintenance_v1[ID_Antenne],_26_03_2026_Registre_Maintenance_v1[zone],"pas trouvé")</f>
        <v>Sud-Ubangi</v>
      </c>
      <c r="G148">
        <f>_xlfn.XLOOKUP(_26_03_2026_Log_Reseau_v15[[#This Row],[Cell_ID]],_26_03_2026_Registre_Maintenance_v1[ID_Antenne],_26_03_2026_Registre_Maintenance_v1[Latitude],"non trouvé")</f>
        <v>-9.3652239999999995</v>
      </c>
      <c r="H148">
        <f>_xlfn.XLOOKUP(_26_03_2026_Log_Reseau_v15[[#This Row],[Cell_ID]],_26_03_2026_Registre_Maintenance_v1[ID_Antenne],_26_03_2026_Registre_Maintenance_v1[Longitude],"pas trouvé")</f>
        <v>22.593423999999999</v>
      </c>
      <c r="I148" t="str">
        <f>_xlfn.XLOOKUP(_26_03_2026_Log_Reseau_v15[[#This Row],[Cell_ID]],_26_03_2026_Registre_Maintenance_v1[ID_Antenne],_26_03_2026_Registre_Maintenance_v1[Technologie],"non trouvé")</f>
        <v>5G</v>
      </c>
      <c r="J148" t="str">
        <f>_xlfn.XLOOKUP(_26_03_2026_Log_Reseau_v15[[#This Row],[Cell_ID]],_26_03_2026_Registre_Maintenance_v1[ID_Antenne],_26_03_2026_Registre_Maintenance_v1[Equipementier],"pas trouvé")</f>
        <v>Nokia</v>
      </c>
      <c r="K148" t="str">
        <f>_xlfn.XLOOKUP(_26_03_2026_Log_Reseau_v15[[#This Row],[province RDC]],_26_03_2026_Client_Churn_v1[Province_Client],_26_03_2026_Client_Churn_v1[ID_Client],"non trouvé")</f>
        <v>CLI-00280</v>
      </c>
      <c r="L148">
        <f>_xlfn.XLOOKUP(_26_03_2026_Log_Reseau_v15[[#This Row],[province RDC]],_26_03_2026_Client_Churn_v1[Province_Client],_26_03_2026_Client_Churn_v1[Anciennete_Mois],"non trouvé")</f>
        <v>113</v>
      </c>
      <c r="M148" t="str">
        <f>_xlfn.XLOOKUP(_26_03_2026_Log_Reseau_v15[[#This Row],[province RDC]],_26_03_2026_Client_Churn_v1[Province_Client],_26_03_2026_Client_Churn_v1[Type_Forfait],"non trouvé")</f>
        <v>Illimité 50Go</v>
      </c>
      <c r="N148">
        <f>_xlfn.XLOOKUP(_26_03_2026_Log_Reseau_v15[[#This Row],[province RDC]],_26_03_2026_Client_Churn_v1[Province_Client],_26_03_2026_Client_Churn_v1[Duree_Cumulee_Panne_Min],"non trouvé")</f>
        <v>380</v>
      </c>
      <c r="O148">
        <f>_xlfn.XLOOKUP(_26_03_2026_Log_Reseau_v15[[#This Row],[province RDC]],_26_03_2026_Client_Churn_v1[Province_Client],_26_03_2026_Client_Churn_v1[Facture_Mensuelle],"non trouvé")</f>
        <v>12.11</v>
      </c>
      <c r="P148">
        <f>_xlfn.XLOOKUP(_26_03_2026_Log_Reseau_v15[[#This Row],[province RDC]],_26_03_2026_Client_Churn_v1[Province_Client],_26_03_2026_Client_Churn_v1[Plaintes_Service_Client],"non trouvé")</f>
        <v>0</v>
      </c>
    </row>
    <row r="149" spans="1:16" x14ac:dyDescent="0.25">
      <c r="A149" s="1">
        <v>45212</v>
      </c>
      <c r="B149" s="2">
        <v>0.87569444444444444</v>
      </c>
      <c r="C149" t="s">
        <v>903</v>
      </c>
      <c r="D149">
        <v>23</v>
      </c>
      <c r="E149" t="s">
        <v>807</v>
      </c>
      <c r="F149" t="str">
        <f>_xlfn.XLOOKUP(_26_03_2026_Log_Reseau_v15[[#This Row],[Cell_ID]],_26_03_2026_Registre_Maintenance_v1[ID_Antenne],_26_03_2026_Registre_Maintenance_v1[zone],"pas trouvé")</f>
        <v>Kwilu</v>
      </c>
      <c r="G149">
        <f>_xlfn.XLOOKUP(_26_03_2026_Log_Reseau_v15[[#This Row],[Cell_ID]],_26_03_2026_Registre_Maintenance_v1[ID_Antenne],_26_03_2026_Registre_Maintenance_v1[Latitude],"non trouvé")</f>
        <v>1.2691650000000001</v>
      </c>
      <c r="H149">
        <f>_xlfn.XLOOKUP(_26_03_2026_Log_Reseau_v15[[#This Row],[Cell_ID]],_26_03_2026_Registre_Maintenance_v1[ID_Antenne],_26_03_2026_Registre_Maintenance_v1[Longitude],"pas trouvé")</f>
        <v>18.789956</v>
      </c>
      <c r="I149" t="str">
        <f>_xlfn.XLOOKUP(_26_03_2026_Log_Reseau_v15[[#This Row],[Cell_ID]],_26_03_2026_Registre_Maintenance_v1[ID_Antenne],_26_03_2026_Registre_Maintenance_v1[Technologie],"non trouvé")</f>
        <v>3G</v>
      </c>
      <c r="J149" t="str">
        <f>_xlfn.XLOOKUP(_26_03_2026_Log_Reseau_v15[[#This Row],[Cell_ID]],_26_03_2026_Registre_Maintenance_v1[ID_Antenne],_26_03_2026_Registre_Maintenance_v1[Equipementier],"pas trouvé")</f>
        <v>Nokia</v>
      </c>
      <c r="K149" t="str">
        <f>_xlfn.XLOOKUP(_26_03_2026_Log_Reseau_v15[[#This Row],[province RDC]],_26_03_2026_Client_Churn_v1[Province_Client],_26_03_2026_Client_Churn_v1[ID_Client],"non trouvé")</f>
        <v>CLI-00996</v>
      </c>
      <c r="L149">
        <f>_xlfn.XLOOKUP(_26_03_2026_Log_Reseau_v15[[#This Row],[province RDC]],_26_03_2026_Client_Churn_v1[Province_Client],_26_03_2026_Client_Churn_v1[Anciennete_Mois],"non trouvé")</f>
        <v>119</v>
      </c>
      <c r="M149" t="str">
        <f>_xlfn.XLOOKUP(_26_03_2026_Log_Reseau_v15[[#This Row],[province RDC]],_26_03_2026_Client_Churn_v1[Province_Client],_26_03_2026_Client_Churn_v1[Type_Forfait],"non trouvé")</f>
        <v>Illimité 50Go</v>
      </c>
      <c r="N149">
        <f>_xlfn.XLOOKUP(_26_03_2026_Log_Reseau_v15[[#This Row],[province RDC]],_26_03_2026_Client_Churn_v1[Province_Client],_26_03_2026_Client_Churn_v1[Duree_Cumulee_Panne_Min],"non trouvé")</f>
        <v>228</v>
      </c>
      <c r="O149">
        <f>_xlfn.XLOOKUP(_26_03_2026_Log_Reseau_v15[[#This Row],[province RDC]],_26_03_2026_Client_Churn_v1[Province_Client],_26_03_2026_Client_Churn_v1[Facture_Mensuelle],"non trouvé")</f>
        <v>94.72</v>
      </c>
      <c r="P149">
        <f>_xlfn.XLOOKUP(_26_03_2026_Log_Reseau_v15[[#This Row],[province RDC]],_26_03_2026_Client_Churn_v1[Province_Client],_26_03_2026_Client_Churn_v1[Plaintes_Service_Client],"non trouvé")</f>
        <v>3</v>
      </c>
    </row>
    <row r="150" spans="1:16" x14ac:dyDescent="0.25">
      <c r="A150" s="1">
        <v>45206</v>
      </c>
      <c r="B150" s="2">
        <v>0.5395833333333333</v>
      </c>
      <c r="C150" t="s">
        <v>904</v>
      </c>
      <c r="D150">
        <v>43</v>
      </c>
      <c r="E150" t="s">
        <v>807</v>
      </c>
      <c r="F150" t="str">
        <f>_xlfn.XLOOKUP(_26_03_2026_Log_Reseau_v15[[#This Row],[Cell_ID]],_26_03_2026_Registre_Maintenance_v1[ID_Antenne],_26_03_2026_Registre_Maintenance_v1[zone],"pas trouvé")</f>
        <v>Kwango</v>
      </c>
      <c r="G150">
        <f>_xlfn.XLOOKUP(_26_03_2026_Log_Reseau_v15[[#This Row],[Cell_ID]],_26_03_2026_Registre_Maintenance_v1[ID_Antenne],_26_03_2026_Registre_Maintenance_v1[Latitude],"non trouvé")</f>
        <v>-10.963041</v>
      </c>
      <c r="H150">
        <f>_xlfn.XLOOKUP(_26_03_2026_Log_Reseau_v15[[#This Row],[Cell_ID]],_26_03_2026_Registre_Maintenance_v1[ID_Antenne],_26_03_2026_Registre_Maintenance_v1[Longitude],"pas trouvé")</f>
        <v>12.269857</v>
      </c>
      <c r="I150" t="str">
        <f>_xlfn.XLOOKUP(_26_03_2026_Log_Reseau_v15[[#This Row],[Cell_ID]],_26_03_2026_Registre_Maintenance_v1[ID_Antenne],_26_03_2026_Registre_Maintenance_v1[Technologie],"non trouvé")</f>
        <v>4G</v>
      </c>
      <c r="J150" t="str">
        <f>_xlfn.XLOOKUP(_26_03_2026_Log_Reseau_v15[[#This Row],[Cell_ID]],_26_03_2026_Registre_Maintenance_v1[ID_Antenne],_26_03_2026_Registre_Maintenance_v1[Equipementier],"pas trouvé")</f>
        <v>Huawei</v>
      </c>
      <c r="K150" t="str">
        <f>_xlfn.XLOOKUP(_26_03_2026_Log_Reseau_v15[[#This Row],[province RDC]],_26_03_2026_Client_Churn_v1[Province_Client],_26_03_2026_Client_Churn_v1[ID_Client],"non trouvé")</f>
        <v>CLI-00569</v>
      </c>
      <c r="L150">
        <f>_xlfn.XLOOKUP(_26_03_2026_Log_Reseau_v15[[#This Row],[province RDC]],_26_03_2026_Client_Churn_v1[Province_Client],_26_03_2026_Client_Churn_v1[Anciennete_Mois],"non trouvé")</f>
        <v>110</v>
      </c>
      <c r="M150" t="str">
        <f>_xlfn.XLOOKUP(_26_03_2026_Log_Reseau_v15[[#This Row],[province RDC]],_26_03_2026_Client_Churn_v1[Province_Client],_26_03_2026_Client_Churn_v1[Type_Forfait],"non trouvé")</f>
        <v>Pro Monde</v>
      </c>
      <c r="N150">
        <f>_xlfn.XLOOKUP(_26_03_2026_Log_Reseau_v15[[#This Row],[province RDC]],_26_03_2026_Client_Churn_v1[Province_Client],_26_03_2026_Client_Churn_v1[Duree_Cumulee_Panne_Min],"non trouvé")</f>
        <v>423</v>
      </c>
      <c r="O150">
        <f>_xlfn.XLOOKUP(_26_03_2026_Log_Reseau_v15[[#This Row],[province RDC]],_26_03_2026_Client_Churn_v1[Province_Client],_26_03_2026_Client_Churn_v1[Facture_Mensuelle],"non trouvé")</f>
        <v>37.35</v>
      </c>
      <c r="P150">
        <f>_xlfn.XLOOKUP(_26_03_2026_Log_Reseau_v15[[#This Row],[province RDC]],_26_03_2026_Client_Churn_v1[Province_Client],_26_03_2026_Client_Churn_v1[Plaintes_Service_Client],"non trouvé")</f>
        <v>4</v>
      </c>
    </row>
    <row r="151" spans="1:16" x14ac:dyDescent="0.25">
      <c r="A151" s="1">
        <v>45228</v>
      </c>
      <c r="B151" s="2">
        <v>0.62152777777777779</v>
      </c>
      <c r="C151" t="s">
        <v>904</v>
      </c>
      <c r="D151">
        <v>98</v>
      </c>
      <c r="E151" t="s">
        <v>812</v>
      </c>
      <c r="F151" t="str">
        <f>_xlfn.XLOOKUP(_26_03_2026_Log_Reseau_v15[[#This Row],[Cell_ID]],_26_03_2026_Registre_Maintenance_v1[ID_Antenne],_26_03_2026_Registre_Maintenance_v1[zone],"pas trouvé")</f>
        <v>Kwango</v>
      </c>
      <c r="G151">
        <f>_xlfn.XLOOKUP(_26_03_2026_Log_Reseau_v15[[#This Row],[Cell_ID]],_26_03_2026_Registre_Maintenance_v1[ID_Antenne],_26_03_2026_Registre_Maintenance_v1[Latitude],"non trouvé")</f>
        <v>-10.963041</v>
      </c>
      <c r="H151">
        <f>_xlfn.XLOOKUP(_26_03_2026_Log_Reseau_v15[[#This Row],[Cell_ID]],_26_03_2026_Registre_Maintenance_v1[ID_Antenne],_26_03_2026_Registre_Maintenance_v1[Longitude],"pas trouvé")</f>
        <v>12.269857</v>
      </c>
      <c r="I151" t="str">
        <f>_xlfn.XLOOKUP(_26_03_2026_Log_Reseau_v15[[#This Row],[Cell_ID]],_26_03_2026_Registre_Maintenance_v1[ID_Antenne],_26_03_2026_Registre_Maintenance_v1[Technologie],"non trouvé")</f>
        <v>4G</v>
      </c>
      <c r="J151" t="str">
        <f>_xlfn.XLOOKUP(_26_03_2026_Log_Reseau_v15[[#This Row],[Cell_ID]],_26_03_2026_Registre_Maintenance_v1[ID_Antenne],_26_03_2026_Registre_Maintenance_v1[Equipementier],"pas trouvé")</f>
        <v>Huawei</v>
      </c>
      <c r="K151" t="str">
        <f>_xlfn.XLOOKUP(_26_03_2026_Log_Reseau_v15[[#This Row],[province RDC]],_26_03_2026_Client_Churn_v1[Province_Client],_26_03_2026_Client_Churn_v1[ID_Client],"non trouvé")</f>
        <v>CLI-00569</v>
      </c>
      <c r="L151">
        <f>_xlfn.XLOOKUP(_26_03_2026_Log_Reseau_v15[[#This Row],[province RDC]],_26_03_2026_Client_Churn_v1[Province_Client],_26_03_2026_Client_Churn_v1[Anciennete_Mois],"non trouvé")</f>
        <v>110</v>
      </c>
      <c r="M151" t="str">
        <f>_xlfn.XLOOKUP(_26_03_2026_Log_Reseau_v15[[#This Row],[province RDC]],_26_03_2026_Client_Churn_v1[Province_Client],_26_03_2026_Client_Churn_v1[Type_Forfait],"non trouvé")</f>
        <v>Pro Monde</v>
      </c>
      <c r="N151">
        <f>_xlfn.XLOOKUP(_26_03_2026_Log_Reseau_v15[[#This Row],[province RDC]],_26_03_2026_Client_Churn_v1[Province_Client],_26_03_2026_Client_Churn_v1[Duree_Cumulee_Panne_Min],"non trouvé")</f>
        <v>423</v>
      </c>
      <c r="O151">
        <f>_xlfn.XLOOKUP(_26_03_2026_Log_Reseau_v15[[#This Row],[province RDC]],_26_03_2026_Client_Churn_v1[Province_Client],_26_03_2026_Client_Churn_v1[Facture_Mensuelle],"non trouvé")</f>
        <v>37.35</v>
      </c>
      <c r="P151">
        <f>_xlfn.XLOOKUP(_26_03_2026_Log_Reseau_v15[[#This Row],[province RDC]],_26_03_2026_Client_Churn_v1[Province_Client],_26_03_2026_Client_Churn_v1[Plaintes_Service_Client],"non trouvé")</f>
        <v>4</v>
      </c>
    </row>
    <row r="152" spans="1:16" x14ac:dyDescent="0.25">
      <c r="A152" s="1">
        <v>45212</v>
      </c>
      <c r="B152" s="2">
        <v>0.90138888888888891</v>
      </c>
      <c r="C152" t="s">
        <v>904</v>
      </c>
      <c r="D152">
        <v>58</v>
      </c>
      <c r="E152" t="s">
        <v>807</v>
      </c>
      <c r="F152" t="str">
        <f>_xlfn.XLOOKUP(_26_03_2026_Log_Reseau_v15[[#This Row],[Cell_ID]],_26_03_2026_Registre_Maintenance_v1[ID_Antenne],_26_03_2026_Registre_Maintenance_v1[zone],"pas trouvé")</f>
        <v>Kwango</v>
      </c>
      <c r="G152">
        <f>_xlfn.XLOOKUP(_26_03_2026_Log_Reseau_v15[[#This Row],[Cell_ID]],_26_03_2026_Registre_Maintenance_v1[ID_Antenne],_26_03_2026_Registre_Maintenance_v1[Latitude],"non trouvé")</f>
        <v>-10.963041</v>
      </c>
      <c r="H152">
        <f>_xlfn.XLOOKUP(_26_03_2026_Log_Reseau_v15[[#This Row],[Cell_ID]],_26_03_2026_Registre_Maintenance_v1[ID_Antenne],_26_03_2026_Registre_Maintenance_v1[Longitude],"pas trouvé")</f>
        <v>12.269857</v>
      </c>
      <c r="I152" t="str">
        <f>_xlfn.XLOOKUP(_26_03_2026_Log_Reseau_v15[[#This Row],[Cell_ID]],_26_03_2026_Registre_Maintenance_v1[ID_Antenne],_26_03_2026_Registre_Maintenance_v1[Technologie],"non trouvé")</f>
        <v>4G</v>
      </c>
      <c r="J152" t="str">
        <f>_xlfn.XLOOKUP(_26_03_2026_Log_Reseau_v15[[#This Row],[Cell_ID]],_26_03_2026_Registre_Maintenance_v1[ID_Antenne],_26_03_2026_Registre_Maintenance_v1[Equipementier],"pas trouvé")</f>
        <v>Huawei</v>
      </c>
      <c r="K152" t="str">
        <f>_xlfn.XLOOKUP(_26_03_2026_Log_Reseau_v15[[#This Row],[province RDC]],_26_03_2026_Client_Churn_v1[Province_Client],_26_03_2026_Client_Churn_v1[ID_Client],"non trouvé")</f>
        <v>CLI-00569</v>
      </c>
      <c r="L152">
        <f>_xlfn.XLOOKUP(_26_03_2026_Log_Reseau_v15[[#This Row],[province RDC]],_26_03_2026_Client_Churn_v1[Province_Client],_26_03_2026_Client_Churn_v1[Anciennete_Mois],"non trouvé")</f>
        <v>110</v>
      </c>
      <c r="M152" t="str">
        <f>_xlfn.XLOOKUP(_26_03_2026_Log_Reseau_v15[[#This Row],[province RDC]],_26_03_2026_Client_Churn_v1[Province_Client],_26_03_2026_Client_Churn_v1[Type_Forfait],"non trouvé")</f>
        <v>Pro Monde</v>
      </c>
      <c r="N152">
        <f>_xlfn.XLOOKUP(_26_03_2026_Log_Reseau_v15[[#This Row],[province RDC]],_26_03_2026_Client_Churn_v1[Province_Client],_26_03_2026_Client_Churn_v1[Duree_Cumulee_Panne_Min],"non trouvé")</f>
        <v>423</v>
      </c>
      <c r="O152">
        <f>_xlfn.XLOOKUP(_26_03_2026_Log_Reseau_v15[[#This Row],[province RDC]],_26_03_2026_Client_Churn_v1[Province_Client],_26_03_2026_Client_Churn_v1[Facture_Mensuelle],"non trouvé")</f>
        <v>37.35</v>
      </c>
      <c r="P152">
        <f>_xlfn.XLOOKUP(_26_03_2026_Log_Reseau_v15[[#This Row],[province RDC]],_26_03_2026_Client_Churn_v1[Province_Client],_26_03_2026_Client_Churn_v1[Plaintes_Service_Client],"non trouvé")</f>
        <v>4</v>
      </c>
    </row>
    <row r="153" spans="1:16" hidden="1" x14ac:dyDescent="0.25">
      <c r="A153" s="1">
        <v>45230</v>
      </c>
      <c r="B153" s="2">
        <v>0.44444444444444442</v>
      </c>
      <c r="C153" t="s">
        <v>905</v>
      </c>
      <c r="D153">
        <v>40</v>
      </c>
      <c r="E153" t="s">
        <v>807</v>
      </c>
      <c r="F153" t="str">
        <f>_xlfn.XLOOKUP(_26_03_2026_Log_Reseau_v15[[#This Row],[Cell_ID]],_26_03_2026_Registre_Maintenance_v1[ID_Antenne],_26_03_2026_Registre_Maintenance_v1[zone],"pas trouvé")</f>
        <v>pas trouvé</v>
      </c>
      <c r="G153" t="str">
        <f>_xlfn.XLOOKUP(_26_03_2026_Log_Reseau_v15[[#This Row],[Cell_ID]],_26_03_2026_Registre_Maintenance_v1[ID_Antenne],_26_03_2026_Registre_Maintenance_v1[Latitude],"non trouvé")</f>
        <v>non trouvé</v>
      </c>
      <c r="H153" t="str">
        <f>_xlfn.XLOOKUP(_26_03_2026_Log_Reseau_v15[[#This Row],[Cell_ID]],_26_03_2026_Registre_Maintenance_v1[ID_Antenne],_26_03_2026_Registre_Maintenance_v1[Longitude],"pas trouvé")</f>
        <v>pas trouvé</v>
      </c>
      <c r="I153" t="str">
        <f>_xlfn.XLOOKUP(_26_03_2026_Log_Reseau_v15[[#This Row],[Cell_ID]],_26_03_2026_Registre_Maintenance_v1[ID_Antenne],_26_03_2026_Registre_Maintenance_v1[Technologie],"non trouvé")</f>
        <v>non trouvé</v>
      </c>
      <c r="J153" t="str">
        <f>_xlfn.XLOOKUP(_26_03_2026_Log_Reseau_v15[[#This Row],[Cell_ID]],_26_03_2026_Registre_Maintenance_v1[ID_Antenne],_26_03_2026_Registre_Maintenance_v1[Equipementier],"pas trouvé")</f>
        <v>pas trouvé</v>
      </c>
      <c r="K153" t="str">
        <f>_xlfn.XLOOKUP(_26_03_2026_Log_Reseau_v15[[#This Row],[province RDC]],_26_03_2026_Client_Churn_v1[Province_Client],_26_03_2026_Client_Churn_v1[ID_Client],"non trouvé")</f>
        <v>non trouvé</v>
      </c>
      <c r="L153" t="str">
        <f>_xlfn.XLOOKUP(_26_03_2026_Log_Reseau_v15[[#This Row],[province RDC]],_26_03_2026_Client_Churn_v1[Province_Client],_26_03_2026_Client_Churn_v1[Anciennete_Mois],"non trouvé")</f>
        <v>non trouvé</v>
      </c>
      <c r="M153" t="str">
        <f>_xlfn.XLOOKUP(_26_03_2026_Log_Reseau_v15[[#This Row],[province RDC]],_26_03_2026_Client_Churn_v1[Province_Client],_26_03_2026_Client_Churn_v1[Type_Forfait],"non trouvé")</f>
        <v>non trouvé</v>
      </c>
      <c r="N153" t="str">
        <f>_xlfn.XLOOKUP(_26_03_2026_Log_Reseau_v15[[#This Row],[province RDC]],_26_03_2026_Client_Churn_v1[Province_Client],_26_03_2026_Client_Churn_v1[Duree_Cumulee_Panne_Min],"non trouvé")</f>
        <v>non trouvé</v>
      </c>
      <c r="O153" t="str">
        <f>_xlfn.XLOOKUP(_26_03_2026_Log_Reseau_v15[[#This Row],[province RDC]],_26_03_2026_Client_Churn_v1[Province_Client],_26_03_2026_Client_Churn_v1[Facture_Mensuelle],"non trouvé")</f>
        <v>non trouvé</v>
      </c>
      <c r="P153" t="str">
        <f>_xlfn.XLOOKUP(_26_03_2026_Log_Reseau_v15[[#This Row],[province RDC]],_26_03_2026_Client_Churn_v1[Province_Client],_26_03_2026_Client_Churn_v1[Plaintes_Service_Client],"non trouvé")</f>
        <v>non trouvé</v>
      </c>
    </row>
    <row r="154" spans="1:16" hidden="1" x14ac:dyDescent="0.25">
      <c r="A154" s="1">
        <v>45203</v>
      </c>
      <c r="B154" s="2">
        <v>0.71805555555555556</v>
      </c>
      <c r="C154" t="s">
        <v>905</v>
      </c>
      <c r="D154">
        <v>114</v>
      </c>
      <c r="E154" t="s">
        <v>808</v>
      </c>
      <c r="F154" t="str">
        <f>_xlfn.XLOOKUP(_26_03_2026_Log_Reseau_v15[[#This Row],[Cell_ID]],_26_03_2026_Registre_Maintenance_v1[ID_Antenne],_26_03_2026_Registre_Maintenance_v1[zone],"pas trouvé")</f>
        <v>pas trouvé</v>
      </c>
      <c r="G154" t="str">
        <f>_xlfn.XLOOKUP(_26_03_2026_Log_Reseau_v15[[#This Row],[Cell_ID]],_26_03_2026_Registre_Maintenance_v1[ID_Antenne],_26_03_2026_Registre_Maintenance_v1[Latitude],"non trouvé")</f>
        <v>non trouvé</v>
      </c>
      <c r="H154" t="str">
        <f>_xlfn.XLOOKUP(_26_03_2026_Log_Reseau_v15[[#This Row],[Cell_ID]],_26_03_2026_Registre_Maintenance_v1[ID_Antenne],_26_03_2026_Registre_Maintenance_v1[Longitude],"pas trouvé")</f>
        <v>pas trouvé</v>
      </c>
      <c r="I154" t="str">
        <f>_xlfn.XLOOKUP(_26_03_2026_Log_Reseau_v15[[#This Row],[Cell_ID]],_26_03_2026_Registre_Maintenance_v1[ID_Antenne],_26_03_2026_Registre_Maintenance_v1[Technologie],"non trouvé")</f>
        <v>non trouvé</v>
      </c>
      <c r="J154" t="str">
        <f>_xlfn.XLOOKUP(_26_03_2026_Log_Reseau_v15[[#This Row],[Cell_ID]],_26_03_2026_Registre_Maintenance_v1[ID_Antenne],_26_03_2026_Registre_Maintenance_v1[Equipementier],"pas trouvé")</f>
        <v>pas trouvé</v>
      </c>
      <c r="K154" t="str">
        <f>_xlfn.XLOOKUP(_26_03_2026_Log_Reseau_v15[[#This Row],[province RDC]],_26_03_2026_Client_Churn_v1[Province_Client],_26_03_2026_Client_Churn_v1[ID_Client],"non trouvé")</f>
        <v>non trouvé</v>
      </c>
      <c r="L154" t="str">
        <f>_xlfn.XLOOKUP(_26_03_2026_Log_Reseau_v15[[#This Row],[province RDC]],_26_03_2026_Client_Churn_v1[Province_Client],_26_03_2026_Client_Churn_v1[Anciennete_Mois],"non trouvé")</f>
        <v>non trouvé</v>
      </c>
      <c r="M154" t="str">
        <f>_xlfn.XLOOKUP(_26_03_2026_Log_Reseau_v15[[#This Row],[province RDC]],_26_03_2026_Client_Churn_v1[Province_Client],_26_03_2026_Client_Churn_v1[Type_Forfait],"non trouvé")</f>
        <v>non trouvé</v>
      </c>
      <c r="N154" t="str">
        <f>_xlfn.XLOOKUP(_26_03_2026_Log_Reseau_v15[[#This Row],[province RDC]],_26_03_2026_Client_Churn_v1[Province_Client],_26_03_2026_Client_Churn_v1[Duree_Cumulee_Panne_Min],"non trouvé")</f>
        <v>non trouvé</v>
      </c>
      <c r="O154" t="str">
        <f>_xlfn.XLOOKUP(_26_03_2026_Log_Reseau_v15[[#This Row],[province RDC]],_26_03_2026_Client_Churn_v1[Province_Client],_26_03_2026_Client_Churn_v1[Facture_Mensuelle],"non trouvé")</f>
        <v>non trouvé</v>
      </c>
      <c r="P154" t="str">
        <f>_xlfn.XLOOKUP(_26_03_2026_Log_Reseau_v15[[#This Row],[province RDC]],_26_03_2026_Client_Churn_v1[Province_Client],_26_03_2026_Client_Churn_v1[Plaintes_Service_Client],"non trouvé")</f>
        <v>non trouvé</v>
      </c>
    </row>
    <row r="155" spans="1:16" x14ac:dyDescent="0.25">
      <c r="A155" s="1">
        <v>45210</v>
      </c>
      <c r="B155" s="2">
        <v>0.49722222222222223</v>
      </c>
      <c r="C155" t="s">
        <v>906</v>
      </c>
      <c r="D155">
        <v>75</v>
      </c>
      <c r="E155" t="s">
        <v>812</v>
      </c>
      <c r="F155" t="str">
        <f>_xlfn.XLOOKUP(_26_03_2026_Log_Reseau_v15[[#This Row],[Cell_ID]],_26_03_2026_Registre_Maintenance_v1[ID_Antenne],_26_03_2026_Registre_Maintenance_v1[zone],"pas trouvé")</f>
        <v>Sud-Kivu</v>
      </c>
      <c r="G155">
        <f>_xlfn.XLOOKUP(_26_03_2026_Log_Reseau_v15[[#This Row],[Cell_ID]],_26_03_2026_Registre_Maintenance_v1[ID_Antenne],_26_03_2026_Registre_Maintenance_v1[Latitude],"non trouvé")</f>
        <v>-9.3900009999999998</v>
      </c>
      <c r="H155">
        <f>_xlfn.XLOOKUP(_26_03_2026_Log_Reseau_v15[[#This Row],[Cell_ID]],_26_03_2026_Registre_Maintenance_v1[ID_Antenne],_26_03_2026_Registre_Maintenance_v1[Longitude],"pas trouvé")</f>
        <v>30.001517</v>
      </c>
      <c r="I155" t="str">
        <f>_xlfn.XLOOKUP(_26_03_2026_Log_Reseau_v15[[#This Row],[Cell_ID]],_26_03_2026_Registre_Maintenance_v1[ID_Antenne],_26_03_2026_Registre_Maintenance_v1[Technologie],"non trouvé")</f>
        <v>3G</v>
      </c>
      <c r="J155" t="str">
        <f>_xlfn.XLOOKUP(_26_03_2026_Log_Reseau_v15[[#This Row],[Cell_ID]],_26_03_2026_Registre_Maintenance_v1[ID_Antenne],_26_03_2026_Registre_Maintenance_v1[Equipementier],"pas trouvé")</f>
        <v>Nokia</v>
      </c>
      <c r="K155" t="str">
        <f>_xlfn.XLOOKUP(_26_03_2026_Log_Reseau_v15[[#This Row],[province RDC]],_26_03_2026_Client_Churn_v1[Province_Client],_26_03_2026_Client_Churn_v1[ID_Client],"non trouvé")</f>
        <v>CLI-01855</v>
      </c>
      <c r="L155">
        <f>_xlfn.XLOOKUP(_26_03_2026_Log_Reseau_v15[[#This Row],[province RDC]],_26_03_2026_Client_Churn_v1[Province_Client],_26_03_2026_Client_Churn_v1[Anciennete_Mois],"non trouvé")</f>
        <v>101</v>
      </c>
      <c r="M155" t="str">
        <f>_xlfn.XLOOKUP(_26_03_2026_Log_Reseau_v15[[#This Row],[province RDC]],_26_03_2026_Client_Churn_v1[Province_Client],_26_03_2026_Client_Churn_v1[Type_Forfait],"non trouvé")</f>
        <v>Illimité 50Go</v>
      </c>
      <c r="N155">
        <f>_xlfn.XLOOKUP(_26_03_2026_Log_Reseau_v15[[#This Row],[province RDC]],_26_03_2026_Client_Churn_v1[Province_Client],_26_03_2026_Client_Churn_v1[Duree_Cumulee_Panne_Min],"non trouvé")</f>
        <v>358</v>
      </c>
      <c r="O155">
        <f>_xlfn.XLOOKUP(_26_03_2026_Log_Reseau_v15[[#This Row],[province RDC]],_26_03_2026_Client_Churn_v1[Province_Client],_26_03_2026_Client_Churn_v1[Facture_Mensuelle],"non trouvé")</f>
        <v>29.24</v>
      </c>
      <c r="P155">
        <f>_xlfn.XLOOKUP(_26_03_2026_Log_Reseau_v15[[#This Row],[province RDC]],_26_03_2026_Client_Churn_v1[Province_Client],_26_03_2026_Client_Churn_v1[Plaintes_Service_Client],"non trouvé")</f>
        <v>3</v>
      </c>
    </row>
    <row r="156" spans="1:16" x14ac:dyDescent="0.25">
      <c r="A156" s="1">
        <v>45228</v>
      </c>
      <c r="B156" s="2">
        <v>1.3888888888888889E-3</v>
      </c>
      <c r="C156" t="s">
        <v>906</v>
      </c>
      <c r="D156">
        <v>100</v>
      </c>
      <c r="E156" t="s">
        <v>808</v>
      </c>
      <c r="F156" t="str">
        <f>_xlfn.XLOOKUP(_26_03_2026_Log_Reseau_v15[[#This Row],[Cell_ID]],_26_03_2026_Registre_Maintenance_v1[ID_Antenne],_26_03_2026_Registre_Maintenance_v1[zone],"pas trouvé")</f>
        <v>Sud-Kivu</v>
      </c>
      <c r="G156">
        <f>_xlfn.XLOOKUP(_26_03_2026_Log_Reseau_v15[[#This Row],[Cell_ID]],_26_03_2026_Registre_Maintenance_v1[ID_Antenne],_26_03_2026_Registre_Maintenance_v1[Latitude],"non trouvé")</f>
        <v>-9.3900009999999998</v>
      </c>
      <c r="H156">
        <f>_xlfn.XLOOKUP(_26_03_2026_Log_Reseau_v15[[#This Row],[Cell_ID]],_26_03_2026_Registre_Maintenance_v1[ID_Antenne],_26_03_2026_Registre_Maintenance_v1[Longitude],"pas trouvé")</f>
        <v>30.001517</v>
      </c>
      <c r="I156" t="str">
        <f>_xlfn.XLOOKUP(_26_03_2026_Log_Reseau_v15[[#This Row],[Cell_ID]],_26_03_2026_Registre_Maintenance_v1[ID_Antenne],_26_03_2026_Registre_Maintenance_v1[Technologie],"non trouvé")</f>
        <v>3G</v>
      </c>
      <c r="J156" t="str">
        <f>_xlfn.XLOOKUP(_26_03_2026_Log_Reseau_v15[[#This Row],[Cell_ID]],_26_03_2026_Registre_Maintenance_v1[ID_Antenne],_26_03_2026_Registre_Maintenance_v1[Equipementier],"pas trouvé")</f>
        <v>Nokia</v>
      </c>
      <c r="K156" t="str">
        <f>_xlfn.XLOOKUP(_26_03_2026_Log_Reseau_v15[[#This Row],[province RDC]],_26_03_2026_Client_Churn_v1[Province_Client],_26_03_2026_Client_Churn_v1[ID_Client],"non trouvé")</f>
        <v>CLI-01855</v>
      </c>
      <c r="L156">
        <f>_xlfn.XLOOKUP(_26_03_2026_Log_Reseau_v15[[#This Row],[province RDC]],_26_03_2026_Client_Churn_v1[Province_Client],_26_03_2026_Client_Churn_v1[Anciennete_Mois],"non trouvé")</f>
        <v>101</v>
      </c>
      <c r="M156" t="str">
        <f>_xlfn.XLOOKUP(_26_03_2026_Log_Reseau_v15[[#This Row],[province RDC]],_26_03_2026_Client_Churn_v1[Province_Client],_26_03_2026_Client_Churn_v1[Type_Forfait],"non trouvé")</f>
        <v>Illimité 50Go</v>
      </c>
      <c r="N156">
        <f>_xlfn.XLOOKUP(_26_03_2026_Log_Reseau_v15[[#This Row],[province RDC]],_26_03_2026_Client_Churn_v1[Province_Client],_26_03_2026_Client_Churn_v1[Duree_Cumulee_Panne_Min],"non trouvé")</f>
        <v>358</v>
      </c>
      <c r="O156">
        <f>_xlfn.XLOOKUP(_26_03_2026_Log_Reseau_v15[[#This Row],[province RDC]],_26_03_2026_Client_Churn_v1[Province_Client],_26_03_2026_Client_Churn_v1[Facture_Mensuelle],"non trouvé")</f>
        <v>29.24</v>
      </c>
      <c r="P156">
        <f>_xlfn.XLOOKUP(_26_03_2026_Log_Reseau_v15[[#This Row],[province RDC]],_26_03_2026_Client_Churn_v1[Province_Client],_26_03_2026_Client_Churn_v1[Plaintes_Service_Client],"non trouvé")</f>
        <v>3</v>
      </c>
    </row>
    <row r="157" spans="1:16" hidden="1" x14ac:dyDescent="0.25">
      <c r="A157" s="1">
        <v>45212</v>
      </c>
      <c r="B157" s="2">
        <v>0.17430555555555555</v>
      </c>
      <c r="C157" t="s">
        <v>907</v>
      </c>
      <c r="D157">
        <v>112</v>
      </c>
      <c r="E157" t="s">
        <v>812</v>
      </c>
      <c r="F157" t="str">
        <f>_xlfn.XLOOKUP(_26_03_2026_Log_Reseau_v15[[#This Row],[Cell_ID]],_26_03_2026_Registre_Maintenance_v1[ID_Antenne],_26_03_2026_Registre_Maintenance_v1[zone],"pas trouvé")</f>
        <v>pas trouvé</v>
      </c>
      <c r="G157" t="str">
        <f>_xlfn.XLOOKUP(_26_03_2026_Log_Reseau_v15[[#This Row],[Cell_ID]],_26_03_2026_Registre_Maintenance_v1[ID_Antenne],_26_03_2026_Registre_Maintenance_v1[Latitude],"non trouvé")</f>
        <v>non trouvé</v>
      </c>
      <c r="H157" t="str">
        <f>_xlfn.XLOOKUP(_26_03_2026_Log_Reseau_v15[[#This Row],[Cell_ID]],_26_03_2026_Registre_Maintenance_v1[ID_Antenne],_26_03_2026_Registre_Maintenance_v1[Longitude],"pas trouvé")</f>
        <v>pas trouvé</v>
      </c>
      <c r="I157" t="str">
        <f>_xlfn.XLOOKUP(_26_03_2026_Log_Reseau_v15[[#This Row],[Cell_ID]],_26_03_2026_Registre_Maintenance_v1[ID_Antenne],_26_03_2026_Registre_Maintenance_v1[Technologie],"non trouvé")</f>
        <v>non trouvé</v>
      </c>
      <c r="J157" t="str">
        <f>_xlfn.XLOOKUP(_26_03_2026_Log_Reseau_v15[[#This Row],[Cell_ID]],_26_03_2026_Registre_Maintenance_v1[ID_Antenne],_26_03_2026_Registre_Maintenance_v1[Equipementier],"pas trouvé")</f>
        <v>pas trouvé</v>
      </c>
      <c r="K157" t="str">
        <f>_xlfn.XLOOKUP(_26_03_2026_Log_Reseau_v15[[#This Row],[province RDC]],_26_03_2026_Client_Churn_v1[Province_Client],_26_03_2026_Client_Churn_v1[ID_Client],"non trouvé")</f>
        <v>non trouvé</v>
      </c>
      <c r="L157" t="str">
        <f>_xlfn.XLOOKUP(_26_03_2026_Log_Reseau_v15[[#This Row],[province RDC]],_26_03_2026_Client_Churn_v1[Province_Client],_26_03_2026_Client_Churn_v1[Anciennete_Mois],"non trouvé")</f>
        <v>non trouvé</v>
      </c>
      <c r="M157" t="str">
        <f>_xlfn.XLOOKUP(_26_03_2026_Log_Reseau_v15[[#This Row],[province RDC]],_26_03_2026_Client_Churn_v1[Province_Client],_26_03_2026_Client_Churn_v1[Type_Forfait],"non trouvé")</f>
        <v>non trouvé</v>
      </c>
      <c r="N157" t="str">
        <f>_xlfn.XLOOKUP(_26_03_2026_Log_Reseau_v15[[#This Row],[province RDC]],_26_03_2026_Client_Churn_v1[Province_Client],_26_03_2026_Client_Churn_v1[Duree_Cumulee_Panne_Min],"non trouvé")</f>
        <v>non trouvé</v>
      </c>
      <c r="O157" t="str">
        <f>_xlfn.XLOOKUP(_26_03_2026_Log_Reseau_v15[[#This Row],[province RDC]],_26_03_2026_Client_Churn_v1[Province_Client],_26_03_2026_Client_Churn_v1[Facture_Mensuelle],"non trouvé")</f>
        <v>non trouvé</v>
      </c>
      <c r="P157" t="str">
        <f>_xlfn.XLOOKUP(_26_03_2026_Log_Reseau_v15[[#This Row],[province RDC]],_26_03_2026_Client_Churn_v1[Province_Client],_26_03_2026_Client_Churn_v1[Plaintes_Service_Client],"non trouvé")</f>
        <v>non trouvé</v>
      </c>
    </row>
    <row r="158" spans="1:16" hidden="1" x14ac:dyDescent="0.25">
      <c r="A158" s="1">
        <v>45222</v>
      </c>
      <c r="B158" s="2">
        <v>0.51666666666666672</v>
      </c>
      <c r="C158" t="s">
        <v>908</v>
      </c>
      <c r="D158">
        <v>66</v>
      </c>
      <c r="E158" t="s">
        <v>807</v>
      </c>
      <c r="F158" t="str">
        <f>_xlfn.XLOOKUP(_26_03_2026_Log_Reseau_v15[[#This Row],[Cell_ID]],_26_03_2026_Registre_Maintenance_v1[ID_Antenne],_26_03_2026_Registre_Maintenance_v1[zone],"pas trouvé")</f>
        <v>pas trouvé</v>
      </c>
      <c r="G158" t="str">
        <f>_xlfn.XLOOKUP(_26_03_2026_Log_Reseau_v15[[#This Row],[Cell_ID]],_26_03_2026_Registre_Maintenance_v1[ID_Antenne],_26_03_2026_Registre_Maintenance_v1[Latitude],"non trouvé")</f>
        <v>non trouvé</v>
      </c>
      <c r="H158" t="str">
        <f>_xlfn.XLOOKUP(_26_03_2026_Log_Reseau_v15[[#This Row],[Cell_ID]],_26_03_2026_Registre_Maintenance_v1[ID_Antenne],_26_03_2026_Registre_Maintenance_v1[Longitude],"pas trouvé")</f>
        <v>pas trouvé</v>
      </c>
      <c r="I158" t="str">
        <f>_xlfn.XLOOKUP(_26_03_2026_Log_Reseau_v15[[#This Row],[Cell_ID]],_26_03_2026_Registre_Maintenance_v1[ID_Antenne],_26_03_2026_Registre_Maintenance_v1[Technologie],"non trouvé")</f>
        <v>non trouvé</v>
      </c>
      <c r="J158" t="str">
        <f>_xlfn.XLOOKUP(_26_03_2026_Log_Reseau_v15[[#This Row],[Cell_ID]],_26_03_2026_Registre_Maintenance_v1[ID_Antenne],_26_03_2026_Registre_Maintenance_v1[Equipementier],"pas trouvé")</f>
        <v>pas trouvé</v>
      </c>
      <c r="K158" t="str">
        <f>_xlfn.XLOOKUP(_26_03_2026_Log_Reseau_v15[[#This Row],[province RDC]],_26_03_2026_Client_Churn_v1[Province_Client],_26_03_2026_Client_Churn_v1[ID_Client],"non trouvé")</f>
        <v>non trouvé</v>
      </c>
      <c r="L158" t="str">
        <f>_xlfn.XLOOKUP(_26_03_2026_Log_Reseau_v15[[#This Row],[province RDC]],_26_03_2026_Client_Churn_v1[Province_Client],_26_03_2026_Client_Churn_v1[Anciennete_Mois],"non trouvé")</f>
        <v>non trouvé</v>
      </c>
      <c r="M158" t="str">
        <f>_xlfn.XLOOKUP(_26_03_2026_Log_Reseau_v15[[#This Row],[province RDC]],_26_03_2026_Client_Churn_v1[Province_Client],_26_03_2026_Client_Churn_v1[Type_Forfait],"non trouvé")</f>
        <v>non trouvé</v>
      </c>
      <c r="N158" t="str">
        <f>_xlfn.XLOOKUP(_26_03_2026_Log_Reseau_v15[[#This Row],[province RDC]],_26_03_2026_Client_Churn_v1[Province_Client],_26_03_2026_Client_Churn_v1[Duree_Cumulee_Panne_Min],"non trouvé")</f>
        <v>non trouvé</v>
      </c>
      <c r="O158" t="str">
        <f>_xlfn.XLOOKUP(_26_03_2026_Log_Reseau_v15[[#This Row],[province RDC]],_26_03_2026_Client_Churn_v1[Province_Client],_26_03_2026_Client_Churn_v1[Facture_Mensuelle],"non trouvé")</f>
        <v>non trouvé</v>
      </c>
      <c r="P158" t="str">
        <f>_xlfn.XLOOKUP(_26_03_2026_Log_Reseau_v15[[#This Row],[province RDC]],_26_03_2026_Client_Churn_v1[Province_Client],_26_03_2026_Client_Churn_v1[Plaintes_Service_Client],"non trouvé")</f>
        <v>non trouvé</v>
      </c>
    </row>
    <row r="159" spans="1:16" hidden="1" x14ac:dyDescent="0.25">
      <c r="A159" s="1">
        <v>45210</v>
      </c>
      <c r="B159" s="2">
        <v>0.67500000000000004</v>
      </c>
      <c r="C159" t="s">
        <v>908</v>
      </c>
      <c r="D159">
        <v>86</v>
      </c>
      <c r="E159" t="s">
        <v>812</v>
      </c>
      <c r="F159" t="str">
        <f>_xlfn.XLOOKUP(_26_03_2026_Log_Reseau_v15[[#This Row],[Cell_ID]],_26_03_2026_Registre_Maintenance_v1[ID_Antenne],_26_03_2026_Registre_Maintenance_v1[zone],"pas trouvé")</f>
        <v>pas trouvé</v>
      </c>
      <c r="G159" t="str">
        <f>_xlfn.XLOOKUP(_26_03_2026_Log_Reseau_v15[[#This Row],[Cell_ID]],_26_03_2026_Registre_Maintenance_v1[ID_Antenne],_26_03_2026_Registre_Maintenance_v1[Latitude],"non trouvé")</f>
        <v>non trouvé</v>
      </c>
      <c r="H159" t="str">
        <f>_xlfn.XLOOKUP(_26_03_2026_Log_Reseau_v15[[#This Row],[Cell_ID]],_26_03_2026_Registre_Maintenance_v1[ID_Antenne],_26_03_2026_Registre_Maintenance_v1[Longitude],"pas trouvé")</f>
        <v>pas trouvé</v>
      </c>
      <c r="I159" t="str">
        <f>_xlfn.XLOOKUP(_26_03_2026_Log_Reseau_v15[[#This Row],[Cell_ID]],_26_03_2026_Registre_Maintenance_v1[ID_Antenne],_26_03_2026_Registre_Maintenance_v1[Technologie],"non trouvé")</f>
        <v>non trouvé</v>
      </c>
      <c r="J159" t="str">
        <f>_xlfn.XLOOKUP(_26_03_2026_Log_Reseau_v15[[#This Row],[Cell_ID]],_26_03_2026_Registre_Maintenance_v1[ID_Antenne],_26_03_2026_Registre_Maintenance_v1[Equipementier],"pas trouvé")</f>
        <v>pas trouvé</v>
      </c>
      <c r="K159" t="str">
        <f>_xlfn.XLOOKUP(_26_03_2026_Log_Reseau_v15[[#This Row],[province RDC]],_26_03_2026_Client_Churn_v1[Province_Client],_26_03_2026_Client_Churn_v1[ID_Client],"non trouvé")</f>
        <v>non trouvé</v>
      </c>
      <c r="L159" t="str">
        <f>_xlfn.XLOOKUP(_26_03_2026_Log_Reseau_v15[[#This Row],[province RDC]],_26_03_2026_Client_Churn_v1[Province_Client],_26_03_2026_Client_Churn_v1[Anciennete_Mois],"non trouvé")</f>
        <v>non trouvé</v>
      </c>
      <c r="M159" t="str">
        <f>_xlfn.XLOOKUP(_26_03_2026_Log_Reseau_v15[[#This Row],[province RDC]],_26_03_2026_Client_Churn_v1[Province_Client],_26_03_2026_Client_Churn_v1[Type_Forfait],"non trouvé")</f>
        <v>non trouvé</v>
      </c>
      <c r="N159" t="str">
        <f>_xlfn.XLOOKUP(_26_03_2026_Log_Reseau_v15[[#This Row],[province RDC]],_26_03_2026_Client_Churn_v1[Province_Client],_26_03_2026_Client_Churn_v1[Duree_Cumulee_Panne_Min],"non trouvé")</f>
        <v>non trouvé</v>
      </c>
      <c r="O159" t="str">
        <f>_xlfn.XLOOKUP(_26_03_2026_Log_Reseau_v15[[#This Row],[province RDC]],_26_03_2026_Client_Churn_v1[Province_Client],_26_03_2026_Client_Churn_v1[Facture_Mensuelle],"non trouvé")</f>
        <v>non trouvé</v>
      </c>
      <c r="P159" t="str">
        <f>_xlfn.XLOOKUP(_26_03_2026_Log_Reseau_v15[[#This Row],[province RDC]],_26_03_2026_Client_Churn_v1[Province_Client],_26_03_2026_Client_Churn_v1[Plaintes_Service_Client],"non trouvé")</f>
        <v>non trouvé</v>
      </c>
    </row>
    <row r="160" spans="1:16" hidden="1" x14ac:dyDescent="0.25">
      <c r="A160" s="1">
        <v>45219</v>
      </c>
      <c r="B160" s="2">
        <v>0.63611111111111107</v>
      </c>
      <c r="C160" t="s">
        <v>908</v>
      </c>
      <c r="D160">
        <v>49</v>
      </c>
      <c r="E160" t="s">
        <v>807</v>
      </c>
      <c r="F160" t="str">
        <f>_xlfn.XLOOKUP(_26_03_2026_Log_Reseau_v15[[#This Row],[Cell_ID]],_26_03_2026_Registre_Maintenance_v1[ID_Antenne],_26_03_2026_Registre_Maintenance_v1[zone],"pas trouvé")</f>
        <v>pas trouvé</v>
      </c>
      <c r="G160" t="str">
        <f>_xlfn.XLOOKUP(_26_03_2026_Log_Reseau_v15[[#This Row],[Cell_ID]],_26_03_2026_Registre_Maintenance_v1[ID_Antenne],_26_03_2026_Registre_Maintenance_v1[Latitude],"non trouvé")</f>
        <v>non trouvé</v>
      </c>
      <c r="H160" t="str">
        <f>_xlfn.XLOOKUP(_26_03_2026_Log_Reseau_v15[[#This Row],[Cell_ID]],_26_03_2026_Registre_Maintenance_v1[ID_Antenne],_26_03_2026_Registre_Maintenance_v1[Longitude],"pas trouvé")</f>
        <v>pas trouvé</v>
      </c>
      <c r="I160" t="str">
        <f>_xlfn.XLOOKUP(_26_03_2026_Log_Reseau_v15[[#This Row],[Cell_ID]],_26_03_2026_Registre_Maintenance_v1[ID_Antenne],_26_03_2026_Registre_Maintenance_v1[Technologie],"non trouvé")</f>
        <v>non trouvé</v>
      </c>
      <c r="J160" t="str">
        <f>_xlfn.XLOOKUP(_26_03_2026_Log_Reseau_v15[[#This Row],[Cell_ID]],_26_03_2026_Registre_Maintenance_v1[ID_Antenne],_26_03_2026_Registre_Maintenance_v1[Equipementier],"pas trouvé")</f>
        <v>pas trouvé</v>
      </c>
      <c r="K160" t="str">
        <f>_xlfn.XLOOKUP(_26_03_2026_Log_Reseau_v15[[#This Row],[province RDC]],_26_03_2026_Client_Churn_v1[Province_Client],_26_03_2026_Client_Churn_v1[ID_Client],"non trouvé")</f>
        <v>non trouvé</v>
      </c>
      <c r="L160" t="str">
        <f>_xlfn.XLOOKUP(_26_03_2026_Log_Reseau_v15[[#This Row],[province RDC]],_26_03_2026_Client_Churn_v1[Province_Client],_26_03_2026_Client_Churn_v1[Anciennete_Mois],"non trouvé")</f>
        <v>non trouvé</v>
      </c>
      <c r="M160" t="str">
        <f>_xlfn.XLOOKUP(_26_03_2026_Log_Reseau_v15[[#This Row],[province RDC]],_26_03_2026_Client_Churn_v1[Province_Client],_26_03_2026_Client_Churn_v1[Type_Forfait],"non trouvé")</f>
        <v>non trouvé</v>
      </c>
      <c r="N160" t="str">
        <f>_xlfn.XLOOKUP(_26_03_2026_Log_Reseau_v15[[#This Row],[province RDC]],_26_03_2026_Client_Churn_v1[Province_Client],_26_03_2026_Client_Churn_v1[Duree_Cumulee_Panne_Min],"non trouvé")</f>
        <v>non trouvé</v>
      </c>
      <c r="O160" t="str">
        <f>_xlfn.XLOOKUP(_26_03_2026_Log_Reseau_v15[[#This Row],[province RDC]],_26_03_2026_Client_Churn_v1[Province_Client],_26_03_2026_Client_Churn_v1[Facture_Mensuelle],"non trouvé")</f>
        <v>non trouvé</v>
      </c>
      <c r="P160" t="str">
        <f>_xlfn.XLOOKUP(_26_03_2026_Log_Reseau_v15[[#This Row],[province RDC]],_26_03_2026_Client_Churn_v1[Province_Client],_26_03_2026_Client_Churn_v1[Plaintes_Service_Client],"non trouvé")</f>
        <v>non trouvé</v>
      </c>
    </row>
    <row r="161" spans="1:16" x14ac:dyDescent="0.25">
      <c r="A161" s="1">
        <v>45202</v>
      </c>
      <c r="B161" s="2">
        <v>0.77916666666666667</v>
      </c>
      <c r="C161" t="s">
        <v>909</v>
      </c>
      <c r="D161">
        <v>61</v>
      </c>
      <c r="E161" t="s">
        <v>812</v>
      </c>
      <c r="F161" t="str">
        <f>_xlfn.XLOOKUP(_26_03_2026_Log_Reseau_v15[[#This Row],[Cell_ID]],_26_03_2026_Registre_Maintenance_v1[ID_Antenne],_26_03_2026_Registre_Maintenance_v1[zone],"pas trouvé")</f>
        <v>Tanganyika</v>
      </c>
      <c r="G161">
        <f>_xlfn.XLOOKUP(_26_03_2026_Log_Reseau_v15[[#This Row],[Cell_ID]],_26_03_2026_Registre_Maintenance_v1[ID_Antenne],_26_03_2026_Registre_Maintenance_v1[Latitude],"non trouvé")</f>
        <v>-12.229338</v>
      </c>
      <c r="H161">
        <f>_xlfn.XLOOKUP(_26_03_2026_Log_Reseau_v15[[#This Row],[Cell_ID]],_26_03_2026_Registre_Maintenance_v1[ID_Antenne],_26_03_2026_Registre_Maintenance_v1[Longitude],"pas trouvé")</f>
        <v>29.587834999999998</v>
      </c>
      <c r="I161" t="str">
        <f>_xlfn.XLOOKUP(_26_03_2026_Log_Reseau_v15[[#This Row],[Cell_ID]],_26_03_2026_Registre_Maintenance_v1[ID_Antenne],_26_03_2026_Registre_Maintenance_v1[Technologie],"non trouvé")</f>
        <v>4G</v>
      </c>
      <c r="J161" t="str">
        <f>_xlfn.XLOOKUP(_26_03_2026_Log_Reseau_v15[[#This Row],[Cell_ID]],_26_03_2026_Registre_Maintenance_v1[ID_Antenne],_26_03_2026_Registre_Maintenance_v1[Equipementier],"pas trouvé")</f>
        <v>Nokia</v>
      </c>
      <c r="K161" t="str">
        <f>_xlfn.XLOOKUP(_26_03_2026_Log_Reseau_v15[[#This Row],[province RDC]],_26_03_2026_Client_Churn_v1[Province_Client],_26_03_2026_Client_Churn_v1[ID_Client],"non trouvé")</f>
        <v>CLI-01618</v>
      </c>
      <c r="L161">
        <f>_xlfn.XLOOKUP(_26_03_2026_Log_Reseau_v15[[#This Row],[province RDC]],_26_03_2026_Client_Churn_v1[Province_Client],_26_03_2026_Client_Churn_v1[Anciennete_Mois],"non trouvé")</f>
        <v>115</v>
      </c>
      <c r="M161" t="str">
        <f>_xlfn.XLOOKUP(_26_03_2026_Log_Reseau_v15[[#This Row],[province RDC]],_26_03_2026_Client_Churn_v1[Province_Client],_26_03_2026_Client_Churn_v1[Type_Forfait],"non trouvé")</f>
        <v>Bloqué 5Go</v>
      </c>
      <c r="N161">
        <f>_xlfn.XLOOKUP(_26_03_2026_Log_Reseau_v15[[#This Row],[province RDC]],_26_03_2026_Client_Churn_v1[Province_Client],_26_03_2026_Client_Churn_v1[Duree_Cumulee_Panne_Min],"non trouvé")</f>
        <v>176</v>
      </c>
      <c r="O161">
        <f>_xlfn.XLOOKUP(_26_03_2026_Log_Reseau_v15[[#This Row],[province RDC]],_26_03_2026_Client_Churn_v1[Province_Client],_26_03_2026_Client_Churn_v1[Facture_Mensuelle],"non trouvé")</f>
        <v>33.28</v>
      </c>
      <c r="P161">
        <f>_xlfn.XLOOKUP(_26_03_2026_Log_Reseau_v15[[#This Row],[province RDC]],_26_03_2026_Client_Churn_v1[Province_Client],_26_03_2026_Client_Churn_v1[Plaintes_Service_Client],"non trouvé")</f>
        <v>4</v>
      </c>
    </row>
    <row r="162" spans="1:16" x14ac:dyDescent="0.25">
      <c r="A162" s="1">
        <v>45213</v>
      </c>
      <c r="B162" s="2">
        <v>0.35138888888888886</v>
      </c>
      <c r="C162" t="s">
        <v>910</v>
      </c>
      <c r="D162">
        <v>86</v>
      </c>
      <c r="E162" t="s">
        <v>812</v>
      </c>
      <c r="F162" t="str">
        <f>_xlfn.XLOOKUP(_26_03_2026_Log_Reseau_v15[[#This Row],[Cell_ID]],_26_03_2026_Registre_Maintenance_v1[ID_Antenne],_26_03_2026_Registre_Maintenance_v1[zone],"pas trouvé")</f>
        <v>Maniema</v>
      </c>
      <c r="G162">
        <f>_xlfn.XLOOKUP(_26_03_2026_Log_Reseau_v15[[#This Row],[Cell_ID]],_26_03_2026_Registre_Maintenance_v1[ID_Antenne],_26_03_2026_Registre_Maintenance_v1[Latitude],"non trouvé")</f>
        <v>4.8228650000000002</v>
      </c>
      <c r="H162">
        <f>_xlfn.XLOOKUP(_26_03_2026_Log_Reseau_v15[[#This Row],[Cell_ID]],_26_03_2026_Registre_Maintenance_v1[ID_Antenne],_26_03_2026_Registre_Maintenance_v1[Longitude],"pas trouvé")</f>
        <v>30.555627000000001</v>
      </c>
      <c r="I162" t="str">
        <f>_xlfn.XLOOKUP(_26_03_2026_Log_Reseau_v15[[#This Row],[Cell_ID]],_26_03_2026_Registre_Maintenance_v1[ID_Antenne],_26_03_2026_Registre_Maintenance_v1[Technologie],"non trouvé")</f>
        <v>4G</v>
      </c>
      <c r="J162" t="str">
        <f>_xlfn.XLOOKUP(_26_03_2026_Log_Reseau_v15[[#This Row],[Cell_ID]],_26_03_2026_Registre_Maintenance_v1[ID_Antenne],_26_03_2026_Registre_Maintenance_v1[Equipementier],"pas trouvé")</f>
        <v>Huawei</v>
      </c>
      <c r="K162" t="str">
        <f>_xlfn.XLOOKUP(_26_03_2026_Log_Reseau_v15[[#This Row],[province RDC]],_26_03_2026_Client_Churn_v1[Province_Client],_26_03_2026_Client_Churn_v1[ID_Client],"non trouvé")</f>
        <v>CLI-00185</v>
      </c>
      <c r="L162">
        <f>_xlfn.XLOOKUP(_26_03_2026_Log_Reseau_v15[[#This Row],[province RDC]],_26_03_2026_Client_Churn_v1[Province_Client],_26_03_2026_Client_Churn_v1[Anciennete_Mois],"non trouvé")</f>
        <v>81</v>
      </c>
      <c r="M162" t="str">
        <f>_xlfn.XLOOKUP(_26_03_2026_Log_Reseau_v15[[#This Row],[province RDC]],_26_03_2026_Client_Churn_v1[Province_Client],_26_03_2026_Client_Churn_v1[Type_Forfait],"non trouvé")</f>
        <v>Pro Monde</v>
      </c>
      <c r="N162">
        <f>_xlfn.XLOOKUP(_26_03_2026_Log_Reseau_v15[[#This Row],[province RDC]],_26_03_2026_Client_Churn_v1[Province_Client],_26_03_2026_Client_Churn_v1[Duree_Cumulee_Panne_Min],"non trouvé")</f>
        <v>154</v>
      </c>
      <c r="O162">
        <f>_xlfn.XLOOKUP(_26_03_2026_Log_Reseau_v15[[#This Row],[province RDC]],_26_03_2026_Client_Churn_v1[Province_Client],_26_03_2026_Client_Churn_v1[Facture_Mensuelle],"non trouvé")</f>
        <v>19.47</v>
      </c>
      <c r="P162">
        <f>_xlfn.XLOOKUP(_26_03_2026_Log_Reseau_v15[[#This Row],[province RDC]],_26_03_2026_Client_Churn_v1[Province_Client],_26_03_2026_Client_Churn_v1[Plaintes_Service_Client],"non trouvé")</f>
        <v>3</v>
      </c>
    </row>
    <row r="163" spans="1:16" hidden="1" x14ac:dyDescent="0.25">
      <c r="A163" s="1">
        <v>45209</v>
      </c>
      <c r="B163" s="2">
        <v>0.23958333333333334</v>
      </c>
      <c r="C163" t="s">
        <v>911</v>
      </c>
      <c r="D163">
        <v>42</v>
      </c>
      <c r="E163" t="s">
        <v>812</v>
      </c>
      <c r="F163" t="str">
        <f>_xlfn.XLOOKUP(_26_03_2026_Log_Reseau_v15[[#This Row],[Cell_ID]],_26_03_2026_Registre_Maintenance_v1[ID_Antenne],_26_03_2026_Registre_Maintenance_v1[zone],"pas trouvé")</f>
        <v>pas trouvé</v>
      </c>
      <c r="G163" t="str">
        <f>_xlfn.XLOOKUP(_26_03_2026_Log_Reseau_v15[[#This Row],[Cell_ID]],_26_03_2026_Registre_Maintenance_v1[ID_Antenne],_26_03_2026_Registre_Maintenance_v1[Latitude],"non trouvé")</f>
        <v>non trouvé</v>
      </c>
      <c r="H163" t="str">
        <f>_xlfn.XLOOKUP(_26_03_2026_Log_Reseau_v15[[#This Row],[Cell_ID]],_26_03_2026_Registre_Maintenance_v1[ID_Antenne],_26_03_2026_Registre_Maintenance_v1[Longitude],"pas trouvé")</f>
        <v>pas trouvé</v>
      </c>
      <c r="I163" t="str">
        <f>_xlfn.XLOOKUP(_26_03_2026_Log_Reseau_v15[[#This Row],[Cell_ID]],_26_03_2026_Registre_Maintenance_v1[ID_Antenne],_26_03_2026_Registre_Maintenance_v1[Technologie],"non trouvé")</f>
        <v>non trouvé</v>
      </c>
      <c r="J163" t="str">
        <f>_xlfn.XLOOKUP(_26_03_2026_Log_Reseau_v15[[#This Row],[Cell_ID]],_26_03_2026_Registre_Maintenance_v1[ID_Antenne],_26_03_2026_Registre_Maintenance_v1[Equipementier],"pas trouvé")</f>
        <v>pas trouvé</v>
      </c>
      <c r="K163" t="str">
        <f>_xlfn.XLOOKUP(_26_03_2026_Log_Reseau_v15[[#This Row],[province RDC]],_26_03_2026_Client_Churn_v1[Province_Client],_26_03_2026_Client_Churn_v1[ID_Client],"non trouvé")</f>
        <v>non trouvé</v>
      </c>
      <c r="L163" t="str">
        <f>_xlfn.XLOOKUP(_26_03_2026_Log_Reseau_v15[[#This Row],[province RDC]],_26_03_2026_Client_Churn_v1[Province_Client],_26_03_2026_Client_Churn_v1[Anciennete_Mois],"non trouvé")</f>
        <v>non trouvé</v>
      </c>
      <c r="M163" t="str">
        <f>_xlfn.XLOOKUP(_26_03_2026_Log_Reseau_v15[[#This Row],[province RDC]],_26_03_2026_Client_Churn_v1[Province_Client],_26_03_2026_Client_Churn_v1[Type_Forfait],"non trouvé")</f>
        <v>non trouvé</v>
      </c>
      <c r="N163" t="str">
        <f>_xlfn.XLOOKUP(_26_03_2026_Log_Reseau_v15[[#This Row],[province RDC]],_26_03_2026_Client_Churn_v1[Province_Client],_26_03_2026_Client_Churn_v1[Duree_Cumulee_Panne_Min],"non trouvé")</f>
        <v>non trouvé</v>
      </c>
      <c r="O163" t="str">
        <f>_xlfn.XLOOKUP(_26_03_2026_Log_Reseau_v15[[#This Row],[province RDC]],_26_03_2026_Client_Churn_v1[Province_Client],_26_03_2026_Client_Churn_v1[Facture_Mensuelle],"non trouvé")</f>
        <v>non trouvé</v>
      </c>
      <c r="P163" t="str">
        <f>_xlfn.XLOOKUP(_26_03_2026_Log_Reseau_v15[[#This Row],[province RDC]],_26_03_2026_Client_Churn_v1[Province_Client],_26_03_2026_Client_Churn_v1[Plaintes_Service_Client],"non trouvé")</f>
        <v>non trouvé</v>
      </c>
    </row>
    <row r="164" spans="1:16" hidden="1" x14ac:dyDescent="0.25">
      <c r="A164" s="1">
        <v>45227</v>
      </c>
      <c r="B164" s="2">
        <v>0.42152777777777778</v>
      </c>
      <c r="C164" t="s">
        <v>912</v>
      </c>
      <c r="D164">
        <v>25</v>
      </c>
      <c r="E164" t="s">
        <v>808</v>
      </c>
      <c r="F164" t="str">
        <f>_xlfn.XLOOKUP(_26_03_2026_Log_Reseau_v15[[#This Row],[Cell_ID]],_26_03_2026_Registre_Maintenance_v1[ID_Antenne],_26_03_2026_Registre_Maintenance_v1[zone],"pas trouvé")</f>
        <v>pas trouvé</v>
      </c>
      <c r="G164" t="str">
        <f>_xlfn.XLOOKUP(_26_03_2026_Log_Reseau_v15[[#This Row],[Cell_ID]],_26_03_2026_Registre_Maintenance_v1[ID_Antenne],_26_03_2026_Registre_Maintenance_v1[Latitude],"non trouvé")</f>
        <v>non trouvé</v>
      </c>
      <c r="H164" t="str">
        <f>_xlfn.XLOOKUP(_26_03_2026_Log_Reseau_v15[[#This Row],[Cell_ID]],_26_03_2026_Registre_Maintenance_v1[ID_Antenne],_26_03_2026_Registre_Maintenance_v1[Longitude],"pas trouvé")</f>
        <v>pas trouvé</v>
      </c>
      <c r="I164" t="str">
        <f>_xlfn.XLOOKUP(_26_03_2026_Log_Reseau_v15[[#This Row],[Cell_ID]],_26_03_2026_Registre_Maintenance_v1[ID_Antenne],_26_03_2026_Registre_Maintenance_v1[Technologie],"non trouvé")</f>
        <v>non trouvé</v>
      </c>
      <c r="J164" t="str">
        <f>_xlfn.XLOOKUP(_26_03_2026_Log_Reseau_v15[[#This Row],[Cell_ID]],_26_03_2026_Registre_Maintenance_v1[ID_Antenne],_26_03_2026_Registre_Maintenance_v1[Equipementier],"pas trouvé")</f>
        <v>pas trouvé</v>
      </c>
      <c r="K164" t="str">
        <f>_xlfn.XLOOKUP(_26_03_2026_Log_Reseau_v15[[#This Row],[province RDC]],_26_03_2026_Client_Churn_v1[Province_Client],_26_03_2026_Client_Churn_v1[ID_Client],"non trouvé")</f>
        <v>non trouvé</v>
      </c>
      <c r="L164" t="str">
        <f>_xlfn.XLOOKUP(_26_03_2026_Log_Reseau_v15[[#This Row],[province RDC]],_26_03_2026_Client_Churn_v1[Province_Client],_26_03_2026_Client_Churn_v1[Anciennete_Mois],"non trouvé")</f>
        <v>non trouvé</v>
      </c>
      <c r="M164" t="str">
        <f>_xlfn.XLOOKUP(_26_03_2026_Log_Reseau_v15[[#This Row],[province RDC]],_26_03_2026_Client_Churn_v1[Province_Client],_26_03_2026_Client_Churn_v1[Type_Forfait],"non trouvé")</f>
        <v>non trouvé</v>
      </c>
      <c r="N164" t="str">
        <f>_xlfn.XLOOKUP(_26_03_2026_Log_Reseau_v15[[#This Row],[province RDC]],_26_03_2026_Client_Churn_v1[Province_Client],_26_03_2026_Client_Churn_v1[Duree_Cumulee_Panne_Min],"non trouvé")</f>
        <v>non trouvé</v>
      </c>
      <c r="O164" t="str">
        <f>_xlfn.XLOOKUP(_26_03_2026_Log_Reseau_v15[[#This Row],[province RDC]],_26_03_2026_Client_Churn_v1[Province_Client],_26_03_2026_Client_Churn_v1[Facture_Mensuelle],"non trouvé")</f>
        <v>non trouvé</v>
      </c>
      <c r="P164" t="str">
        <f>_xlfn.XLOOKUP(_26_03_2026_Log_Reseau_v15[[#This Row],[province RDC]],_26_03_2026_Client_Churn_v1[Province_Client],_26_03_2026_Client_Churn_v1[Plaintes_Service_Client],"non trouvé")</f>
        <v>non trouvé</v>
      </c>
    </row>
    <row r="165" spans="1:16" hidden="1" x14ac:dyDescent="0.25">
      <c r="A165" s="1">
        <v>45204</v>
      </c>
      <c r="B165" s="2">
        <v>0.91666666666666663</v>
      </c>
      <c r="C165" t="s">
        <v>912</v>
      </c>
      <c r="D165">
        <v>64</v>
      </c>
      <c r="E165" t="s">
        <v>812</v>
      </c>
      <c r="F165" t="str">
        <f>_xlfn.XLOOKUP(_26_03_2026_Log_Reseau_v15[[#This Row],[Cell_ID]],_26_03_2026_Registre_Maintenance_v1[ID_Antenne],_26_03_2026_Registre_Maintenance_v1[zone],"pas trouvé")</f>
        <v>pas trouvé</v>
      </c>
      <c r="G165" t="str">
        <f>_xlfn.XLOOKUP(_26_03_2026_Log_Reseau_v15[[#This Row],[Cell_ID]],_26_03_2026_Registre_Maintenance_v1[ID_Antenne],_26_03_2026_Registre_Maintenance_v1[Latitude],"non trouvé")</f>
        <v>non trouvé</v>
      </c>
      <c r="H165" t="str">
        <f>_xlfn.XLOOKUP(_26_03_2026_Log_Reseau_v15[[#This Row],[Cell_ID]],_26_03_2026_Registre_Maintenance_v1[ID_Antenne],_26_03_2026_Registre_Maintenance_v1[Longitude],"pas trouvé")</f>
        <v>pas trouvé</v>
      </c>
      <c r="I165" t="str">
        <f>_xlfn.XLOOKUP(_26_03_2026_Log_Reseau_v15[[#This Row],[Cell_ID]],_26_03_2026_Registre_Maintenance_v1[ID_Antenne],_26_03_2026_Registre_Maintenance_v1[Technologie],"non trouvé")</f>
        <v>non trouvé</v>
      </c>
      <c r="J165" t="str">
        <f>_xlfn.XLOOKUP(_26_03_2026_Log_Reseau_v15[[#This Row],[Cell_ID]],_26_03_2026_Registre_Maintenance_v1[ID_Antenne],_26_03_2026_Registre_Maintenance_v1[Equipementier],"pas trouvé")</f>
        <v>pas trouvé</v>
      </c>
      <c r="K165" t="str">
        <f>_xlfn.XLOOKUP(_26_03_2026_Log_Reseau_v15[[#This Row],[province RDC]],_26_03_2026_Client_Churn_v1[Province_Client],_26_03_2026_Client_Churn_v1[ID_Client],"non trouvé")</f>
        <v>non trouvé</v>
      </c>
      <c r="L165" t="str">
        <f>_xlfn.XLOOKUP(_26_03_2026_Log_Reseau_v15[[#This Row],[province RDC]],_26_03_2026_Client_Churn_v1[Province_Client],_26_03_2026_Client_Churn_v1[Anciennete_Mois],"non trouvé")</f>
        <v>non trouvé</v>
      </c>
      <c r="M165" t="str">
        <f>_xlfn.XLOOKUP(_26_03_2026_Log_Reseau_v15[[#This Row],[province RDC]],_26_03_2026_Client_Churn_v1[Province_Client],_26_03_2026_Client_Churn_v1[Type_Forfait],"non trouvé")</f>
        <v>non trouvé</v>
      </c>
      <c r="N165" t="str">
        <f>_xlfn.XLOOKUP(_26_03_2026_Log_Reseau_v15[[#This Row],[province RDC]],_26_03_2026_Client_Churn_v1[Province_Client],_26_03_2026_Client_Churn_v1[Duree_Cumulee_Panne_Min],"non trouvé")</f>
        <v>non trouvé</v>
      </c>
      <c r="O165" t="str">
        <f>_xlfn.XLOOKUP(_26_03_2026_Log_Reseau_v15[[#This Row],[province RDC]],_26_03_2026_Client_Churn_v1[Province_Client],_26_03_2026_Client_Churn_v1[Facture_Mensuelle],"non trouvé")</f>
        <v>non trouvé</v>
      </c>
      <c r="P165" t="str">
        <f>_xlfn.XLOOKUP(_26_03_2026_Log_Reseau_v15[[#This Row],[province RDC]],_26_03_2026_Client_Churn_v1[Province_Client],_26_03_2026_Client_Churn_v1[Plaintes_Service_Client],"non trouvé")</f>
        <v>non trouvé</v>
      </c>
    </row>
    <row r="166" spans="1:16" x14ac:dyDescent="0.25">
      <c r="A166" s="1">
        <v>45205</v>
      </c>
      <c r="B166" s="2">
        <v>0.16944444444444445</v>
      </c>
      <c r="C166" t="s">
        <v>913</v>
      </c>
      <c r="D166">
        <v>18</v>
      </c>
      <c r="E166" t="s">
        <v>808</v>
      </c>
      <c r="F166" t="str">
        <f>_xlfn.XLOOKUP(_26_03_2026_Log_Reseau_v15[[#This Row],[Cell_ID]],_26_03_2026_Registre_Maintenance_v1[ID_Antenne],_26_03_2026_Registre_Maintenance_v1[zone],"pas trouvé")</f>
        <v>Kasai</v>
      </c>
      <c r="G166">
        <f>_xlfn.XLOOKUP(_26_03_2026_Log_Reseau_v15[[#This Row],[Cell_ID]],_26_03_2026_Registre_Maintenance_v1[ID_Antenne],_26_03_2026_Registre_Maintenance_v1[Latitude],"non trouvé")</f>
        <v>4.8689660000000003</v>
      </c>
      <c r="H166">
        <f>_xlfn.XLOOKUP(_26_03_2026_Log_Reseau_v15[[#This Row],[Cell_ID]],_26_03_2026_Registre_Maintenance_v1[ID_Antenne],_26_03_2026_Registre_Maintenance_v1[Longitude],"pas trouvé")</f>
        <v>25.112373000000002</v>
      </c>
      <c r="I166" t="str">
        <f>_xlfn.XLOOKUP(_26_03_2026_Log_Reseau_v15[[#This Row],[Cell_ID]],_26_03_2026_Registre_Maintenance_v1[ID_Antenne],_26_03_2026_Registre_Maintenance_v1[Technologie],"non trouvé")</f>
        <v>3G</v>
      </c>
      <c r="J166" t="str">
        <f>_xlfn.XLOOKUP(_26_03_2026_Log_Reseau_v15[[#This Row],[Cell_ID]],_26_03_2026_Registre_Maintenance_v1[ID_Antenne],_26_03_2026_Registre_Maintenance_v1[Equipementier],"pas trouvé")</f>
        <v>Huawei</v>
      </c>
      <c r="K166" t="str">
        <f>_xlfn.XLOOKUP(_26_03_2026_Log_Reseau_v15[[#This Row],[province RDC]],_26_03_2026_Client_Churn_v1[Province_Client],_26_03_2026_Client_Churn_v1[ID_Client],"non trouvé")</f>
        <v>CLI-00559</v>
      </c>
      <c r="L166">
        <f>_xlfn.XLOOKUP(_26_03_2026_Log_Reseau_v15[[#This Row],[province RDC]],_26_03_2026_Client_Churn_v1[Province_Client],_26_03_2026_Client_Churn_v1[Anciennete_Mois],"non trouvé")</f>
        <v>99</v>
      </c>
      <c r="M166" t="str">
        <f>_xlfn.XLOOKUP(_26_03_2026_Log_Reseau_v15[[#This Row],[province RDC]],_26_03_2026_Client_Churn_v1[Province_Client],_26_03_2026_Client_Churn_v1[Type_Forfait],"non trouvé")</f>
        <v>Bloqué 5Go</v>
      </c>
      <c r="N166">
        <f>_xlfn.XLOOKUP(_26_03_2026_Log_Reseau_v15[[#This Row],[province RDC]],_26_03_2026_Client_Churn_v1[Province_Client],_26_03_2026_Client_Churn_v1[Duree_Cumulee_Panne_Min],"non trouvé")</f>
        <v>369</v>
      </c>
      <c r="O166">
        <f>_xlfn.XLOOKUP(_26_03_2026_Log_Reseau_v15[[#This Row],[province RDC]],_26_03_2026_Client_Churn_v1[Province_Client],_26_03_2026_Client_Churn_v1[Facture_Mensuelle],"non trouvé")</f>
        <v>67.209999999999994</v>
      </c>
      <c r="P166">
        <f>_xlfn.XLOOKUP(_26_03_2026_Log_Reseau_v15[[#This Row],[province RDC]],_26_03_2026_Client_Churn_v1[Province_Client],_26_03_2026_Client_Churn_v1[Plaintes_Service_Client],"non trouvé")</f>
        <v>3</v>
      </c>
    </row>
    <row r="167" spans="1:16" hidden="1" x14ac:dyDescent="0.25">
      <c r="A167" s="1">
        <v>45208</v>
      </c>
      <c r="B167" s="2">
        <v>0.50555555555555554</v>
      </c>
      <c r="C167" t="s">
        <v>914</v>
      </c>
      <c r="D167">
        <v>31</v>
      </c>
      <c r="E167" t="s">
        <v>812</v>
      </c>
      <c r="F167" t="str">
        <f>_xlfn.XLOOKUP(_26_03_2026_Log_Reseau_v15[[#This Row],[Cell_ID]],_26_03_2026_Registre_Maintenance_v1[ID_Antenne],_26_03_2026_Registre_Maintenance_v1[zone],"pas trouvé")</f>
        <v>pas trouvé</v>
      </c>
      <c r="G167" t="str">
        <f>_xlfn.XLOOKUP(_26_03_2026_Log_Reseau_v15[[#This Row],[Cell_ID]],_26_03_2026_Registre_Maintenance_v1[ID_Antenne],_26_03_2026_Registre_Maintenance_v1[Latitude],"non trouvé")</f>
        <v>non trouvé</v>
      </c>
      <c r="H167" t="str">
        <f>_xlfn.XLOOKUP(_26_03_2026_Log_Reseau_v15[[#This Row],[Cell_ID]],_26_03_2026_Registre_Maintenance_v1[ID_Antenne],_26_03_2026_Registre_Maintenance_v1[Longitude],"pas trouvé")</f>
        <v>pas trouvé</v>
      </c>
      <c r="I167" t="str">
        <f>_xlfn.XLOOKUP(_26_03_2026_Log_Reseau_v15[[#This Row],[Cell_ID]],_26_03_2026_Registre_Maintenance_v1[ID_Antenne],_26_03_2026_Registre_Maintenance_v1[Technologie],"non trouvé")</f>
        <v>non trouvé</v>
      </c>
      <c r="J167" t="str">
        <f>_xlfn.XLOOKUP(_26_03_2026_Log_Reseau_v15[[#This Row],[Cell_ID]],_26_03_2026_Registre_Maintenance_v1[ID_Antenne],_26_03_2026_Registre_Maintenance_v1[Equipementier],"pas trouvé")</f>
        <v>pas trouvé</v>
      </c>
      <c r="K167" t="str">
        <f>_xlfn.XLOOKUP(_26_03_2026_Log_Reseau_v15[[#This Row],[province RDC]],_26_03_2026_Client_Churn_v1[Province_Client],_26_03_2026_Client_Churn_v1[ID_Client],"non trouvé")</f>
        <v>non trouvé</v>
      </c>
      <c r="L167" t="str">
        <f>_xlfn.XLOOKUP(_26_03_2026_Log_Reseau_v15[[#This Row],[province RDC]],_26_03_2026_Client_Churn_v1[Province_Client],_26_03_2026_Client_Churn_v1[Anciennete_Mois],"non trouvé")</f>
        <v>non trouvé</v>
      </c>
      <c r="M167" t="str">
        <f>_xlfn.XLOOKUP(_26_03_2026_Log_Reseau_v15[[#This Row],[province RDC]],_26_03_2026_Client_Churn_v1[Province_Client],_26_03_2026_Client_Churn_v1[Type_Forfait],"non trouvé")</f>
        <v>non trouvé</v>
      </c>
      <c r="N167" t="str">
        <f>_xlfn.XLOOKUP(_26_03_2026_Log_Reseau_v15[[#This Row],[province RDC]],_26_03_2026_Client_Churn_v1[Province_Client],_26_03_2026_Client_Churn_v1[Duree_Cumulee_Panne_Min],"non trouvé")</f>
        <v>non trouvé</v>
      </c>
      <c r="O167" t="str">
        <f>_xlfn.XLOOKUP(_26_03_2026_Log_Reseau_v15[[#This Row],[province RDC]],_26_03_2026_Client_Churn_v1[Province_Client],_26_03_2026_Client_Churn_v1[Facture_Mensuelle],"non trouvé")</f>
        <v>non trouvé</v>
      </c>
      <c r="P167" t="str">
        <f>_xlfn.XLOOKUP(_26_03_2026_Log_Reseau_v15[[#This Row],[province RDC]],_26_03_2026_Client_Churn_v1[Province_Client],_26_03_2026_Client_Churn_v1[Plaintes_Service_Client],"non trouvé")</f>
        <v>non trouvé</v>
      </c>
    </row>
    <row r="168" spans="1:16" hidden="1" x14ac:dyDescent="0.25">
      <c r="A168" s="1">
        <v>45227</v>
      </c>
      <c r="B168" s="2">
        <v>0.46250000000000002</v>
      </c>
      <c r="C168" t="s">
        <v>914</v>
      </c>
      <c r="D168">
        <v>70</v>
      </c>
      <c r="E168" t="s">
        <v>812</v>
      </c>
      <c r="F168" t="str">
        <f>_xlfn.XLOOKUP(_26_03_2026_Log_Reseau_v15[[#This Row],[Cell_ID]],_26_03_2026_Registre_Maintenance_v1[ID_Antenne],_26_03_2026_Registre_Maintenance_v1[zone],"pas trouvé")</f>
        <v>pas trouvé</v>
      </c>
      <c r="G168" t="str">
        <f>_xlfn.XLOOKUP(_26_03_2026_Log_Reseau_v15[[#This Row],[Cell_ID]],_26_03_2026_Registre_Maintenance_v1[ID_Antenne],_26_03_2026_Registre_Maintenance_v1[Latitude],"non trouvé")</f>
        <v>non trouvé</v>
      </c>
      <c r="H168" t="str">
        <f>_xlfn.XLOOKUP(_26_03_2026_Log_Reseau_v15[[#This Row],[Cell_ID]],_26_03_2026_Registre_Maintenance_v1[ID_Antenne],_26_03_2026_Registre_Maintenance_v1[Longitude],"pas trouvé")</f>
        <v>pas trouvé</v>
      </c>
      <c r="I168" t="str">
        <f>_xlfn.XLOOKUP(_26_03_2026_Log_Reseau_v15[[#This Row],[Cell_ID]],_26_03_2026_Registre_Maintenance_v1[ID_Antenne],_26_03_2026_Registre_Maintenance_v1[Technologie],"non trouvé")</f>
        <v>non trouvé</v>
      </c>
      <c r="J168" t="str">
        <f>_xlfn.XLOOKUP(_26_03_2026_Log_Reseau_v15[[#This Row],[Cell_ID]],_26_03_2026_Registre_Maintenance_v1[ID_Antenne],_26_03_2026_Registre_Maintenance_v1[Equipementier],"pas trouvé")</f>
        <v>pas trouvé</v>
      </c>
      <c r="K168" t="str">
        <f>_xlfn.XLOOKUP(_26_03_2026_Log_Reseau_v15[[#This Row],[province RDC]],_26_03_2026_Client_Churn_v1[Province_Client],_26_03_2026_Client_Churn_v1[ID_Client],"non trouvé")</f>
        <v>non trouvé</v>
      </c>
      <c r="L168" t="str">
        <f>_xlfn.XLOOKUP(_26_03_2026_Log_Reseau_v15[[#This Row],[province RDC]],_26_03_2026_Client_Churn_v1[Province_Client],_26_03_2026_Client_Churn_v1[Anciennete_Mois],"non trouvé")</f>
        <v>non trouvé</v>
      </c>
      <c r="M168" t="str">
        <f>_xlfn.XLOOKUP(_26_03_2026_Log_Reseau_v15[[#This Row],[province RDC]],_26_03_2026_Client_Churn_v1[Province_Client],_26_03_2026_Client_Churn_v1[Type_Forfait],"non trouvé")</f>
        <v>non trouvé</v>
      </c>
      <c r="N168" t="str">
        <f>_xlfn.XLOOKUP(_26_03_2026_Log_Reseau_v15[[#This Row],[province RDC]],_26_03_2026_Client_Churn_v1[Province_Client],_26_03_2026_Client_Churn_v1[Duree_Cumulee_Panne_Min],"non trouvé")</f>
        <v>non trouvé</v>
      </c>
      <c r="O168" t="str">
        <f>_xlfn.XLOOKUP(_26_03_2026_Log_Reseau_v15[[#This Row],[province RDC]],_26_03_2026_Client_Churn_v1[Province_Client],_26_03_2026_Client_Churn_v1[Facture_Mensuelle],"non trouvé")</f>
        <v>non trouvé</v>
      </c>
      <c r="P168" t="str">
        <f>_xlfn.XLOOKUP(_26_03_2026_Log_Reseau_v15[[#This Row],[province RDC]],_26_03_2026_Client_Churn_v1[Province_Client],_26_03_2026_Client_Churn_v1[Plaintes_Service_Client],"non trouvé")</f>
        <v>non trouvé</v>
      </c>
    </row>
    <row r="169" spans="1:16" x14ac:dyDescent="0.25">
      <c r="A169" s="1">
        <v>45203</v>
      </c>
      <c r="B169" s="2">
        <v>0.76041666666666663</v>
      </c>
      <c r="C169" t="s">
        <v>915</v>
      </c>
      <c r="D169">
        <v>18</v>
      </c>
      <c r="E169" t="s">
        <v>812</v>
      </c>
      <c r="F169" t="str">
        <f>_xlfn.XLOOKUP(_26_03_2026_Log_Reseau_v15[[#This Row],[Cell_ID]],_26_03_2026_Registre_Maintenance_v1[ID_Antenne],_26_03_2026_Registre_Maintenance_v1[zone],"pas trouvé")</f>
        <v>Nord-Ubangi</v>
      </c>
      <c r="G169">
        <f>_xlfn.XLOOKUP(_26_03_2026_Log_Reseau_v15[[#This Row],[Cell_ID]],_26_03_2026_Registre_Maintenance_v1[ID_Antenne],_26_03_2026_Registre_Maintenance_v1[Latitude],"non trouvé")</f>
        <v>0.94539899999999999</v>
      </c>
      <c r="H169">
        <f>_xlfn.XLOOKUP(_26_03_2026_Log_Reseau_v15[[#This Row],[Cell_ID]],_26_03_2026_Registre_Maintenance_v1[ID_Antenne],_26_03_2026_Registre_Maintenance_v1[Longitude],"pas trouvé")</f>
        <v>14.401821999999999</v>
      </c>
      <c r="I169" t="str">
        <f>_xlfn.XLOOKUP(_26_03_2026_Log_Reseau_v15[[#This Row],[Cell_ID]],_26_03_2026_Registre_Maintenance_v1[ID_Antenne],_26_03_2026_Registre_Maintenance_v1[Technologie],"non trouvé")</f>
        <v>5G</v>
      </c>
      <c r="J169" t="str">
        <f>_xlfn.XLOOKUP(_26_03_2026_Log_Reseau_v15[[#This Row],[Cell_ID]],_26_03_2026_Registre_Maintenance_v1[ID_Antenne],_26_03_2026_Registre_Maintenance_v1[Equipementier],"pas trouvé")</f>
        <v>Nokia</v>
      </c>
      <c r="K169" t="str">
        <f>_xlfn.XLOOKUP(_26_03_2026_Log_Reseau_v15[[#This Row],[province RDC]],_26_03_2026_Client_Churn_v1[Province_Client],_26_03_2026_Client_Churn_v1[ID_Client],"non trouvé")</f>
        <v>CLI-01170</v>
      </c>
      <c r="L169">
        <f>_xlfn.XLOOKUP(_26_03_2026_Log_Reseau_v15[[#This Row],[province RDC]],_26_03_2026_Client_Churn_v1[Province_Client],_26_03_2026_Client_Churn_v1[Anciennete_Mois],"non trouvé")</f>
        <v>98</v>
      </c>
      <c r="M169" t="str">
        <f>_xlfn.XLOOKUP(_26_03_2026_Log_Reseau_v15[[#This Row],[province RDC]],_26_03_2026_Client_Churn_v1[Province_Client],_26_03_2026_Client_Churn_v1[Type_Forfait],"non trouvé")</f>
        <v>Pro Monde</v>
      </c>
      <c r="N169">
        <f>_xlfn.XLOOKUP(_26_03_2026_Log_Reseau_v15[[#This Row],[province RDC]],_26_03_2026_Client_Churn_v1[Province_Client],_26_03_2026_Client_Churn_v1[Duree_Cumulee_Panne_Min],"non trouvé")</f>
        <v>482</v>
      </c>
      <c r="O169">
        <f>_xlfn.XLOOKUP(_26_03_2026_Log_Reseau_v15[[#This Row],[province RDC]],_26_03_2026_Client_Churn_v1[Province_Client],_26_03_2026_Client_Churn_v1[Facture_Mensuelle],"non trouvé")</f>
        <v>55.04</v>
      </c>
      <c r="P169">
        <f>_xlfn.XLOOKUP(_26_03_2026_Log_Reseau_v15[[#This Row],[province RDC]],_26_03_2026_Client_Churn_v1[Province_Client],_26_03_2026_Client_Churn_v1[Plaintes_Service_Client],"non trouvé")</f>
        <v>5</v>
      </c>
    </row>
    <row r="170" spans="1:16" x14ac:dyDescent="0.25">
      <c r="A170" s="1">
        <v>45230</v>
      </c>
      <c r="B170" s="2">
        <v>9.0277777777777769E-3</v>
      </c>
      <c r="C170" t="s">
        <v>915</v>
      </c>
      <c r="D170">
        <v>11</v>
      </c>
      <c r="E170" t="s">
        <v>808</v>
      </c>
      <c r="F170" t="str">
        <f>_xlfn.XLOOKUP(_26_03_2026_Log_Reseau_v15[[#This Row],[Cell_ID]],_26_03_2026_Registre_Maintenance_v1[ID_Antenne],_26_03_2026_Registre_Maintenance_v1[zone],"pas trouvé")</f>
        <v>Nord-Ubangi</v>
      </c>
      <c r="G170">
        <f>_xlfn.XLOOKUP(_26_03_2026_Log_Reseau_v15[[#This Row],[Cell_ID]],_26_03_2026_Registre_Maintenance_v1[ID_Antenne],_26_03_2026_Registre_Maintenance_v1[Latitude],"non trouvé")</f>
        <v>0.94539899999999999</v>
      </c>
      <c r="H170">
        <f>_xlfn.XLOOKUP(_26_03_2026_Log_Reseau_v15[[#This Row],[Cell_ID]],_26_03_2026_Registre_Maintenance_v1[ID_Antenne],_26_03_2026_Registre_Maintenance_v1[Longitude],"pas trouvé")</f>
        <v>14.401821999999999</v>
      </c>
      <c r="I170" t="str">
        <f>_xlfn.XLOOKUP(_26_03_2026_Log_Reseau_v15[[#This Row],[Cell_ID]],_26_03_2026_Registre_Maintenance_v1[ID_Antenne],_26_03_2026_Registre_Maintenance_v1[Technologie],"non trouvé")</f>
        <v>5G</v>
      </c>
      <c r="J170" t="str">
        <f>_xlfn.XLOOKUP(_26_03_2026_Log_Reseau_v15[[#This Row],[Cell_ID]],_26_03_2026_Registre_Maintenance_v1[ID_Antenne],_26_03_2026_Registre_Maintenance_v1[Equipementier],"pas trouvé")</f>
        <v>Nokia</v>
      </c>
      <c r="K170" t="str">
        <f>_xlfn.XLOOKUP(_26_03_2026_Log_Reseau_v15[[#This Row],[province RDC]],_26_03_2026_Client_Churn_v1[Province_Client],_26_03_2026_Client_Churn_v1[ID_Client],"non trouvé")</f>
        <v>CLI-01170</v>
      </c>
      <c r="L170">
        <f>_xlfn.XLOOKUP(_26_03_2026_Log_Reseau_v15[[#This Row],[province RDC]],_26_03_2026_Client_Churn_v1[Province_Client],_26_03_2026_Client_Churn_v1[Anciennete_Mois],"non trouvé")</f>
        <v>98</v>
      </c>
      <c r="M170" t="str">
        <f>_xlfn.XLOOKUP(_26_03_2026_Log_Reseau_v15[[#This Row],[province RDC]],_26_03_2026_Client_Churn_v1[Province_Client],_26_03_2026_Client_Churn_v1[Type_Forfait],"non trouvé")</f>
        <v>Pro Monde</v>
      </c>
      <c r="N170">
        <f>_xlfn.XLOOKUP(_26_03_2026_Log_Reseau_v15[[#This Row],[province RDC]],_26_03_2026_Client_Churn_v1[Province_Client],_26_03_2026_Client_Churn_v1[Duree_Cumulee_Panne_Min],"non trouvé")</f>
        <v>482</v>
      </c>
      <c r="O170">
        <f>_xlfn.XLOOKUP(_26_03_2026_Log_Reseau_v15[[#This Row],[province RDC]],_26_03_2026_Client_Churn_v1[Province_Client],_26_03_2026_Client_Churn_v1[Facture_Mensuelle],"non trouvé")</f>
        <v>55.04</v>
      </c>
      <c r="P170">
        <f>_xlfn.XLOOKUP(_26_03_2026_Log_Reseau_v15[[#This Row],[province RDC]],_26_03_2026_Client_Churn_v1[Province_Client],_26_03_2026_Client_Churn_v1[Plaintes_Service_Client],"non trouvé")</f>
        <v>5</v>
      </c>
    </row>
    <row r="171" spans="1:16" x14ac:dyDescent="0.25">
      <c r="A171" s="1">
        <v>45205</v>
      </c>
      <c r="B171" s="2">
        <v>0.65069444444444446</v>
      </c>
      <c r="C171" t="s">
        <v>916</v>
      </c>
      <c r="D171">
        <v>63</v>
      </c>
      <c r="E171" t="s">
        <v>807</v>
      </c>
      <c r="F171" t="str">
        <f>_xlfn.XLOOKUP(_26_03_2026_Log_Reseau_v15[[#This Row],[Cell_ID]],_26_03_2026_Registre_Maintenance_v1[ID_Antenne],_26_03_2026_Registre_Maintenance_v1[zone],"pas trouvé")</f>
        <v>Kongo-Central</v>
      </c>
      <c r="G171">
        <f>_xlfn.XLOOKUP(_26_03_2026_Log_Reseau_v15[[#This Row],[Cell_ID]],_26_03_2026_Registre_Maintenance_v1[ID_Antenne],_26_03_2026_Registre_Maintenance_v1[Latitude],"non trouvé")</f>
        <v>-10.977309</v>
      </c>
      <c r="H171">
        <f>_xlfn.XLOOKUP(_26_03_2026_Log_Reseau_v15[[#This Row],[Cell_ID]],_26_03_2026_Registre_Maintenance_v1[ID_Antenne],_26_03_2026_Registre_Maintenance_v1[Longitude],"pas trouvé")</f>
        <v>12.408281000000001</v>
      </c>
      <c r="I171" t="str">
        <f>_xlfn.XLOOKUP(_26_03_2026_Log_Reseau_v15[[#This Row],[Cell_ID]],_26_03_2026_Registre_Maintenance_v1[ID_Antenne],_26_03_2026_Registre_Maintenance_v1[Technologie],"non trouvé")</f>
        <v>5G</v>
      </c>
      <c r="J171" t="str">
        <f>_xlfn.XLOOKUP(_26_03_2026_Log_Reseau_v15[[#This Row],[Cell_ID]],_26_03_2026_Registre_Maintenance_v1[ID_Antenne],_26_03_2026_Registre_Maintenance_v1[Equipementier],"pas trouvé")</f>
        <v>ZTE</v>
      </c>
      <c r="K171" t="str">
        <f>_xlfn.XLOOKUP(_26_03_2026_Log_Reseau_v15[[#This Row],[province RDC]],_26_03_2026_Client_Churn_v1[Province_Client],_26_03_2026_Client_Churn_v1[ID_Client],"non trouvé")</f>
        <v>CLI-01233</v>
      </c>
      <c r="L171">
        <f>_xlfn.XLOOKUP(_26_03_2026_Log_Reseau_v15[[#This Row],[province RDC]],_26_03_2026_Client_Churn_v1[Province_Client],_26_03_2026_Client_Churn_v1[Anciennete_Mois],"non trouvé")</f>
        <v>101</v>
      </c>
      <c r="M171" t="str">
        <f>_xlfn.XLOOKUP(_26_03_2026_Log_Reseau_v15[[#This Row],[province RDC]],_26_03_2026_Client_Churn_v1[Province_Client],_26_03_2026_Client_Churn_v1[Type_Forfait],"non trouvé")</f>
        <v>Pro Monde</v>
      </c>
      <c r="N171">
        <f>_xlfn.XLOOKUP(_26_03_2026_Log_Reseau_v15[[#This Row],[province RDC]],_26_03_2026_Client_Churn_v1[Province_Client],_26_03_2026_Client_Churn_v1[Duree_Cumulee_Panne_Min],"non trouvé")</f>
        <v>333</v>
      </c>
      <c r="O171">
        <f>_xlfn.XLOOKUP(_26_03_2026_Log_Reseau_v15[[#This Row],[province RDC]],_26_03_2026_Client_Churn_v1[Province_Client],_26_03_2026_Client_Churn_v1[Facture_Mensuelle],"non trouvé")</f>
        <v>74.319999999999993</v>
      </c>
      <c r="P171">
        <f>_xlfn.XLOOKUP(_26_03_2026_Log_Reseau_v15[[#This Row],[province RDC]],_26_03_2026_Client_Churn_v1[Province_Client],_26_03_2026_Client_Churn_v1[Plaintes_Service_Client],"non trouvé")</f>
        <v>1</v>
      </c>
    </row>
    <row r="172" spans="1:16" hidden="1" x14ac:dyDescent="0.25">
      <c r="A172" s="1">
        <v>45223</v>
      </c>
      <c r="B172" s="2">
        <v>3.0555555555555555E-2</v>
      </c>
      <c r="C172" t="s">
        <v>917</v>
      </c>
      <c r="D172">
        <v>59</v>
      </c>
      <c r="E172" t="s">
        <v>807</v>
      </c>
      <c r="F172" t="str">
        <f>_xlfn.XLOOKUP(_26_03_2026_Log_Reseau_v15[[#This Row],[Cell_ID]],_26_03_2026_Registre_Maintenance_v1[ID_Antenne],_26_03_2026_Registre_Maintenance_v1[zone],"pas trouvé")</f>
        <v>pas trouvé</v>
      </c>
      <c r="G172" t="str">
        <f>_xlfn.XLOOKUP(_26_03_2026_Log_Reseau_v15[[#This Row],[Cell_ID]],_26_03_2026_Registre_Maintenance_v1[ID_Antenne],_26_03_2026_Registre_Maintenance_v1[Latitude],"non trouvé")</f>
        <v>non trouvé</v>
      </c>
      <c r="H172" t="str">
        <f>_xlfn.XLOOKUP(_26_03_2026_Log_Reseau_v15[[#This Row],[Cell_ID]],_26_03_2026_Registre_Maintenance_v1[ID_Antenne],_26_03_2026_Registre_Maintenance_v1[Longitude],"pas trouvé")</f>
        <v>pas trouvé</v>
      </c>
      <c r="I172" t="str">
        <f>_xlfn.XLOOKUP(_26_03_2026_Log_Reseau_v15[[#This Row],[Cell_ID]],_26_03_2026_Registre_Maintenance_v1[ID_Antenne],_26_03_2026_Registre_Maintenance_v1[Technologie],"non trouvé")</f>
        <v>non trouvé</v>
      </c>
      <c r="J172" t="str">
        <f>_xlfn.XLOOKUP(_26_03_2026_Log_Reseau_v15[[#This Row],[Cell_ID]],_26_03_2026_Registre_Maintenance_v1[ID_Antenne],_26_03_2026_Registre_Maintenance_v1[Equipementier],"pas trouvé")</f>
        <v>pas trouvé</v>
      </c>
      <c r="K172" t="str">
        <f>_xlfn.XLOOKUP(_26_03_2026_Log_Reseau_v15[[#This Row],[province RDC]],_26_03_2026_Client_Churn_v1[Province_Client],_26_03_2026_Client_Churn_v1[ID_Client],"non trouvé")</f>
        <v>non trouvé</v>
      </c>
      <c r="L172" t="str">
        <f>_xlfn.XLOOKUP(_26_03_2026_Log_Reseau_v15[[#This Row],[province RDC]],_26_03_2026_Client_Churn_v1[Province_Client],_26_03_2026_Client_Churn_v1[Anciennete_Mois],"non trouvé")</f>
        <v>non trouvé</v>
      </c>
      <c r="M172" t="str">
        <f>_xlfn.XLOOKUP(_26_03_2026_Log_Reseau_v15[[#This Row],[province RDC]],_26_03_2026_Client_Churn_v1[Province_Client],_26_03_2026_Client_Churn_v1[Type_Forfait],"non trouvé")</f>
        <v>non trouvé</v>
      </c>
      <c r="N172" t="str">
        <f>_xlfn.XLOOKUP(_26_03_2026_Log_Reseau_v15[[#This Row],[province RDC]],_26_03_2026_Client_Churn_v1[Province_Client],_26_03_2026_Client_Churn_v1[Duree_Cumulee_Panne_Min],"non trouvé")</f>
        <v>non trouvé</v>
      </c>
      <c r="O172" t="str">
        <f>_xlfn.XLOOKUP(_26_03_2026_Log_Reseau_v15[[#This Row],[province RDC]],_26_03_2026_Client_Churn_v1[Province_Client],_26_03_2026_Client_Churn_v1[Facture_Mensuelle],"non trouvé")</f>
        <v>non trouvé</v>
      </c>
      <c r="P172" t="str">
        <f>_xlfn.XLOOKUP(_26_03_2026_Log_Reseau_v15[[#This Row],[province RDC]],_26_03_2026_Client_Churn_v1[Province_Client],_26_03_2026_Client_Churn_v1[Plaintes_Service_Client],"non trouvé")</f>
        <v>non trouvé</v>
      </c>
    </row>
    <row r="173" spans="1:16" hidden="1" x14ac:dyDescent="0.25">
      <c r="A173" s="1">
        <v>45206</v>
      </c>
      <c r="B173" s="2">
        <v>0.43472222222222223</v>
      </c>
      <c r="C173" t="s">
        <v>918</v>
      </c>
      <c r="D173">
        <v>98</v>
      </c>
      <c r="E173" t="s">
        <v>807</v>
      </c>
      <c r="F173" t="str">
        <f>_xlfn.XLOOKUP(_26_03_2026_Log_Reseau_v15[[#This Row],[Cell_ID]],_26_03_2026_Registre_Maintenance_v1[ID_Antenne],_26_03_2026_Registre_Maintenance_v1[zone],"pas trouvé")</f>
        <v>pas trouvé</v>
      </c>
      <c r="G173" t="str">
        <f>_xlfn.XLOOKUP(_26_03_2026_Log_Reseau_v15[[#This Row],[Cell_ID]],_26_03_2026_Registre_Maintenance_v1[ID_Antenne],_26_03_2026_Registre_Maintenance_v1[Latitude],"non trouvé")</f>
        <v>non trouvé</v>
      </c>
      <c r="H173" t="str">
        <f>_xlfn.XLOOKUP(_26_03_2026_Log_Reseau_v15[[#This Row],[Cell_ID]],_26_03_2026_Registre_Maintenance_v1[ID_Antenne],_26_03_2026_Registre_Maintenance_v1[Longitude],"pas trouvé")</f>
        <v>pas trouvé</v>
      </c>
      <c r="I173" t="str">
        <f>_xlfn.XLOOKUP(_26_03_2026_Log_Reseau_v15[[#This Row],[Cell_ID]],_26_03_2026_Registre_Maintenance_v1[ID_Antenne],_26_03_2026_Registre_Maintenance_v1[Technologie],"non trouvé")</f>
        <v>non trouvé</v>
      </c>
      <c r="J173" t="str">
        <f>_xlfn.XLOOKUP(_26_03_2026_Log_Reseau_v15[[#This Row],[Cell_ID]],_26_03_2026_Registre_Maintenance_v1[ID_Antenne],_26_03_2026_Registre_Maintenance_v1[Equipementier],"pas trouvé")</f>
        <v>pas trouvé</v>
      </c>
      <c r="K173" t="str">
        <f>_xlfn.XLOOKUP(_26_03_2026_Log_Reseau_v15[[#This Row],[province RDC]],_26_03_2026_Client_Churn_v1[Province_Client],_26_03_2026_Client_Churn_v1[ID_Client],"non trouvé")</f>
        <v>non trouvé</v>
      </c>
      <c r="L173" t="str">
        <f>_xlfn.XLOOKUP(_26_03_2026_Log_Reseau_v15[[#This Row],[province RDC]],_26_03_2026_Client_Churn_v1[Province_Client],_26_03_2026_Client_Churn_v1[Anciennete_Mois],"non trouvé")</f>
        <v>non trouvé</v>
      </c>
      <c r="M173" t="str">
        <f>_xlfn.XLOOKUP(_26_03_2026_Log_Reseau_v15[[#This Row],[province RDC]],_26_03_2026_Client_Churn_v1[Province_Client],_26_03_2026_Client_Churn_v1[Type_Forfait],"non trouvé")</f>
        <v>non trouvé</v>
      </c>
      <c r="N173" t="str">
        <f>_xlfn.XLOOKUP(_26_03_2026_Log_Reseau_v15[[#This Row],[province RDC]],_26_03_2026_Client_Churn_v1[Province_Client],_26_03_2026_Client_Churn_v1[Duree_Cumulee_Panne_Min],"non trouvé")</f>
        <v>non trouvé</v>
      </c>
      <c r="O173" t="str">
        <f>_xlfn.XLOOKUP(_26_03_2026_Log_Reseau_v15[[#This Row],[province RDC]],_26_03_2026_Client_Churn_v1[Province_Client],_26_03_2026_Client_Churn_v1[Facture_Mensuelle],"non trouvé")</f>
        <v>non trouvé</v>
      </c>
      <c r="P173" t="str">
        <f>_xlfn.XLOOKUP(_26_03_2026_Log_Reseau_v15[[#This Row],[province RDC]],_26_03_2026_Client_Churn_v1[Province_Client],_26_03_2026_Client_Churn_v1[Plaintes_Service_Client],"non trouvé")</f>
        <v>non trouvé</v>
      </c>
    </row>
    <row r="174" spans="1:16" hidden="1" x14ac:dyDescent="0.25">
      <c r="A174" s="1">
        <v>45217</v>
      </c>
      <c r="B174" s="2">
        <v>0.41180555555555554</v>
      </c>
      <c r="C174" t="s">
        <v>918</v>
      </c>
      <c r="D174">
        <v>92</v>
      </c>
      <c r="E174" t="s">
        <v>812</v>
      </c>
      <c r="F174" t="str">
        <f>_xlfn.XLOOKUP(_26_03_2026_Log_Reseau_v15[[#This Row],[Cell_ID]],_26_03_2026_Registre_Maintenance_v1[ID_Antenne],_26_03_2026_Registre_Maintenance_v1[zone],"pas trouvé")</f>
        <v>pas trouvé</v>
      </c>
      <c r="G174" t="str">
        <f>_xlfn.XLOOKUP(_26_03_2026_Log_Reseau_v15[[#This Row],[Cell_ID]],_26_03_2026_Registre_Maintenance_v1[ID_Antenne],_26_03_2026_Registre_Maintenance_v1[Latitude],"non trouvé")</f>
        <v>non trouvé</v>
      </c>
      <c r="H174" t="str">
        <f>_xlfn.XLOOKUP(_26_03_2026_Log_Reseau_v15[[#This Row],[Cell_ID]],_26_03_2026_Registre_Maintenance_v1[ID_Antenne],_26_03_2026_Registre_Maintenance_v1[Longitude],"pas trouvé")</f>
        <v>pas trouvé</v>
      </c>
      <c r="I174" t="str">
        <f>_xlfn.XLOOKUP(_26_03_2026_Log_Reseau_v15[[#This Row],[Cell_ID]],_26_03_2026_Registre_Maintenance_v1[ID_Antenne],_26_03_2026_Registre_Maintenance_v1[Technologie],"non trouvé")</f>
        <v>non trouvé</v>
      </c>
      <c r="J174" t="str">
        <f>_xlfn.XLOOKUP(_26_03_2026_Log_Reseau_v15[[#This Row],[Cell_ID]],_26_03_2026_Registre_Maintenance_v1[ID_Antenne],_26_03_2026_Registre_Maintenance_v1[Equipementier],"pas trouvé")</f>
        <v>pas trouvé</v>
      </c>
      <c r="K174" t="str">
        <f>_xlfn.XLOOKUP(_26_03_2026_Log_Reseau_v15[[#This Row],[province RDC]],_26_03_2026_Client_Churn_v1[Province_Client],_26_03_2026_Client_Churn_v1[ID_Client],"non trouvé")</f>
        <v>non trouvé</v>
      </c>
      <c r="L174" t="str">
        <f>_xlfn.XLOOKUP(_26_03_2026_Log_Reseau_v15[[#This Row],[province RDC]],_26_03_2026_Client_Churn_v1[Province_Client],_26_03_2026_Client_Churn_v1[Anciennete_Mois],"non trouvé")</f>
        <v>non trouvé</v>
      </c>
      <c r="M174" t="str">
        <f>_xlfn.XLOOKUP(_26_03_2026_Log_Reseau_v15[[#This Row],[province RDC]],_26_03_2026_Client_Churn_v1[Province_Client],_26_03_2026_Client_Churn_v1[Type_Forfait],"non trouvé")</f>
        <v>non trouvé</v>
      </c>
      <c r="N174" t="str">
        <f>_xlfn.XLOOKUP(_26_03_2026_Log_Reseau_v15[[#This Row],[province RDC]],_26_03_2026_Client_Churn_v1[Province_Client],_26_03_2026_Client_Churn_v1[Duree_Cumulee_Panne_Min],"non trouvé")</f>
        <v>non trouvé</v>
      </c>
      <c r="O174" t="str">
        <f>_xlfn.XLOOKUP(_26_03_2026_Log_Reseau_v15[[#This Row],[province RDC]],_26_03_2026_Client_Churn_v1[Province_Client],_26_03_2026_Client_Churn_v1[Facture_Mensuelle],"non trouvé")</f>
        <v>non trouvé</v>
      </c>
      <c r="P174" t="str">
        <f>_xlfn.XLOOKUP(_26_03_2026_Log_Reseau_v15[[#This Row],[province RDC]],_26_03_2026_Client_Churn_v1[Province_Client],_26_03_2026_Client_Churn_v1[Plaintes_Service_Client],"non trouvé")</f>
        <v>non trouvé</v>
      </c>
    </row>
    <row r="175" spans="1:16" hidden="1" x14ac:dyDescent="0.25">
      <c r="A175" s="1">
        <v>45206</v>
      </c>
      <c r="B175" s="2">
        <v>0.2590277777777778</v>
      </c>
      <c r="C175" t="s">
        <v>919</v>
      </c>
      <c r="D175">
        <v>104</v>
      </c>
      <c r="E175" t="s">
        <v>807</v>
      </c>
      <c r="F175" t="str">
        <f>_xlfn.XLOOKUP(_26_03_2026_Log_Reseau_v15[[#This Row],[Cell_ID]],_26_03_2026_Registre_Maintenance_v1[ID_Antenne],_26_03_2026_Registre_Maintenance_v1[zone],"pas trouvé")</f>
        <v>pas trouvé</v>
      </c>
      <c r="G175" t="str">
        <f>_xlfn.XLOOKUP(_26_03_2026_Log_Reseau_v15[[#This Row],[Cell_ID]],_26_03_2026_Registre_Maintenance_v1[ID_Antenne],_26_03_2026_Registre_Maintenance_v1[Latitude],"non trouvé")</f>
        <v>non trouvé</v>
      </c>
      <c r="H175" t="str">
        <f>_xlfn.XLOOKUP(_26_03_2026_Log_Reseau_v15[[#This Row],[Cell_ID]],_26_03_2026_Registre_Maintenance_v1[ID_Antenne],_26_03_2026_Registre_Maintenance_v1[Longitude],"pas trouvé")</f>
        <v>pas trouvé</v>
      </c>
      <c r="I175" t="str">
        <f>_xlfn.XLOOKUP(_26_03_2026_Log_Reseau_v15[[#This Row],[Cell_ID]],_26_03_2026_Registre_Maintenance_v1[ID_Antenne],_26_03_2026_Registre_Maintenance_v1[Technologie],"non trouvé")</f>
        <v>non trouvé</v>
      </c>
      <c r="J175" t="str">
        <f>_xlfn.XLOOKUP(_26_03_2026_Log_Reseau_v15[[#This Row],[Cell_ID]],_26_03_2026_Registre_Maintenance_v1[ID_Antenne],_26_03_2026_Registre_Maintenance_v1[Equipementier],"pas trouvé")</f>
        <v>pas trouvé</v>
      </c>
      <c r="K175" t="str">
        <f>_xlfn.XLOOKUP(_26_03_2026_Log_Reseau_v15[[#This Row],[province RDC]],_26_03_2026_Client_Churn_v1[Province_Client],_26_03_2026_Client_Churn_v1[ID_Client],"non trouvé")</f>
        <v>non trouvé</v>
      </c>
      <c r="L175" t="str">
        <f>_xlfn.XLOOKUP(_26_03_2026_Log_Reseau_v15[[#This Row],[province RDC]],_26_03_2026_Client_Churn_v1[Province_Client],_26_03_2026_Client_Churn_v1[Anciennete_Mois],"non trouvé")</f>
        <v>non trouvé</v>
      </c>
      <c r="M175" t="str">
        <f>_xlfn.XLOOKUP(_26_03_2026_Log_Reseau_v15[[#This Row],[province RDC]],_26_03_2026_Client_Churn_v1[Province_Client],_26_03_2026_Client_Churn_v1[Type_Forfait],"non trouvé")</f>
        <v>non trouvé</v>
      </c>
      <c r="N175" t="str">
        <f>_xlfn.XLOOKUP(_26_03_2026_Log_Reseau_v15[[#This Row],[province RDC]],_26_03_2026_Client_Churn_v1[Province_Client],_26_03_2026_Client_Churn_v1[Duree_Cumulee_Panne_Min],"non trouvé")</f>
        <v>non trouvé</v>
      </c>
      <c r="O175" t="str">
        <f>_xlfn.XLOOKUP(_26_03_2026_Log_Reseau_v15[[#This Row],[province RDC]],_26_03_2026_Client_Churn_v1[Province_Client],_26_03_2026_Client_Churn_v1[Facture_Mensuelle],"non trouvé")</f>
        <v>non trouvé</v>
      </c>
      <c r="P175" t="str">
        <f>_xlfn.XLOOKUP(_26_03_2026_Log_Reseau_v15[[#This Row],[province RDC]],_26_03_2026_Client_Churn_v1[Province_Client],_26_03_2026_Client_Churn_v1[Plaintes_Service_Client],"non trouvé")</f>
        <v>non trouvé</v>
      </c>
    </row>
    <row r="176" spans="1:16" x14ac:dyDescent="0.25">
      <c r="A176" s="1">
        <v>45216</v>
      </c>
      <c r="B176" s="2">
        <v>0.27500000000000002</v>
      </c>
      <c r="C176" t="s">
        <v>920</v>
      </c>
      <c r="D176">
        <v>119</v>
      </c>
      <c r="E176" t="s">
        <v>812</v>
      </c>
      <c r="F176" t="str">
        <f>_xlfn.XLOOKUP(_26_03_2026_Log_Reseau_v15[[#This Row],[Cell_ID]],_26_03_2026_Registre_Maintenance_v1[ID_Antenne],_26_03_2026_Registre_Maintenance_v1[zone],"pas trouvé")</f>
        <v>Sud-Kivu</v>
      </c>
      <c r="G176">
        <f>_xlfn.XLOOKUP(_26_03_2026_Log_Reseau_v15[[#This Row],[Cell_ID]],_26_03_2026_Registre_Maintenance_v1[ID_Antenne],_26_03_2026_Registre_Maintenance_v1[Latitude],"non trouvé")</f>
        <v>2.4414509999999998</v>
      </c>
      <c r="H176">
        <f>_xlfn.XLOOKUP(_26_03_2026_Log_Reseau_v15[[#This Row],[Cell_ID]],_26_03_2026_Registre_Maintenance_v1[ID_Antenne],_26_03_2026_Registre_Maintenance_v1[Longitude],"pas trouvé")</f>
        <v>30.167489</v>
      </c>
      <c r="I176" t="str">
        <f>_xlfn.XLOOKUP(_26_03_2026_Log_Reseau_v15[[#This Row],[Cell_ID]],_26_03_2026_Registre_Maintenance_v1[ID_Antenne],_26_03_2026_Registre_Maintenance_v1[Technologie],"non trouvé")</f>
        <v>5G</v>
      </c>
      <c r="J176" t="str">
        <f>_xlfn.XLOOKUP(_26_03_2026_Log_Reseau_v15[[#This Row],[Cell_ID]],_26_03_2026_Registre_Maintenance_v1[ID_Antenne],_26_03_2026_Registre_Maintenance_v1[Equipementier],"pas trouvé")</f>
        <v>Nokia</v>
      </c>
      <c r="K176" t="str">
        <f>_xlfn.XLOOKUP(_26_03_2026_Log_Reseau_v15[[#This Row],[province RDC]],_26_03_2026_Client_Churn_v1[Province_Client],_26_03_2026_Client_Churn_v1[ID_Client],"non trouvé")</f>
        <v>CLI-01855</v>
      </c>
      <c r="L176">
        <f>_xlfn.XLOOKUP(_26_03_2026_Log_Reseau_v15[[#This Row],[province RDC]],_26_03_2026_Client_Churn_v1[Province_Client],_26_03_2026_Client_Churn_v1[Anciennete_Mois],"non trouvé")</f>
        <v>101</v>
      </c>
      <c r="M176" t="str">
        <f>_xlfn.XLOOKUP(_26_03_2026_Log_Reseau_v15[[#This Row],[province RDC]],_26_03_2026_Client_Churn_v1[Province_Client],_26_03_2026_Client_Churn_v1[Type_Forfait],"non trouvé")</f>
        <v>Illimité 50Go</v>
      </c>
      <c r="N176">
        <f>_xlfn.XLOOKUP(_26_03_2026_Log_Reseau_v15[[#This Row],[province RDC]],_26_03_2026_Client_Churn_v1[Province_Client],_26_03_2026_Client_Churn_v1[Duree_Cumulee_Panne_Min],"non trouvé")</f>
        <v>358</v>
      </c>
      <c r="O176">
        <f>_xlfn.XLOOKUP(_26_03_2026_Log_Reseau_v15[[#This Row],[province RDC]],_26_03_2026_Client_Churn_v1[Province_Client],_26_03_2026_Client_Churn_v1[Facture_Mensuelle],"non trouvé")</f>
        <v>29.24</v>
      </c>
      <c r="P176">
        <f>_xlfn.XLOOKUP(_26_03_2026_Log_Reseau_v15[[#This Row],[province RDC]],_26_03_2026_Client_Churn_v1[Province_Client],_26_03_2026_Client_Churn_v1[Plaintes_Service_Client],"non trouvé")</f>
        <v>3</v>
      </c>
    </row>
    <row r="177" spans="1:16" x14ac:dyDescent="0.25">
      <c r="A177" s="1">
        <v>45227</v>
      </c>
      <c r="B177" s="2">
        <v>0.44791666666666669</v>
      </c>
      <c r="C177" t="s">
        <v>920</v>
      </c>
      <c r="D177">
        <v>84</v>
      </c>
      <c r="E177" t="s">
        <v>808</v>
      </c>
      <c r="F177" t="str">
        <f>_xlfn.XLOOKUP(_26_03_2026_Log_Reseau_v15[[#This Row],[Cell_ID]],_26_03_2026_Registre_Maintenance_v1[ID_Antenne],_26_03_2026_Registre_Maintenance_v1[zone],"pas trouvé")</f>
        <v>Sud-Kivu</v>
      </c>
      <c r="G177">
        <f>_xlfn.XLOOKUP(_26_03_2026_Log_Reseau_v15[[#This Row],[Cell_ID]],_26_03_2026_Registre_Maintenance_v1[ID_Antenne],_26_03_2026_Registre_Maintenance_v1[Latitude],"non trouvé")</f>
        <v>2.4414509999999998</v>
      </c>
      <c r="H177">
        <f>_xlfn.XLOOKUP(_26_03_2026_Log_Reseau_v15[[#This Row],[Cell_ID]],_26_03_2026_Registre_Maintenance_v1[ID_Antenne],_26_03_2026_Registre_Maintenance_v1[Longitude],"pas trouvé")</f>
        <v>30.167489</v>
      </c>
      <c r="I177" t="str">
        <f>_xlfn.XLOOKUP(_26_03_2026_Log_Reseau_v15[[#This Row],[Cell_ID]],_26_03_2026_Registre_Maintenance_v1[ID_Antenne],_26_03_2026_Registre_Maintenance_v1[Technologie],"non trouvé")</f>
        <v>5G</v>
      </c>
      <c r="J177" t="str">
        <f>_xlfn.XLOOKUP(_26_03_2026_Log_Reseau_v15[[#This Row],[Cell_ID]],_26_03_2026_Registre_Maintenance_v1[ID_Antenne],_26_03_2026_Registre_Maintenance_v1[Equipementier],"pas trouvé")</f>
        <v>Nokia</v>
      </c>
      <c r="K177" t="str">
        <f>_xlfn.XLOOKUP(_26_03_2026_Log_Reseau_v15[[#This Row],[province RDC]],_26_03_2026_Client_Churn_v1[Province_Client],_26_03_2026_Client_Churn_v1[ID_Client],"non trouvé")</f>
        <v>CLI-01855</v>
      </c>
      <c r="L177">
        <f>_xlfn.XLOOKUP(_26_03_2026_Log_Reseau_v15[[#This Row],[province RDC]],_26_03_2026_Client_Churn_v1[Province_Client],_26_03_2026_Client_Churn_v1[Anciennete_Mois],"non trouvé")</f>
        <v>101</v>
      </c>
      <c r="M177" t="str">
        <f>_xlfn.XLOOKUP(_26_03_2026_Log_Reseau_v15[[#This Row],[province RDC]],_26_03_2026_Client_Churn_v1[Province_Client],_26_03_2026_Client_Churn_v1[Type_Forfait],"non trouvé")</f>
        <v>Illimité 50Go</v>
      </c>
      <c r="N177">
        <f>_xlfn.XLOOKUP(_26_03_2026_Log_Reseau_v15[[#This Row],[province RDC]],_26_03_2026_Client_Churn_v1[Province_Client],_26_03_2026_Client_Churn_v1[Duree_Cumulee_Panne_Min],"non trouvé")</f>
        <v>358</v>
      </c>
      <c r="O177">
        <f>_xlfn.XLOOKUP(_26_03_2026_Log_Reseau_v15[[#This Row],[province RDC]],_26_03_2026_Client_Churn_v1[Province_Client],_26_03_2026_Client_Churn_v1[Facture_Mensuelle],"non trouvé")</f>
        <v>29.24</v>
      </c>
      <c r="P177">
        <f>_xlfn.XLOOKUP(_26_03_2026_Log_Reseau_v15[[#This Row],[province RDC]],_26_03_2026_Client_Churn_v1[Province_Client],_26_03_2026_Client_Churn_v1[Plaintes_Service_Client],"non trouvé")</f>
        <v>3</v>
      </c>
    </row>
    <row r="178" spans="1:16" x14ac:dyDescent="0.25">
      <c r="A178" s="1">
        <v>45216</v>
      </c>
      <c r="B178" s="2">
        <v>0.86527777777777781</v>
      </c>
      <c r="C178" t="s">
        <v>921</v>
      </c>
      <c r="D178">
        <v>10</v>
      </c>
      <c r="E178" t="s">
        <v>808</v>
      </c>
      <c r="F178" t="str">
        <f>_xlfn.XLOOKUP(_26_03_2026_Log_Reseau_v15[[#This Row],[Cell_ID]],_26_03_2026_Registre_Maintenance_v1[ID_Antenne],_26_03_2026_Registre_Maintenance_v1[zone],"pas trouvé")</f>
        <v>Kasai-Oriental</v>
      </c>
      <c r="G178">
        <f>_xlfn.XLOOKUP(_26_03_2026_Log_Reseau_v15[[#This Row],[Cell_ID]],_26_03_2026_Registre_Maintenance_v1[ID_Antenne],_26_03_2026_Registre_Maintenance_v1[Latitude],"non trouvé")</f>
        <v>-1.648326</v>
      </c>
      <c r="H178">
        <f>_xlfn.XLOOKUP(_26_03_2026_Log_Reseau_v15[[#This Row],[Cell_ID]],_26_03_2026_Registre_Maintenance_v1[ID_Antenne],_26_03_2026_Registre_Maintenance_v1[Longitude],"pas trouvé")</f>
        <v>25.528901999999999</v>
      </c>
      <c r="I178" t="str">
        <f>_xlfn.XLOOKUP(_26_03_2026_Log_Reseau_v15[[#This Row],[Cell_ID]],_26_03_2026_Registre_Maintenance_v1[ID_Antenne],_26_03_2026_Registre_Maintenance_v1[Technologie],"non trouvé")</f>
        <v>4G</v>
      </c>
      <c r="J178" t="str">
        <f>_xlfn.XLOOKUP(_26_03_2026_Log_Reseau_v15[[#This Row],[Cell_ID]],_26_03_2026_Registre_Maintenance_v1[ID_Antenne],_26_03_2026_Registre_Maintenance_v1[Equipementier],"pas trouvé")</f>
        <v>Huawei</v>
      </c>
      <c r="K178" t="str">
        <f>_xlfn.XLOOKUP(_26_03_2026_Log_Reseau_v15[[#This Row],[province RDC]],_26_03_2026_Client_Churn_v1[Province_Client],_26_03_2026_Client_Churn_v1[ID_Client],"non trouvé")</f>
        <v>CLI-01837</v>
      </c>
      <c r="L178">
        <f>_xlfn.XLOOKUP(_26_03_2026_Log_Reseau_v15[[#This Row],[province RDC]],_26_03_2026_Client_Churn_v1[Province_Client],_26_03_2026_Client_Churn_v1[Anciennete_Mois],"non trouvé")</f>
        <v>97</v>
      </c>
      <c r="M178" t="str">
        <f>_xlfn.XLOOKUP(_26_03_2026_Log_Reseau_v15[[#This Row],[province RDC]],_26_03_2026_Client_Churn_v1[Province_Client],_26_03_2026_Client_Churn_v1[Type_Forfait],"non trouvé")</f>
        <v>Pro Monde</v>
      </c>
      <c r="N178">
        <f>_xlfn.XLOOKUP(_26_03_2026_Log_Reseau_v15[[#This Row],[province RDC]],_26_03_2026_Client_Churn_v1[Province_Client],_26_03_2026_Client_Churn_v1[Duree_Cumulee_Panne_Min],"non trouvé")</f>
        <v>319</v>
      </c>
      <c r="O178">
        <f>_xlfn.XLOOKUP(_26_03_2026_Log_Reseau_v15[[#This Row],[province RDC]],_26_03_2026_Client_Churn_v1[Province_Client],_26_03_2026_Client_Churn_v1[Facture_Mensuelle],"non trouvé")</f>
        <v>31.25</v>
      </c>
      <c r="P178">
        <f>_xlfn.XLOOKUP(_26_03_2026_Log_Reseau_v15[[#This Row],[province RDC]],_26_03_2026_Client_Churn_v1[Province_Client],_26_03_2026_Client_Churn_v1[Plaintes_Service_Client],"non trouvé")</f>
        <v>1</v>
      </c>
    </row>
    <row r="179" spans="1:16" hidden="1" x14ac:dyDescent="0.25">
      <c r="A179" s="1">
        <v>45227</v>
      </c>
      <c r="B179" s="2">
        <v>0.77569444444444446</v>
      </c>
      <c r="C179" t="s">
        <v>922</v>
      </c>
      <c r="D179">
        <v>45</v>
      </c>
      <c r="E179" t="s">
        <v>812</v>
      </c>
      <c r="F179" t="str">
        <f>_xlfn.XLOOKUP(_26_03_2026_Log_Reseau_v15[[#This Row],[Cell_ID]],_26_03_2026_Registre_Maintenance_v1[ID_Antenne],_26_03_2026_Registre_Maintenance_v1[zone],"pas trouvé")</f>
        <v>pas trouvé</v>
      </c>
      <c r="G179" t="str">
        <f>_xlfn.XLOOKUP(_26_03_2026_Log_Reseau_v15[[#This Row],[Cell_ID]],_26_03_2026_Registre_Maintenance_v1[ID_Antenne],_26_03_2026_Registre_Maintenance_v1[Latitude],"non trouvé")</f>
        <v>non trouvé</v>
      </c>
      <c r="H179" t="str">
        <f>_xlfn.XLOOKUP(_26_03_2026_Log_Reseau_v15[[#This Row],[Cell_ID]],_26_03_2026_Registre_Maintenance_v1[ID_Antenne],_26_03_2026_Registre_Maintenance_v1[Longitude],"pas trouvé")</f>
        <v>pas trouvé</v>
      </c>
      <c r="I179" t="str">
        <f>_xlfn.XLOOKUP(_26_03_2026_Log_Reseau_v15[[#This Row],[Cell_ID]],_26_03_2026_Registre_Maintenance_v1[ID_Antenne],_26_03_2026_Registre_Maintenance_v1[Technologie],"non trouvé")</f>
        <v>non trouvé</v>
      </c>
      <c r="J179" t="str">
        <f>_xlfn.XLOOKUP(_26_03_2026_Log_Reseau_v15[[#This Row],[Cell_ID]],_26_03_2026_Registre_Maintenance_v1[ID_Antenne],_26_03_2026_Registre_Maintenance_v1[Equipementier],"pas trouvé")</f>
        <v>pas trouvé</v>
      </c>
      <c r="K179" t="str">
        <f>_xlfn.XLOOKUP(_26_03_2026_Log_Reseau_v15[[#This Row],[province RDC]],_26_03_2026_Client_Churn_v1[Province_Client],_26_03_2026_Client_Churn_v1[ID_Client],"non trouvé")</f>
        <v>non trouvé</v>
      </c>
      <c r="L179" t="str">
        <f>_xlfn.XLOOKUP(_26_03_2026_Log_Reseau_v15[[#This Row],[province RDC]],_26_03_2026_Client_Churn_v1[Province_Client],_26_03_2026_Client_Churn_v1[Anciennete_Mois],"non trouvé")</f>
        <v>non trouvé</v>
      </c>
      <c r="M179" t="str">
        <f>_xlfn.XLOOKUP(_26_03_2026_Log_Reseau_v15[[#This Row],[province RDC]],_26_03_2026_Client_Churn_v1[Province_Client],_26_03_2026_Client_Churn_v1[Type_Forfait],"non trouvé")</f>
        <v>non trouvé</v>
      </c>
      <c r="N179" t="str">
        <f>_xlfn.XLOOKUP(_26_03_2026_Log_Reseau_v15[[#This Row],[province RDC]],_26_03_2026_Client_Churn_v1[Province_Client],_26_03_2026_Client_Churn_v1[Duree_Cumulee_Panne_Min],"non trouvé")</f>
        <v>non trouvé</v>
      </c>
      <c r="O179" t="str">
        <f>_xlfn.XLOOKUP(_26_03_2026_Log_Reseau_v15[[#This Row],[province RDC]],_26_03_2026_Client_Churn_v1[Province_Client],_26_03_2026_Client_Churn_v1[Facture_Mensuelle],"non trouvé")</f>
        <v>non trouvé</v>
      </c>
      <c r="P179" t="str">
        <f>_xlfn.XLOOKUP(_26_03_2026_Log_Reseau_v15[[#This Row],[province RDC]],_26_03_2026_Client_Churn_v1[Province_Client],_26_03_2026_Client_Churn_v1[Plaintes_Service_Client],"non trouvé")</f>
        <v>non trouvé</v>
      </c>
    </row>
    <row r="180" spans="1:16" hidden="1" x14ac:dyDescent="0.25">
      <c r="A180" s="1">
        <v>45221</v>
      </c>
      <c r="B180" s="2">
        <v>0.55555555555555558</v>
      </c>
      <c r="C180" t="s">
        <v>922</v>
      </c>
      <c r="D180">
        <v>103</v>
      </c>
      <c r="E180" t="s">
        <v>808</v>
      </c>
      <c r="F180" t="str">
        <f>_xlfn.XLOOKUP(_26_03_2026_Log_Reseau_v15[[#This Row],[Cell_ID]],_26_03_2026_Registre_Maintenance_v1[ID_Antenne],_26_03_2026_Registre_Maintenance_v1[zone],"pas trouvé")</f>
        <v>pas trouvé</v>
      </c>
      <c r="G180" t="str">
        <f>_xlfn.XLOOKUP(_26_03_2026_Log_Reseau_v15[[#This Row],[Cell_ID]],_26_03_2026_Registre_Maintenance_v1[ID_Antenne],_26_03_2026_Registre_Maintenance_v1[Latitude],"non trouvé")</f>
        <v>non trouvé</v>
      </c>
      <c r="H180" t="str">
        <f>_xlfn.XLOOKUP(_26_03_2026_Log_Reseau_v15[[#This Row],[Cell_ID]],_26_03_2026_Registre_Maintenance_v1[ID_Antenne],_26_03_2026_Registre_Maintenance_v1[Longitude],"pas trouvé")</f>
        <v>pas trouvé</v>
      </c>
      <c r="I180" t="str">
        <f>_xlfn.XLOOKUP(_26_03_2026_Log_Reseau_v15[[#This Row],[Cell_ID]],_26_03_2026_Registre_Maintenance_v1[ID_Antenne],_26_03_2026_Registre_Maintenance_v1[Technologie],"non trouvé")</f>
        <v>non trouvé</v>
      </c>
      <c r="J180" t="str">
        <f>_xlfn.XLOOKUP(_26_03_2026_Log_Reseau_v15[[#This Row],[Cell_ID]],_26_03_2026_Registre_Maintenance_v1[ID_Antenne],_26_03_2026_Registre_Maintenance_v1[Equipementier],"pas trouvé")</f>
        <v>pas trouvé</v>
      </c>
      <c r="K180" t="str">
        <f>_xlfn.XLOOKUP(_26_03_2026_Log_Reseau_v15[[#This Row],[province RDC]],_26_03_2026_Client_Churn_v1[Province_Client],_26_03_2026_Client_Churn_v1[ID_Client],"non trouvé")</f>
        <v>non trouvé</v>
      </c>
      <c r="L180" t="str">
        <f>_xlfn.XLOOKUP(_26_03_2026_Log_Reseau_v15[[#This Row],[province RDC]],_26_03_2026_Client_Churn_v1[Province_Client],_26_03_2026_Client_Churn_v1[Anciennete_Mois],"non trouvé")</f>
        <v>non trouvé</v>
      </c>
      <c r="M180" t="str">
        <f>_xlfn.XLOOKUP(_26_03_2026_Log_Reseau_v15[[#This Row],[province RDC]],_26_03_2026_Client_Churn_v1[Province_Client],_26_03_2026_Client_Churn_v1[Type_Forfait],"non trouvé")</f>
        <v>non trouvé</v>
      </c>
      <c r="N180" t="str">
        <f>_xlfn.XLOOKUP(_26_03_2026_Log_Reseau_v15[[#This Row],[province RDC]],_26_03_2026_Client_Churn_v1[Province_Client],_26_03_2026_Client_Churn_v1[Duree_Cumulee_Panne_Min],"non trouvé")</f>
        <v>non trouvé</v>
      </c>
      <c r="O180" t="str">
        <f>_xlfn.XLOOKUP(_26_03_2026_Log_Reseau_v15[[#This Row],[province RDC]],_26_03_2026_Client_Churn_v1[Province_Client],_26_03_2026_Client_Churn_v1[Facture_Mensuelle],"non trouvé")</f>
        <v>non trouvé</v>
      </c>
      <c r="P180" t="str">
        <f>_xlfn.XLOOKUP(_26_03_2026_Log_Reseau_v15[[#This Row],[province RDC]],_26_03_2026_Client_Churn_v1[Province_Client],_26_03_2026_Client_Churn_v1[Plaintes_Service_Client],"non trouvé")</f>
        <v>non trouvé</v>
      </c>
    </row>
    <row r="181" spans="1:16" x14ac:dyDescent="0.25">
      <c r="A181" s="1">
        <v>45218</v>
      </c>
      <c r="B181" s="2">
        <v>8.8888888888888892E-2</v>
      </c>
      <c r="C181" t="s">
        <v>923</v>
      </c>
      <c r="D181">
        <v>12</v>
      </c>
      <c r="E181" t="s">
        <v>812</v>
      </c>
      <c r="F181" t="str">
        <f>_xlfn.XLOOKUP(_26_03_2026_Log_Reseau_v15[[#This Row],[Cell_ID]],_26_03_2026_Registre_Maintenance_v1[ID_Antenne],_26_03_2026_Registre_Maintenance_v1[zone],"pas trouvé")</f>
        <v>Kinshasa</v>
      </c>
      <c r="G181">
        <f>_xlfn.XLOOKUP(_26_03_2026_Log_Reseau_v15[[#This Row],[Cell_ID]],_26_03_2026_Registre_Maintenance_v1[ID_Antenne],_26_03_2026_Registre_Maintenance_v1[Latitude],"non trouvé")</f>
        <v>-11.389362</v>
      </c>
      <c r="H181">
        <f>_xlfn.XLOOKUP(_26_03_2026_Log_Reseau_v15[[#This Row],[Cell_ID]],_26_03_2026_Registre_Maintenance_v1[ID_Antenne],_26_03_2026_Registre_Maintenance_v1[Longitude],"pas trouvé")</f>
        <v>22.240174</v>
      </c>
      <c r="I181" t="str">
        <f>_xlfn.XLOOKUP(_26_03_2026_Log_Reseau_v15[[#This Row],[Cell_ID]],_26_03_2026_Registre_Maintenance_v1[ID_Antenne],_26_03_2026_Registre_Maintenance_v1[Technologie],"non trouvé")</f>
        <v>5G</v>
      </c>
      <c r="J181" t="str">
        <f>_xlfn.XLOOKUP(_26_03_2026_Log_Reseau_v15[[#This Row],[Cell_ID]],_26_03_2026_Registre_Maintenance_v1[ID_Antenne],_26_03_2026_Registre_Maintenance_v1[Equipementier],"pas trouvé")</f>
        <v>ZTE</v>
      </c>
      <c r="K181" t="str">
        <f>_xlfn.XLOOKUP(_26_03_2026_Log_Reseau_v15[[#This Row],[province RDC]],_26_03_2026_Client_Churn_v1[Province_Client],_26_03_2026_Client_Churn_v1[ID_Client],"non trouvé")</f>
        <v>CLI-00611</v>
      </c>
      <c r="L181">
        <f>_xlfn.XLOOKUP(_26_03_2026_Log_Reseau_v15[[#This Row],[province RDC]],_26_03_2026_Client_Churn_v1[Province_Client],_26_03_2026_Client_Churn_v1[Anciennete_Mois],"non trouvé")</f>
        <v>79</v>
      </c>
      <c r="M181" t="str">
        <f>_xlfn.XLOOKUP(_26_03_2026_Log_Reseau_v15[[#This Row],[province RDC]],_26_03_2026_Client_Churn_v1[Province_Client],_26_03_2026_Client_Churn_v1[Type_Forfait],"non trouvé")</f>
        <v>Premium 5G 150Go</v>
      </c>
      <c r="N181">
        <f>_xlfn.XLOOKUP(_26_03_2026_Log_Reseau_v15[[#This Row],[province RDC]],_26_03_2026_Client_Churn_v1[Province_Client],_26_03_2026_Client_Churn_v1[Duree_Cumulee_Panne_Min],"non trouvé")</f>
        <v>226</v>
      </c>
      <c r="O181">
        <f>_xlfn.XLOOKUP(_26_03_2026_Log_Reseau_v15[[#This Row],[province RDC]],_26_03_2026_Client_Churn_v1[Province_Client],_26_03_2026_Client_Churn_v1[Facture_Mensuelle],"non trouvé")</f>
        <v>94.38</v>
      </c>
      <c r="P181">
        <f>_xlfn.XLOOKUP(_26_03_2026_Log_Reseau_v15[[#This Row],[province RDC]],_26_03_2026_Client_Churn_v1[Province_Client],_26_03_2026_Client_Churn_v1[Plaintes_Service_Client],"non trouvé")</f>
        <v>3</v>
      </c>
    </row>
    <row r="182" spans="1:16" x14ac:dyDescent="0.25">
      <c r="A182" s="1">
        <v>45209</v>
      </c>
      <c r="B182" s="2">
        <v>0.21527777777777779</v>
      </c>
      <c r="C182" t="s">
        <v>923</v>
      </c>
      <c r="D182">
        <v>23</v>
      </c>
      <c r="E182" t="s">
        <v>812</v>
      </c>
      <c r="F182" t="str">
        <f>_xlfn.XLOOKUP(_26_03_2026_Log_Reseau_v15[[#This Row],[Cell_ID]],_26_03_2026_Registre_Maintenance_v1[ID_Antenne],_26_03_2026_Registre_Maintenance_v1[zone],"pas trouvé")</f>
        <v>Kinshasa</v>
      </c>
      <c r="G182">
        <f>_xlfn.XLOOKUP(_26_03_2026_Log_Reseau_v15[[#This Row],[Cell_ID]],_26_03_2026_Registre_Maintenance_v1[ID_Antenne],_26_03_2026_Registre_Maintenance_v1[Latitude],"non trouvé")</f>
        <v>-11.389362</v>
      </c>
      <c r="H182">
        <f>_xlfn.XLOOKUP(_26_03_2026_Log_Reseau_v15[[#This Row],[Cell_ID]],_26_03_2026_Registre_Maintenance_v1[ID_Antenne],_26_03_2026_Registre_Maintenance_v1[Longitude],"pas trouvé")</f>
        <v>22.240174</v>
      </c>
      <c r="I182" t="str">
        <f>_xlfn.XLOOKUP(_26_03_2026_Log_Reseau_v15[[#This Row],[Cell_ID]],_26_03_2026_Registre_Maintenance_v1[ID_Antenne],_26_03_2026_Registre_Maintenance_v1[Technologie],"non trouvé")</f>
        <v>5G</v>
      </c>
      <c r="J182" t="str">
        <f>_xlfn.XLOOKUP(_26_03_2026_Log_Reseau_v15[[#This Row],[Cell_ID]],_26_03_2026_Registre_Maintenance_v1[ID_Antenne],_26_03_2026_Registre_Maintenance_v1[Equipementier],"pas trouvé")</f>
        <v>ZTE</v>
      </c>
      <c r="K182" t="str">
        <f>_xlfn.XLOOKUP(_26_03_2026_Log_Reseau_v15[[#This Row],[province RDC]],_26_03_2026_Client_Churn_v1[Province_Client],_26_03_2026_Client_Churn_v1[ID_Client],"non trouvé")</f>
        <v>CLI-00611</v>
      </c>
      <c r="L182">
        <f>_xlfn.XLOOKUP(_26_03_2026_Log_Reseau_v15[[#This Row],[province RDC]],_26_03_2026_Client_Churn_v1[Province_Client],_26_03_2026_Client_Churn_v1[Anciennete_Mois],"non trouvé")</f>
        <v>79</v>
      </c>
      <c r="M182" t="str">
        <f>_xlfn.XLOOKUP(_26_03_2026_Log_Reseau_v15[[#This Row],[province RDC]],_26_03_2026_Client_Churn_v1[Province_Client],_26_03_2026_Client_Churn_v1[Type_Forfait],"non trouvé")</f>
        <v>Premium 5G 150Go</v>
      </c>
      <c r="N182">
        <f>_xlfn.XLOOKUP(_26_03_2026_Log_Reseau_v15[[#This Row],[province RDC]],_26_03_2026_Client_Churn_v1[Province_Client],_26_03_2026_Client_Churn_v1[Duree_Cumulee_Panne_Min],"non trouvé")</f>
        <v>226</v>
      </c>
      <c r="O182">
        <f>_xlfn.XLOOKUP(_26_03_2026_Log_Reseau_v15[[#This Row],[province RDC]],_26_03_2026_Client_Churn_v1[Province_Client],_26_03_2026_Client_Churn_v1[Facture_Mensuelle],"non trouvé")</f>
        <v>94.38</v>
      </c>
      <c r="P182">
        <f>_xlfn.XLOOKUP(_26_03_2026_Log_Reseau_v15[[#This Row],[province RDC]],_26_03_2026_Client_Churn_v1[Province_Client],_26_03_2026_Client_Churn_v1[Plaintes_Service_Client],"non trouvé")</f>
        <v>3</v>
      </c>
    </row>
    <row r="183" spans="1:16" x14ac:dyDescent="0.25">
      <c r="A183" s="1">
        <v>45226</v>
      </c>
      <c r="B183" s="2">
        <v>0.84097222222222223</v>
      </c>
      <c r="C183" t="s">
        <v>923</v>
      </c>
      <c r="D183">
        <v>74</v>
      </c>
      <c r="E183" t="s">
        <v>808</v>
      </c>
      <c r="F183" t="str">
        <f>_xlfn.XLOOKUP(_26_03_2026_Log_Reseau_v15[[#This Row],[Cell_ID]],_26_03_2026_Registre_Maintenance_v1[ID_Antenne],_26_03_2026_Registre_Maintenance_v1[zone],"pas trouvé")</f>
        <v>Kinshasa</v>
      </c>
      <c r="G183">
        <f>_xlfn.XLOOKUP(_26_03_2026_Log_Reseau_v15[[#This Row],[Cell_ID]],_26_03_2026_Registre_Maintenance_v1[ID_Antenne],_26_03_2026_Registre_Maintenance_v1[Latitude],"non trouvé")</f>
        <v>-11.389362</v>
      </c>
      <c r="H183">
        <f>_xlfn.XLOOKUP(_26_03_2026_Log_Reseau_v15[[#This Row],[Cell_ID]],_26_03_2026_Registre_Maintenance_v1[ID_Antenne],_26_03_2026_Registre_Maintenance_v1[Longitude],"pas trouvé")</f>
        <v>22.240174</v>
      </c>
      <c r="I183" t="str">
        <f>_xlfn.XLOOKUP(_26_03_2026_Log_Reseau_v15[[#This Row],[Cell_ID]],_26_03_2026_Registre_Maintenance_v1[ID_Antenne],_26_03_2026_Registre_Maintenance_v1[Technologie],"non trouvé")</f>
        <v>5G</v>
      </c>
      <c r="J183" t="str">
        <f>_xlfn.XLOOKUP(_26_03_2026_Log_Reseau_v15[[#This Row],[Cell_ID]],_26_03_2026_Registre_Maintenance_v1[ID_Antenne],_26_03_2026_Registre_Maintenance_v1[Equipementier],"pas trouvé")</f>
        <v>ZTE</v>
      </c>
      <c r="K183" t="str">
        <f>_xlfn.XLOOKUP(_26_03_2026_Log_Reseau_v15[[#This Row],[province RDC]],_26_03_2026_Client_Churn_v1[Province_Client],_26_03_2026_Client_Churn_v1[ID_Client],"non trouvé")</f>
        <v>CLI-00611</v>
      </c>
      <c r="L183">
        <f>_xlfn.XLOOKUP(_26_03_2026_Log_Reseau_v15[[#This Row],[province RDC]],_26_03_2026_Client_Churn_v1[Province_Client],_26_03_2026_Client_Churn_v1[Anciennete_Mois],"non trouvé")</f>
        <v>79</v>
      </c>
      <c r="M183" t="str">
        <f>_xlfn.XLOOKUP(_26_03_2026_Log_Reseau_v15[[#This Row],[province RDC]],_26_03_2026_Client_Churn_v1[Province_Client],_26_03_2026_Client_Churn_v1[Type_Forfait],"non trouvé")</f>
        <v>Premium 5G 150Go</v>
      </c>
      <c r="N183">
        <f>_xlfn.XLOOKUP(_26_03_2026_Log_Reseau_v15[[#This Row],[province RDC]],_26_03_2026_Client_Churn_v1[Province_Client],_26_03_2026_Client_Churn_v1[Duree_Cumulee_Panne_Min],"non trouvé")</f>
        <v>226</v>
      </c>
      <c r="O183">
        <f>_xlfn.XLOOKUP(_26_03_2026_Log_Reseau_v15[[#This Row],[province RDC]],_26_03_2026_Client_Churn_v1[Province_Client],_26_03_2026_Client_Churn_v1[Facture_Mensuelle],"non trouvé")</f>
        <v>94.38</v>
      </c>
      <c r="P183">
        <f>_xlfn.XLOOKUP(_26_03_2026_Log_Reseau_v15[[#This Row],[province RDC]],_26_03_2026_Client_Churn_v1[Province_Client],_26_03_2026_Client_Churn_v1[Plaintes_Service_Client],"non trouvé")</f>
        <v>3</v>
      </c>
    </row>
    <row r="184" spans="1:16" x14ac:dyDescent="0.25">
      <c r="A184" s="1">
        <v>45219</v>
      </c>
      <c r="B184" s="2">
        <v>0.43888888888888888</v>
      </c>
      <c r="C184" t="s">
        <v>924</v>
      </c>
      <c r="D184">
        <v>105</v>
      </c>
      <c r="E184" t="s">
        <v>808</v>
      </c>
      <c r="F184" t="str">
        <f>_xlfn.XLOOKUP(_26_03_2026_Log_Reseau_v15[[#This Row],[Cell_ID]],_26_03_2026_Registre_Maintenance_v1[ID_Antenne],_26_03_2026_Registre_Maintenance_v1[zone],"pas trouvé")</f>
        <v>Sud-Ubangi</v>
      </c>
      <c r="G184">
        <f>_xlfn.XLOOKUP(_26_03_2026_Log_Reseau_v15[[#This Row],[Cell_ID]],_26_03_2026_Registre_Maintenance_v1[ID_Antenne],_26_03_2026_Registre_Maintenance_v1[Latitude],"non trouvé")</f>
        <v>-0.54908599999999996</v>
      </c>
      <c r="H184">
        <f>_xlfn.XLOOKUP(_26_03_2026_Log_Reseau_v15[[#This Row],[Cell_ID]],_26_03_2026_Registre_Maintenance_v1[ID_Antenne],_26_03_2026_Registre_Maintenance_v1[Longitude],"pas trouvé")</f>
        <v>14.816867</v>
      </c>
      <c r="I184" t="str">
        <f>_xlfn.XLOOKUP(_26_03_2026_Log_Reseau_v15[[#This Row],[Cell_ID]],_26_03_2026_Registre_Maintenance_v1[ID_Antenne],_26_03_2026_Registre_Maintenance_v1[Technologie],"non trouvé")</f>
        <v>5G</v>
      </c>
      <c r="J184" t="str">
        <f>_xlfn.XLOOKUP(_26_03_2026_Log_Reseau_v15[[#This Row],[Cell_ID]],_26_03_2026_Registre_Maintenance_v1[ID_Antenne],_26_03_2026_Registre_Maintenance_v1[Equipementier],"pas trouvé")</f>
        <v>ZTE</v>
      </c>
      <c r="K184" t="str">
        <f>_xlfn.XLOOKUP(_26_03_2026_Log_Reseau_v15[[#This Row],[province RDC]],_26_03_2026_Client_Churn_v1[Province_Client],_26_03_2026_Client_Churn_v1[ID_Client],"non trouvé")</f>
        <v>CLI-00280</v>
      </c>
      <c r="L184">
        <f>_xlfn.XLOOKUP(_26_03_2026_Log_Reseau_v15[[#This Row],[province RDC]],_26_03_2026_Client_Churn_v1[Province_Client],_26_03_2026_Client_Churn_v1[Anciennete_Mois],"non trouvé")</f>
        <v>113</v>
      </c>
      <c r="M184" t="str">
        <f>_xlfn.XLOOKUP(_26_03_2026_Log_Reseau_v15[[#This Row],[province RDC]],_26_03_2026_Client_Churn_v1[Province_Client],_26_03_2026_Client_Churn_v1[Type_Forfait],"non trouvé")</f>
        <v>Illimité 50Go</v>
      </c>
      <c r="N184">
        <f>_xlfn.XLOOKUP(_26_03_2026_Log_Reseau_v15[[#This Row],[province RDC]],_26_03_2026_Client_Churn_v1[Province_Client],_26_03_2026_Client_Churn_v1[Duree_Cumulee_Panne_Min],"non trouvé")</f>
        <v>380</v>
      </c>
      <c r="O184">
        <f>_xlfn.XLOOKUP(_26_03_2026_Log_Reseau_v15[[#This Row],[province RDC]],_26_03_2026_Client_Churn_v1[Province_Client],_26_03_2026_Client_Churn_v1[Facture_Mensuelle],"non trouvé")</f>
        <v>12.11</v>
      </c>
      <c r="P184">
        <f>_xlfn.XLOOKUP(_26_03_2026_Log_Reseau_v15[[#This Row],[province RDC]],_26_03_2026_Client_Churn_v1[Province_Client],_26_03_2026_Client_Churn_v1[Plaintes_Service_Client],"non trouvé")</f>
        <v>0</v>
      </c>
    </row>
    <row r="185" spans="1:16" x14ac:dyDescent="0.25">
      <c r="A185" s="1">
        <v>45202</v>
      </c>
      <c r="B185" s="2">
        <v>0.42083333333333334</v>
      </c>
      <c r="C185" t="s">
        <v>925</v>
      </c>
      <c r="D185">
        <v>84</v>
      </c>
      <c r="E185" t="s">
        <v>807</v>
      </c>
      <c r="F185" t="str">
        <f>_xlfn.XLOOKUP(_26_03_2026_Log_Reseau_v15[[#This Row],[Cell_ID]],_26_03_2026_Registre_Maintenance_v1[ID_Antenne],_26_03_2026_Registre_Maintenance_v1[zone],"pas trouvé")</f>
        <v>Sud-Ubangi</v>
      </c>
      <c r="G185">
        <f>_xlfn.XLOOKUP(_26_03_2026_Log_Reseau_v15[[#This Row],[Cell_ID]],_26_03_2026_Registre_Maintenance_v1[ID_Antenne],_26_03_2026_Registre_Maintenance_v1[Latitude],"non trouvé")</f>
        <v>-10.56448</v>
      </c>
      <c r="H185">
        <f>_xlfn.XLOOKUP(_26_03_2026_Log_Reseau_v15[[#This Row],[Cell_ID]],_26_03_2026_Registre_Maintenance_v1[ID_Antenne],_26_03_2026_Registre_Maintenance_v1[Longitude],"pas trouvé")</f>
        <v>19.792876</v>
      </c>
      <c r="I185" t="str">
        <f>_xlfn.XLOOKUP(_26_03_2026_Log_Reseau_v15[[#This Row],[Cell_ID]],_26_03_2026_Registre_Maintenance_v1[ID_Antenne],_26_03_2026_Registre_Maintenance_v1[Technologie],"non trouvé")</f>
        <v>5G</v>
      </c>
      <c r="J185" t="str">
        <f>_xlfn.XLOOKUP(_26_03_2026_Log_Reseau_v15[[#This Row],[Cell_ID]],_26_03_2026_Registre_Maintenance_v1[ID_Antenne],_26_03_2026_Registre_Maintenance_v1[Equipementier],"pas trouvé")</f>
        <v>Ericsson</v>
      </c>
      <c r="K185" t="str">
        <f>_xlfn.XLOOKUP(_26_03_2026_Log_Reseau_v15[[#This Row],[province RDC]],_26_03_2026_Client_Churn_v1[Province_Client],_26_03_2026_Client_Churn_v1[ID_Client],"non trouvé")</f>
        <v>CLI-00280</v>
      </c>
      <c r="L185">
        <f>_xlfn.XLOOKUP(_26_03_2026_Log_Reseau_v15[[#This Row],[province RDC]],_26_03_2026_Client_Churn_v1[Province_Client],_26_03_2026_Client_Churn_v1[Anciennete_Mois],"non trouvé")</f>
        <v>113</v>
      </c>
      <c r="M185" t="str">
        <f>_xlfn.XLOOKUP(_26_03_2026_Log_Reseau_v15[[#This Row],[province RDC]],_26_03_2026_Client_Churn_v1[Province_Client],_26_03_2026_Client_Churn_v1[Type_Forfait],"non trouvé")</f>
        <v>Illimité 50Go</v>
      </c>
      <c r="N185">
        <f>_xlfn.XLOOKUP(_26_03_2026_Log_Reseau_v15[[#This Row],[province RDC]],_26_03_2026_Client_Churn_v1[Province_Client],_26_03_2026_Client_Churn_v1[Duree_Cumulee_Panne_Min],"non trouvé")</f>
        <v>380</v>
      </c>
      <c r="O185">
        <f>_xlfn.XLOOKUP(_26_03_2026_Log_Reseau_v15[[#This Row],[province RDC]],_26_03_2026_Client_Churn_v1[Province_Client],_26_03_2026_Client_Churn_v1[Facture_Mensuelle],"non trouvé")</f>
        <v>12.11</v>
      </c>
      <c r="P185">
        <f>_xlfn.XLOOKUP(_26_03_2026_Log_Reseau_v15[[#This Row],[province RDC]],_26_03_2026_Client_Churn_v1[Province_Client],_26_03_2026_Client_Churn_v1[Plaintes_Service_Client],"non trouvé")</f>
        <v>0</v>
      </c>
    </row>
    <row r="186" spans="1:16" x14ac:dyDescent="0.25">
      <c r="A186" s="1">
        <v>45229</v>
      </c>
      <c r="B186" s="2">
        <v>0.59583333333333333</v>
      </c>
      <c r="C186" t="s">
        <v>925</v>
      </c>
      <c r="D186">
        <v>88</v>
      </c>
      <c r="E186" t="s">
        <v>812</v>
      </c>
      <c r="F186" t="str">
        <f>_xlfn.XLOOKUP(_26_03_2026_Log_Reseau_v15[[#This Row],[Cell_ID]],_26_03_2026_Registre_Maintenance_v1[ID_Antenne],_26_03_2026_Registre_Maintenance_v1[zone],"pas trouvé")</f>
        <v>Sud-Ubangi</v>
      </c>
      <c r="G186">
        <f>_xlfn.XLOOKUP(_26_03_2026_Log_Reseau_v15[[#This Row],[Cell_ID]],_26_03_2026_Registre_Maintenance_v1[ID_Antenne],_26_03_2026_Registre_Maintenance_v1[Latitude],"non trouvé")</f>
        <v>-10.56448</v>
      </c>
      <c r="H186">
        <f>_xlfn.XLOOKUP(_26_03_2026_Log_Reseau_v15[[#This Row],[Cell_ID]],_26_03_2026_Registre_Maintenance_v1[ID_Antenne],_26_03_2026_Registre_Maintenance_v1[Longitude],"pas trouvé")</f>
        <v>19.792876</v>
      </c>
      <c r="I186" t="str">
        <f>_xlfn.XLOOKUP(_26_03_2026_Log_Reseau_v15[[#This Row],[Cell_ID]],_26_03_2026_Registre_Maintenance_v1[ID_Antenne],_26_03_2026_Registre_Maintenance_v1[Technologie],"non trouvé")</f>
        <v>5G</v>
      </c>
      <c r="J186" t="str">
        <f>_xlfn.XLOOKUP(_26_03_2026_Log_Reseau_v15[[#This Row],[Cell_ID]],_26_03_2026_Registre_Maintenance_v1[ID_Antenne],_26_03_2026_Registre_Maintenance_v1[Equipementier],"pas trouvé")</f>
        <v>Ericsson</v>
      </c>
      <c r="K186" t="str">
        <f>_xlfn.XLOOKUP(_26_03_2026_Log_Reseau_v15[[#This Row],[province RDC]],_26_03_2026_Client_Churn_v1[Province_Client],_26_03_2026_Client_Churn_v1[ID_Client],"non trouvé")</f>
        <v>CLI-00280</v>
      </c>
      <c r="L186">
        <f>_xlfn.XLOOKUP(_26_03_2026_Log_Reseau_v15[[#This Row],[province RDC]],_26_03_2026_Client_Churn_v1[Province_Client],_26_03_2026_Client_Churn_v1[Anciennete_Mois],"non trouvé")</f>
        <v>113</v>
      </c>
      <c r="M186" t="str">
        <f>_xlfn.XLOOKUP(_26_03_2026_Log_Reseau_v15[[#This Row],[province RDC]],_26_03_2026_Client_Churn_v1[Province_Client],_26_03_2026_Client_Churn_v1[Type_Forfait],"non trouvé")</f>
        <v>Illimité 50Go</v>
      </c>
      <c r="N186">
        <f>_xlfn.XLOOKUP(_26_03_2026_Log_Reseau_v15[[#This Row],[province RDC]],_26_03_2026_Client_Churn_v1[Province_Client],_26_03_2026_Client_Churn_v1[Duree_Cumulee_Panne_Min],"non trouvé")</f>
        <v>380</v>
      </c>
      <c r="O186">
        <f>_xlfn.XLOOKUP(_26_03_2026_Log_Reseau_v15[[#This Row],[province RDC]],_26_03_2026_Client_Churn_v1[Province_Client],_26_03_2026_Client_Churn_v1[Facture_Mensuelle],"non trouvé")</f>
        <v>12.11</v>
      </c>
      <c r="P186">
        <f>_xlfn.XLOOKUP(_26_03_2026_Log_Reseau_v15[[#This Row],[province RDC]],_26_03_2026_Client_Churn_v1[Province_Client],_26_03_2026_Client_Churn_v1[Plaintes_Service_Client],"non trouvé")</f>
        <v>0</v>
      </c>
    </row>
    <row r="187" spans="1:16" x14ac:dyDescent="0.25">
      <c r="A187" s="1">
        <v>45206</v>
      </c>
      <c r="B187" s="2">
        <v>0.9194444444444444</v>
      </c>
      <c r="C187" t="s">
        <v>925</v>
      </c>
      <c r="D187">
        <v>13</v>
      </c>
      <c r="E187" t="s">
        <v>808</v>
      </c>
      <c r="F187" t="str">
        <f>_xlfn.XLOOKUP(_26_03_2026_Log_Reseau_v15[[#This Row],[Cell_ID]],_26_03_2026_Registre_Maintenance_v1[ID_Antenne],_26_03_2026_Registre_Maintenance_v1[zone],"pas trouvé")</f>
        <v>Sud-Ubangi</v>
      </c>
      <c r="G187">
        <f>_xlfn.XLOOKUP(_26_03_2026_Log_Reseau_v15[[#This Row],[Cell_ID]],_26_03_2026_Registre_Maintenance_v1[ID_Antenne],_26_03_2026_Registre_Maintenance_v1[Latitude],"non trouvé")</f>
        <v>-10.56448</v>
      </c>
      <c r="H187">
        <f>_xlfn.XLOOKUP(_26_03_2026_Log_Reseau_v15[[#This Row],[Cell_ID]],_26_03_2026_Registre_Maintenance_v1[ID_Antenne],_26_03_2026_Registre_Maintenance_v1[Longitude],"pas trouvé")</f>
        <v>19.792876</v>
      </c>
      <c r="I187" t="str">
        <f>_xlfn.XLOOKUP(_26_03_2026_Log_Reseau_v15[[#This Row],[Cell_ID]],_26_03_2026_Registre_Maintenance_v1[ID_Antenne],_26_03_2026_Registre_Maintenance_v1[Technologie],"non trouvé")</f>
        <v>5G</v>
      </c>
      <c r="J187" t="str">
        <f>_xlfn.XLOOKUP(_26_03_2026_Log_Reseau_v15[[#This Row],[Cell_ID]],_26_03_2026_Registre_Maintenance_v1[ID_Antenne],_26_03_2026_Registre_Maintenance_v1[Equipementier],"pas trouvé")</f>
        <v>Ericsson</v>
      </c>
      <c r="K187" t="str">
        <f>_xlfn.XLOOKUP(_26_03_2026_Log_Reseau_v15[[#This Row],[province RDC]],_26_03_2026_Client_Churn_v1[Province_Client],_26_03_2026_Client_Churn_v1[ID_Client],"non trouvé")</f>
        <v>CLI-00280</v>
      </c>
      <c r="L187">
        <f>_xlfn.XLOOKUP(_26_03_2026_Log_Reseau_v15[[#This Row],[province RDC]],_26_03_2026_Client_Churn_v1[Province_Client],_26_03_2026_Client_Churn_v1[Anciennete_Mois],"non trouvé")</f>
        <v>113</v>
      </c>
      <c r="M187" t="str">
        <f>_xlfn.XLOOKUP(_26_03_2026_Log_Reseau_v15[[#This Row],[province RDC]],_26_03_2026_Client_Churn_v1[Province_Client],_26_03_2026_Client_Churn_v1[Type_Forfait],"non trouvé")</f>
        <v>Illimité 50Go</v>
      </c>
      <c r="N187">
        <f>_xlfn.XLOOKUP(_26_03_2026_Log_Reseau_v15[[#This Row],[province RDC]],_26_03_2026_Client_Churn_v1[Province_Client],_26_03_2026_Client_Churn_v1[Duree_Cumulee_Panne_Min],"non trouvé")</f>
        <v>380</v>
      </c>
      <c r="O187">
        <f>_xlfn.XLOOKUP(_26_03_2026_Log_Reseau_v15[[#This Row],[province RDC]],_26_03_2026_Client_Churn_v1[Province_Client],_26_03_2026_Client_Churn_v1[Facture_Mensuelle],"non trouvé")</f>
        <v>12.11</v>
      </c>
      <c r="P187">
        <f>_xlfn.XLOOKUP(_26_03_2026_Log_Reseau_v15[[#This Row],[province RDC]],_26_03_2026_Client_Churn_v1[Province_Client],_26_03_2026_Client_Churn_v1[Plaintes_Service_Client],"non trouvé")</f>
        <v>0</v>
      </c>
    </row>
    <row r="188" spans="1:16" hidden="1" x14ac:dyDescent="0.25">
      <c r="A188" s="1">
        <v>45208</v>
      </c>
      <c r="B188" s="2">
        <v>0.59444444444444444</v>
      </c>
      <c r="C188" t="s">
        <v>926</v>
      </c>
      <c r="D188">
        <v>50</v>
      </c>
      <c r="E188" t="s">
        <v>807</v>
      </c>
      <c r="F188" t="str">
        <f>_xlfn.XLOOKUP(_26_03_2026_Log_Reseau_v15[[#This Row],[Cell_ID]],_26_03_2026_Registre_Maintenance_v1[ID_Antenne],_26_03_2026_Registre_Maintenance_v1[zone],"pas trouvé")</f>
        <v>pas trouvé</v>
      </c>
      <c r="G188" t="str">
        <f>_xlfn.XLOOKUP(_26_03_2026_Log_Reseau_v15[[#This Row],[Cell_ID]],_26_03_2026_Registre_Maintenance_v1[ID_Antenne],_26_03_2026_Registre_Maintenance_v1[Latitude],"non trouvé")</f>
        <v>non trouvé</v>
      </c>
      <c r="H188" t="str">
        <f>_xlfn.XLOOKUP(_26_03_2026_Log_Reseau_v15[[#This Row],[Cell_ID]],_26_03_2026_Registre_Maintenance_v1[ID_Antenne],_26_03_2026_Registre_Maintenance_v1[Longitude],"pas trouvé")</f>
        <v>pas trouvé</v>
      </c>
      <c r="I188" t="str">
        <f>_xlfn.XLOOKUP(_26_03_2026_Log_Reseau_v15[[#This Row],[Cell_ID]],_26_03_2026_Registre_Maintenance_v1[ID_Antenne],_26_03_2026_Registre_Maintenance_v1[Technologie],"non trouvé")</f>
        <v>non trouvé</v>
      </c>
      <c r="J188" t="str">
        <f>_xlfn.XLOOKUP(_26_03_2026_Log_Reseau_v15[[#This Row],[Cell_ID]],_26_03_2026_Registre_Maintenance_v1[ID_Antenne],_26_03_2026_Registre_Maintenance_v1[Equipementier],"pas trouvé")</f>
        <v>pas trouvé</v>
      </c>
      <c r="K188" t="str">
        <f>_xlfn.XLOOKUP(_26_03_2026_Log_Reseau_v15[[#This Row],[province RDC]],_26_03_2026_Client_Churn_v1[Province_Client],_26_03_2026_Client_Churn_v1[ID_Client],"non trouvé")</f>
        <v>non trouvé</v>
      </c>
      <c r="L188" t="str">
        <f>_xlfn.XLOOKUP(_26_03_2026_Log_Reseau_v15[[#This Row],[province RDC]],_26_03_2026_Client_Churn_v1[Province_Client],_26_03_2026_Client_Churn_v1[Anciennete_Mois],"non trouvé")</f>
        <v>non trouvé</v>
      </c>
      <c r="M188" t="str">
        <f>_xlfn.XLOOKUP(_26_03_2026_Log_Reseau_v15[[#This Row],[province RDC]],_26_03_2026_Client_Churn_v1[Province_Client],_26_03_2026_Client_Churn_v1[Type_Forfait],"non trouvé")</f>
        <v>non trouvé</v>
      </c>
      <c r="N188" t="str">
        <f>_xlfn.XLOOKUP(_26_03_2026_Log_Reseau_v15[[#This Row],[province RDC]],_26_03_2026_Client_Churn_v1[Province_Client],_26_03_2026_Client_Churn_v1[Duree_Cumulee_Panne_Min],"non trouvé")</f>
        <v>non trouvé</v>
      </c>
      <c r="O188" t="str">
        <f>_xlfn.XLOOKUP(_26_03_2026_Log_Reseau_v15[[#This Row],[province RDC]],_26_03_2026_Client_Churn_v1[Province_Client],_26_03_2026_Client_Churn_v1[Facture_Mensuelle],"non trouvé")</f>
        <v>non trouvé</v>
      </c>
      <c r="P188" t="str">
        <f>_xlfn.XLOOKUP(_26_03_2026_Log_Reseau_v15[[#This Row],[province RDC]],_26_03_2026_Client_Churn_v1[Province_Client],_26_03_2026_Client_Churn_v1[Plaintes_Service_Client],"non trouvé")</f>
        <v>non trouvé</v>
      </c>
    </row>
    <row r="189" spans="1:16" hidden="1" x14ac:dyDescent="0.25">
      <c r="A189" s="1">
        <v>45218</v>
      </c>
      <c r="B189" s="2">
        <v>0.6479166666666667</v>
      </c>
      <c r="C189" t="s">
        <v>927</v>
      </c>
      <c r="D189">
        <v>78</v>
      </c>
      <c r="E189" t="s">
        <v>807</v>
      </c>
      <c r="F189" t="str">
        <f>_xlfn.XLOOKUP(_26_03_2026_Log_Reseau_v15[[#This Row],[Cell_ID]],_26_03_2026_Registre_Maintenance_v1[ID_Antenne],_26_03_2026_Registre_Maintenance_v1[zone],"pas trouvé")</f>
        <v>pas trouvé</v>
      </c>
      <c r="G189" t="str">
        <f>_xlfn.XLOOKUP(_26_03_2026_Log_Reseau_v15[[#This Row],[Cell_ID]],_26_03_2026_Registre_Maintenance_v1[ID_Antenne],_26_03_2026_Registre_Maintenance_v1[Latitude],"non trouvé")</f>
        <v>non trouvé</v>
      </c>
      <c r="H189" t="str">
        <f>_xlfn.XLOOKUP(_26_03_2026_Log_Reseau_v15[[#This Row],[Cell_ID]],_26_03_2026_Registre_Maintenance_v1[ID_Antenne],_26_03_2026_Registre_Maintenance_v1[Longitude],"pas trouvé")</f>
        <v>pas trouvé</v>
      </c>
      <c r="I189" t="str">
        <f>_xlfn.XLOOKUP(_26_03_2026_Log_Reseau_v15[[#This Row],[Cell_ID]],_26_03_2026_Registre_Maintenance_v1[ID_Antenne],_26_03_2026_Registre_Maintenance_v1[Technologie],"non trouvé")</f>
        <v>non trouvé</v>
      </c>
      <c r="J189" t="str">
        <f>_xlfn.XLOOKUP(_26_03_2026_Log_Reseau_v15[[#This Row],[Cell_ID]],_26_03_2026_Registre_Maintenance_v1[ID_Antenne],_26_03_2026_Registre_Maintenance_v1[Equipementier],"pas trouvé")</f>
        <v>pas trouvé</v>
      </c>
      <c r="K189" t="str">
        <f>_xlfn.XLOOKUP(_26_03_2026_Log_Reseau_v15[[#This Row],[province RDC]],_26_03_2026_Client_Churn_v1[Province_Client],_26_03_2026_Client_Churn_v1[ID_Client],"non trouvé")</f>
        <v>non trouvé</v>
      </c>
      <c r="L189" t="str">
        <f>_xlfn.XLOOKUP(_26_03_2026_Log_Reseau_v15[[#This Row],[province RDC]],_26_03_2026_Client_Churn_v1[Province_Client],_26_03_2026_Client_Churn_v1[Anciennete_Mois],"non trouvé")</f>
        <v>non trouvé</v>
      </c>
      <c r="M189" t="str">
        <f>_xlfn.XLOOKUP(_26_03_2026_Log_Reseau_v15[[#This Row],[province RDC]],_26_03_2026_Client_Churn_v1[Province_Client],_26_03_2026_Client_Churn_v1[Type_Forfait],"non trouvé")</f>
        <v>non trouvé</v>
      </c>
      <c r="N189" t="str">
        <f>_xlfn.XLOOKUP(_26_03_2026_Log_Reseau_v15[[#This Row],[province RDC]],_26_03_2026_Client_Churn_v1[Province_Client],_26_03_2026_Client_Churn_v1[Duree_Cumulee_Panne_Min],"non trouvé")</f>
        <v>non trouvé</v>
      </c>
      <c r="O189" t="str">
        <f>_xlfn.XLOOKUP(_26_03_2026_Log_Reseau_v15[[#This Row],[province RDC]],_26_03_2026_Client_Churn_v1[Province_Client],_26_03_2026_Client_Churn_v1[Facture_Mensuelle],"non trouvé")</f>
        <v>non trouvé</v>
      </c>
      <c r="P189" t="str">
        <f>_xlfn.XLOOKUP(_26_03_2026_Log_Reseau_v15[[#This Row],[province RDC]],_26_03_2026_Client_Churn_v1[Province_Client],_26_03_2026_Client_Churn_v1[Plaintes_Service_Client],"non trouvé")</f>
        <v>non trouvé</v>
      </c>
    </row>
    <row r="190" spans="1:16" hidden="1" x14ac:dyDescent="0.25">
      <c r="A190" s="1">
        <v>45200</v>
      </c>
      <c r="B190" s="2">
        <v>0.62916666666666665</v>
      </c>
      <c r="C190" t="s">
        <v>927</v>
      </c>
      <c r="D190">
        <v>73</v>
      </c>
      <c r="E190" t="s">
        <v>808</v>
      </c>
      <c r="F190" t="str">
        <f>_xlfn.XLOOKUP(_26_03_2026_Log_Reseau_v15[[#This Row],[Cell_ID]],_26_03_2026_Registre_Maintenance_v1[ID_Antenne],_26_03_2026_Registre_Maintenance_v1[zone],"pas trouvé")</f>
        <v>pas trouvé</v>
      </c>
      <c r="G190" t="str">
        <f>_xlfn.XLOOKUP(_26_03_2026_Log_Reseau_v15[[#This Row],[Cell_ID]],_26_03_2026_Registre_Maintenance_v1[ID_Antenne],_26_03_2026_Registre_Maintenance_v1[Latitude],"non trouvé")</f>
        <v>non trouvé</v>
      </c>
      <c r="H190" t="str">
        <f>_xlfn.XLOOKUP(_26_03_2026_Log_Reseau_v15[[#This Row],[Cell_ID]],_26_03_2026_Registre_Maintenance_v1[ID_Antenne],_26_03_2026_Registre_Maintenance_v1[Longitude],"pas trouvé")</f>
        <v>pas trouvé</v>
      </c>
      <c r="I190" t="str">
        <f>_xlfn.XLOOKUP(_26_03_2026_Log_Reseau_v15[[#This Row],[Cell_ID]],_26_03_2026_Registre_Maintenance_v1[ID_Antenne],_26_03_2026_Registre_Maintenance_v1[Technologie],"non trouvé")</f>
        <v>non trouvé</v>
      </c>
      <c r="J190" t="str">
        <f>_xlfn.XLOOKUP(_26_03_2026_Log_Reseau_v15[[#This Row],[Cell_ID]],_26_03_2026_Registre_Maintenance_v1[ID_Antenne],_26_03_2026_Registre_Maintenance_v1[Equipementier],"pas trouvé")</f>
        <v>pas trouvé</v>
      </c>
      <c r="K190" t="str">
        <f>_xlfn.XLOOKUP(_26_03_2026_Log_Reseau_v15[[#This Row],[province RDC]],_26_03_2026_Client_Churn_v1[Province_Client],_26_03_2026_Client_Churn_v1[ID_Client],"non trouvé")</f>
        <v>non trouvé</v>
      </c>
      <c r="L190" t="str">
        <f>_xlfn.XLOOKUP(_26_03_2026_Log_Reseau_v15[[#This Row],[province RDC]],_26_03_2026_Client_Churn_v1[Province_Client],_26_03_2026_Client_Churn_v1[Anciennete_Mois],"non trouvé")</f>
        <v>non trouvé</v>
      </c>
      <c r="M190" t="str">
        <f>_xlfn.XLOOKUP(_26_03_2026_Log_Reseau_v15[[#This Row],[province RDC]],_26_03_2026_Client_Churn_v1[Province_Client],_26_03_2026_Client_Churn_v1[Type_Forfait],"non trouvé")</f>
        <v>non trouvé</v>
      </c>
      <c r="N190" t="str">
        <f>_xlfn.XLOOKUP(_26_03_2026_Log_Reseau_v15[[#This Row],[province RDC]],_26_03_2026_Client_Churn_v1[Province_Client],_26_03_2026_Client_Churn_v1[Duree_Cumulee_Panne_Min],"non trouvé")</f>
        <v>non trouvé</v>
      </c>
      <c r="O190" t="str">
        <f>_xlfn.XLOOKUP(_26_03_2026_Log_Reseau_v15[[#This Row],[province RDC]],_26_03_2026_Client_Churn_v1[Province_Client],_26_03_2026_Client_Churn_v1[Facture_Mensuelle],"non trouvé")</f>
        <v>non trouvé</v>
      </c>
      <c r="P190" t="str">
        <f>_xlfn.XLOOKUP(_26_03_2026_Log_Reseau_v15[[#This Row],[province RDC]],_26_03_2026_Client_Churn_v1[Province_Client],_26_03_2026_Client_Churn_v1[Plaintes_Service_Client],"non trouvé")</f>
        <v>non trouvé</v>
      </c>
    </row>
    <row r="191" spans="1:16" hidden="1" x14ac:dyDescent="0.25">
      <c r="A191" s="1">
        <v>45203</v>
      </c>
      <c r="B191" s="2">
        <v>0.35833333333333334</v>
      </c>
      <c r="C191" t="s">
        <v>928</v>
      </c>
      <c r="D191">
        <v>5</v>
      </c>
      <c r="E191" t="s">
        <v>807</v>
      </c>
      <c r="F191" t="str">
        <f>_xlfn.XLOOKUP(_26_03_2026_Log_Reseau_v15[[#This Row],[Cell_ID]],_26_03_2026_Registre_Maintenance_v1[ID_Antenne],_26_03_2026_Registre_Maintenance_v1[zone],"pas trouvé")</f>
        <v>pas trouvé</v>
      </c>
      <c r="G191" t="str">
        <f>_xlfn.XLOOKUP(_26_03_2026_Log_Reseau_v15[[#This Row],[Cell_ID]],_26_03_2026_Registre_Maintenance_v1[ID_Antenne],_26_03_2026_Registre_Maintenance_v1[Latitude],"non trouvé")</f>
        <v>non trouvé</v>
      </c>
      <c r="H191" t="str">
        <f>_xlfn.XLOOKUP(_26_03_2026_Log_Reseau_v15[[#This Row],[Cell_ID]],_26_03_2026_Registre_Maintenance_v1[ID_Antenne],_26_03_2026_Registre_Maintenance_v1[Longitude],"pas trouvé")</f>
        <v>pas trouvé</v>
      </c>
      <c r="I191" t="str">
        <f>_xlfn.XLOOKUP(_26_03_2026_Log_Reseau_v15[[#This Row],[Cell_ID]],_26_03_2026_Registre_Maintenance_v1[ID_Antenne],_26_03_2026_Registre_Maintenance_v1[Technologie],"non trouvé")</f>
        <v>non trouvé</v>
      </c>
      <c r="J191" t="str">
        <f>_xlfn.XLOOKUP(_26_03_2026_Log_Reseau_v15[[#This Row],[Cell_ID]],_26_03_2026_Registre_Maintenance_v1[ID_Antenne],_26_03_2026_Registre_Maintenance_v1[Equipementier],"pas trouvé")</f>
        <v>pas trouvé</v>
      </c>
      <c r="K191" t="str">
        <f>_xlfn.XLOOKUP(_26_03_2026_Log_Reseau_v15[[#This Row],[province RDC]],_26_03_2026_Client_Churn_v1[Province_Client],_26_03_2026_Client_Churn_v1[ID_Client],"non trouvé")</f>
        <v>non trouvé</v>
      </c>
      <c r="L191" t="str">
        <f>_xlfn.XLOOKUP(_26_03_2026_Log_Reseau_v15[[#This Row],[province RDC]],_26_03_2026_Client_Churn_v1[Province_Client],_26_03_2026_Client_Churn_v1[Anciennete_Mois],"non trouvé")</f>
        <v>non trouvé</v>
      </c>
      <c r="M191" t="str">
        <f>_xlfn.XLOOKUP(_26_03_2026_Log_Reseau_v15[[#This Row],[province RDC]],_26_03_2026_Client_Churn_v1[Province_Client],_26_03_2026_Client_Churn_v1[Type_Forfait],"non trouvé")</f>
        <v>non trouvé</v>
      </c>
      <c r="N191" t="str">
        <f>_xlfn.XLOOKUP(_26_03_2026_Log_Reseau_v15[[#This Row],[province RDC]],_26_03_2026_Client_Churn_v1[Province_Client],_26_03_2026_Client_Churn_v1[Duree_Cumulee_Panne_Min],"non trouvé")</f>
        <v>non trouvé</v>
      </c>
      <c r="O191" t="str">
        <f>_xlfn.XLOOKUP(_26_03_2026_Log_Reseau_v15[[#This Row],[province RDC]],_26_03_2026_Client_Churn_v1[Province_Client],_26_03_2026_Client_Churn_v1[Facture_Mensuelle],"non trouvé")</f>
        <v>non trouvé</v>
      </c>
      <c r="P191" t="str">
        <f>_xlfn.XLOOKUP(_26_03_2026_Log_Reseau_v15[[#This Row],[province RDC]],_26_03_2026_Client_Churn_v1[Province_Client],_26_03_2026_Client_Churn_v1[Plaintes_Service_Client],"non trouvé")</f>
        <v>non trouvé</v>
      </c>
    </row>
    <row r="192" spans="1:16" x14ac:dyDescent="0.25">
      <c r="A192" s="1">
        <v>45215</v>
      </c>
      <c r="B192" s="2">
        <v>0.5805555555555556</v>
      </c>
      <c r="C192" t="s">
        <v>929</v>
      </c>
      <c r="D192">
        <v>102</v>
      </c>
      <c r="E192" t="s">
        <v>812</v>
      </c>
      <c r="F192" t="str">
        <f>_xlfn.XLOOKUP(_26_03_2026_Log_Reseau_v15[[#This Row],[Cell_ID]],_26_03_2026_Registre_Maintenance_v1[ID_Antenne],_26_03_2026_Registre_Maintenance_v1[zone],"pas trouvé")</f>
        <v>Tshopo</v>
      </c>
      <c r="G192">
        <f>_xlfn.XLOOKUP(_26_03_2026_Log_Reseau_v15[[#This Row],[Cell_ID]],_26_03_2026_Registre_Maintenance_v1[ID_Antenne],_26_03_2026_Registre_Maintenance_v1[Latitude],"non trouvé")</f>
        <v>2.4425979999999998</v>
      </c>
      <c r="H192">
        <f>_xlfn.XLOOKUP(_26_03_2026_Log_Reseau_v15[[#This Row],[Cell_ID]],_26_03_2026_Registre_Maintenance_v1[ID_Antenne],_26_03_2026_Registre_Maintenance_v1[Longitude],"pas trouvé")</f>
        <v>24.924308</v>
      </c>
      <c r="I192" t="str">
        <f>_xlfn.XLOOKUP(_26_03_2026_Log_Reseau_v15[[#This Row],[Cell_ID]],_26_03_2026_Registre_Maintenance_v1[ID_Antenne],_26_03_2026_Registre_Maintenance_v1[Technologie],"non trouvé")</f>
        <v>5G</v>
      </c>
      <c r="J192" t="str">
        <f>_xlfn.XLOOKUP(_26_03_2026_Log_Reseau_v15[[#This Row],[Cell_ID]],_26_03_2026_Registre_Maintenance_v1[ID_Antenne],_26_03_2026_Registre_Maintenance_v1[Equipementier],"pas trouvé")</f>
        <v>Ericsson</v>
      </c>
      <c r="K192" t="str">
        <f>_xlfn.XLOOKUP(_26_03_2026_Log_Reseau_v15[[#This Row],[province RDC]],_26_03_2026_Client_Churn_v1[Province_Client],_26_03_2026_Client_Churn_v1[ID_Client],"non trouvé")</f>
        <v>CLI-00745</v>
      </c>
      <c r="L192">
        <f>_xlfn.XLOOKUP(_26_03_2026_Log_Reseau_v15[[#This Row],[province RDC]],_26_03_2026_Client_Churn_v1[Province_Client],_26_03_2026_Client_Churn_v1[Anciennete_Mois],"non trouvé")</f>
        <v>6</v>
      </c>
      <c r="M192" t="str">
        <f>_xlfn.XLOOKUP(_26_03_2026_Log_Reseau_v15[[#This Row],[province RDC]],_26_03_2026_Client_Churn_v1[Province_Client],_26_03_2026_Client_Churn_v1[Type_Forfait],"non trouvé")</f>
        <v>Premium 5G 150Go</v>
      </c>
      <c r="N192">
        <f>_xlfn.XLOOKUP(_26_03_2026_Log_Reseau_v15[[#This Row],[province RDC]],_26_03_2026_Client_Churn_v1[Province_Client],_26_03_2026_Client_Churn_v1[Duree_Cumulee_Panne_Min],"non trouvé")</f>
        <v>207</v>
      </c>
      <c r="O192">
        <f>_xlfn.XLOOKUP(_26_03_2026_Log_Reseau_v15[[#This Row],[province RDC]],_26_03_2026_Client_Churn_v1[Province_Client],_26_03_2026_Client_Churn_v1[Facture_Mensuelle],"non trouvé")</f>
        <v>61.55</v>
      </c>
      <c r="P192">
        <f>_xlfn.XLOOKUP(_26_03_2026_Log_Reseau_v15[[#This Row],[province RDC]],_26_03_2026_Client_Churn_v1[Province_Client],_26_03_2026_Client_Churn_v1[Plaintes_Service_Client],"non trouvé")</f>
        <v>0</v>
      </c>
    </row>
    <row r="193" spans="1:16" x14ac:dyDescent="0.25">
      <c r="A193" s="1">
        <v>45227</v>
      </c>
      <c r="B193" s="2">
        <v>0.14444444444444443</v>
      </c>
      <c r="C193" t="s">
        <v>929</v>
      </c>
      <c r="D193">
        <v>11</v>
      </c>
      <c r="E193" t="s">
        <v>808</v>
      </c>
      <c r="F193" t="str">
        <f>_xlfn.XLOOKUP(_26_03_2026_Log_Reseau_v15[[#This Row],[Cell_ID]],_26_03_2026_Registre_Maintenance_v1[ID_Antenne],_26_03_2026_Registre_Maintenance_v1[zone],"pas trouvé")</f>
        <v>Tshopo</v>
      </c>
      <c r="G193">
        <f>_xlfn.XLOOKUP(_26_03_2026_Log_Reseau_v15[[#This Row],[Cell_ID]],_26_03_2026_Registre_Maintenance_v1[ID_Antenne],_26_03_2026_Registre_Maintenance_v1[Latitude],"non trouvé")</f>
        <v>2.4425979999999998</v>
      </c>
      <c r="H193">
        <f>_xlfn.XLOOKUP(_26_03_2026_Log_Reseau_v15[[#This Row],[Cell_ID]],_26_03_2026_Registre_Maintenance_v1[ID_Antenne],_26_03_2026_Registre_Maintenance_v1[Longitude],"pas trouvé")</f>
        <v>24.924308</v>
      </c>
      <c r="I193" t="str">
        <f>_xlfn.XLOOKUP(_26_03_2026_Log_Reseau_v15[[#This Row],[Cell_ID]],_26_03_2026_Registre_Maintenance_v1[ID_Antenne],_26_03_2026_Registre_Maintenance_v1[Technologie],"non trouvé")</f>
        <v>5G</v>
      </c>
      <c r="J193" t="str">
        <f>_xlfn.XLOOKUP(_26_03_2026_Log_Reseau_v15[[#This Row],[Cell_ID]],_26_03_2026_Registre_Maintenance_v1[ID_Antenne],_26_03_2026_Registre_Maintenance_v1[Equipementier],"pas trouvé")</f>
        <v>Ericsson</v>
      </c>
      <c r="K193" t="str">
        <f>_xlfn.XLOOKUP(_26_03_2026_Log_Reseau_v15[[#This Row],[province RDC]],_26_03_2026_Client_Churn_v1[Province_Client],_26_03_2026_Client_Churn_v1[ID_Client],"non trouvé")</f>
        <v>CLI-00745</v>
      </c>
      <c r="L193">
        <f>_xlfn.XLOOKUP(_26_03_2026_Log_Reseau_v15[[#This Row],[province RDC]],_26_03_2026_Client_Churn_v1[Province_Client],_26_03_2026_Client_Churn_v1[Anciennete_Mois],"non trouvé")</f>
        <v>6</v>
      </c>
      <c r="M193" t="str">
        <f>_xlfn.XLOOKUP(_26_03_2026_Log_Reseau_v15[[#This Row],[province RDC]],_26_03_2026_Client_Churn_v1[Province_Client],_26_03_2026_Client_Churn_v1[Type_Forfait],"non trouvé")</f>
        <v>Premium 5G 150Go</v>
      </c>
      <c r="N193">
        <f>_xlfn.XLOOKUP(_26_03_2026_Log_Reseau_v15[[#This Row],[province RDC]],_26_03_2026_Client_Churn_v1[Province_Client],_26_03_2026_Client_Churn_v1[Duree_Cumulee_Panne_Min],"non trouvé")</f>
        <v>207</v>
      </c>
      <c r="O193">
        <f>_xlfn.XLOOKUP(_26_03_2026_Log_Reseau_v15[[#This Row],[province RDC]],_26_03_2026_Client_Churn_v1[Province_Client],_26_03_2026_Client_Churn_v1[Facture_Mensuelle],"non trouvé")</f>
        <v>61.55</v>
      </c>
      <c r="P193">
        <f>_xlfn.XLOOKUP(_26_03_2026_Log_Reseau_v15[[#This Row],[province RDC]],_26_03_2026_Client_Churn_v1[Province_Client],_26_03_2026_Client_Churn_v1[Plaintes_Service_Client],"non trouvé")</f>
        <v>0</v>
      </c>
    </row>
    <row r="194" spans="1:16" x14ac:dyDescent="0.25">
      <c r="A194" s="1">
        <v>45213</v>
      </c>
      <c r="B194" s="2">
        <v>0.31111111111111112</v>
      </c>
      <c r="C194" t="s">
        <v>930</v>
      </c>
      <c r="D194">
        <v>22</v>
      </c>
      <c r="E194" t="s">
        <v>808</v>
      </c>
      <c r="F194" t="str">
        <f>_xlfn.XLOOKUP(_26_03_2026_Log_Reseau_v15[[#This Row],[Cell_ID]],_26_03_2026_Registre_Maintenance_v1[ID_Antenne],_26_03_2026_Registre_Maintenance_v1[zone],"pas trouvé")</f>
        <v>Kwango</v>
      </c>
      <c r="G194">
        <f>_xlfn.XLOOKUP(_26_03_2026_Log_Reseau_v15[[#This Row],[Cell_ID]],_26_03_2026_Registre_Maintenance_v1[ID_Antenne],_26_03_2026_Registre_Maintenance_v1[Latitude],"non trouvé")</f>
        <v>4.8319039999999998</v>
      </c>
      <c r="H194">
        <f>_xlfn.XLOOKUP(_26_03_2026_Log_Reseau_v15[[#This Row],[Cell_ID]],_26_03_2026_Registre_Maintenance_v1[ID_Antenne],_26_03_2026_Registre_Maintenance_v1[Longitude],"pas trouvé")</f>
        <v>20.733468999999999</v>
      </c>
      <c r="I194" t="str">
        <f>_xlfn.XLOOKUP(_26_03_2026_Log_Reseau_v15[[#This Row],[Cell_ID]],_26_03_2026_Registre_Maintenance_v1[ID_Antenne],_26_03_2026_Registre_Maintenance_v1[Technologie],"non trouvé")</f>
        <v>5G</v>
      </c>
      <c r="J194" t="str">
        <f>_xlfn.XLOOKUP(_26_03_2026_Log_Reseau_v15[[#This Row],[Cell_ID]],_26_03_2026_Registre_Maintenance_v1[ID_Antenne],_26_03_2026_Registre_Maintenance_v1[Equipementier],"pas trouvé")</f>
        <v>Ericsson</v>
      </c>
      <c r="K194" t="str">
        <f>_xlfn.XLOOKUP(_26_03_2026_Log_Reseau_v15[[#This Row],[province RDC]],_26_03_2026_Client_Churn_v1[Province_Client],_26_03_2026_Client_Churn_v1[ID_Client],"non trouvé")</f>
        <v>CLI-00569</v>
      </c>
      <c r="L194">
        <f>_xlfn.XLOOKUP(_26_03_2026_Log_Reseau_v15[[#This Row],[province RDC]],_26_03_2026_Client_Churn_v1[Province_Client],_26_03_2026_Client_Churn_v1[Anciennete_Mois],"non trouvé")</f>
        <v>110</v>
      </c>
      <c r="M194" t="str">
        <f>_xlfn.XLOOKUP(_26_03_2026_Log_Reseau_v15[[#This Row],[province RDC]],_26_03_2026_Client_Churn_v1[Province_Client],_26_03_2026_Client_Churn_v1[Type_Forfait],"non trouvé")</f>
        <v>Pro Monde</v>
      </c>
      <c r="N194">
        <f>_xlfn.XLOOKUP(_26_03_2026_Log_Reseau_v15[[#This Row],[province RDC]],_26_03_2026_Client_Churn_v1[Province_Client],_26_03_2026_Client_Churn_v1[Duree_Cumulee_Panne_Min],"non trouvé")</f>
        <v>423</v>
      </c>
      <c r="O194">
        <f>_xlfn.XLOOKUP(_26_03_2026_Log_Reseau_v15[[#This Row],[province RDC]],_26_03_2026_Client_Churn_v1[Province_Client],_26_03_2026_Client_Churn_v1[Facture_Mensuelle],"non trouvé")</f>
        <v>37.35</v>
      </c>
      <c r="P194">
        <f>_xlfn.XLOOKUP(_26_03_2026_Log_Reseau_v15[[#This Row],[province RDC]],_26_03_2026_Client_Churn_v1[Province_Client],_26_03_2026_Client_Churn_v1[Plaintes_Service_Client],"non trouvé")</f>
        <v>4</v>
      </c>
    </row>
    <row r="195" spans="1:16" x14ac:dyDescent="0.25">
      <c r="A195" s="1">
        <v>45212</v>
      </c>
      <c r="B195" s="2">
        <v>0.31111111111111112</v>
      </c>
      <c r="C195" t="s">
        <v>930</v>
      </c>
      <c r="D195">
        <v>79</v>
      </c>
      <c r="E195" t="s">
        <v>807</v>
      </c>
      <c r="F195" t="str">
        <f>_xlfn.XLOOKUP(_26_03_2026_Log_Reseau_v15[[#This Row],[Cell_ID]],_26_03_2026_Registre_Maintenance_v1[ID_Antenne],_26_03_2026_Registre_Maintenance_v1[zone],"pas trouvé")</f>
        <v>Kwango</v>
      </c>
      <c r="G195">
        <f>_xlfn.XLOOKUP(_26_03_2026_Log_Reseau_v15[[#This Row],[Cell_ID]],_26_03_2026_Registre_Maintenance_v1[ID_Antenne],_26_03_2026_Registre_Maintenance_v1[Latitude],"non trouvé")</f>
        <v>4.8319039999999998</v>
      </c>
      <c r="H195">
        <f>_xlfn.XLOOKUP(_26_03_2026_Log_Reseau_v15[[#This Row],[Cell_ID]],_26_03_2026_Registre_Maintenance_v1[ID_Antenne],_26_03_2026_Registre_Maintenance_v1[Longitude],"pas trouvé")</f>
        <v>20.733468999999999</v>
      </c>
      <c r="I195" t="str">
        <f>_xlfn.XLOOKUP(_26_03_2026_Log_Reseau_v15[[#This Row],[Cell_ID]],_26_03_2026_Registre_Maintenance_v1[ID_Antenne],_26_03_2026_Registre_Maintenance_v1[Technologie],"non trouvé")</f>
        <v>5G</v>
      </c>
      <c r="J195" t="str">
        <f>_xlfn.XLOOKUP(_26_03_2026_Log_Reseau_v15[[#This Row],[Cell_ID]],_26_03_2026_Registre_Maintenance_v1[ID_Antenne],_26_03_2026_Registre_Maintenance_v1[Equipementier],"pas trouvé")</f>
        <v>Ericsson</v>
      </c>
      <c r="K195" t="str">
        <f>_xlfn.XLOOKUP(_26_03_2026_Log_Reseau_v15[[#This Row],[province RDC]],_26_03_2026_Client_Churn_v1[Province_Client],_26_03_2026_Client_Churn_v1[ID_Client],"non trouvé")</f>
        <v>CLI-00569</v>
      </c>
      <c r="L195">
        <f>_xlfn.XLOOKUP(_26_03_2026_Log_Reseau_v15[[#This Row],[province RDC]],_26_03_2026_Client_Churn_v1[Province_Client],_26_03_2026_Client_Churn_v1[Anciennete_Mois],"non trouvé")</f>
        <v>110</v>
      </c>
      <c r="M195" t="str">
        <f>_xlfn.XLOOKUP(_26_03_2026_Log_Reseau_v15[[#This Row],[province RDC]],_26_03_2026_Client_Churn_v1[Province_Client],_26_03_2026_Client_Churn_v1[Type_Forfait],"non trouvé")</f>
        <v>Pro Monde</v>
      </c>
      <c r="N195">
        <f>_xlfn.XLOOKUP(_26_03_2026_Log_Reseau_v15[[#This Row],[province RDC]],_26_03_2026_Client_Churn_v1[Province_Client],_26_03_2026_Client_Churn_v1[Duree_Cumulee_Panne_Min],"non trouvé")</f>
        <v>423</v>
      </c>
      <c r="O195">
        <f>_xlfn.XLOOKUP(_26_03_2026_Log_Reseau_v15[[#This Row],[province RDC]],_26_03_2026_Client_Churn_v1[Province_Client],_26_03_2026_Client_Churn_v1[Facture_Mensuelle],"non trouvé")</f>
        <v>37.35</v>
      </c>
      <c r="P195">
        <f>_xlfn.XLOOKUP(_26_03_2026_Log_Reseau_v15[[#This Row],[province RDC]],_26_03_2026_Client_Churn_v1[Province_Client],_26_03_2026_Client_Churn_v1[Plaintes_Service_Client],"non trouvé")</f>
        <v>4</v>
      </c>
    </row>
    <row r="196" spans="1:16" x14ac:dyDescent="0.25">
      <c r="A196" s="1">
        <v>45227</v>
      </c>
      <c r="B196" s="2">
        <v>9.166666666666666E-2</v>
      </c>
      <c r="C196" t="s">
        <v>931</v>
      </c>
      <c r="D196">
        <v>112</v>
      </c>
      <c r="E196" t="s">
        <v>807</v>
      </c>
      <c r="F196" t="str">
        <f>_xlfn.XLOOKUP(_26_03_2026_Log_Reseau_v15[[#This Row],[Cell_ID]],_26_03_2026_Registre_Maintenance_v1[ID_Antenne],_26_03_2026_Registre_Maintenance_v1[zone],"pas trouvé")</f>
        <v>Kwilu</v>
      </c>
      <c r="G196">
        <f>_xlfn.XLOOKUP(_26_03_2026_Log_Reseau_v15[[#This Row],[Cell_ID]],_26_03_2026_Registre_Maintenance_v1[ID_Antenne],_26_03_2026_Registre_Maintenance_v1[Latitude],"non trouvé")</f>
        <v>-10.161428000000001</v>
      </c>
      <c r="H196">
        <f>_xlfn.XLOOKUP(_26_03_2026_Log_Reseau_v15[[#This Row],[Cell_ID]],_26_03_2026_Registre_Maintenance_v1[ID_Antenne],_26_03_2026_Registre_Maintenance_v1[Longitude],"pas trouvé")</f>
        <v>19.362325999999999</v>
      </c>
      <c r="I196" t="str">
        <f>_xlfn.XLOOKUP(_26_03_2026_Log_Reseau_v15[[#This Row],[Cell_ID]],_26_03_2026_Registre_Maintenance_v1[ID_Antenne],_26_03_2026_Registre_Maintenance_v1[Technologie],"non trouvé")</f>
        <v>3G</v>
      </c>
      <c r="J196" t="str">
        <f>_xlfn.XLOOKUP(_26_03_2026_Log_Reseau_v15[[#This Row],[Cell_ID]],_26_03_2026_Registre_Maintenance_v1[ID_Antenne],_26_03_2026_Registre_Maintenance_v1[Equipementier],"pas trouvé")</f>
        <v>Nokia</v>
      </c>
      <c r="K196" t="str">
        <f>_xlfn.XLOOKUP(_26_03_2026_Log_Reseau_v15[[#This Row],[province RDC]],_26_03_2026_Client_Churn_v1[Province_Client],_26_03_2026_Client_Churn_v1[ID_Client],"non trouvé")</f>
        <v>CLI-00996</v>
      </c>
      <c r="L196">
        <f>_xlfn.XLOOKUP(_26_03_2026_Log_Reseau_v15[[#This Row],[province RDC]],_26_03_2026_Client_Churn_v1[Province_Client],_26_03_2026_Client_Churn_v1[Anciennete_Mois],"non trouvé")</f>
        <v>119</v>
      </c>
      <c r="M196" t="str">
        <f>_xlfn.XLOOKUP(_26_03_2026_Log_Reseau_v15[[#This Row],[province RDC]],_26_03_2026_Client_Churn_v1[Province_Client],_26_03_2026_Client_Churn_v1[Type_Forfait],"non trouvé")</f>
        <v>Illimité 50Go</v>
      </c>
      <c r="N196">
        <f>_xlfn.XLOOKUP(_26_03_2026_Log_Reseau_v15[[#This Row],[province RDC]],_26_03_2026_Client_Churn_v1[Province_Client],_26_03_2026_Client_Churn_v1[Duree_Cumulee_Panne_Min],"non trouvé")</f>
        <v>228</v>
      </c>
      <c r="O196">
        <f>_xlfn.XLOOKUP(_26_03_2026_Log_Reseau_v15[[#This Row],[province RDC]],_26_03_2026_Client_Churn_v1[Province_Client],_26_03_2026_Client_Churn_v1[Facture_Mensuelle],"non trouvé")</f>
        <v>94.72</v>
      </c>
      <c r="P196">
        <f>_xlfn.XLOOKUP(_26_03_2026_Log_Reseau_v15[[#This Row],[province RDC]],_26_03_2026_Client_Churn_v1[Province_Client],_26_03_2026_Client_Churn_v1[Plaintes_Service_Client],"non trouvé")</f>
        <v>3</v>
      </c>
    </row>
    <row r="197" spans="1:16" x14ac:dyDescent="0.25">
      <c r="A197" s="1">
        <v>45202</v>
      </c>
      <c r="B197" s="2">
        <v>0.8041666666666667</v>
      </c>
      <c r="C197" t="s">
        <v>932</v>
      </c>
      <c r="D197">
        <v>115</v>
      </c>
      <c r="E197" t="s">
        <v>808</v>
      </c>
      <c r="F197" t="str">
        <f>_xlfn.XLOOKUP(_26_03_2026_Log_Reseau_v15[[#This Row],[Cell_ID]],_26_03_2026_Registre_Maintenance_v1[ID_Antenne],_26_03_2026_Registre_Maintenance_v1[zone],"pas trouvé")</f>
        <v>Haut-Uele</v>
      </c>
      <c r="G197">
        <f>_xlfn.XLOOKUP(_26_03_2026_Log_Reseau_v15[[#This Row],[Cell_ID]],_26_03_2026_Registre_Maintenance_v1[ID_Antenne],_26_03_2026_Registre_Maintenance_v1[Latitude],"non trouvé")</f>
        <v>1.2391989999999999</v>
      </c>
      <c r="H197">
        <f>_xlfn.XLOOKUP(_26_03_2026_Log_Reseau_v15[[#This Row],[Cell_ID]],_26_03_2026_Registre_Maintenance_v1[ID_Antenne],_26_03_2026_Registre_Maintenance_v1[Longitude],"pas trouvé")</f>
        <v>15.386718999999999</v>
      </c>
      <c r="I197" t="str">
        <f>_xlfn.XLOOKUP(_26_03_2026_Log_Reseau_v15[[#This Row],[Cell_ID]],_26_03_2026_Registre_Maintenance_v1[ID_Antenne],_26_03_2026_Registre_Maintenance_v1[Technologie],"non trouvé")</f>
        <v>5G</v>
      </c>
      <c r="J197" t="str">
        <f>_xlfn.XLOOKUP(_26_03_2026_Log_Reseau_v15[[#This Row],[Cell_ID]],_26_03_2026_Registre_Maintenance_v1[ID_Antenne],_26_03_2026_Registre_Maintenance_v1[Equipementier],"pas trouvé")</f>
        <v>ZTE</v>
      </c>
      <c r="K197" t="str">
        <f>_xlfn.XLOOKUP(_26_03_2026_Log_Reseau_v15[[#This Row],[province RDC]],_26_03_2026_Client_Churn_v1[Province_Client],_26_03_2026_Client_Churn_v1[ID_Client],"non trouvé")</f>
        <v>CLI-00439</v>
      </c>
      <c r="L197">
        <f>_xlfn.XLOOKUP(_26_03_2026_Log_Reseau_v15[[#This Row],[province RDC]],_26_03_2026_Client_Churn_v1[Province_Client],_26_03_2026_Client_Churn_v1[Anciennete_Mois],"non trouvé")</f>
        <v>40</v>
      </c>
      <c r="M197" t="str">
        <f>_xlfn.XLOOKUP(_26_03_2026_Log_Reseau_v15[[#This Row],[province RDC]],_26_03_2026_Client_Churn_v1[Province_Client],_26_03_2026_Client_Churn_v1[Type_Forfait],"non trouvé")</f>
        <v>Premium 5G 150Go</v>
      </c>
      <c r="N197">
        <f>_xlfn.XLOOKUP(_26_03_2026_Log_Reseau_v15[[#This Row],[province RDC]],_26_03_2026_Client_Churn_v1[Province_Client],_26_03_2026_Client_Churn_v1[Duree_Cumulee_Panne_Min],"non trouvé")</f>
        <v>345</v>
      </c>
      <c r="O197">
        <f>_xlfn.XLOOKUP(_26_03_2026_Log_Reseau_v15[[#This Row],[province RDC]],_26_03_2026_Client_Churn_v1[Province_Client],_26_03_2026_Client_Churn_v1[Facture_Mensuelle],"non trouvé")</f>
        <v>89.55</v>
      </c>
      <c r="P197">
        <f>_xlfn.XLOOKUP(_26_03_2026_Log_Reseau_v15[[#This Row],[province RDC]],_26_03_2026_Client_Churn_v1[Province_Client],_26_03_2026_Client_Churn_v1[Plaintes_Service_Client],"non trouvé")</f>
        <v>3</v>
      </c>
    </row>
    <row r="198" spans="1:16" hidden="1" x14ac:dyDescent="0.25">
      <c r="A198" s="1">
        <v>45206</v>
      </c>
      <c r="B198" s="2">
        <v>0.90277777777777779</v>
      </c>
      <c r="C198" t="s">
        <v>933</v>
      </c>
      <c r="D198">
        <v>75</v>
      </c>
      <c r="E198" t="s">
        <v>812</v>
      </c>
      <c r="F198" t="str">
        <f>_xlfn.XLOOKUP(_26_03_2026_Log_Reseau_v15[[#This Row],[Cell_ID]],_26_03_2026_Registre_Maintenance_v1[ID_Antenne],_26_03_2026_Registre_Maintenance_v1[zone],"pas trouvé")</f>
        <v>pas trouvé</v>
      </c>
      <c r="G198" t="str">
        <f>_xlfn.XLOOKUP(_26_03_2026_Log_Reseau_v15[[#This Row],[Cell_ID]],_26_03_2026_Registre_Maintenance_v1[ID_Antenne],_26_03_2026_Registre_Maintenance_v1[Latitude],"non trouvé")</f>
        <v>non trouvé</v>
      </c>
      <c r="H198" t="str">
        <f>_xlfn.XLOOKUP(_26_03_2026_Log_Reseau_v15[[#This Row],[Cell_ID]],_26_03_2026_Registre_Maintenance_v1[ID_Antenne],_26_03_2026_Registre_Maintenance_v1[Longitude],"pas trouvé")</f>
        <v>pas trouvé</v>
      </c>
      <c r="I198" t="str">
        <f>_xlfn.XLOOKUP(_26_03_2026_Log_Reseau_v15[[#This Row],[Cell_ID]],_26_03_2026_Registre_Maintenance_v1[ID_Antenne],_26_03_2026_Registre_Maintenance_v1[Technologie],"non trouvé")</f>
        <v>non trouvé</v>
      </c>
      <c r="J198" t="str">
        <f>_xlfn.XLOOKUP(_26_03_2026_Log_Reseau_v15[[#This Row],[Cell_ID]],_26_03_2026_Registre_Maintenance_v1[ID_Antenne],_26_03_2026_Registre_Maintenance_v1[Equipementier],"pas trouvé")</f>
        <v>pas trouvé</v>
      </c>
      <c r="K198" t="str">
        <f>_xlfn.XLOOKUP(_26_03_2026_Log_Reseau_v15[[#This Row],[province RDC]],_26_03_2026_Client_Churn_v1[Province_Client],_26_03_2026_Client_Churn_v1[ID_Client],"non trouvé")</f>
        <v>non trouvé</v>
      </c>
      <c r="L198" t="str">
        <f>_xlfn.XLOOKUP(_26_03_2026_Log_Reseau_v15[[#This Row],[province RDC]],_26_03_2026_Client_Churn_v1[Province_Client],_26_03_2026_Client_Churn_v1[Anciennete_Mois],"non trouvé")</f>
        <v>non trouvé</v>
      </c>
      <c r="M198" t="str">
        <f>_xlfn.XLOOKUP(_26_03_2026_Log_Reseau_v15[[#This Row],[province RDC]],_26_03_2026_Client_Churn_v1[Province_Client],_26_03_2026_Client_Churn_v1[Type_Forfait],"non trouvé")</f>
        <v>non trouvé</v>
      </c>
      <c r="N198" t="str">
        <f>_xlfn.XLOOKUP(_26_03_2026_Log_Reseau_v15[[#This Row],[province RDC]],_26_03_2026_Client_Churn_v1[Province_Client],_26_03_2026_Client_Churn_v1[Duree_Cumulee_Panne_Min],"non trouvé")</f>
        <v>non trouvé</v>
      </c>
      <c r="O198" t="str">
        <f>_xlfn.XLOOKUP(_26_03_2026_Log_Reseau_v15[[#This Row],[province RDC]],_26_03_2026_Client_Churn_v1[Province_Client],_26_03_2026_Client_Churn_v1[Facture_Mensuelle],"non trouvé")</f>
        <v>non trouvé</v>
      </c>
      <c r="P198" t="str">
        <f>_xlfn.XLOOKUP(_26_03_2026_Log_Reseau_v15[[#This Row],[province RDC]],_26_03_2026_Client_Churn_v1[Province_Client],_26_03_2026_Client_Churn_v1[Plaintes_Service_Client],"non trouvé")</f>
        <v>non trouvé</v>
      </c>
    </row>
    <row r="199" spans="1:16" hidden="1" x14ac:dyDescent="0.25">
      <c r="A199" s="1">
        <v>45217</v>
      </c>
      <c r="B199" s="2">
        <v>0.32430555555555557</v>
      </c>
      <c r="C199" t="s">
        <v>934</v>
      </c>
      <c r="D199">
        <v>14</v>
      </c>
      <c r="E199" t="s">
        <v>808</v>
      </c>
      <c r="F199" t="str">
        <f>_xlfn.XLOOKUP(_26_03_2026_Log_Reseau_v15[[#This Row],[Cell_ID]],_26_03_2026_Registre_Maintenance_v1[ID_Antenne],_26_03_2026_Registre_Maintenance_v1[zone],"pas trouvé")</f>
        <v>pas trouvé</v>
      </c>
      <c r="G199" t="str">
        <f>_xlfn.XLOOKUP(_26_03_2026_Log_Reseau_v15[[#This Row],[Cell_ID]],_26_03_2026_Registre_Maintenance_v1[ID_Antenne],_26_03_2026_Registre_Maintenance_v1[Latitude],"non trouvé")</f>
        <v>non trouvé</v>
      </c>
      <c r="H199" t="str">
        <f>_xlfn.XLOOKUP(_26_03_2026_Log_Reseau_v15[[#This Row],[Cell_ID]],_26_03_2026_Registre_Maintenance_v1[ID_Antenne],_26_03_2026_Registre_Maintenance_v1[Longitude],"pas trouvé")</f>
        <v>pas trouvé</v>
      </c>
      <c r="I199" t="str">
        <f>_xlfn.XLOOKUP(_26_03_2026_Log_Reseau_v15[[#This Row],[Cell_ID]],_26_03_2026_Registre_Maintenance_v1[ID_Antenne],_26_03_2026_Registre_Maintenance_v1[Technologie],"non trouvé")</f>
        <v>non trouvé</v>
      </c>
      <c r="J199" t="str">
        <f>_xlfn.XLOOKUP(_26_03_2026_Log_Reseau_v15[[#This Row],[Cell_ID]],_26_03_2026_Registre_Maintenance_v1[ID_Antenne],_26_03_2026_Registre_Maintenance_v1[Equipementier],"pas trouvé")</f>
        <v>pas trouvé</v>
      </c>
      <c r="K199" t="str">
        <f>_xlfn.XLOOKUP(_26_03_2026_Log_Reseau_v15[[#This Row],[province RDC]],_26_03_2026_Client_Churn_v1[Province_Client],_26_03_2026_Client_Churn_v1[ID_Client],"non trouvé")</f>
        <v>non trouvé</v>
      </c>
      <c r="L199" t="str">
        <f>_xlfn.XLOOKUP(_26_03_2026_Log_Reseau_v15[[#This Row],[province RDC]],_26_03_2026_Client_Churn_v1[Province_Client],_26_03_2026_Client_Churn_v1[Anciennete_Mois],"non trouvé")</f>
        <v>non trouvé</v>
      </c>
      <c r="M199" t="str">
        <f>_xlfn.XLOOKUP(_26_03_2026_Log_Reseau_v15[[#This Row],[province RDC]],_26_03_2026_Client_Churn_v1[Province_Client],_26_03_2026_Client_Churn_v1[Type_Forfait],"non trouvé")</f>
        <v>non trouvé</v>
      </c>
      <c r="N199" t="str">
        <f>_xlfn.XLOOKUP(_26_03_2026_Log_Reseau_v15[[#This Row],[province RDC]],_26_03_2026_Client_Churn_v1[Province_Client],_26_03_2026_Client_Churn_v1[Duree_Cumulee_Panne_Min],"non trouvé")</f>
        <v>non trouvé</v>
      </c>
      <c r="O199" t="str">
        <f>_xlfn.XLOOKUP(_26_03_2026_Log_Reseau_v15[[#This Row],[province RDC]],_26_03_2026_Client_Churn_v1[Province_Client],_26_03_2026_Client_Churn_v1[Facture_Mensuelle],"non trouvé")</f>
        <v>non trouvé</v>
      </c>
      <c r="P199" t="str">
        <f>_xlfn.XLOOKUP(_26_03_2026_Log_Reseau_v15[[#This Row],[province RDC]],_26_03_2026_Client_Churn_v1[Province_Client],_26_03_2026_Client_Churn_v1[Plaintes_Service_Client],"non trouvé")</f>
        <v>non trouvé</v>
      </c>
    </row>
    <row r="200" spans="1:16" hidden="1" x14ac:dyDescent="0.25">
      <c r="A200" s="1">
        <v>45226</v>
      </c>
      <c r="B200" s="2">
        <v>0.97569444444444442</v>
      </c>
      <c r="C200" t="s">
        <v>935</v>
      </c>
      <c r="D200">
        <v>89</v>
      </c>
      <c r="E200" t="s">
        <v>812</v>
      </c>
      <c r="F200" t="str">
        <f>_xlfn.XLOOKUP(_26_03_2026_Log_Reseau_v15[[#This Row],[Cell_ID]],_26_03_2026_Registre_Maintenance_v1[ID_Antenne],_26_03_2026_Registre_Maintenance_v1[zone],"pas trouvé")</f>
        <v>pas trouvé</v>
      </c>
      <c r="G200" t="str">
        <f>_xlfn.XLOOKUP(_26_03_2026_Log_Reseau_v15[[#This Row],[Cell_ID]],_26_03_2026_Registre_Maintenance_v1[ID_Antenne],_26_03_2026_Registre_Maintenance_v1[Latitude],"non trouvé")</f>
        <v>non trouvé</v>
      </c>
      <c r="H200" t="str">
        <f>_xlfn.XLOOKUP(_26_03_2026_Log_Reseau_v15[[#This Row],[Cell_ID]],_26_03_2026_Registre_Maintenance_v1[ID_Antenne],_26_03_2026_Registre_Maintenance_v1[Longitude],"pas trouvé")</f>
        <v>pas trouvé</v>
      </c>
      <c r="I200" t="str">
        <f>_xlfn.XLOOKUP(_26_03_2026_Log_Reseau_v15[[#This Row],[Cell_ID]],_26_03_2026_Registre_Maintenance_v1[ID_Antenne],_26_03_2026_Registre_Maintenance_v1[Technologie],"non trouvé")</f>
        <v>non trouvé</v>
      </c>
      <c r="J200" t="str">
        <f>_xlfn.XLOOKUP(_26_03_2026_Log_Reseau_v15[[#This Row],[Cell_ID]],_26_03_2026_Registre_Maintenance_v1[ID_Antenne],_26_03_2026_Registre_Maintenance_v1[Equipementier],"pas trouvé")</f>
        <v>pas trouvé</v>
      </c>
      <c r="K200" t="str">
        <f>_xlfn.XLOOKUP(_26_03_2026_Log_Reseau_v15[[#This Row],[province RDC]],_26_03_2026_Client_Churn_v1[Province_Client],_26_03_2026_Client_Churn_v1[ID_Client],"non trouvé")</f>
        <v>non trouvé</v>
      </c>
      <c r="L200" t="str">
        <f>_xlfn.XLOOKUP(_26_03_2026_Log_Reseau_v15[[#This Row],[province RDC]],_26_03_2026_Client_Churn_v1[Province_Client],_26_03_2026_Client_Churn_v1[Anciennete_Mois],"non trouvé")</f>
        <v>non trouvé</v>
      </c>
      <c r="M200" t="str">
        <f>_xlfn.XLOOKUP(_26_03_2026_Log_Reseau_v15[[#This Row],[province RDC]],_26_03_2026_Client_Churn_v1[Province_Client],_26_03_2026_Client_Churn_v1[Type_Forfait],"non trouvé")</f>
        <v>non trouvé</v>
      </c>
      <c r="N200" t="str">
        <f>_xlfn.XLOOKUP(_26_03_2026_Log_Reseau_v15[[#This Row],[province RDC]],_26_03_2026_Client_Churn_v1[Province_Client],_26_03_2026_Client_Churn_v1[Duree_Cumulee_Panne_Min],"non trouvé")</f>
        <v>non trouvé</v>
      </c>
      <c r="O200" t="str">
        <f>_xlfn.XLOOKUP(_26_03_2026_Log_Reseau_v15[[#This Row],[province RDC]],_26_03_2026_Client_Churn_v1[Province_Client],_26_03_2026_Client_Churn_v1[Facture_Mensuelle],"non trouvé")</f>
        <v>non trouvé</v>
      </c>
      <c r="P200" t="str">
        <f>_xlfn.XLOOKUP(_26_03_2026_Log_Reseau_v15[[#This Row],[province RDC]],_26_03_2026_Client_Churn_v1[Province_Client],_26_03_2026_Client_Churn_v1[Plaintes_Service_Client],"non trouvé")</f>
        <v>non trouvé</v>
      </c>
    </row>
    <row r="201" spans="1:16" hidden="1" x14ac:dyDescent="0.25">
      <c r="A201" s="1">
        <v>45215</v>
      </c>
      <c r="B201" s="2">
        <v>0.81111111111111112</v>
      </c>
      <c r="C201" t="s">
        <v>935</v>
      </c>
      <c r="D201">
        <v>49</v>
      </c>
      <c r="E201" t="s">
        <v>808</v>
      </c>
      <c r="F201" t="str">
        <f>_xlfn.XLOOKUP(_26_03_2026_Log_Reseau_v15[[#This Row],[Cell_ID]],_26_03_2026_Registre_Maintenance_v1[ID_Antenne],_26_03_2026_Registre_Maintenance_v1[zone],"pas trouvé")</f>
        <v>pas trouvé</v>
      </c>
      <c r="G201" t="str">
        <f>_xlfn.XLOOKUP(_26_03_2026_Log_Reseau_v15[[#This Row],[Cell_ID]],_26_03_2026_Registre_Maintenance_v1[ID_Antenne],_26_03_2026_Registre_Maintenance_v1[Latitude],"non trouvé")</f>
        <v>non trouvé</v>
      </c>
      <c r="H201" t="str">
        <f>_xlfn.XLOOKUP(_26_03_2026_Log_Reseau_v15[[#This Row],[Cell_ID]],_26_03_2026_Registre_Maintenance_v1[ID_Antenne],_26_03_2026_Registre_Maintenance_v1[Longitude],"pas trouvé")</f>
        <v>pas trouvé</v>
      </c>
      <c r="I201" t="str">
        <f>_xlfn.XLOOKUP(_26_03_2026_Log_Reseau_v15[[#This Row],[Cell_ID]],_26_03_2026_Registre_Maintenance_v1[ID_Antenne],_26_03_2026_Registre_Maintenance_v1[Technologie],"non trouvé")</f>
        <v>non trouvé</v>
      </c>
      <c r="J201" t="str">
        <f>_xlfn.XLOOKUP(_26_03_2026_Log_Reseau_v15[[#This Row],[Cell_ID]],_26_03_2026_Registre_Maintenance_v1[ID_Antenne],_26_03_2026_Registre_Maintenance_v1[Equipementier],"pas trouvé")</f>
        <v>pas trouvé</v>
      </c>
      <c r="K201" t="str">
        <f>_xlfn.XLOOKUP(_26_03_2026_Log_Reseau_v15[[#This Row],[province RDC]],_26_03_2026_Client_Churn_v1[Province_Client],_26_03_2026_Client_Churn_v1[ID_Client],"non trouvé")</f>
        <v>non trouvé</v>
      </c>
      <c r="L201" t="str">
        <f>_xlfn.XLOOKUP(_26_03_2026_Log_Reseau_v15[[#This Row],[province RDC]],_26_03_2026_Client_Churn_v1[Province_Client],_26_03_2026_Client_Churn_v1[Anciennete_Mois],"non trouvé")</f>
        <v>non trouvé</v>
      </c>
      <c r="M201" t="str">
        <f>_xlfn.XLOOKUP(_26_03_2026_Log_Reseau_v15[[#This Row],[province RDC]],_26_03_2026_Client_Churn_v1[Province_Client],_26_03_2026_Client_Churn_v1[Type_Forfait],"non trouvé")</f>
        <v>non trouvé</v>
      </c>
      <c r="N201" t="str">
        <f>_xlfn.XLOOKUP(_26_03_2026_Log_Reseau_v15[[#This Row],[province RDC]],_26_03_2026_Client_Churn_v1[Province_Client],_26_03_2026_Client_Churn_v1[Duree_Cumulee_Panne_Min],"non trouvé")</f>
        <v>non trouvé</v>
      </c>
      <c r="O201" t="str">
        <f>_xlfn.XLOOKUP(_26_03_2026_Log_Reseau_v15[[#This Row],[province RDC]],_26_03_2026_Client_Churn_v1[Province_Client],_26_03_2026_Client_Churn_v1[Facture_Mensuelle],"non trouvé")</f>
        <v>non trouvé</v>
      </c>
      <c r="P201" t="str">
        <f>_xlfn.XLOOKUP(_26_03_2026_Log_Reseau_v15[[#This Row],[province RDC]],_26_03_2026_Client_Churn_v1[Province_Client],_26_03_2026_Client_Churn_v1[Plaintes_Service_Client],"non trouvé")</f>
        <v>non trouvé</v>
      </c>
    </row>
    <row r="202" spans="1:16" hidden="1" x14ac:dyDescent="0.25">
      <c r="A202" s="1">
        <v>45203</v>
      </c>
      <c r="B202" s="2">
        <v>0.27777777777777779</v>
      </c>
      <c r="C202" t="s">
        <v>935</v>
      </c>
      <c r="D202">
        <v>79</v>
      </c>
      <c r="E202" t="s">
        <v>808</v>
      </c>
      <c r="F202" t="str">
        <f>_xlfn.XLOOKUP(_26_03_2026_Log_Reseau_v15[[#This Row],[Cell_ID]],_26_03_2026_Registre_Maintenance_v1[ID_Antenne],_26_03_2026_Registre_Maintenance_v1[zone],"pas trouvé")</f>
        <v>pas trouvé</v>
      </c>
      <c r="G202" t="str">
        <f>_xlfn.XLOOKUP(_26_03_2026_Log_Reseau_v15[[#This Row],[Cell_ID]],_26_03_2026_Registre_Maintenance_v1[ID_Antenne],_26_03_2026_Registre_Maintenance_v1[Latitude],"non trouvé")</f>
        <v>non trouvé</v>
      </c>
      <c r="H202" t="str">
        <f>_xlfn.XLOOKUP(_26_03_2026_Log_Reseau_v15[[#This Row],[Cell_ID]],_26_03_2026_Registre_Maintenance_v1[ID_Antenne],_26_03_2026_Registre_Maintenance_v1[Longitude],"pas trouvé")</f>
        <v>pas trouvé</v>
      </c>
      <c r="I202" t="str">
        <f>_xlfn.XLOOKUP(_26_03_2026_Log_Reseau_v15[[#This Row],[Cell_ID]],_26_03_2026_Registre_Maintenance_v1[ID_Antenne],_26_03_2026_Registre_Maintenance_v1[Technologie],"non trouvé")</f>
        <v>non trouvé</v>
      </c>
      <c r="J202" t="str">
        <f>_xlfn.XLOOKUP(_26_03_2026_Log_Reseau_v15[[#This Row],[Cell_ID]],_26_03_2026_Registre_Maintenance_v1[ID_Antenne],_26_03_2026_Registre_Maintenance_v1[Equipementier],"pas trouvé")</f>
        <v>pas trouvé</v>
      </c>
      <c r="K202" t="str">
        <f>_xlfn.XLOOKUP(_26_03_2026_Log_Reseau_v15[[#This Row],[province RDC]],_26_03_2026_Client_Churn_v1[Province_Client],_26_03_2026_Client_Churn_v1[ID_Client],"non trouvé")</f>
        <v>non trouvé</v>
      </c>
      <c r="L202" t="str">
        <f>_xlfn.XLOOKUP(_26_03_2026_Log_Reseau_v15[[#This Row],[province RDC]],_26_03_2026_Client_Churn_v1[Province_Client],_26_03_2026_Client_Churn_v1[Anciennete_Mois],"non trouvé")</f>
        <v>non trouvé</v>
      </c>
      <c r="M202" t="str">
        <f>_xlfn.XLOOKUP(_26_03_2026_Log_Reseau_v15[[#This Row],[province RDC]],_26_03_2026_Client_Churn_v1[Province_Client],_26_03_2026_Client_Churn_v1[Type_Forfait],"non trouvé")</f>
        <v>non trouvé</v>
      </c>
      <c r="N202" t="str">
        <f>_xlfn.XLOOKUP(_26_03_2026_Log_Reseau_v15[[#This Row],[province RDC]],_26_03_2026_Client_Churn_v1[Province_Client],_26_03_2026_Client_Churn_v1[Duree_Cumulee_Panne_Min],"non trouvé")</f>
        <v>non trouvé</v>
      </c>
      <c r="O202" t="str">
        <f>_xlfn.XLOOKUP(_26_03_2026_Log_Reseau_v15[[#This Row],[province RDC]],_26_03_2026_Client_Churn_v1[Province_Client],_26_03_2026_Client_Churn_v1[Facture_Mensuelle],"non trouvé")</f>
        <v>non trouvé</v>
      </c>
      <c r="P202" t="str">
        <f>_xlfn.XLOOKUP(_26_03_2026_Log_Reseau_v15[[#This Row],[province RDC]],_26_03_2026_Client_Churn_v1[Province_Client],_26_03_2026_Client_Churn_v1[Plaintes_Service_Client],"non trouvé")</f>
        <v>non trouvé</v>
      </c>
    </row>
    <row r="203" spans="1:16" x14ac:dyDescent="0.25">
      <c r="A203" s="1">
        <v>45210</v>
      </c>
      <c r="B203" s="2">
        <v>0.90833333333333333</v>
      </c>
      <c r="C203" t="s">
        <v>936</v>
      </c>
      <c r="D203">
        <v>57</v>
      </c>
      <c r="E203" t="s">
        <v>812</v>
      </c>
      <c r="F203" t="str">
        <f>_xlfn.XLOOKUP(_26_03_2026_Log_Reseau_v15[[#This Row],[Cell_ID]],_26_03_2026_Registre_Maintenance_v1[ID_Antenne],_26_03_2026_Registre_Maintenance_v1[zone],"pas trouvé")</f>
        <v>Nord-Ubangi</v>
      </c>
      <c r="G203">
        <f>_xlfn.XLOOKUP(_26_03_2026_Log_Reseau_v15[[#This Row],[Cell_ID]],_26_03_2026_Registre_Maintenance_v1[ID_Antenne],_26_03_2026_Registre_Maintenance_v1[Latitude],"non trouvé")</f>
        <v>8.5490999999999998E-2</v>
      </c>
      <c r="H203">
        <f>_xlfn.XLOOKUP(_26_03_2026_Log_Reseau_v15[[#This Row],[Cell_ID]],_26_03_2026_Registre_Maintenance_v1[ID_Antenne],_26_03_2026_Registre_Maintenance_v1[Longitude],"pas trouvé")</f>
        <v>26.296129000000001</v>
      </c>
      <c r="I203" t="str">
        <f>_xlfn.XLOOKUP(_26_03_2026_Log_Reseau_v15[[#This Row],[Cell_ID]],_26_03_2026_Registre_Maintenance_v1[ID_Antenne],_26_03_2026_Registre_Maintenance_v1[Technologie],"non trouvé")</f>
        <v>3G</v>
      </c>
      <c r="J203" t="str">
        <f>_xlfn.XLOOKUP(_26_03_2026_Log_Reseau_v15[[#This Row],[Cell_ID]],_26_03_2026_Registre_Maintenance_v1[ID_Antenne],_26_03_2026_Registre_Maintenance_v1[Equipementier],"pas trouvé")</f>
        <v>ZTE</v>
      </c>
      <c r="K203" t="str">
        <f>_xlfn.XLOOKUP(_26_03_2026_Log_Reseau_v15[[#This Row],[province RDC]],_26_03_2026_Client_Churn_v1[Province_Client],_26_03_2026_Client_Churn_v1[ID_Client],"non trouvé")</f>
        <v>CLI-01170</v>
      </c>
      <c r="L203">
        <f>_xlfn.XLOOKUP(_26_03_2026_Log_Reseau_v15[[#This Row],[province RDC]],_26_03_2026_Client_Churn_v1[Province_Client],_26_03_2026_Client_Churn_v1[Anciennete_Mois],"non trouvé")</f>
        <v>98</v>
      </c>
      <c r="M203" t="str">
        <f>_xlfn.XLOOKUP(_26_03_2026_Log_Reseau_v15[[#This Row],[province RDC]],_26_03_2026_Client_Churn_v1[Province_Client],_26_03_2026_Client_Churn_v1[Type_Forfait],"non trouvé")</f>
        <v>Pro Monde</v>
      </c>
      <c r="N203">
        <f>_xlfn.XLOOKUP(_26_03_2026_Log_Reseau_v15[[#This Row],[province RDC]],_26_03_2026_Client_Churn_v1[Province_Client],_26_03_2026_Client_Churn_v1[Duree_Cumulee_Panne_Min],"non trouvé")</f>
        <v>482</v>
      </c>
      <c r="O203">
        <f>_xlfn.XLOOKUP(_26_03_2026_Log_Reseau_v15[[#This Row],[province RDC]],_26_03_2026_Client_Churn_v1[Province_Client],_26_03_2026_Client_Churn_v1[Facture_Mensuelle],"non trouvé")</f>
        <v>55.04</v>
      </c>
      <c r="P203">
        <f>_xlfn.XLOOKUP(_26_03_2026_Log_Reseau_v15[[#This Row],[province RDC]],_26_03_2026_Client_Churn_v1[Province_Client],_26_03_2026_Client_Churn_v1[Plaintes_Service_Client],"non trouvé")</f>
        <v>5</v>
      </c>
    </row>
    <row r="204" spans="1:16" x14ac:dyDescent="0.25">
      <c r="A204" s="1">
        <v>45210</v>
      </c>
      <c r="B204" s="2">
        <v>0.68611111111111112</v>
      </c>
      <c r="C204" t="s">
        <v>936</v>
      </c>
      <c r="D204">
        <v>62</v>
      </c>
      <c r="E204" t="s">
        <v>808</v>
      </c>
      <c r="F204" t="str">
        <f>_xlfn.XLOOKUP(_26_03_2026_Log_Reseau_v15[[#This Row],[Cell_ID]],_26_03_2026_Registre_Maintenance_v1[ID_Antenne],_26_03_2026_Registre_Maintenance_v1[zone],"pas trouvé")</f>
        <v>Nord-Ubangi</v>
      </c>
      <c r="G204">
        <f>_xlfn.XLOOKUP(_26_03_2026_Log_Reseau_v15[[#This Row],[Cell_ID]],_26_03_2026_Registre_Maintenance_v1[ID_Antenne],_26_03_2026_Registre_Maintenance_v1[Latitude],"non trouvé")</f>
        <v>8.5490999999999998E-2</v>
      </c>
      <c r="H204">
        <f>_xlfn.XLOOKUP(_26_03_2026_Log_Reseau_v15[[#This Row],[Cell_ID]],_26_03_2026_Registre_Maintenance_v1[ID_Antenne],_26_03_2026_Registre_Maintenance_v1[Longitude],"pas trouvé")</f>
        <v>26.296129000000001</v>
      </c>
      <c r="I204" t="str">
        <f>_xlfn.XLOOKUP(_26_03_2026_Log_Reseau_v15[[#This Row],[Cell_ID]],_26_03_2026_Registre_Maintenance_v1[ID_Antenne],_26_03_2026_Registre_Maintenance_v1[Technologie],"non trouvé")</f>
        <v>3G</v>
      </c>
      <c r="J204" t="str">
        <f>_xlfn.XLOOKUP(_26_03_2026_Log_Reseau_v15[[#This Row],[Cell_ID]],_26_03_2026_Registre_Maintenance_v1[ID_Antenne],_26_03_2026_Registre_Maintenance_v1[Equipementier],"pas trouvé")</f>
        <v>ZTE</v>
      </c>
      <c r="K204" t="str">
        <f>_xlfn.XLOOKUP(_26_03_2026_Log_Reseau_v15[[#This Row],[province RDC]],_26_03_2026_Client_Churn_v1[Province_Client],_26_03_2026_Client_Churn_v1[ID_Client],"non trouvé")</f>
        <v>CLI-01170</v>
      </c>
      <c r="L204">
        <f>_xlfn.XLOOKUP(_26_03_2026_Log_Reseau_v15[[#This Row],[province RDC]],_26_03_2026_Client_Churn_v1[Province_Client],_26_03_2026_Client_Churn_v1[Anciennete_Mois],"non trouvé")</f>
        <v>98</v>
      </c>
      <c r="M204" t="str">
        <f>_xlfn.XLOOKUP(_26_03_2026_Log_Reseau_v15[[#This Row],[province RDC]],_26_03_2026_Client_Churn_v1[Province_Client],_26_03_2026_Client_Churn_v1[Type_Forfait],"non trouvé")</f>
        <v>Pro Monde</v>
      </c>
      <c r="N204">
        <f>_xlfn.XLOOKUP(_26_03_2026_Log_Reseau_v15[[#This Row],[province RDC]],_26_03_2026_Client_Churn_v1[Province_Client],_26_03_2026_Client_Churn_v1[Duree_Cumulee_Panne_Min],"non trouvé")</f>
        <v>482</v>
      </c>
      <c r="O204">
        <f>_xlfn.XLOOKUP(_26_03_2026_Log_Reseau_v15[[#This Row],[province RDC]],_26_03_2026_Client_Churn_v1[Province_Client],_26_03_2026_Client_Churn_v1[Facture_Mensuelle],"non trouvé")</f>
        <v>55.04</v>
      </c>
      <c r="P204">
        <f>_xlfn.XLOOKUP(_26_03_2026_Log_Reseau_v15[[#This Row],[province RDC]],_26_03_2026_Client_Churn_v1[Province_Client],_26_03_2026_Client_Churn_v1[Plaintes_Service_Client],"non trouvé")</f>
        <v>5</v>
      </c>
    </row>
    <row r="205" spans="1:16" x14ac:dyDescent="0.25">
      <c r="A205" s="1">
        <v>45216</v>
      </c>
      <c r="B205" s="2">
        <v>7.8472222222222221E-2</v>
      </c>
      <c r="C205" t="s">
        <v>937</v>
      </c>
      <c r="D205">
        <v>48</v>
      </c>
      <c r="E205" t="s">
        <v>808</v>
      </c>
      <c r="F205" t="str">
        <f>_xlfn.XLOOKUP(_26_03_2026_Log_Reseau_v15[[#This Row],[Cell_ID]],_26_03_2026_Registre_Maintenance_v1[ID_Antenne],_26_03_2026_Registre_Maintenance_v1[zone],"pas trouvé")</f>
        <v>Sud-Ubangi</v>
      </c>
      <c r="G205">
        <f>_xlfn.XLOOKUP(_26_03_2026_Log_Reseau_v15[[#This Row],[Cell_ID]],_26_03_2026_Registre_Maintenance_v1[ID_Antenne],_26_03_2026_Registre_Maintenance_v1[Latitude],"non trouvé")</f>
        <v>-8.0864899999999995</v>
      </c>
      <c r="H205">
        <f>_xlfn.XLOOKUP(_26_03_2026_Log_Reseau_v15[[#This Row],[Cell_ID]],_26_03_2026_Registre_Maintenance_v1[ID_Antenne],_26_03_2026_Registre_Maintenance_v1[Longitude],"pas trouvé")</f>
        <v>14.555277</v>
      </c>
      <c r="I205" t="str">
        <f>_xlfn.XLOOKUP(_26_03_2026_Log_Reseau_v15[[#This Row],[Cell_ID]],_26_03_2026_Registre_Maintenance_v1[ID_Antenne],_26_03_2026_Registre_Maintenance_v1[Technologie],"non trouvé")</f>
        <v>3G</v>
      </c>
      <c r="J205" t="str">
        <f>_xlfn.XLOOKUP(_26_03_2026_Log_Reseau_v15[[#This Row],[Cell_ID]],_26_03_2026_Registre_Maintenance_v1[ID_Antenne],_26_03_2026_Registre_Maintenance_v1[Equipementier],"pas trouvé")</f>
        <v>Ericsson</v>
      </c>
      <c r="K205" t="str">
        <f>_xlfn.XLOOKUP(_26_03_2026_Log_Reseau_v15[[#This Row],[province RDC]],_26_03_2026_Client_Churn_v1[Province_Client],_26_03_2026_Client_Churn_v1[ID_Client],"non trouvé")</f>
        <v>CLI-00280</v>
      </c>
      <c r="L205">
        <f>_xlfn.XLOOKUP(_26_03_2026_Log_Reseau_v15[[#This Row],[province RDC]],_26_03_2026_Client_Churn_v1[Province_Client],_26_03_2026_Client_Churn_v1[Anciennete_Mois],"non trouvé")</f>
        <v>113</v>
      </c>
      <c r="M205" t="str">
        <f>_xlfn.XLOOKUP(_26_03_2026_Log_Reseau_v15[[#This Row],[province RDC]],_26_03_2026_Client_Churn_v1[Province_Client],_26_03_2026_Client_Churn_v1[Type_Forfait],"non trouvé")</f>
        <v>Illimité 50Go</v>
      </c>
      <c r="N205">
        <f>_xlfn.XLOOKUP(_26_03_2026_Log_Reseau_v15[[#This Row],[province RDC]],_26_03_2026_Client_Churn_v1[Province_Client],_26_03_2026_Client_Churn_v1[Duree_Cumulee_Panne_Min],"non trouvé")</f>
        <v>380</v>
      </c>
      <c r="O205">
        <f>_xlfn.XLOOKUP(_26_03_2026_Log_Reseau_v15[[#This Row],[province RDC]],_26_03_2026_Client_Churn_v1[Province_Client],_26_03_2026_Client_Churn_v1[Facture_Mensuelle],"non trouvé")</f>
        <v>12.11</v>
      </c>
      <c r="P205">
        <f>_xlfn.XLOOKUP(_26_03_2026_Log_Reseau_v15[[#This Row],[province RDC]],_26_03_2026_Client_Churn_v1[Province_Client],_26_03_2026_Client_Churn_v1[Plaintes_Service_Client],"non trouvé")</f>
        <v>0</v>
      </c>
    </row>
    <row r="206" spans="1:16" hidden="1" x14ac:dyDescent="0.25">
      <c r="A206" s="1">
        <v>45210</v>
      </c>
      <c r="B206" s="2">
        <v>0.27013888888888887</v>
      </c>
      <c r="C206" t="s">
        <v>938</v>
      </c>
      <c r="D206">
        <v>104</v>
      </c>
      <c r="E206" t="s">
        <v>812</v>
      </c>
      <c r="F206" t="str">
        <f>_xlfn.XLOOKUP(_26_03_2026_Log_Reseau_v15[[#This Row],[Cell_ID]],_26_03_2026_Registre_Maintenance_v1[ID_Antenne],_26_03_2026_Registre_Maintenance_v1[zone],"pas trouvé")</f>
        <v>pas trouvé</v>
      </c>
      <c r="G206" t="str">
        <f>_xlfn.XLOOKUP(_26_03_2026_Log_Reseau_v15[[#This Row],[Cell_ID]],_26_03_2026_Registre_Maintenance_v1[ID_Antenne],_26_03_2026_Registre_Maintenance_v1[Latitude],"non trouvé")</f>
        <v>non trouvé</v>
      </c>
      <c r="H206" t="str">
        <f>_xlfn.XLOOKUP(_26_03_2026_Log_Reseau_v15[[#This Row],[Cell_ID]],_26_03_2026_Registre_Maintenance_v1[ID_Antenne],_26_03_2026_Registre_Maintenance_v1[Longitude],"pas trouvé")</f>
        <v>pas trouvé</v>
      </c>
      <c r="I206" t="str">
        <f>_xlfn.XLOOKUP(_26_03_2026_Log_Reseau_v15[[#This Row],[Cell_ID]],_26_03_2026_Registre_Maintenance_v1[ID_Antenne],_26_03_2026_Registre_Maintenance_v1[Technologie],"non trouvé")</f>
        <v>non trouvé</v>
      </c>
      <c r="J206" t="str">
        <f>_xlfn.XLOOKUP(_26_03_2026_Log_Reseau_v15[[#This Row],[Cell_ID]],_26_03_2026_Registre_Maintenance_v1[ID_Antenne],_26_03_2026_Registre_Maintenance_v1[Equipementier],"pas trouvé")</f>
        <v>pas trouvé</v>
      </c>
      <c r="K206" t="str">
        <f>_xlfn.XLOOKUP(_26_03_2026_Log_Reseau_v15[[#This Row],[province RDC]],_26_03_2026_Client_Churn_v1[Province_Client],_26_03_2026_Client_Churn_v1[ID_Client],"non trouvé")</f>
        <v>non trouvé</v>
      </c>
      <c r="L206" t="str">
        <f>_xlfn.XLOOKUP(_26_03_2026_Log_Reseau_v15[[#This Row],[province RDC]],_26_03_2026_Client_Churn_v1[Province_Client],_26_03_2026_Client_Churn_v1[Anciennete_Mois],"non trouvé")</f>
        <v>non trouvé</v>
      </c>
      <c r="M206" t="str">
        <f>_xlfn.XLOOKUP(_26_03_2026_Log_Reseau_v15[[#This Row],[province RDC]],_26_03_2026_Client_Churn_v1[Province_Client],_26_03_2026_Client_Churn_v1[Type_Forfait],"non trouvé")</f>
        <v>non trouvé</v>
      </c>
      <c r="N206" t="str">
        <f>_xlfn.XLOOKUP(_26_03_2026_Log_Reseau_v15[[#This Row],[province RDC]],_26_03_2026_Client_Churn_v1[Province_Client],_26_03_2026_Client_Churn_v1[Duree_Cumulee_Panne_Min],"non trouvé")</f>
        <v>non trouvé</v>
      </c>
      <c r="O206" t="str">
        <f>_xlfn.XLOOKUP(_26_03_2026_Log_Reseau_v15[[#This Row],[province RDC]],_26_03_2026_Client_Churn_v1[Province_Client],_26_03_2026_Client_Churn_v1[Facture_Mensuelle],"non trouvé")</f>
        <v>non trouvé</v>
      </c>
      <c r="P206" t="str">
        <f>_xlfn.XLOOKUP(_26_03_2026_Log_Reseau_v15[[#This Row],[province RDC]],_26_03_2026_Client_Churn_v1[Province_Client],_26_03_2026_Client_Churn_v1[Plaintes_Service_Client],"non trouvé")</f>
        <v>non trouvé</v>
      </c>
    </row>
    <row r="207" spans="1:16" hidden="1" x14ac:dyDescent="0.25">
      <c r="A207" s="1">
        <v>45203</v>
      </c>
      <c r="B207" s="2">
        <v>0.9916666666666667</v>
      </c>
      <c r="C207" t="s">
        <v>939</v>
      </c>
      <c r="D207">
        <v>5</v>
      </c>
      <c r="E207" t="s">
        <v>812</v>
      </c>
      <c r="F207" t="str">
        <f>_xlfn.XLOOKUP(_26_03_2026_Log_Reseau_v15[[#This Row],[Cell_ID]],_26_03_2026_Registre_Maintenance_v1[ID_Antenne],_26_03_2026_Registre_Maintenance_v1[zone],"pas trouvé")</f>
        <v>pas trouvé</v>
      </c>
      <c r="G207" t="str">
        <f>_xlfn.XLOOKUP(_26_03_2026_Log_Reseau_v15[[#This Row],[Cell_ID]],_26_03_2026_Registre_Maintenance_v1[ID_Antenne],_26_03_2026_Registre_Maintenance_v1[Latitude],"non trouvé")</f>
        <v>non trouvé</v>
      </c>
      <c r="H207" t="str">
        <f>_xlfn.XLOOKUP(_26_03_2026_Log_Reseau_v15[[#This Row],[Cell_ID]],_26_03_2026_Registre_Maintenance_v1[ID_Antenne],_26_03_2026_Registre_Maintenance_v1[Longitude],"pas trouvé")</f>
        <v>pas trouvé</v>
      </c>
      <c r="I207" t="str">
        <f>_xlfn.XLOOKUP(_26_03_2026_Log_Reseau_v15[[#This Row],[Cell_ID]],_26_03_2026_Registre_Maintenance_v1[ID_Antenne],_26_03_2026_Registre_Maintenance_v1[Technologie],"non trouvé")</f>
        <v>non trouvé</v>
      </c>
      <c r="J207" t="str">
        <f>_xlfn.XLOOKUP(_26_03_2026_Log_Reseau_v15[[#This Row],[Cell_ID]],_26_03_2026_Registre_Maintenance_v1[ID_Antenne],_26_03_2026_Registre_Maintenance_v1[Equipementier],"pas trouvé")</f>
        <v>pas trouvé</v>
      </c>
      <c r="K207" t="str">
        <f>_xlfn.XLOOKUP(_26_03_2026_Log_Reseau_v15[[#This Row],[province RDC]],_26_03_2026_Client_Churn_v1[Province_Client],_26_03_2026_Client_Churn_v1[ID_Client],"non trouvé")</f>
        <v>non trouvé</v>
      </c>
      <c r="L207" t="str">
        <f>_xlfn.XLOOKUP(_26_03_2026_Log_Reseau_v15[[#This Row],[province RDC]],_26_03_2026_Client_Churn_v1[Province_Client],_26_03_2026_Client_Churn_v1[Anciennete_Mois],"non trouvé")</f>
        <v>non trouvé</v>
      </c>
      <c r="M207" t="str">
        <f>_xlfn.XLOOKUP(_26_03_2026_Log_Reseau_v15[[#This Row],[province RDC]],_26_03_2026_Client_Churn_v1[Province_Client],_26_03_2026_Client_Churn_v1[Type_Forfait],"non trouvé")</f>
        <v>non trouvé</v>
      </c>
      <c r="N207" t="str">
        <f>_xlfn.XLOOKUP(_26_03_2026_Log_Reseau_v15[[#This Row],[province RDC]],_26_03_2026_Client_Churn_v1[Province_Client],_26_03_2026_Client_Churn_v1[Duree_Cumulee_Panne_Min],"non trouvé")</f>
        <v>non trouvé</v>
      </c>
      <c r="O207" t="str">
        <f>_xlfn.XLOOKUP(_26_03_2026_Log_Reseau_v15[[#This Row],[province RDC]],_26_03_2026_Client_Churn_v1[Province_Client],_26_03_2026_Client_Churn_v1[Facture_Mensuelle],"non trouvé")</f>
        <v>non trouvé</v>
      </c>
      <c r="P207" t="str">
        <f>_xlfn.XLOOKUP(_26_03_2026_Log_Reseau_v15[[#This Row],[province RDC]],_26_03_2026_Client_Churn_v1[Province_Client],_26_03_2026_Client_Churn_v1[Plaintes_Service_Client],"non trouvé")</f>
        <v>non trouvé</v>
      </c>
    </row>
    <row r="208" spans="1:16" hidden="1" x14ac:dyDescent="0.25">
      <c r="A208" s="1">
        <v>45230</v>
      </c>
      <c r="B208" s="2">
        <v>0.7319444444444444</v>
      </c>
      <c r="C208" t="s">
        <v>940</v>
      </c>
      <c r="D208">
        <v>52</v>
      </c>
      <c r="E208" t="s">
        <v>807</v>
      </c>
      <c r="F208" t="str">
        <f>_xlfn.XLOOKUP(_26_03_2026_Log_Reseau_v15[[#This Row],[Cell_ID]],_26_03_2026_Registre_Maintenance_v1[ID_Antenne],_26_03_2026_Registre_Maintenance_v1[zone],"pas trouvé")</f>
        <v>pas trouvé</v>
      </c>
      <c r="G208" t="str">
        <f>_xlfn.XLOOKUP(_26_03_2026_Log_Reseau_v15[[#This Row],[Cell_ID]],_26_03_2026_Registre_Maintenance_v1[ID_Antenne],_26_03_2026_Registre_Maintenance_v1[Latitude],"non trouvé")</f>
        <v>non trouvé</v>
      </c>
      <c r="H208" t="str">
        <f>_xlfn.XLOOKUP(_26_03_2026_Log_Reseau_v15[[#This Row],[Cell_ID]],_26_03_2026_Registre_Maintenance_v1[ID_Antenne],_26_03_2026_Registre_Maintenance_v1[Longitude],"pas trouvé")</f>
        <v>pas trouvé</v>
      </c>
      <c r="I208" t="str">
        <f>_xlfn.XLOOKUP(_26_03_2026_Log_Reseau_v15[[#This Row],[Cell_ID]],_26_03_2026_Registre_Maintenance_v1[ID_Antenne],_26_03_2026_Registre_Maintenance_v1[Technologie],"non trouvé")</f>
        <v>non trouvé</v>
      </c>
      <c r="J208" t="str">
        <f>_xlfn.XLOOKUP(_26_03_2026_Log_Reseau_v15[[#This Row],[Cell_ID]],_26_03_2026_Registre_Maintenance_v1[ID_Antenne],_26_03_2026_Registre_Maintenance_v1[Equipementier],"pas trouvé")</f>
        <v>pas trouvé</v>
      </c>
      <c r="K208" t="str">
        <f>_xlfn.XLOOKUP(_26_03_2026_Log_Reseau_v15[[#This Row],[province RDC]],_26_03_2026_Client_Churn_v1[Province_Client],_26_03_2026_Client_Churn_v1[ID_Client],"non trouvé")</f>
        <v>non trouvé</v>
      </c>
      <c r="L208" t="str">
        <f>_xlfn.XLOOKUP(_26_03_2026_Log_Reseau_v15[[#This Row],[province RDC]],_26_03_2026_Client_Churn_v1[Province_Client],_26_03_2026_Client_Churn_v1[Anciennete_Mois],"non trouvé")</f>
        <v>non trouvé</v>
      </c>
      <c r="M208" t="str">
        <f>_xlfn.XLOOKUP(_26_03_2026_Log_Reseau_v15[[#This Row],[province RDC]],_26_03_2026_Client_Churn_v1[Province_Client],_26_03_2026_Client_Churn_v1[Type_Forfait],"non trouvé")</f>
        <v>non trouvé</v>
      </c>
      <c r="N208" t="str">
        <f>_xlfn.XLOOKUP(_26_03_2026_Log_Reseau_v15[[#This Row],[province RDC]],_26_03_2026_Client_Churn_v1[Province_Client],_26_03_2026_Client_Churn_v1[Duree_Cumulee_Panne_Min],"non trouvé")</f>
        <v>non trouvé</v>
      </c>
      <c r="O208" t="str">
        <f>_xlfn.XLOOKUP(_26_03_2026_Log_Reseau_v15[[#This Row],[province RDC]],_26_03_2026_Client_Churn_v1[Province_Client],_26_03_2026_Client_Churn_v1[Facture_Mensuelle],"non trouvé")</f>
        <v>non trouvé</v>
      </c>
      <c r="P208" t="str">
        <f>_xlfn.XLOOKUP(_26_03_2026_Log_Reseau_v15[[#This Row],[province RDC]],_26_03_2026_Client_Churn_v1[Province_Client],_26_03_2026_Client_Churn_v1[Plaintes_Service_Client],"non trouvé")</f>
        <v>non trouvé</v>
      </c>
    </row>
    <row r="209" spans="1:16" hidden="1" x14ac:dyDescent="0.25">
      <c r="A209" s="1">
        <v>45201</v>
      </c>
      <c r="B209" s="2">
        <v>0.62361111111111112</v>
      </c>
      <c r="C209" t="s">
        <v>940</v>
      </c>
      <c r="D209">
        <v>9</v>
      </c>
      <c r="E209" t="s">
        <v>807</v>
      </c>
      <c r="F209" t="str">
        <f>_xlfn.XLOOKUP(_26_03_2026_Log_Reseau_v15[[#This Row],[Cell_ID]],_26_03_2026_Registre_Maintenance_v1[ID_Antenne],_26_03_2026_Registre_Maintenance_v1[zone],"pas trouvé")</f>
        <v>pas trouvé</v>
      </c>
      <c r="G209" t="str">
        <f>_xlfn.XLOOKUP(_26_03_2026_Log_Reseau_v15[[#This Row],[Cell_ID]],_26_03_2026_Registre_Maintenance_v1[ID_Antenne],_26_03_2026_Registre_Maintenance_v1[Latitude],"non trouvé")</f>
        <v>non trouvé</v>
      </c>
      <c r="H209" t="str">
        <f>_xlfn.XLOOKUP(_26_03_2026_Log_Reseau_v15[[#This Row],[Cell_ID]],_26_03_2026_Registre_Maintenance_v1[ID_Antenne],_26_03_2026_Registre_Maintenance_v1[Longitude],"pas trouvé")</f>
        <v>pas trouvé</v>
      </c>
      <c r="I209" t="str">
        <f>_xlfn.XLOOKUP(_26_03_2026_Log_Reseau_v15[[#This Row],[Cell_ID]],_26_03_2026_Registre_Maintenance_v1[ID_Antenne],_26_03_2026_Registre_Maintenance_v1[Technologie],"non trouvé")</f>
        <v>non trouvé</v>
      </c>
      <c r="J209" t="str">
        <f>_xlfn.XLOOKUP(_26_03_2026_Log_Reseau_v15[[#This Row],[Cell_ID]],_26_03_2026_Registre_Maintenance_v1[ID_Antenne],_26_03_2026_Registre_Maintenance_v1[Equipementier],"pas trouvé")</f>
        <v>pas trouvé</v>
      </c>
      <c r="K209" t="str">
        <f>_xlfn.XLOOKUP(_26_03_2026_Log_Reseau_v15[[#This Row],[province RDC]],_26_03_2026_Client_Churn_v1[Province_Client],_26_03_2026_Client_Churn_v1[ID_Client],"non trouvé")</f>
        <v>non trouvé</v>
      </c>
      <c r="L209" t="str">
        <f>_xlfn.XLOOKUP(_26_03_2026_Log_Reseau_v15[[#This Row],[province RDC]],_26_03_2026_Client_Churn_v1[Province_Client],_26_03_2026_Client_Churn_v1[Anciennete_Mois],"non trouvé")</f>
        <v>non trouvé</v>
      </c>
      <c r="M209" t="str">
        <f>_xlfn.XLOOKUP(_26_03_2026_Log_Reseau_v15[[#This Row],[province RDC]],_26_03_2026_Client_Churn_v1[Province_Client],_26_03_2026_Client_Churn_v1[Type_Forfait],"non trouvé")</f>
        <v>non trouvé</v>
      </c>
      <c r="N209" t="str">
        <f>_xlfn.XLOOKUP(_26_03_2026_Log_Reseau_v15[[#This Row],[province RDC]],_26_03_2026_Client_Churn_v1[Province_Client],_26_03_2026_Client_Churn_v1[Duree_Cumulee_Panne_Min],"non trouvé")</f>
        <v>non trouvé</v>
      </c>
      <c r="O209" t="str">
        <f>_xlfn.XLOOKUP(_26_03_2026_Log_Reseau_v15[[#This Row],[province RDC]],_26_03_2026_Client_Churn_v1[Province_Client],_26_03_2026_Client_Churn_v1[Facture_Mensuelle],"non trouvé")</f>
        <v>non trouvé</v>
      </c>
      <c r="P209" t="str">
        <f>_xlfn.XLOOKUP(_26_03_2026_Log_Reseau_v15[[#This Row],[province RDC]],_26_03_2026_Client_Churn_v1[Province_Client],_26_03_2026_Client_Churn_v1[Plaintes_Service_Client],"non trouvé")</f>
        <v>non trouvé</v>
      </c>
    </row>
    <row r="210" spans="1:16" hidden="1" x14ac:dyDescent="0.25">
      <c r="A210" s="1">
        <v>45224</v>
      </c>
      <c r="B210" s="2">
        <v>0.98402777777777772</v>
      </c>
      <c r="C210" t="s">
        <v>941</v>
      </c>
      <c r="D210">
        <v>49</v>
      </c>
      <c r="E210" t="s">
        <v>807</v>
      </c>
      <c r="F210" t="str">
        <f>_xlfn.XLOOKUP(_26_03_2026_Log_Reseau_v15[[#This Row],[Cell_ID]],_26_03_2026_Registre_Maintenance_v1[ID_Antenne],_26_03_2026_Registre_Maintenance_v1[zone],"pas trouvé")</f>
        <v>pas trouvé</v>
      </c>
      <c r="G210" t="str">
        <f>_xlfn.XLOOKUP(_26_03_2026_Log_Reseau_v15[[#This Row],[Cell_ID]],_26_03_2026_Registre_Maintenance_v1[ID_Antenne],_26_03_2026_Registre_Maintenance_v1[Latitude],"non trouvé")</f>
        <v>non trouvé</v>
      </c>
      <c r="H210" t="str">
        <f>_xlfn.XLOOKUP(_26_03_2026_Log_Reseau_v15[[#This Row],[Cell_ID]],_26_03_2026_Registre_Maintenance_v1[ID_Antenne],_26_03_2026_Registre_Maintenance_v1[Longitude],"pas trouvé")</f>
        <v>pas trouvé</v>
      </c>
      <c r="I210" t="str">
        <f>_xlfn.XLOOKUP(_26_03_2026_Log_Reseau_v15[[#This Row],[Cell_ID]],_26_03_2026_Registre_Maintenance_v1[ID_Antenne],_26_03_2026_Registre_Maintenance_v1[Technologie],"non trouvé")</f>
        <v>non trouvé</v>
      </c>
      <c r="J210" t="str">
        <f>_xlfn.XLOOKUP(_26_03_2026_Log_Reseau_v15[[#This Row],[Cell_ID]],_26_03_2026_Registre_Maintenance_v1[ID_Antenne],_26_03_2026_Registre_Maintenance_v1[Equipementier],"pas trouvé")</f>
        <v>pas trouvé</v>
      </c>
      <c r="K210" t="str">
        <f>_xlfn.XLOOKUP(_26_03_2026_Log_Reseau_v15[[#This Row],[province RDC]],_26_03_2026_Client_Churn_v1[Province_Client],_26_03_2026_Client_Churn_v1[ID_Client],"non trouvé")</f>
        <v>non trouvé</v>
      </c>
      <c r="L210" t="str">
        <f>_xlfn.XLOOKUP(_26_03_2026_Log_Reseau_v15[[#This Row],[province RDC]],_26_03_2026_Client_Churn_v1[Province_Client],_26_03_2026_Client_Churn_v1[Anciennete_Mois],"non trouvé")</f>
        <v>non trouvé</v>
      </c>
      <c r="M210" t="str">
        <f>_xlfn.XLOOKUP(_26_03_2026_Log_Reseau_v15[[#This Row],[province RDC]],_26_03_2026_Client_Churn_v1[Province_Client],_26_03_2026_Client_Churn_v1[Type_Forfait],"non trouvé")</f>
        <v>non trouvé</v>
      </c>
      <c r="N210" t="str">
        <f>_xlfn.XLOOKUP(_26_03_2026_Log_Reseau_v15[[#This Row],[province RDC]],_26_03_2026_Client_Churn_v1[Province_Client],_26_03_2026_Client_Churn_v1[Duree_Cumulee_Panne_Min],"non trouvé")</f>
        <v>non trouvé</v>
      </c>
      <c r="O210" t="str">
        <f>_xlfn.XLOOKUP(_26_03_2026_Log_Reseau_v15[[#This Row],[province RDC]],_26_03_2026_Client_Churn_v1[Province_Client],_26_03_2026_Client_Churn_v1[Facture_Mensuelle],"non trouvé")</f>
        <v>non trouvé</v>
      </c>
      <c r="P210" t="str">
        <f>_xlfn.XLOOKUP(_26_03_2026_Log_Reseau_v15[[#This Row],[province RDC]],_26_03_2026_Client_Churn_v1[Province_Client],_26_03_2026_Client_Churn_v1[Plaintes_Service_Client],"non trouvé")</f>
        <v>non trouvé</v>
      </c>
    </row>
    <row r="211" spans="1:16" hidden="1" x14ac:dyDescent="0.25">
      <c r="A211" s="1">
        <v>45229</v>
      </c>
      <c r="B211" s="2">
        <v>0.50347222222222221</v>
      </c>
      <c r="C211" t="s">
        <v>942</v>
      </c>
      <c r="D211">
        <v>106</v>
      </c>
      <c r="E211" t="s">
        <v>808</v>
      </c>
      <c r="F211" t="str">
        <f>_xlfn.XLOOKUP(_26_03_2026_Log_Reseau_v15[[#This Row],[Cell_ID]],_26_03_2026_Registre_Maintenance_v1[ID_Antenne],_26_03_2026_Registre_Maintenance_v1[zone],"pas trouvé")</f>
        <v>pas trouvé</v>
      </c>
      <c r="G211" t="str">
        <f>_xlfn.XLOOKUP(_26_03_2026_Log_Reseau_v15[[#This Row],[Cell_ID]],_26_03_2026_Registre_Maintenance_v1[ID_Antenne],_26_03_2026_Registre_Maintenance_v1[Latitude],"non trouvé")</f>
        <v>non trouvé</v>
      </c>
      <c r="H211" t="str">
        <f>_xlfn.XLOOKUP(_26_03_2026_Log_Reseau_v15[[#This Row],[Cell_ID]],_26_03_2026_Registre_Maintenance_v1[ID_Antenne],_26_03_2026_Registre_Maintenance_v1[Longitude],"pas trouvé")</f>
        <v>pas trouvé</v>
      </c>
      <c r="I211" t="str">
        <f>_xlfn.XLOOKUP(_26_03_2026_Log_Reseau_v15[[#This Row],[Cell_ID]],_26_03_2026_Registre_Maintenance_v1[ID_Antenne],_26_03_2026_Registre_Maintenance_v1[Technologie],"non trouvé")</f>
        <v>non trouvé</v>
      </c>
      <c r="J211" t="str">
        <f>_xlfn.XLOOKUP(_26_03_2026_Log_Reseau_v15[[#This Row],[Cell_ID]],_26_03_2026_Registre_Maintenance_v1[ID_Antenne],_26_03_2026_Registre_Maintenance_v1[Equipementier],"pas trouvé")</f>
        <v>pas trouvé</v>
      </c>
      <c r="K211" t="str">
        <f>_xlfn.XLOOKUP(_26_03_2026_Log_Reseau_v15[[#This Row],[province RDC]],_26_03_2026_Client_Churn_v1[Province_Client],_26_03_2026_Client_Churn_v1[ID_Client],"non trouvé")</f>
        <v>non trouvé</v>
      </c>
      <c r="L211" t="str">
        <f>_xlfn.XLOOKUP(_26_03_2026_Log_Reseau_v15[[#This Row],[province RDC]],_26_03_2026_Client_Churn_v1[Province_Client],_26_03_2026_Client_Churn_v1[Anciennete_Mois],"non trouvé")</f>
        <v>non trouvé</v>
      </c>
      <c r="M211" t="str">
        <f>_xlfn.XLOOKUP(_26_03_2026_Log_Reseau_v15[[#This Row],[province RDC]],_26_03_2026_Client_Churn_v1[Province_Client],_26_03_2026_Client_Churn_v1[Type_Forfait],"non trouvé")</f>
        <v>non trouvé</v>
      </c>
      <c r="N211" t="str">
        <f>_xlfn.XLOOKUP(_26_03_2026_Log_Reseau_v15[[#This Row],[province RDC]],_26_03_2026_Client_Churn_v1[Province_Client],_26_03_2026_Client_Churn_v1[Duree_Cumulee_Panne_Min],"non trouvé")</f>
        <v>non trouvé</v>
      </c>
      <c r="O211" t="str">
        <f>_xlfn.XLOOKUP(_26_03_2026_Log_Reseau_v15[[#This Row],[province RDC]],_26_03_2026_Client_Churn_v1[Province_Client],_26_03_2026_Client_Churn_v1[Facture_Mensuelle],"non trouvé")</f>
        <v>non trouvé</v>
      </c>
      <c r="P211" t="str">
        <f>_xlfn.XLOOKUP(_26_03_2026_Log_Reseau_v15[[#This Row],[province RDC]],_26_03_2026_Client_Churn_v1[Province_Client],_26_03_2026_Client_Churn_v1[Plaintes_Service_Client],"non trouvé")</f>
        <v>non trouvé</v>
      </c>
    </row>
    <row r="212" spans="1:16" x14ac:dyDescent="0.25">
      <c r="A212" s="1">
        <v>45209</v>
      </c>
      <c r="B212" s="2">
        <v>0.36527777777777776</v>
      </c>
      <c r="C212" t="s">
        <v>943</v>
      </c>
      <c r="D212">
        <v>120</v>
      </c>
      <c r="E212" t="s">
        <v>807</v>
      </c>
      <c r="F212" t="str">
        <f>_xlfn.XLOOKUP(_26_03_2026_Log_Reseau_v15[[#This Row],[Cell_ID]],_26_03_2026_Registre_Maintenance_v1[ID_Antenne],_26_03_2026_Registre_Maintenance_v1[zone],"pas trouvé")</f>
        <v>Sankuru</v>
      </c>
      <c r="G212">
        <f>_xlfn.XLOOKUP(_26_03_2026_Log_Reseau_v15[[#This Row],[Cell_ID]],_26_03_2026_Registre_Maintenance_v1[ID_Antenne],_26_03_2026_Registre_Maintenance_v1[Latitude],"non trouvé")</f>
        <v>-1.4110389999999999</v>
      </c>
      <c r="H212">
        <f>_xlfn.XLOOKUP(_26_03_2026_Log_Reseau_v15[[#This Row],[Cell_ID]],_26_03_2026_Registre_Maintenance_v1[ID_Antenne],_26_03_2026_Registre_Maintenance_v1[Longitude],"pas trouvé")</f>
        <v>21.261644</v>
      </c>
      <c r="I212" t="str">
        <f>_xlfn.XLOOKUP(_26_03_2026_Log_Reseau_v15[[#This Row],[Cell_ID]],_26_03_2026_Registre_Maintenance_v1[ID_Antenne],_26_03_2026_Registre_Maintenance_v1[Technologie],"non trouvé")</f>
        <v>4G</v>
      </c>
      <c r="J212" t="str">
        <f>_xlfn.XLOOKUP(_26_03_2026_Log_Reseau_v15[[#This Row],[Cell_ID]],_26_03_2026_Registre_Maintenance_v1[ID_Antenne],_26_03_2026_Registre_Maintenance_v1[Equipementier],"pas trouvé")</f>
        <v>ZTE</v>
      </c>
      <c r="K212" t="str">
        <f>_xlfn.XLOOKUP(_26_03_2026_Log_Reseau_v15[[#This Row],[province RDC]],_26_03_2026_Client_Churn_v1[Province_Client],_26_03_2026_Client_Churn_v1[ID_Client],"non trouvé")</f>
        <v>CLI-00530</v>
      </c>
      <c r="L212">
        <f>_xlfn.XLOOKUP(_26_03_2026_Log_Reseau_v15[[#This Row],[province RDC]],_26_03_2026_Client_Churn_v1[Province_Client],_26_03_2026_Client_Churn_v1[Anciennete_Mois],"non trouvé")</f>
        <v>35</v>
      </c>
      <c r="M212" t="str">
        <f>_xlfn.XLOOKUP(_26_03_2026_Log_Reseau_v15[[#This Row],[province RDC]],_26_03_2026_Client_Churn_v1[Province_Client],_26_03_2026_Client_Churn_v1[Type_Forfait],"non trouvé")</f>
        <v>Pro Monde</v>
      </c>
      <c r="N212">
        <f>_xlfn.XLOOKUP(_26_03_2026_Log_Reseau_v15[[#This Row],[province RDC]],_26_03_2026_Client_Churn_v1[Province_Client],_26_03_2026_Client_Churn_v1[Duree_Cumulee_Panne_Min],"non trouvé")</f>
        <v>465</v>
      </c>
      <c r="O212">
        <f>_xlfn.XLOOKUP(_26_03_2026_Log_Reseau_v15[[#This Row],[province RDC]],_26_03_2026_Client_Churn_v1[Province_Client],_26_03_2026_Client_Churn_v1[Facture_Mensuelle],"non trouvé")</f>
        <v>58.59</v>
      </c>
      <c r="P212">
        <f>_xlfn.XLOOKUP(_26_03_2026_Log_Reseau_v15[[#This Row],[province RDC]],_26_03_2026_Client_Churn_v1[Province_Client],_26_03_2026_Client_Churn_v1[Plaintes_Service_Client],"non trouvé")</f>
        <v>5</v>
      </c>
    </row>
    <row r="213" spans="1:16" x14ac:dyDescent="0.25">
      <c r="A213" s="1">
        <v>45211</v>
      </c>
      <c r="B213" s="2">
        <v>0.72499999999999998</v>
      </c>
      <c r="C213" t="s">
        <v>943</v>
      </c>
      <c r="D213">
        <v>84</v>
      </c>
      <c r="E213" t="s">
        <v>812</v>
      </c>
      <c r="F213" t="str">
        <f>_xlfn.XLOOKUP(_26_03_2026_Log_Reseau_v15[[#This Row],[Cell_ID]],_26_03_2026_Registre_Maintenance_v1[ID_Antenne],_26_03_2026_Registre_Maintenance_v1[zone],"pas trouvé")</f>
        <v>Sankuru</v>
      </c>
      <c r="G213">
        <f>_xlfn.XLOOKUP(_26_03_2026_Log_Reseau_v15[[#This Row],[Cell_ID]],_26_03_2026_Registre_Maintenance_v1[ID_Antenne],_26_03_2026_Registre_Maintenance_v1[Latitude],"non trouvé")</f>
        <v>-1.4110389999999999</v>
      </c>
      <c r="H213">
        <f>_xlfn.XLOOKUP(_26_03_2026_Log_Reseau_v15[[#This Row],[Cell_ID]],_26_03_2026_Registre_Maintenance_v1[ID_Antenne],_26_03_2026_Registre_Maintenance_v1[Longitude],"pas trouvé")</f>
        <v>21.261644</v>
      </c>
      <c r="I213" t="str">
        <f>_xlfn.XLOOKUP(_26_03_2026_Log_Reseau_v15[[#This Row],[Cell_ID]],_26_03_2026_Registre_Maintenance_v1[ID_Antenne],_26_03_2026_Registre_Maintenance_v1[Technologie],"non trouvé")</f>
        <v>4G</v>
      </c>
      <c r="J213" t="str">
        <f>_xlfn.XLOOKUP(_26_03_2026_Log_Reseau_v15[[#This Row],[Cell_ID]],_26_03_2026_Registre_Maintenance_v1[ID_Antenne],_26_03_2026_Registre_Maintenance_v1[Equipementier],"pas trouvé")</f>
        <v>ZTE</v>
      </c>
      <c r="K213" t="str">
        <f>_xlfn.XLOOKUP(_26_03_2026_Log_Reseau_v15[[#This Row],[province RDC]],_26_03_2026_Client_Churn_v1[Province_Client],_26_03_2026_Client_Churn_v1[ID_Client],"non trouvé")</f>
        <v>CLI-00530</v>
      </c>
      <c r="L213">
        <f>_xlfn.XLOOKUP(_26_03_2026_Log_Reseau_v15[[#This Row],[province RDC]],_26_03_2026_Client_Churn_v1[Province_Client],_26_03_2026_Client_Churn_v1[Anciennete_Mois],"non trouvé")</f>
        <v>35</v>
      </c>
      <c r="M213" t="str">
        <f>_xlfn.XLOOKUP(_26_03_2026_Log_Reseau_v15[[#This Row],[province RDC]],_26_03_2026_Client_Churn_v1[Province_Client],_26_03_2026_Client_Churn_v1[Type_Forfait],"non trouvé")</f>
        <v>Pro Monde</v>
      </c>
      <c r="N213">
        <f>_xlfn.XLOOKUP(_26_03_2026_Log_Reseau_v15[[#This Row],[province RDC]],_26_03_2026_Client_Churn_v1[Province_Client],_26_03_2026_Client_Churn_v1[Duree_Cumulee_Panne_Min],"non trouvé")</f>
        <v>465</v>
      </c>
      <c r="O213">
        <f>_xlfn.XLOOKUP(_26_03_2026_Log_Reseau_v15[[#This Row],[province RDC]],_26_03_2026_Client_Churn_v1[Province_Client],_26_03_2026_Client_Churn_v1[Facture_Mensuelle],"non trouvé")</f>
        <v>58.59</v>
      </c>
      <c r="P213">
        <f>_xlfn.XLOOKUP(_26_03_2026_Log_Reseau_v15[[#This Row],[province RDC]],_26_03_2026_Client_Churn_v1[Province_Client],_26_03_2026_Client_Churn_v1[Plaintes_Service_Client],"non trouvé")</f>
        <v>5</v>
      </c>
    </row>
    <row r="214" spans="1:16" x14ac:dyDescent="0.25">
      <c r="A214" s="1">
        <v>45215</v>
      </c>
      <c r="B214" s="2">
        <v>0.99027777777777781</v>
      </c>
      <c r="C214" t="s">
        <v>943</v>
      </c>
      <c r="D214">
        <v>66</v>
      </c>
      <c r="E214" t="s">
        <v>812</v>
      </c>
      <c r="F214" t="str">
        <f>_xlfn.XLOOKUP(_26_03_2026_Log_Reseau_v15[[#This Row],[Cell_ID]],_26_03_2026_Registre_Maintenance_v1[ID_Antenne],_26_03_2026_Registre_Maintenance_v1[zone],"pas trouvé")</f>
        <v>Sankuru</v>
      </c>
      <c r="G214">
        <f>_xlfn.XLOOKUP(_26_03_2026_Log_Reseau_v15[[#This Row],[Cell_ID]],_26_03_2026_Registre_Maintenance_v1[ID_Antenne],_26_03_2026_Registre_Maintenance_v1[Latitude],"non trouvé")</f>
        <v>-1.4110389999999999</v>
      </c>
      <c r="H214">
        <f>_xlfn.XLOOKUP(_26_03_2026_Log_Reseau_v15[[#This Row],[Cell_ID]],_26_03_2026_Registre_Maintenance_v1[ID_Antenne],_26_03_2026_Registre_Maintenance_v1[Longitude],"pas trouvé")</f>
        <v>21.261644</v>
      </c>
      <c r="I214" t="str">
        <f>_xlfn.XLOOKUP(_26_03_2026_Log_Reseau_v15[[#This Row],[Cell_ID]],_26_03_2026_Registre_Maintenance_v1[ID_Antenne],_26_03_2026_Registre_Maintenance_v1[Technologie],"non trouvé")</f>
        <v>4G</v>
      </c>
      <c r="J214" t="str">
        <f>_xlfn.XLOOKUP(_26_03_2026_Log_Reseau_v15[[#This Row],[Cell_ID]],_26_03_2026_Registre_Maintenance_v1[ID_Antenne],_26_03_2026_Registre_Maintenance_v1[Equipementier],"pas trouvé")</f>
        <v>ZTE</v>
      </c>
      <c r="K214" t="str">
        <f>_xlfn.XLOOKUP(_26_03_2026_Log_Reseau_v15[[#This Row],[province RDC]],_26_03_2026_Client_Churn_v1[Province_Client],_26_03_2026_Client_Churn_v1[ID_Client],"non trouvé")</f>
        <v>CLI-00530</v>
      </c>
      <c r="L214">
        <f>_xlfn.XLOOKUP(_26_03_2026_Log_Reseau_v15[[#This Row],[province RDC]],_26_03_2026_Client_Churn_v1[Province_Client],_26_03_2026_Client_Churn_v1[Anciennete_Mois],"non trouvé")</f>
        <v>35</v>
      </c>
      <c r="M214" t="str">
        <f>_xlfn.XLOOKUP(_26_03_2026_Log_Reseau_v15[[#This Row],[province RDC]],_26_03_2026_Client_Churn_v1[Province_Client],_26_03_2026_Client_Churn_v1[Type_Forfait],"non trouvé")</f>
        <v>Pro Monde</v>
      </c>
      <c r="N214">
        <f>_xlfn.XLOOKUP(_26_03_2026_Log_Reseau_v15[[#This Row],[province RDC]],_26_03_2026_Client_Churn_v1[Province_Client],_26_03_2026_Client_Churn_v1[Duree_Cumulee_Panne_Min],"non trouvé")</f>
        <v>465</v>
      </c>
      <c r="O214">
        <f>_xlfn.XLOOKUP(_26_03_2026_Log_Reseau_v15[[#This Row],[province RDC]],_26_03_2026_Client_Churn_v1[Province_Client],_26_03_2026_Client_Churn_v1[Facture_Mensuelle],"non trouvé")</f>
        <v>58.59</v>
      </c>
      <c r="P214">
        <f>_xlfn.XLOOKUP(_26_03_2026_Log_Reseau_v15[[#This Row],[province RDC]],_26_03_2026_Client_Churn_v1[Province_Client],_26_03_2026_Client_Churn_v1[Plaintes_Service_Client],"non trouvé")</f>
        <v>5</v>
      </c>
    </row>
    <row r="215" spans="1:16" x14ac:dyDescent="0.25">
      <c r="A215" s="1">
        <v>45205</v>
      </c>
      <c r="B215" s="2">
        <v>0.92986111111111114</v>
      </c>
      <c r="C215" t="s">
        <v>944</v>
      </c>
      <c r="D215">
        <v>82</v>
      </c>
      <c r="E215" t="s">
        <v>812</v>
      </c>
      <c r="F215" t="str">
        <f>_xlfn.XLOOKUP(_26_03_2026_Log_Reseau_v15[[#This Row],[Cell_ID]],_26_03_2026_Registre_Maintenance_v1[ID_Antenne],_26_03_2026_Registre_Maintenance_v1[zone],"pas trouvé")</f>
        <v>Lualaba</v>
      </c>
      <c r="G215">
        <f>_xlfn.XLOOKUP(_26_03_2026_Log_Reseau_v15[[#This Row],[Cell_ID]],_26_03_2026_Registre_Maintenance_v1[ID_Antenne],_26_03_2026_Registre_Maintenance_v1[Latitude],"non trouvé")</f>
        <v>4.0157999999999996</v>
      </c>
      <c r="H215">
        <f>_xlfn.XLOOKUP(_26_03_2026_Log_Reseau_v15[[#This Row],[Cell_ID]],_26_03_2026_Registre_Maintenance_v1[ID_Antenne],_26_03_2026_Registre_Maintenance_v1[Longitude],"pas trouvé")</f>
        <v>21.430246</v>
      </c>
      <c r="I215" t="str">
        <f>_xlfn.XLOOKUP(_26_03_2026_Log_Reseau_v15[[#This Row],[Cell_ID]],_26_03_2026_Registre_Maintenance_v1[ID_Antenne],_26_03_2026_Registre_Maintenance_v1[Technologie],"non trouvé")</f>
        <v>5G</v>
      </c>
      <c r="J215" t="str">
        <f>_xlfn.XLOOKUP(_26_03_2026_Log_Reseau_v15[[#This Row],[Cell_ID]],_26_03_2026_Registre_Maintenance_v1[ID_Antenne],_26_03_2026_Registre_Maintenance_v1[Equipementier],"pas trouvé")</f>
        <v>Nokia</v>
      </c>
      <c r="K215" t="str">
        <f>_xlfn.XLOOKUP(_26_03_2026_Log_Reseau_v15[[#This Row],[province RDC]],_26_03_2026_Client_Churn_v1[Province_Client],_26_03_2026_Client_Churn_v1[ID_Client],"non trouvé")</f>
        <v>CLI-01005</v>
      </c>
      <c r="L215">
        <f>_xlfn.XLOOKUP(_26_03_2026_Log_Reseau_v15[[#This Row],[province RDC]],_26_03_2026_Client_Churn_v1[Province_Client],_26_03_2026_Client_Churn_v1[Anciennete_Mois],"non trouvé")</f>
        <v>80</v>
      </c>
      <c r="M215" t="str">
        <f>_xlfn.XLOOKUP(_26_03_2026_Log_Reseau_v15[[#This Row],[province RDC]],_26_03_2026_Client_Churn_v1[Province_Client],_26_03_2026_Client_Churn_v1[Type_Forfait],"non trouvé")</f>
        <v>Illimité 50Go</v>
      </c>
      <c r="N215">
        <f>_xlfn.XLOOKUP(_26_03_2026_Log_Reseau_v15[[#This Row],[province RDC]],_26_03_2026_Client_Churn_v1[Province_Client],_26_03_2026_Client_Churn_v1[Duree_Cumulee_Panne_Min],"non trouvé")</f>
        <v>155</v>
      </c>
      <c r="O215">
        <f>_xlfn.XLOOKUP(_26_03_2026_Log_Reseau_v15[[#This Row],[province RDC]],_26_03_2026_Client_Churn_v1[Province_Client],_26_03_2026_Client_Churn_v1[Facture_Mensuelle],"non trouvé")</f>
        <v>28.96</v>
      </c>
      <c r="P215">
        <f>_xlfn.XLOOKUP(_26_03_2026_Log_Reseau_v15[[#This Row],[province RDC]],_26_03_2026_Client_Churn_v1[Province_Client],_26_03_2026_Client_Churn_v1[Plaintes_Service_Client],"non trouvé")</f>
        <v>2</v>
      </c>
    </row>
    <row r="216" spans="1:16" x14ac:dyDescent="0.25">
      <c r="A216" s="1">
        <v>45207</v>
      </c>
      <c r="B216" s="2">
        <v>0.36805555555555558</v>
      </c>
      <c r="C216" t="s">
        <v>945</v>
      </c>
      <c r="D216">
        <v>46</v>
      </c>
      <c r="E216" t="s">
        <v>807</v>
      </c>
      <c r="F216" t="str">
        <f>_xlfn.XLOOKUP(_26_03_2026_Log_Reseau_v15[[#This Row],[Cell_ID]],_26_03_2026_Registre_Maintenance_v1[ID_Antenne],_26_03_2026_Registre_Maintenance_v1[zone],"pas trouvé")</f>
        <v>Tanganyika</v>
      </c>
      <c r="G216">
        <f>_xlfn.XLOOKUP(_26_03_2026_Log_Reseau_v15[[#This Row],[Cell_ID]],_26_03_2026_Registre_Maintenance_v1[ID_Antenne],_26_03_2026_Registre_Maintenance_v1[Latitude],"non trouvé")</f>
        <v>-10.481026999999999</v>
      </c>
      <c r="H216">
        <f>_xlfn.XLOOKUP(_26_03_2026_Log_Reseau_v15[[#This Row],[Cell_ID]],_26_03_2026_Registre_Maintenance_v1[ID_Antenne],_26_03_2026_Registre_Maintenance_v1[Longitude],"pas trouvé")</f>
        <v>18.160464000000001</v>
      </c>
      <c r="I216" t="str">
        <f>_xlfn.XLOOKUP(_26_03_2026_Log_Reseau_v15[[#This Row],[Cell_ID]],_26_03_2026_Registre_Maintenance_v1[ID_Antenne],_26_03_2026_Registre_Maintenance_v1[Technologie],"non trouvé")</f>
        <v>5G</v>
      </c>
      <c r="J216" t="str">
        <f>_xlfn.XLOOKUP(_26_03_2026_Log_Reseau_v15[[#This Row],[Cell_ID]],_26_03_2026_Registre_Maintenance_v1[ID_Antenne],_26_03_2026_Registre_Maintenance_v1[Equipementier],"pas trouvé")</f>
        <v>Huawei</v>
      </c>
      <c r="K216" t="str">
        <f>_xlfn.XLOOKUP(_26_03_2026_Log_Reseau_v15[[#This Row],[province RDC]],_26_03_2026_Client_Churn_v1[Province_Client],_26_03_2026_Client_Churn_v1[ID_Client],"non trouvé")</f>
        <v>CLI-01618</v>
      </c>
      <c r="L216">
        <f>_xlfn.XLOOKUP(_26_03_2026_Log_Reseau_v15[[#This Row],[province RDC]],_26_03_2026_Client_Churn_v1[Province_Client],_26_03_2026_Client_Churn_v1[Anciennete_Mois],"non trouvé")</f>
        <v>115</v>
      </c>
      <c r="M216" t="str">
        <f>_xlfn.XLOOKUP(_26_03_2026_Log_Reseau_v15[[#This Row],[province RDC]],_26_03_2026_Client_Churn_v1[Province_Client],_26_03_2026_Client_Churn_v1[Type_Forfait],"non trouvé")</f>
        <v>Bloqué 5Go</v>
      </c>
      <c r="N216">
        <f>_xlfn.XLOOKUP(_26_03_2026_Log_Reseau_v15[[#This Row],[province RDC]],_26_03_2026_Client_Churn_v1[Province_Client],_26_03_2026_Client_Churn_v1[Duree_Cumulee_Panne_Min],"non trouvé")</f>
        <v>176</v>
      </c>
      <c r="O216">
        <f>_xlfn.XLOOKUP(_26_03_2026_Log_Reseau_v15[[#This Row],[province RDC]],_26_03_2026_Client_Churn_v1[Province_Client],_26_03_2026_Client_Churn_v1[Facture_Mensuelle],"non trouvé")</f>
        <v>33.28</v>
      </c>
      <c r="P216">
        <f>_xlfn.XLOOKUP(_26_03_2026_Log_Reseau_v15[[#This Row],[province RDC]],_26_03_2026_Client_Churn_v1[Province_Client],_26_03_2026_Client_Churn_v1[Plaintes_Service_Client],"non trouvé")</f>
        <v>4</v>
      </c>
    </row>
    <row r="217" spans="1:16" x14ac:dyDescent="0.25">
      <c r="A217" s="1">
        <v>45206</v>
      </c>
      <c r="B217" s="2">
        <v>0.63680555555555551</v>
      </c>
      <c r="C217" t="s">
        <v>946</v>
      </c>
      <c r="D217">
        <v>32</v>
      </c>
      <c r="E217" t="s">
        <v>812</v>
      </c>
      <c r="F217" t="str">
        <f>_xlfn.XLOOKUP(_26_03_2026_Log_Reseau_v15[[#This Row],[Cell_ID]],_26_03_2026_Registre_Maintenance_v1[ID_Antenne],_26_03_2026_Registre_Maintenance_v1[zone],"pas trouvé")</f>
        <v>Sud-Kivu</v>
      </c>
      <c r="G217">
        <f>_xlfn.XLOOKUP(_26_03_2026_Log_Reseau_v15[[#This Row],[Cell_ID]],_26_03_2026_Registre_Maintenance_v1[ID_Antenne],_26_03_2026_Registre_Maintenance_v1[Latitude],"non trouvé")</f>
        <v>-11.514817000000001</v>
      </c>
      <c r="H217">
        <f>_xlfn.XLOOKUP(_26_03_2026_Log_Reseau_v15[[#This Row],[Cell_ID]],_26_03_2026_Registre_Maintenance_v1[ID_Antenne],_26_03_2026_Registre_Maintenance_v1[Longitude],"pas trouvé")</f>
        <v>24.891375</v>
      </c>
      <c r="I217" t="str">
        <f>_xlfn.XLOOKUP(_26_03_2026_Log_Reseau_v15[[#This Row],[Cell_ID]],_26_03_2026_Registre_Maintenance_v1[ID_Antenne],_26_03_2026_Registre_Maintenance_v1[Technologie],"non trouvé")</f>
        <v>3G</v>
      </c>
      <c r="J217" t="str">
        <f>_xlfn.XLOOKUP(_26_03_2026_Log_Reseau_v15[[#This Row],[Cell_ID]],_26_03_2026_Registre_Maintenance_v1[ID_Antenne],_26_03_2026_Registre_Maintenance_v1[Equipementier],"pas trouvé")</f>
        <v>Nokia</v>
      </c>
      <c r="K217" t="str">
        <f>_xlfn.XLOOKUP(_26_03_2026_Log_Reseau_v15[[#This Row],[province RDC]],_26_03_2026_Client_Churn_v1[Province_Client],_26_03_2026_Client_Churn_v1[ID_Client],"non trouvé")</f>
        <v>CLI-01855</v>
      </c>
      <c r="L217">
        <f>_xlfn.XLOOKUP(_26_03_2026_Log_Reseau_v15[[#This Row],[province RDC]],_26_03_2026_Client_Churn_v1[Province_Client],_26_03_2026_Client_Churn_v1[Anciennete_Mois],"non trouvé")</f>
        <v>101</v>
      </c>
      <c r="M217" t="str">
        <f>_xlfn.XLOOKUP(_26_03_2026_Log_Reseau_v15[[#This Row],[province RDC]],_26_03_2026_Client_Churn_v1[Province_Client],_26_03_2026_Client_Churn_v1[Type_Forfait],"non trouvé")</f>
        <v>Illimité 50Go</v>
      </c>
      <c r="N217">
        <f>_xlfn.XLOOKUP(_26_03_2026_Log_Reseau_v15[[#This Row],[province RDC]],_26_03_2026_Client_Churn_v1[Province_Client],_26_03_2026_Client_Churn_v1[Duree_Cumulee_Panne_Min],"non trouvé")</f>
        <v>358</v>
      </c>
      <c r="O217">
        <f>_xlfn.XLOOKUP(_26_03_2026_Log_Reseau_v15[[#This Row],[province RDC]],_26_03_2026_Client_Churn_v1[Province_Client],_26_03_2026_Client_Churn_v1[Facture_Mensuelle],"non trouvé")</f>
        <v>29.24</v>
      </c>
      <c r="P217">
        <f>_xlfn.XLOOKUP(_26_03_2026_Log_Reseau_v15[[#This Row],[province RDC]],_26_03_2026_Client_Churn_v1[Province_Client],_26_03_2026_Client_Churn_v1[Plaintes_Service_Client],"non trouvé")</f>
        <v>3</v>
      </c>
    </row>
    <row r="218" spans="1:16" x14ac:dyDescent="0.25">
      <c r="A218" s="1">
        <v>45218</v>
      </c>
      <c r="B218" s="2">
        <v>0.58958333333333335</v>
      </c>
      <c r="C218" t="s">
        <v>946</v>
      </c>
      <c r="D218">
        <v>21</v>
      </c>
      <c r="E218" t="s">
        <v>807</v>
      </c>
      <c r="F218" t="str">
        <f>_xlfn.XLOOKUP(_26_03_2026_Log_Reseau_v15[[#This Row],[Cell_ID]],_26_03_2026_Registre_Maintenance_v1[ID_Antenne],_26_03_2026_Registre_Maintenance_v1[zone],"pas trouvé")</f>
        <v>Sud-Kivu</v>
      </c>
      <c r="G218">
        <f>_xlfn.XLOOKUP(_26_03_2026_Log_Reseau_v15[[#This Row],[Cell_ID]],_26_03_2026_Registre_Maintenance_v1[ID_Antenne],_26_03_2026_Registre_Maintenance_v1[Latitude],"non trouvé")</f>
        <v>-11.514817000000001</v>
      </c>
      <c r="H218">
        <f>_xlfn.XLOOKUP(_26_03_2026_Log_Reseau_v15[[#This Row],[Cell_ID]],_26_03_2026_Registre_Maintenance_v1[ID_Antenne],_26_03_2026_Registre_Maintenance_v1[Longitude],"pas trouvé")</f>
        <v>24.891375</v>
      </c>
      <c r="I218" t="str">
        <f>_xlfn.XLOOKUP(_26_03_2026_Log_Reseau_v15[[#This Row],[Cell_ID]],_26_03_2026_Registre_Maintenance_v1[ID_Antenne],_26_03_2026_Registre_Maintenance_v1[Technologie],"non trouvé")</f>
        <v>3G</v>
      </c>
      <c r="J218" t="str">
        <f>_xlfn.XLOOKUP(_26_03_2026_Log_Reseau_v15[[#This Row],[Cell_ID]],_26_03_2026_Registre_Maintenance_v1[ID_Antenne],_26_03_2026_Registre_Maintenance_v1[Equipementier],"pas trouvé")</f>
        <v>Nokia</v>
      </c>
      <c r="K218" t="str">
        <f>_xlfn.XLOOKUP(_26_03_2026_Log_Reseau_v15[[#This Row],[province RDC]],_26_03_2026_Client_Churn_v1[Province_Client],_26_03_2026_Client_Churn_v1[ID_Client],"non trouvé")</f>
        <v>CLI-01855</v>
      </c>
      <c r="L218">
        <f>_xlfn.XLOOKUP(_26_03_2026_Log_Reseau_v15[[#This Row],[province RDC]],_26_03_2026_Client_Churn_v1[Province_Client],_26_03_2026_Client_Churn_v1[Anciennete_Mois],"non trouvé")</f>
        <v>101</v>
      </c>
      <c r="M218" t="str">
        <f>_xlfn.XLOOKUP(_26_03_2026_Log_Reseau_v15[[#This Row],[province RDC]],_26_03_2026_Client_Churn_v1[Province_Client],_26_03_2026_Client_Churn_v1[Type_Forfait],"non trouvé")</f>
        <v>Illimité 50Go</v>
      </c>
      <c r="N218">
        <f>_xlfn.XLOOKUP(_26_03_2026_Log_Reseau_v15[[#This Row],[province RDC]],_26_03_2026_Client_Churn_v1[Province_Client],_26_03_2026_Client_Churn_v1[Duree_Cumulee_Panne_Min],"non trouvé")</f>
        <v>358</v>
      </c>
      <c r="O218">
        <f>_xlfn.XLOOKUP(_26_03_2026_Log_Reseau_v15[[#This Row],[province RDC]],_26_03_2026_Client_Churn_v1[Province_Client],_26_03_2026_Client_Churn_v1[Facture_Mensuelle],"non trouvé")</f>
        <v>29.24</v>
      </c>
      <c r="P218">
        <f>_xlfn.XLOOKUP(_26_03_2026_Log_Reseau_v15[[#This Row],[province RDC]],_26_03_2026_Client_Churn_v1[Province_Client],_26_03_2026_Client_Churn_v1[Plaintes_Service_Client],"non trouvé")</f>
        <v>3</v>
      </c>
    </row>
    <row r="219" spans="1:16" x14ac:dyDescent="0.25">
      <c r="A219" s="1">
        <v>45200</v>
      </c>
      <c r="B219" s="2">
        <v>0.91388888888888886</v>
      </c>
      <c r="C219" t="s">
        <v>947</v>
      </c>
      <c r="D219">
        <v>87</v>
      </c>
      <c r="E219" t="s">
        <v>807</v>
      </c>
      <c r="F219" t="str">
        <f>_xlfn.XLOOKUP(_26_03_2026_Log_Reseau_v15[[#This Row],[Cell_ID]],_26_03_2026_Registre_Maintenance_v1[ID_Antenne],_26_03_2026_Registre_Maintenance_v1[zone],"pas trouvé")</f>
        <v>Sankuru</v>
      </c>
      <c r="G219">
        <f>_xlfn.XLOOKUP(_26_03_2026_Log_Reseau_v15[[#This Row],[Cell_ID]],_26_03_2026_Registre_Maintenance_v1[ID_Antenne],_26_03_2026_Registre_Maintenance_v1[Latitude],"non trouvé")</f>
        <v>3.175935</v>
      </c>
      <c r="H219">
        <f>_xlfn.XLOOKUP(_26_03_2026_Log_Reseau_v15[[#This Row],[Cell_ID]],_26_03_2026_Registre_Maintenance_v1[ID_Antenne],_26_03_2026_Registre_Maintenance_v1[Longitude],"pas trouvé")</f>
        <v>16.862832000000001</v>
      </c>
      <c r="I219" t="str">
        <f>_xlfn.XLOOKUP(_26_03_2026_Log_Reseau_v15[[#This Row],[Cell_ID]],_26_03_2026_Registre_Maintenance_v1[ID_Antenne],_26_03_2026_Registre_Maintenance_v1[Technologie],"non trouvé")</f>
        <v>5G</v>
      </c>
      <c r="J219" t="str">
        <f>_xlfn.XLOOKUP(_26_03_2026_Log_Reseau_v15[[#This Row],[Cell_ID]],_26_03_2026_Registre_Maintenance_v1[ID_Antenne],_26_03_2026_Registre_Maintenance_v1[Equipementier],"pas trouvé")</f>
        <v>Ericsson</v>
      </c>
      <c r="K219" t="str">
        <f>_xlfn.XLOOKUP(_26_03_2026_Log_Reseau_v15[[#This Row],[province RDC]],_26_03_2026_Client_Churn_v1[Province_Client],_26_03_2026_Client_Churn_v1[ID_Client],"non trouvé")</f>
        <v>CLI-00530</v>
      </c>
      <c r="L219">
        <f>_xlfn.XLOOKUP(_26_03_2026_Log_Reseau_v15[[#This Row],[province RDC]],_26_03_2026_Client_Churn_v1[Province_Client],_26_03_2026_Client_Churn_v1[Anciennete_Mois],"non trouvé")</f>
        <v>35</v>
      </c>
      <c r="M219" t="str">
        <f>_xlfn.XLOOKUP(_26_03_2026_Log_Reseau_v15[[#This Row],[province RDC]],_26_03_2026_Client_Churn_v1[Province_Client],_26_03_2026_Client_Churn_v1[Type_Forfait],"non trouvé")</f>
        <v>Pro Monde</v>
      </c>
      <c r="N219">
        <f>_xlfn.XLOOKUP(_26_03_2026_Log_Reseau_v15[[#This Row],[province RDC]],_26_03_2026_Client_Churn_v1[Province_Client],_26_03_2026_Client_Churn_v1[Duree_Cumulee_Panne_Min],"non trouvé")</f>
        <v>465</v>
      </c>
      <c r="O219">
        <f>_xlfn.XLOOKUP(_26_03_2026_Log_Reseau_v15[[#This Row],[province RDC]],_26_03_2026_Client_Churn_v1[Province_Client],_26_03_2026_Client_Churn_v1[Facture_Mensuelle],"non trouvé")</f>
        <v>58.59</v>
      </c>
      <c r="P219">
        <f>_xlfn.XLOOKUP(_26_03_2026_Log_Reseau_v15[[#This Row],[province RDC]],_26_03_2026_Client_Churn_v1[Province_Client],_26_03_2026_Client_Churn_v1[Plaintes_Service_Client],"non trouvé")</f>
        <v>5</v>
      </c>
    </row>
    <row r="220" spans="1:16" hidden="1" x14ac:dyDescent="0.25">
      <c r="A220" s="1">
        <v>45213</v>
      </c>
      <c r="B220" s="2">
        <v>0.60763888888888884</v>
      </c>
      <c r="C220" t="s">
        <v>948</v>
      </c>
      <c r="D220">
        <v>22</v>
      </c>
      <c r="E220" t="s">
        <v>807</v>
      </c>
      <c r="F220" t="str">
        <f>_xlfn.XLOOKUP(_26_03_2026_Log_Reseau_v15[[#This Row],[Cell_ID]],_26_03_2026_Registre_Maintenance_v1[ID_Antenne],_26_03_2026_Registre_Maintenance_v1[zone],"pas trouvé")</f>
        <v>pas trouvé</v>
      </c>
      <c r="G220" t="str">
        <f>_xlfn.XLOOKUP(_26_03_2026_Log_Reseau_v15[[#This Row],[Cell_ID]],_26_03_2026_Registre_Maintenance_v1[ID_Antenne],_26_03_2026_Registre_Maintenance_v1[Latitude],"non trouvé")</f>
        <v>non trouvé</v>
      </c>
      <c r="H220" t="str">
        <f>_xlfn.XLOOKUP(_26_03_2026_Log_Reseau_v15[[#This Row],[Cell_ID]],_26_03_2026_Registre_Maintenance_v1[ID_Antenne],_26_03_2026_Registre_Maintenance_v1[Longitude],"pas trouvé")</f>
        <v>pas trouvé</v>
      </c>
      <c r="I220" t="str">
        <f>_xlfn.XLOOKUP(_26_03_2026_Log_Reseau_v15[[#This Row],[Cell_ID]],_26_03_2026_Registre_Maintenance_v1[ID_Antenne],_26_03_2026_Registre_Maintenance_v1[Technologie],"non trouvé")</f>
        <v>non trouvé</v>
      </c>
      <c r="J220" t="str">
        <f>_xlfn.XLOOKUP(_26_03_2026_Log_Reseau_v15[[#This Row],[Cell_ID]],_26_03_2026_Registre_Maintenance_v1[ID_Antenne],_26_03_2026_Registre_Maintenance_v1[Equipementier],"pas trouvé")</f>
        <v>pas trouvé</v>
      </c>
      <c r="K220" t="str">
        <f>_xlfn.XLOOKUP(_26_03_2026_Log_Reseau_v15[[#This Row],[province RDC]],_26_03_2026_Client_Churn_v1[Province_Client],_26_03_2026_Client_Churn_v1[ID_Client],"non trouvé")</f>
        <v>non trouvé</v>
      </c>
      <c r="L220" t="str">
        <f>_xlfn.XLOOKUP(_26_03_2026_Log_Reseau_v15[[#This Row],[province RDC]],_26_03_2026_Client_Churn_v1[Province_Client],_26_03_2026_Client_Churn_v1[Anciennete_Mois],"non trouvé")</f>
        <v>non trouvé</v>
      </c>
      <c r="M220" t="str">
        <f>_xlfn.XLOOKUP(_26_03_2026_Log_Reseau_v15[[#This Row],[province RDC]],_26_03_2026_Client_Churn_v1[Province_Client],_26_03_2026_Client_Churn_v1[Type_Forfait],"non trouvé")</f>
        <v>non trouvé</v>
      </c>
      <c r="N220" t="str">
        <f>_xlfn.XLOOKUP(_26_03_2026_Log_Reseau_v15[[#This Row],[province RDC]],_26_03_2026_Client_Churn_v1[Province_Client],_26_03_2026_Client_Churn_v1[Duree_Cumulee_Panne_Min],"non trouvé")</f>
        <v>non trouvé</v>
      </c>
      <c r="O220" t="str">
        <f>_xlfn.XLOOKUP(_26_03_2026_Log_Reseau_v15[[#This Row],[province RDC]],_26_03_2026_Client_Churn_v1[Province_Client],_26_03_2026_Client_Churn_v1[Facture_Mensuelle],"non trouvé")</f>
        <v>non trouvé</v>
      </c>
      <c r="P220" t="str">
        <f>_xlfn.XLOOKUP(_26_03_2026_Log_Reseau_v15[[#This Row],[province RDC]],_26_03_2026_Client_Churn_v1[Province_Client],_26_03_2026_Client_Churn_v1[Plaintes_Service_Client],"non trouvé")</f>
        <v>non trouvé</v>
      </c>
    </row>
    <row r="221" spans="1:16" hidden="1" x14ac:dyDescent="0.25">
      <c r="A221" s="1">
        <v>45206</v>
      </c>
      <c r="B221" s="2">
        <v>0.7680555555555556</v>
      </c>
      <c r="C221" t="s">
        <v>949</v>
      </c>
      <c r="D221">
        <v>35</v>
      </c>
      <c r="E221" t="s">
        <v>812</v>
      </c>
      <c r="F221" t="str">
        <f>_xlfn.XLOOKUP(_26_03_2026_Log_Reseau_v15[[#This Row],[Cell_ID]],_26_03_2026_Registre_Maintenance_v1[ID_Antenne],_26_03_2026_Registre_Maintenance_v1[zone],"pas trouvé")</f>
        <v>pas trouvé</v>
      </c>
      <c r="G221" t="str">
        <f>_xlfn.XLOOKUP(_26_03_2026_Log_Reseau_v15[[#This Row],[Cell_ID]],_26_03_2026_Registre_Maintenance_v1[ID_Antenne],_26_03_2026_Registre_Maintenance_v1[Latitude],"non trouvé")</f>
        <v>non trouvé</v>
      </c>
      <c r="H221" t="str">
        <f>_xlfn.XLOOKUP(_26_03_2026_Log_Reseau_v15[[#This Row],[Cell_ID]],_26_03_2026_Registre_Maintenance_v1[ID_Antenne],_26_03_2026_Registre_Maintenance_v1[Longitude],"pas trouvé")</f>
        <v>pas trouvé</v>
      </c>
      <c r="I221" t="str">
        <f>_xlfn.XLOOKUP(_26_03_2026_Log_Reseau_v15[[#This Row],[Cell_ID]],_26_03_2026_Registre_Maintenance_v1[ID_Antenne],_26_03_2026_Registre_Maintenance_v1[Technologie],"non trouvé")</f>
        <v>non trouvé</v>
      </c>
      <c r="J221" t="str">
        <f>_xlfn.XLOOKUP(_26_03_2026_Log_Reseau_v15[[#This Row],[Cell_ID]],_26_03_2026_Registre_Maintenance_v1[ID_Antenne],_26_03_2026_Registre_Maintenance_v1[Equipementier],"pas trouvé")</f>
        <v>pas trouvé</v>
      </c>
      <c r="K221" t="str">
        <f>_xlfn.XLOOKUP(_26_03_2026_Log_Reseau_v15[[#This Row],[province RDC]],_26_03_2026_Client_Churn_v1[Province_Client],_26_03_2026_Client_Churn_v1[ID_Client],"non trouvé")</f>
        <v>non trouvé</v>
      </c>
      <c r="L221" t="str">
        <f>_xlfn.XLOOKUP(_26_03_2026_Log_Reseau_v15[[#This Row],[province RDC]],_26_03_2026_Client_Churn_v1[Province_Client],_26_03_2026_Client_Churn_v1[Anciennete_Mois],"non trouvé")</f>
        <v>non trouvé</v>
      </c>
      <c r="M221" t="str">
        <f>_xlfn.XLOOKUP(_26_03_2026_Log_Reseau_v15[[#This Row],[province RDC]],_26_03_2026_Client_Churn_v1[Province_Client],_26_03_2026_Client_Churn_v1[Type_Forfait],"non trouvé")</f>
        <v>non trouvé</v>
      </c>
      <c r="N221" t="str">
        <f>_xlfn.XLOOKUP(_26_03_2026_Log_Reseau_v15[[#This Row],[province RDC]],_26_03_2026_Client_Churn_v1[Province_Client],_26_03_2026_Client_Churn_v1[Duree_Cumulee_Panne_Min],"non trouvé")</f>
        <v>non trouvé</v>
      </c>
      <c r="O221" t="str">
        <f>_xlfn.XLOOKUP(_26_03_2026_Log_Reseau_v15[[#This Row],[province RDC]],_26_03_2026_Client_Churn_v1[Province_Client],_26_03_2026_Client_Churn_v1[Facture_Mensuelle],"non trouvé")</f>
        <v>non trouvé</v>
      </c>
      <c r="P221" t="str">
        <f>_xlfn.XLOOKUP(_26_03_2026_Log_Reseau_v15[[#This Row],[province RDC]],_26_03_2026_Client_Churn_v1[Province_Client],_26_03_2026_Client_Churn_v1[Plaintes_Service_Client],"non trouvé")</f>
        <v>non trouvé</v>
      </c>
    </row>
    <row r="222" spans="1:16" x14ac:dyDescent="0.25">
      <c r="A222" s="1">
        <v>45203</v>
      </c>
      <c r="B222" s="2">
        <v>0.71597222222222223</v>
      </c>
      <c r="C222" t="s">
        <v>950</v>
      </c>
      <c r="D222">
        <v>68</v>
      </c>
      <c r="E222" t="s">
        <v>808</v>
      </c>
      <c r="F222" t="str">
        <f>_xlfn.XLOOKUP(_26_03_2026_Log_Reseau_v15[[#This Row],[Cell_ID]],_26_03_2026_Registre_Maintenance_v1[ID_Antenne],_26_03_2026_Registre_Maintenance_v1[zone],"pas trouvé")</f>
        <v>Nord-Kivu</v>
      </c>
      <c r="G222">
        <f>_xlfn.XLOOKUP(_26_03_2026_Log_Reseau_v15[[#This Row],[Cell_ID]],_26_03_2026_Registre_Maintenance_v1[ID_Antenne],_26_03_2026_Registre_Maintenance_v1[Latitude],"non trouvé")</f>
        <v>-7.9866700000000002</v>
      </c>
      <c r="H222">
        <f>_xlfn.XLOOKUP(_26_03_2026_Log_Reseau_v15[[#This Row],[Cell_ID]],_26_03_2026_Registre_Maintenance_v1[ID_Antenne],_26_03_2026_Registre_Maintenance_v1[Longitude],"pas trouvé")</f>
        <v>17.757847000000002</v>
      </c>
      <c r="I222" t="str">
        <f>_xlfn.XLOOKUP(_26_03_2026_Log_Reseau_v15[[#This Row],[Cell_ID]],_26_03_2026_Registre_Maintenance_v1[ID_Antenne],_26_03_2026_Registre_Maintenance_v1[Technologie],"non trouvé")</f>
        <v>5G</v>
      </c>
      <c r="J222" t="str">
        <f>_xlfn.XLOOKUP(_26_03_2026_Log_Reseau_v15[[#This Row],[Cell_ID]],_26_03_2026_Registre_Maintenance_v1[ID_Antenne],_26_03_2026_Registre_Maintenance_v1[Equipementier],"pas trouvé")</f>
        <v>Huawei</v>
      </c>
      <c r="K222" t="str">
        <f>_xlfn.XLOOKUP(_26_03_2026_Log_Reseau_v15[[#This Row],[province RDC]],_26_03_2026_Client_Churn_v1[Province_Client],_26_03_2026_Client_Churn_v1[ID_Client],"non trouvé")</f>
        <v>CLI-00837</v>
      </c>
      <c r="L222">
        <f>_xlfn.XLOOKUP(_26_03_2026_Log_Reseau_v15[[#This Row],[province RDC]],_26_03_2026_Client_Churn_v1[Province_Client],_26_03_2026_Client_Churn_v1[Anciennete_Mois],"non trouvé")</f>
        <v>16</v>
      </c>
      <c r="M222" t="str">
        <f>_xlfn.XLOOKUP(_26_03_2026_Log_Reseau_v15[[#This Row],[province RDC]],_26_03_2026_Client_Churn_v1[Province_Client],_26_03_2026_Client_Churn_v1[Type_Forfait],"non trouvé")</f>
        <v>Bloqué 5Go</v>
      </c>
      <c r="N222">
        <f>_xlfn.XLOOKUP(_26_03_2026_Log_Reseau_v15[[#This Row],[province RDC]],_26_03_2026_Client_Churn_v1[Province_Client],_26_03_2026_Client_Churn_v1[Duree_Cumulee_Panne_Min],"non trouvé")</f>
        <v>390</v>
      </c>
      <c r="O222">
        <f>_xlfn.XLOOKUP(_26_03_2026_Log_Reseau_v15[[#This Row],[province RDC]],_26_03_2026_Client_Churn_v1[Province_Client],_26_03_2026_Client_Churn_v1[Facture_Mensuelle],"non trouvé")</f>
        <v>98.17</v>
      </c>
      <c r="P222">
        <f>_xlfn.XLOOKUP(_26_03_2026_Log_Reseau_v15[[#This Row],[province RDC]],_26_03_2026_Client_Churn_v1[Province_Client],_26_03_2026_Client_Churn_v1[Plaintes_Service_Client],"non trouvé")</f>
        <v>5</v>
      </c>
    </row>
    <row r="223" spans="1:16" x14ac:dyDescent="0.25">
      <c r="A223" s="1">
        <v>45222</v>
      </c>
      <c r="B223" s="2">
        <v>0.47916666666666669</v>
      </c>
      <c r="C223" t="s">
        <v>951</v>
      </c>
      <c r="D223">
        <v>112</v>
      </c>
      <c r="E223" t="s">
        <v>808</v>
      </c>
      <c r="F223" t="str">
        <f>_xlfn.XLOOKUP(_26_03_2026_Log_Reseau_v15[[#This Row],[Cell_ID]],_26_03_2026_Registre_Maintenance_v1[ID_Antenne],_26_03_2026_Registre_Maintenance_v1[zone],"pas trouvé")</f>
        <v>Haut-Uele</v>
      </c>
      <c r="G223">
        <f>_xlfn.XLOOKUP(_26_03_2026_Log_Reseau_v15[[#This Row],[Cell_ID]],_26_03_2026_Registre_Maintenance_v1[ID_Antenne],_26_03_2026_Registre_Maintenance_v1[Latitude],"non trouvé")</f>
        <v>-8.8118569999999998</v>
      </c>
      <c r="H223">
        <f>_xlfn.XLOOKUP(_26_03_2026_Log_Reseau_v15[[#This Row],[Cell_ID]],_26_03_2026_Registre_Maintenance_v1[ID_Antenne],_26_03_2026_Registre_Maintenance_v1[Longitude],"pas trouvé")</f>
        <v>14.465711000000001</v>
      </c>
      <c r="I223" t="str">
        <f>_xlfn.XLOOKUP(_26_03_2026_Log_Reseau_v15[[#This Row],[Cell_ID]],_26_03_2026_Registre_Maintenance_v1[ID_Antenne],_26_03_2026_Registre_Maintenance_v1[Technologie],"non trouvé")</f>
        <v>5G</v>
      </c>
      <c r="J223" t="str">
        <f>_xlfn.XLOOKUP(_26_03_2026_Log_Reseau_v15[[#This Row],[Cell_ID]],_26_03_2026_Registre_Maintenance_v1[ID_Antenne],_26_03_2026_Registre_Maintenance_v1[Equipementier],"pas trouvé")</f>
        <v>Nokia</v>
      </c>
      <c r="K223" t="str">
        <f>_xlfn.XLOOKUP(_26_03_2026_Log_Reseau_v15[[#This Row],[province RDC]],_26_03_2026_Client_Churn_v1[Province_Client],_26_03_2026_Client_Churn_v1[ID_Client],"non trouvé")</f>
        <v>CLI-00439</v>
      </c>
      <c r="L223">
        <f>_xlfn.XLOOKUP(_26_03_2026_Log_Reseau_v15[[#This Row],[province RDC]],_26_03_2026_Client_Churn_v1[Province_Client],_26_03_2026_Client_Churn_v1[Anciennete_Mois],"non trouvé")</f>
        <v>40</v>
      </c>
      <c r="M223" t="str">
        <f>_xlfn.XLOOKUP(_26_03_2026_Log_Reseau_v15[[#This Row],[province RDC]],_26_03_2026_Client_Churn_v1[Province_Client],_26_03_2026_Client_Churn_v1[Type_Forfait],"non trouvé")</f>
        <v>Premium 5G 150Go</v>
      </c>
      <c r="N223">
        <f>_xlfn.XLOOKUP(_26_03_2026_Log_Reseau_v15[[#This Row],[province RDC]],_26_03_2026_Client_Churn_v1[Province_Client],_26_03_2026_Client_Churn_v1[Duree_Cumulee_Panne_Min],"non trouvé")</f>
        <v>345</v>
      </c>
      <c r="O223">
        <f>_xlfn.XLOOKUP(_26_03_2026_Log_Reseau_v15[[#This Row],[province RDC]],_26_03_2026_Client_Churn_v1[Province_Client],_26_03_2026_Client_Churn_v1[Facture_Mensuelle],"non trouvé")</f>
        <v>89.55</v>
      </c>
      <c r="P223">
        <f>_xlfn.XLOOKUP(_26_03_2026_Log_Reseau_v15[[#This Row],[province RDC]],_26_03_2026_Client_Churn_v1[Province_Client],_26_03_2026_Client_Churn_v1[Plaintes_Service_Client],"non trouvé")</f>
        <v>3</v>
      </c>
    </row>
    <row r="224" spans="1:16" x14ac:dyDescent="0.25">
      <c r="A224" s="1">
        <v>45211</v>
      </c>
      <c r="B224" s="2">
        <v>0.58750000000000002</v>
      </c>
      <c r="C224" t="s">
        <v>952</v>
      </c>
      <c r="D224">
        <v>27</v>
      </c>
      <c r="E224" t="s">
        <v>812</v>
      </c>
      <c r="F224" t="str">
        <f>_xlfn.XLOOKUP(_26_03_2026_Log_Reseau_v15[[#This Row],[Cell_ID]],_26_03_2026_Registre_Maintenance_v1[ID_Antenne],_26_03_2026_Registre_Maintenance_v1[zone],"pas trouvé")</f>
        <v>Equateur</v>
      </c>
      <c r="G224">
        <f>_xlfn.XLOOKUP(_26_03_2026_Log_Reseau_v15[[#This Row],[Cell_ID]],_26_03_2026_Registre_Maintenance_v1[ID_Antenne],_26_03_2026_Registre_Maintenance_v1[Latitude],"non trouvé")</f>
        <v>-7.8215969999999997</v>
      </c>
      <c r="H224">
        <f>_xlfn.XLOOKUP(_26_03_2026_Log_Reseau_v15[[#This Row],[Cell_ID]],_26_03_2026_Registre_Maintenance_v1[ID_Antenne],_26_03_2026_Registre_Maintenance_v1[Longitude],"pas trouvé")</f>
        <v>26.797349000000001</v>
      </c>
      <c r="I224" t="str">
        <f>_xlfn.XLOOKUP(_26_03_2026_Log_Reseau_v15[[#This Row],[Cell_ID]],_26_03_2026_Registre_Maintenance_v1[ID_Antenne],_26_03_2026_Registre_Maintenance_v1[Technologie],"non trouvé")</f>
        <v>3G</v>
      </c>
      <c r="J224" t="str">
        <f>_xlfn.XLOOKUP(_26_03_2026_Log_Reseau_v15[[#This Row],[Cell_ID]],_26_03_2026_Registre_Maintenance_v1[ID_Antenne],_26_03_2026_Registre_Maintenance_v1[Equipementier],"pas trouvé")</f>
        <v>Ericsson</v>
      </c>
      <c r="K224" t="str">
        <f>_xlfn.XLOOKUP(_26_03_2026_Log_Reseau_v15[[#This Row],[province RDC]],_26_03_2026_Client_Churn_v1[Province_Client],_26_03_2026_Client_Churn_v1[ID_Client],"non trouvé")</f>
        <v>CLI-00643</v>
      </c>
      <c r="L224">
        <f>_xlfn.XLOOKUP(_26_03_2026_Log_Reseau_v15[[#This Row],[province RDC]],_26_03_2026_Client_Churn_v1[Province_Client],_26_03_2026_Client_Churn_v1[Anciennete_Mois],"non trouvé")</f>
        <v>14</v>
      </c>
      <c r="M224" t="str">
        <f>_xlfn.XLOOKUP(_26_03_2026_Log_Reseau_v15[[#This Row],[province RDC]],_26_03_2026_Client_Churn_v1[Province_Client],_26_03_2026_Client_Churn_v1[Type_Forfait],"non trouvé")</f>
        <v>Pro Monde</v>
      </c>
      <c r="N224">
        <f>_xlfn.XLOOKUP(_26_03_2026_Log_Reseau_v15[[#This Row],[province RDC]],_26_03_2026_Client_Churn_v1[Province_Client],_26_03_2026_Client_Churn_v1[Duree_Cumulee_Panne_Min],"non trouvé")</f>
        <v>316</v>
      </c>
      <c r="O224">
        <f>_xlfn.XLOOKUP(_26_03_2026_Log_Reseau_v15[[#This Row],[province RDC]],_26_03_2026_Client_Churn_v1[Province_Client],_26_03_2026_Client_Churn_v1[Facture_Mensuelle],"non trouvé")</f>
        <v>62.34</v>
      </c>
      <c r="P224">
        <f>_xlfn.XLOOKUP(_26_03_2026_Log_Reseau_v15[[#This Row],[province RDC]],_26_03_2026_Client_Churn_v1[Province_Client],_26_03_2026_Client_Churn_v1[Plaintes_Service_Client],"non trouvé")</f>
        <v>4</v>
      </c>
    </row>
    <row r="225" spans="1:16" hidden="1" x14ac:dyDescent="0.25">
      <c r="A225" s="1">
        <v>45224</v>
      </c>
      <c r="B225" s="2">
        <v>0.67152777777777772</v>
      </c>
      <c r="C225" t="s">
        <v>953</v>
      </c>
      <c r="D225">
        <v>14</v>
      </c>
      <c r="E225" t="s">
        <v>812</v>
      </c>
      <c r="F225" t="str">
        <f>_xlfn.XLOOKUP(_26_03_2026_Log_Reseau_v15[[#This Row],[Cell_ID]],_26_03_2026_Registre_Maintenance_v1[ID_Antenne],_26_03_2026_Registre_Maintenance_v1[zone],"pas trouvé")</f>
        <v>pas trouvé</v>
      </c>
      <c r="G225" t="str">
        <f>_xlfn.XLOOKUP(_26_03_2026_Log_Reseau_v15[[#This Row],[Cell_ID]],_26_03_2026_Registre_Maintenance_v1[ID_Antenne],_26_03_2026_Registre_Maintenance_v1[Latitude],"non trouvé")</f>
        <v>non trouvé</v>
      </c>
      <c r="H225" t="str">
        <f>_xlfn.XLOOKUP(_26_03_2026_Log_Reseau_v15[[#This Row],[Cell_ID]],_26_03_2026_Registre_Maintenance_v1[ID_Antenne],_26_03_2026_Registre_Maintenance_v1[Longitude],"pas trouvé")</f>
        <v>pas trouvé</v>
      </c>
      <c r="I225" t="str">
        <f>_xlfn.XLOOKUP(_26_03_2026_Log_Reseau_v15[[#This Row],[Cell_ID]],_26_03_2026_Registre_Maintenance_v1[ID_Antenne],_26_03_2026_Registre_Maintenance_v1[Technologie],"non trouvé")</f>
        <v>non trouvé</v>
      </c>
      <c r="J225" t="str">
        <f>_xlfn.XLOOKUP(_26_03_2026_Log_Reseau_v15[[#This Row],[Cell_ID]],_26_03_2026_Registre_Maintenance_v1[ID_Antenne],_26_03_2026_Registre_Maintenance_v1[Equipementier],"pas trouvé")</f>
        <v>pas trouvé</v>
      </c>
      <c r="K225" t="str">
        <f>_xlfn.XLOOKUP(_26_03_2026_Log_Reseau_v15[[#This Row],[province RDC]],_26_03_2026_Client_Churn_v1[Province_Client],_26_03_2026_Client_Churn_v1[ID_Client],"non trouvé")</f>
        <v>non trouvé</v>
      </c>
      <c r="L225" t="str">
        <f>_xlfn.XLOOKUP(_26_03_2026_Log_Reseau_v15[[#This Row],[province RDC]],_26_03_2026_Client_Churn_v1[Province_Client],_26_03_2026_Client_Churn_v1[Anciennete_Mois],"non trouvé")</f>
        <v>non trouvé</v>
      </c>
      <c r="M225" t="str">
        <f>_xlfn.XLOOKUP(_26_03_2026_Log_Reseau_v15[[#This Row],[province RDC]],_26_03_2026_Client_Churn_v1[Province_Client],_26_03_2026_Client_Churn_v1[Type_Forfait],"non trouvé")</f>
        <v>non trouvé</v>
      </c>
      <c r="N225" t="str">
        <f>_xlfn.XLOOKUP(_26_03_2026_Log_Reseau_v15[[#This Row],[province RDC]],_26_03_2026_Client_Churn_v1[Province_Client],_26_03_2026_Client_Churn_v1[Duree_Cumulee_Panne_Min],"non trouvé")</f>
        <v>non trouvé</v>
      </c>
      <c r="O225" t="str">
        <f>_xlfn.XLOOKUP(_26_03_2026_Log_Reseau_v15[[#This Row],[province RDC]],_26_03_2026_Client_Churn_v1[Province_Client],_26_03_2026_Client_Churn_v1[Facture_Mensuelle],"non trouvé")</f>
        <v>non trouvé</v>
      </c>
      <c r="P225" t="str">
        <f>_xlfn.XLOOKUP(_26_03_2026_Log_Reseau_v15[[#This Row],[province RDC]],_26_03_2026_Client_Churn_v1[Province_Client],_26_03_2026_Client_Churn_v1[Plaintes_Service_Client],"non trouvé")</f>
        <v>non trouvé</v>
      </c>
    </row>
    <row r="226" spans="1:16" hidden="1" x14ac:dyDescent="0.25">
      <c r="A226" s="1">
        <v>45229</v>
      </c>
      <c r="B226" s="2">
        <v>0.4</v>
      </c>
      <c r="C226" t="s">
        <v>953</v>
      </c>
      <c r="D226">
        <v>77</v>
      </c>
      <c r="E226" t="s">
        <v>807</v>
      </c>
      <c r="F226" t="str">
        <f>_xlfn.XLOOKUP(_26_03_2026_Log_Reseau_v15[[#This Row],[Cell_ID]],_26_03_2026_Registre_Maintenance_v1[ID_Antenne],_26_03_2026_Registre_Maintenance_v1[zone],"pas trouvé")</f>
        <v>pas trouvé</v>
      </c>
      <c r="G226" t="str">
        <f>_xlfn.XLOOKUP(_26_03_2026_Log_Reseau_v15[[#This Row],[Cell_ID]],_26_03_2026_Registre_Maintenance_v1[ID_Antenne],_26_03_2026_Registre_Maintenance_v1[Latitude],"non trouvé")</f>
        <v>non trouvé</v>
      </c>
      <c r="H226" t="str">
        <f>_xlfn.XLOOKUP(_26_03_2026_Log_Reseau_v15[[#This Row],[Cell_ID]],_26_03_2026_Registre_Maintenance_v1[ID_Antenne],_26_03_2026_Registre_Maintenance_v1[Longitude],"pas trouvé")</f>
        <v>pas trouvé</v>
      </c>
      <c r="I226" t="str">
        <f>_xlfn.XLOOKUP(_26_03_2026_Log_Reseau_v15[[#This Row],[Cell_ID]],_26_03_2026_Registre_Maintenance_v1[ID_Antenne],_26_03_2026_Registre_Maintenance_v1[Technologie],"non trouvé")</f>
        <v>non trouvé</v>
      </c>
      <c r="J226" t="str">
        <f>_xlfn.XLOOKUP(_26_03_2026_Log_Reseau_v15[[#This Row],[Cell_ID]],_26_03_2026_Registre_Maintenance_v1[ID_Antenne],_26_03_2026_Registre_Maintenance_v1[Equipementier],"pas trouvé")</f>
        <v>pas trouvé</v>
      </c>
      <c r="K226" t="str">
        <f>_xlfn.XLOOKUP(_26_03_2026_Log_Reseau_v15[[#This Row],[province RDC]],_26_03_2026_Client_Churn_v1[Province_Client],_26_03_2026_Client_Churn_v1[ID_Client],"non trouvé")</f>
        <v>non trouvé</v>
      </c>
      <c r="L226" t="str">
        <f>_xlfn.XLOOKUP(_26_03_2026_Log_Reseau_v15[[#This Row],[province RDC]],_26_03_2026_Client_Churn_v1[Province_Client],_26_03_2026_Client_Churn_v1[Anciennete_Mois],"non trouvé")</f>
        <v>non trouvé</v>
      </c>
      <c r="M226" t="str">
        <f>_xlfn.XLOOKUP(_26_03_2026_Log_Reseau_v15[[#This Row],[province RDC]],_26_03_2026_Client_Churn_v1[Province_Client],_26_03_2026_Client_Churn_v1[Type_Forfait],"non trouvé")</f>
        <v>non trouvé</v>
      </c>
      <c r="N226" t="str">
        <f>_xlfn.XLOOKUP(_26_03_2026_Log_Reseau_v15[[#This Row],[province RDC]],_26_03_2026_Client_Churn_v1[Province_Client],_26_03_2026_Client_Churn_v1[Duree_Cumulee_Panne_Min],"non trouvé")</f>
        <v>non trouvé</v>
      </c>
      <c r="O226" t="str">
        <f>_xlfn.XLOOKUP(_26_03_2026_Log_Reseau_v15[[#This Row],[province RDC]],_26_03_2026_Client_Churn_v1[Province_Client],_26_03_2026_Client_Churn_v1[Facture_Mensuelle],"non trouvé")</f>
        <v>non trouvé</v>
      </c>
      <c r="P226" t="str">
        <f>_xlfn.XLOOKUP(_26_03_2026_Log_Reseau_v15[[#This Row],[province RDC]],_26_03_2026_Client_Churn_v1[Province_Client],_26_03_2026_Client_Churn_v1[Plaintes_Service_Client],"non trouvé")</f>
        <v>non trouvé</v>
      </c>
    </row>
    <row r="227" spans="1:16" x14ac:dyDescent="0.25">
      <c r="A227" s="1">
        <v>45230</v>
      </c>
      <c r="B227" s="2">
        <v>0.91319444444444442</v>
      </c>
      <c r="C227" t="s">
        <v>954</v>
      </c>
      <c r="D227">
        <v>62</v>
      </c>
      <c r="E227" t="s">
        <v>807</v>
      </c>
      <c r="F227" t="str">
        <f>_xlfn.XLOOKUP(_26_03_2026_Log_Reseau_v15[[#This Row],[Cell_ID]],_26_03_2026_Registre_Maintenance_v1[ID_Antenne],_26_03_2026_Registre_Maintenance_v1[zone],"pas trouvé")</f>
        <v>Tshuapa</v>
      </c>
      <c r="G227">
        <f>_xlfn.XLOOKUP(_26_03_2026_Log_Reseau_v15[[#This Row],[Cell_ID]],_26_03_2026_Registre_Maintenance_v1[ID_Antenne],_26_03_2026_Registre_Maintenance_v1[Latitude],"non trouvé")</f>
        <v>-1.9540519999999999</v>
      </c>
      <c r="H227">
        <f>_xlfn.XLOOKUP(_26_03_2026_Log_Reseau_v15[[#This Row],[Cell_ID]],_26_03_2026_Registre_Maintenance_v1[ID_Antenne],_26_03_2026_Registre_Maintenance_v1[Longitude],"pas trouvé")</f>
        <v>12.667945</v>
      </c>
      <c r="I227" t="str">
        <f>_xlfn.XLOOKUP(_26_03_2026_Log_Reseau_v15[[#This Row],[Cell_ID]],_26_03_2026_Registre_Maintenance_v1[ID_Antenne],_26_03_2026_Registre_Maintenance_v1[Technologie],"non trouvé")</f>
        <v>4G</v>
      </c>
      <c r="J227" t="str">
        <f>_xlfn.XLOOKUP(_26_03_2026_Log_Reseau_v15[[#This Row],[Cell_ID]],_26_03_2026_Registre_Maintenance_v1[ID_Antenne],_26_03_2026_Registre_Maintenance_v1[Equipementier],"pas trouvé")</f>
        <v>Huawei</v>
      </c>
      <c r="K227" t="str">
        <f>_xlfn.XLOOKUP(_26_03_2026_Log_Reseau_v15[[#This Row],[province RDC]],_26_03_2026_Client_Churn_v1[Province_Client],_26_03_2026_Client_Churn_v1[ID_Client],"non trouvé")</f>
        <v>CLI-00894</v>
      </c>
      <c r="L227">
        <f>_xlfn.XLOOKUP(_26_03_2026_Log_Reseau_v15[[#This Row],[province RDC]],_26_03_2026_Client_Churn_v1[Province_Client],_26_03_2026_Client_Churn_v1[Anciennete_Mois],"non trouvé")</f>
        <v>63</v>
      </c>
      <c r="M227" t="str">
        <f>_xlfn.XLOOKUP(_26_03_2026_Log_Reseau_v15[[#This Row],[province RDC]],_26_03_2026_Client_Churn_v1[Province_Client],_26_03_2026_Client_Churn_v1[Type_Forfait],"non trouvé")</f>
        <v>Pro Monde</v>
      </c>
      <c r="N227">
        <f>_xlfn.XLOOKUP(_26_03_2026_Log_Reseau_v15[[#This Row],[province RDC]],_26_03_2026_Client_Churn_v1[Province_Client],_26_03_2026_Client_Churn_v1[Duree_Cumulee_Panne_Min],"non trouvé")</f>
        <v>205</v>
      </c>
      <c r="O227">
        <f>_xlfn.XLOOKUP(_26_03_2026_Log_Reseau_v15[[#This Row],[province RDC]],_26_03_2026_Client_Churn_v1[Province_Client],_26_03_2026_Client_Churn_v1[Facture_Mensuelle],"non trouvé")</f>
        <v>89.19</v>
      </c>
      <c r="P227">
        <f>_xlfn.XLOOKUP(_26_03_2026_Log_Reseau_v15[[#This Row],[province RDC]],_26_03_2026_Client_Churn_v1[Province_Client],_26_03_2026_Client_Churn_v1[Plaintes_Service_Client],"non trouvé")</f>
        <v>0</v>
      </c>
    </row>
    <row r="228" spans="1:16" x14ac:dyDescent="0.25">
      <c r="A228" s="1">
        <v>45203</v>
      </c>
      <c r="B228" s="2">
        <v>0.59652777777777777</v>
      </c>
      <c r="C228" t="s">
        <v>954</v>
      </c>
      <c r="D228">
        <v>13</v>
      </c>
      <c r="E228" t="s">
        <v>808</v>
      </c>
      <c r="F228" t="str">
        <f>_xlfn.XLOOKUP(_26_03_2026_Log_Reseau_v15[[#This Row],[Cell_ID]],_26_03_2026_Registre_Maintenance_v1[ID_Antenne],_26_03_2026_Registre_Maintenance_v1[zone],"pas trouvé")</f>
        <v>Tshuapa</v>
      </c>
      <c r="G228">
        <f>_xlfn.XLOOKUP(_26_03_2026_Log_Reseau_v15[[#This Row],[Cell_ID]],_26_03_2026_Registre_Maintenance_v1[ID_Antenne],_26_03_2026_Registre_Maintenance_v1[Latitude],"non trouvé")</f>
        <v>-1.9540519999999999</v>
      </c>
      <c r="H228">
        <f>_xlfn.XLOOKUP(_26_03_2026_Log_Reseau_v15[[#This Row],[Cell_ID]],_26_03_2026_Registre_Maintenance_v1[ID_Antenne],_26_03_2026_Registre_Maintenance_v1[Longitude],"pas trouvé")</f>
        <v>12.667945</v>
      </c>
      <c r="I228" t="str">
        <f>_xlfn.XLOOKUP(_26_03_2026_Log_Reseau_v15[[#This Row],[Cell_ID]],_26_03_2026_Registre_Maintenance_v1[ID_Antenne],_26_03_2026_Registre_Maintenance_v1[Technologie],"non trouvé")</f>
        <v>4G</v>
      </c>
      <c r="J228" t="str">
        <f>_xlfn.XLOOKUP(_26_03_2026_Log_Reseau_v15[[#This Row],[Cell_ID]],_26_03_2026_Registre_Maintenance_v1[ID_Antenne],_26_03_2026_Registre_Maintenance_v1[Equipementier],"pas trouvé")</f>
        <v>Huawei</v>
      </c>
      <c r="K228" t="str">
        <f>_xlfn.XLOOKUP(_26_03_2026_Log_Reseau_v15[[#This Row],[province RDC]],_26_03_2026_Client_Churn_v1[Province_Client],_26_03_2026_Client_Churn_v1[ID_Client],"non trouvé")</f>
        <v>CLI-00894</v>
      </c>
      <c r="L228">
        <f>_xlfn.XLOOKUP(_26_03_2026_Log_Reseau_v15[[#This Row],[province RDC]],_26_03_2026_Client_Churn_v1[Province_Client],_26_03_2026_Client_Churn_v1[Anciennete_Mois],"non trouvé")</f>
        <v>63</v>
      </c>
      <c r="M228" t="str">
        <f>_xlfn.XLOOKUP(_26_03_2026_Log_Reseau_v15[[#This Row],[province RDC]],_26_03_2026_Client_Churn_v1[Province_Client],_26_03_2026_Client_Churn_v1[Type_Forfait],"non trouvé")</f>
        <v>Pro Monde</v>
      </c>
      <c r="N228">
        <f>_xlfn.XLOOKUP(_26_03_2026_Log_Reseau_v15[[#This Row],[province RDC]],_26_03_2026_Client_Churn_v1[Province_Client],_26_03_2026_Client_Churn_v1[Duree_Cumulee_Panne_Min],"non trouvé")</f>
        <v>205</v>
      </c>
      <c r="O228">
        <f>_xlfn.XLOOKUP(_26_03_2026_Log_Reseau_v15[[#This Row],[province RDC]],_26_03_2026_Client_Churn_v1[Province_Client],_26_03_2026_Client_Churn_v1[Facture_Mensuelle],"non trouvé")</f>
        <v>89.19</v>
      </c>
      <c r="P228">
        <f>_xlfn.XLOOKUP(_26_03_2026_Log_Reseau_v15[[#This Row],[province RDC]],_26_03_2026_Client_Churn_v1[Province_Client],_26_03_2026_Client_Churn_v1[Plaintes_Service_Client],"non trouvé")</f>
        <v>0</v>
      </c>
    </row>
    <row r="229" spans="1:16" hidden="1" x14ac:dyDescent="0.25">
      <c r="A229" s="1">
        <v>45212</v>
      </c>
      <c r="B229" s="2">
        <v>0.61736111111111114</v>
      </c>
      <c r="C229" t="s">
        <v>955</v>
      </c>
      <c r="D229">
        <v>28</v>
      </c>
      <c r="E229" t="s">
        <v>807</v>
      </c>
      <c r="F229" t="str">
        <f>_xlfn.XLOOKUP(_26_03_2026_Log_Reseau_v15[[#This Row],[Cell_ID]],_26_03_2026_Registre_Maintenance_v1[ID_Antenne],_26_03_2026_Registre_Maintenance_v1[zone],"pas trouvé")</f>
        <v>pas trouvé</v>
      </c>
      <c r="G229" t="str">
        <f>_xlfn.XLOOKUP(_26_03_2026_Log_Reseau_v15[[#This Row],[Cell_ID]],_26_03_2026_Registre_Maintenance_v1[ID_Antenne],_26_03_2026_Registre_Maintenance_v1[Latitude],"non trouvé")</f>
        <v>non trouvé</v>
      </c>
      <c r="H229" t="str">
        <f>_xlfn.XLOOKUP(_26_03_2026_Log_Reseau_v15[[#This Row],[Cell_ID]],_26_03_2026_Registre_Maintenance_v1[ID_Antenne],_26_03_2026_Registre_Maintenance_v1[Longitude],"pas trouvé")</f>
        <v>pas trouvé</v>
      </c>
      <c r="I229" t="str">
        <f>_xlfn.XLOOKUP(_26_03_2026_Log_Reseau_v15[[#This Row],[Cell_ID]],_26_03_2026_Registre_Maintenance_v1[ID_Antenne],_26_03_2026_Registre_Maintenance_v1[Technologie],"non trouvé")</f>
        <v>non trouvé</v>
      </c>
      <c r="J229" t="str">
        <f>_xlfn.XLOOKUP(_26_03_2026_Log_Reseau_v15[[#This Row],[Cell_ID]],_26_03_2026_Registre_Maintenance_v1[ID_Antenne],_26_03_2026_Registre_Maintenance_v1[Equipementier],"pas trouvé")</f>
        <v>pas trouvé</v>
      </c>
      <c r="K229" t="str">
        <f>_xlfn.XLOOKUP(_26_03_2026_Log_Reseau_v15[[#This Row],[province RDC]],_26_03_2026_Client_Churn_v1[Province_Client],_26_03_2026_Client_Churn_v1[ID_Client],"non trouvé")</f>
        <v>non trouvé</v>
      </c>
      <c r="L229" t="str">
        <f>_xlfn.XLOOKUP(_26_03_2026_Log_Reseau_v15[[#This Row],[province RDC]],_26_03_2026_Client_Churn_v1[Province_Client],_26_03_2026_Client_Churn_v1[Anciennete_Mois],"non trouvé")</f>
        <v>non trouvé</v>
      </c>
      <c r="M229" t="str">
        <f>_xlfn.XLOOKUP(_26_03_2026_Log_Reseau_v15[[#This Row],[province RDC]],_26_03_2026_Client_Churn_v1[Province_Client],_26_03_2026_Client_Churn_v1[Type_Forfait],"non trouvé")</f>
        <v>non trouvé</v>
      </c>
      <c r="N229" t="str">
        <f>_xlfn.XLOOKUP(_26_03_2026_Log_Reseau_v15[[#This Row],[province RDC]],_26_03_2026_Client_Churn_v1[Province_Client],_26_03_2026_Client_Churn_v1[Duree_Cumulee_Panne_Min],"non trouvé")</f>
        <v>non trouvé</v>
      </c>
      <c r="O229" t="str">
        <f>_xlfn.XLOOKUP(_26_03_2026_Log_Reseau_v15[[#This Row],[province RDC]],_26_03_2026_Client_Churn_v1[Province_Client],_26_03_2026_Client_Churn_v1[Facture_Mensuelle],"non trouvé")</f>
        <v>non trouvé</v>
      </c>
      <c r="P229" t="str">
        <f>_xlfn.XLOOKUP(_26_03_2026_Log_Reseau_v15[[#This Row],[province RDC]],_26_03_2026_Client_Churn_v1[Province_Client],_26_03_2026_Client_Churn_v1[Plaintes_Service_Client],"non trouvé")</f>
        <v>non trouvé</v>
      </c>
    </row>
    <row r="230" spans="1:16" x14ac:dyDescent="0.25">
      <c r="A230" s="1">
        <v>45228</v>
      </c>
      <c r="B230" s="2">
        <v>0.67222222222222228</v>
      </c>
      <c r="C230" t="s">
        <v>956</v>
      </c>
      <c r="D230">
        <v>106</v>
      </c>
      <c r="E230" t="s">
        <v>807</v>
      </c>
      <c r="F230" t="str">
        <f>_xlfn.XLOOKUP(_26_03_2026_Log_Reseau_v15[[#This Row],[Cell_ID]],_26_03_2026_Registre_Maintenance_v1[ID_Antenne],_26_03_2026_Registre_Maintenance_v1[zone],"pas trouvé")</f>
        <v>Lualaba</v>
      </c>
      <c r="G230">
        <f>_xlfn.XLOOKUP(_26_03_2026_Log_Reseau_v15[[#This Row],[Cell_ID]],_26_03_2026_Registre_Maintenance_v1[ID_Antenne],_26_03_2026_Registre_Maintenance_v1[Latitude],"non trouvé")</f>
        <v>2.0392079999999999</v>
      </c>
      <c r="H230">
        <f>_xlfn.XLOOKUP(_26_03_2026_Log_Reseau_v15[[#This Row],[Cell_ID]],_26_03_2026_Registre_Maintenance_v1[ID_Antenne],_26_03_2026_Registre_Maintenance_v1[Longitude],"pas trouvé")</f>
        <v>19.090841999999999</v>
      </c>
      <c r="I230" t="str">
        <f>_xlfn.XLOOKUP(_26_03_2026_Log_Reseau_v15[[#This Row],[Cell_ID]],_26_03_2026_Registre_Maintenance_v1[ID_Antenne],_26_03_2026_Registre_Maintenance_v1[Technologie],"non trouvé")</f>
        <v>4G</v>
      </c>
      <c r="J230" t="str">
        <f>_xlfn.XLOOKUP(_26_03_2026_Log_Reseau_v15[[#This Row],[Cell_ID]],_26_03_2026_Registre_Maintenance_v1[ID_Antenne],_26_03_2026_Registre_Maintenance_v1[Equipementier],"pas trouvé")</f>
        <v>Nokia</v>
      </c>
      <c r="K230" t="str">
        <f>_xlfn.XLOOKUP(_26_03_2026_Log_Reseau_v15[[#This Row],[province RDC]],_26_03_2026_Client_Churn_v1[Province_Client],_26_03_2026_Client_Churn_v1[ID_Client],"non trouvé")</f>
        <v>CLI-01005</v>
      </c>
      <c r="L230">
        <f>_xlfn.XLOOKUP(_26_03_2026_Log_Reseau_v15[[#This Row],[province RDC]],_26_03_2026_Client_Churn_v1[Province_Client],_26_03_2026_Client_Churn_v1[Anciennete_Mois],"non trouvé")</f>
        <v>80</v>
      </c>
      <c r="M230" t="str">
        <f>_xlfn.XLOOKUP(_26_03_2026_Log_Reseau_v15[[#This Row],[province RDC]],_26_03_2026_Client_Churn_v1[Province_Client],_26_03_2026_Client_Churn_v1[Type_Forfait],"non trouvé")</f>
        <v>Illimité 50Go</v>
      </c>
      <c r="N230">
        <f>_xlfn.XLOOKUP(_26_03_2026_Log_Reseau_v15[[#This Row],[province RDC]],_26_03_2026_Client_Churn_v1[Province_Client],_26_03_2026_Client_Churn_v1[Duree_Cumulee_Panne_Min],"non trouvé")</f>
        <v>155</v>
      </c>
      <c r="O230">
        <f>_xlfn.XLOOKUP(_26_03_2026_Log_Reseau_v15[[#This Row],[province RDC]],_26_03_2026_Client_Churn_v1[Province_Client],_26_03_2026_Client_Churn_v1[Facture_Mensuelle],"non trouvé")</f>
        <v>28.96</v>
      </c>
      <c r="P230">
        <f>_xlfn.XLOOKUP(_26_03_2026_Log_Reseau_v15[[#This Row],[province RDC]],_26_03_2026_Client_Churn_v1[Province_Client],_26_03_2026_Client_Churn_v1[Plaintes_Service_Client],"non trouvé")</f>
        <v>2</v>
      </c>
    </row>
    <row r="231" spans="1:16" x14ac:dyDescent="0.25">
      <c r="A231" s="1">
        <v>45204</v>
      </c>
      <c r="B231" s="2">
        <v>0.26458333333333334</v>
      </c>
      <c r="C231" t="s">
        <v>956</v>
      </c>
      <c r="D231">
        <v>90</v>
      </c>
      <c r="E231" t="s">
        <v>812</v>
      </c>
      <c r="F231" t="str">
        <f>_xlfn.XLOOKUP(_26_03_2026_Log_Reseau_v15[[#This Row],[Cell_ID]],_26_03_2026_Registre_Maintenance_v1[ID_Antenne],_26_03_2026_Registre_Maintenance_v1[zone],"pas trouvé")</f>
        <v>Lualaba</v>
      </c>
      <c r="G231">
        <f>_xlfn.XLOOKUP(_26_03_2026_Log_Reseau_v15[[#This Row],[Cell_ID]],_26_03_2026_Registre_Maintenance_v1[ID_Antenne],_26_03_2026_Registre_Maintenance_v1[Latitude],"non trouvé")</f>
        <v>2.0392079999999999</v>
      </c>
      <c r="H231">
        <f>_xlfn.XLOOKUP(_26_03_2026_Log_Reseau_v15[[#This Row],[Cell_ID]],_26_03_2026_Registre_Maintenance_v1[ID_Antenne],_26_03_2026_Registre_Maintenance_v1[Longitude],"pas trouvé")</f>
        <v>19.090841999999999</v>
      </c>
      <c r="I231" t="str">
        <f>_xlfn.XLOOKUP(_26_03_2026_Log_Reseau_v15[[#This Row],[Cell_ID]],_26_03_2026_Registre_Maintenance_v1[ID_Antenne],_26_03_2026_Registre_Maintenance_v1[Technologie],"non trouvé")</f>
        <v>4G</v>
      </c>
      <c r="J231" t="str">
        <f>_xlfn.XLOOKUP(_26_03_2026_Log_Reseau_v15[[#This Row],[Cell_ID]],_26_03_2026_Registre_Maintenance_v1[ID_Antenne],_26_03_2026_Registre_Maintenance_v1[Equipementier],"pas trouvé")</f>
        <v>Nokia</v>
      </c>
      <c r="K231" t="str">
        <f>_xlfn.XLOOKUP(_26_03_2026_Log_Reseau_v15[[#This Row],[province RDC]],_26_03_2026_Client_Churn_v1[Province_Client],_26_03_2026_Client_Churn_v1[ID_Client],"non trouvé")</f>
        <v>CLI-01005</v>
      </c>
      <c r="L231">
        <f>_xlfn.XLOOKUP(_26_03_2026_Log_Reseau_v15[[#This Row],[province RDC]],_26_03_2026_Client_Churn_v1[Province_Client],_26_03_2026_Client_Churn_v1[Anciennete_Mois],"non trouvé")</f>
        <v>80</v>
      </c>
      <c r="M231" t="str">
        <f>_xlfn.XLOOKUP(_26_03_2026_Log_Reseau_v15[[#This Row],[province RDC]],_26_03_2026_Client_Churn_v1[Province_Client],_26_03_2026_Client_Churn_v1[Type_Forfait],"non trouvé")</f>
        <v>Illimité 50Go</v>
      </c>
      <c r="N231">
        <f>_xlfn.XLOOKUP(_26_03_2026_Log_Reseau_v15[[#This Row],[province RDC]],_26_03_2026_Client_Churn_v1[Province_Client],_26_03_2026_Client_Churn_v1[Duree_Cumulee_Panne_Min],"non trouvé")</f>
        <v>155</v>
      </c>
      <c r="O231">
        <f>_xlfn.XLOOKUP(_26_03_2026_Log_Reseau_v15[[#This Row],[province RDC]],_26_03_2026_Client_Churn_v1[Province_Client],_26_03_2026_Client_Churn_v1[Facture_Mensuelle],"non trouvé")</f>
        <v>28.96</v>
      </c>
      <c r="P231">
        <f>_xlfn.XLOOKUP(_26_03_2026_Log_Reseau_v15[[#This Row],[province RDC]],_26_03_2026_Client_Churn_v1[Province_Client],_26_03_2026_Client_Churn_v1[Plaintes_Service_Client],"non trouvé")</f>
        <v>2</v>
      </c>
    </row>
    <row r="232" spans="1:16" hidden="1" x14ac:dyDescent="0.25">
      <c r="A232" s="1">
        <v>45207</v>
      </c>
      <c r="B232" s="2">
        <v>0.9194444444444444</v>
      </c>
      <c r="C232" t="s">
        <v>957</v>
      </c>
      <c r="D232">
        <v>42</v>
      </c>
      <c r="E232" t="s">
        <v>807</v>
      </c>
      <c r="F232" t="str">
        <f>_xlfn.XLOOKUP(_26_03_2026_Log_Reseau_v15[[#This Row],[Cell_ID]],_26_03_2026_Registre_Maintenance_v1[ID_Antenne],_26_03_2026_Registre_Maintenance_v1[zone],"pas trouvé")</f>
        <v>pas trouvé</v>
      </c>
      <c r="G232" t="str">
        <f>_xlfn.XLOOKUP(_26_03_2026_Log_Reseau_v15[[#This Row],[Cell_ID]],_26_03_2026_Registre_Maintenance_v1[ID_Antenne],_26_03_2026_Registre_Maintenance_v1[Latitude],"non trouvé")</f>
        <v>non trouvé</v>
      </c>
      <c r="H232" t="str">
        <f>_xlfn.XLOOKUP(_26_03_2026_Log_Reseau_v15[[#This Row],[Cell_ID]],_26_03_2026_Registre_Maintenance_v1[ID_Antenne],_26_03_2026_Registre_Maintenance_v1[Longitude],"pas trouvé")</f>
        <v>pas trouvé</v>
      </c>
      <c r="I232" t="str">
        <f>_xlfn.XLOOKUP(_26_03_2026_Log_Reseau_v15[[#This Row],[Cell_ID]],_26_03_2026_Registre_Maintenance_v1[ID_Antenne],_26_03_2026_Registre_Maintenance_v1[Technologie],"non trouvé")</f>
        <v>non trouvé</v>
      </c>
      <c r="J232" t="str">
        <f>_xlfn.XLOOKUP(_26_03_2026_Log_Reseau_v15[[#This Row],[Cell_ID]],_26_03_2026_Registre_Maintenance_v1[ID_Antenne],_26_03_2026_Registre_Maintenance_v1[Equipementier],"pas trouvé")</f>
        <v>pas trouvé</v>
      </c>
      <c r="K232" t="str">
        <f>_xlfn.XLOOKUP(_26_03_2026_Log_Reseau_v15[[#This Row],[province RDC]],_26_03_2026_Client_Churn_v1[Province_Client],_26_03_2026_Client_Churn_v1[ID_Client],"non trouvé")</f>
        <v>non trouvé</v>
      </c>
      <c r="L232" t="str">
        <f>_xlfn.XLOOKUP(_26_03_2026_Log_Reseau_v15[[#This Row],[province RDC]],_26_03_2026_Client_Churn_v1[Province_Client],_26_03_2026_Client_Churn_v1[Anciennete_Mois],"non trouvé")</f>
        <v>non trouvé</v>
      </c>
      <c r="M232" t="str">
        <f>_xlfn.XLOOKUP(_26_03_2026_Log_Reseau_v15[[#This Row],[province RDC]],_26_03_2026_Client_Churn_v1[Province_Client],_26_03_2026_Client_Churn_v1[Type_Forfait],"non trouvé")</f>
        <v>non trouvé</v>
      </c>
      <c r="N232" t="str">
        <f>_xlfn.XLOOKUP(_26_03_2026_Log_Reseau_v15[[#This Row],[province RDC]],_26_03_2026_Client_Churn_v1[Province_Client],_26_03_2026_Client_Churn_v1[Duree_Cumulee_Panne_Min],"non trouvé")</f>
        <v>non trouvé</v>
      </c>
      <c r="O232" t="str">
        <f>_xlfn.XLOOKUP(_26_03_2026_Log_Reseau_v15[[#This Row],[province RDC]],_26_03_2026_Client_Churn_v1[Province_Client],_26_03_2026_Client_Churn_v1[Facture_Mensuelle],"non trouvé")</f>
        <v>non trouvé</v>
      </c>
      <c r="P232" t="str">
        <f>_xlfn.XLOOKUP(_26_03_2026_Log_Reseau_v15[[#This Row],[province RDC]],_26_03_2026_Client_Churn_v1[Province_Client],_26_03_2026_Client_Churn_v1[Plaintes_Service_Client],"non trouvé")</f>
        <v>non trouvé</v>
      </c>
    </row>
    <row r="233" spans="1:16" x14ac:dyDescent="0.25">
      <c r="A233" s="1">
        <v>45214</v>
      </c>
      <c r="B233" s="2">
        <v>0.69791666666666663</v>
      </c>
      <c r="C233" t="s">
        <v>958</v>
      </c>
      <c r="D233">
        <v>98</v>
      </c>
      <c r="E233" t="s">
        <v>812</v>
      </c>
      <c r="F233" t="str">
        <f>_xlfn.XLOOKUP(_26_03_2026_Log_Reseau_v15[[#This Row],[Cell_ID]],_26_03_2026_Registre_Maintenance_v1[ID_Antenne],_26_03_2026_Registre_Maintenance_v1[zone],"pas trouvé")</f>
        <v>Mai-Ndombe</v>
      </c>
      <c r="G233">
        <f>_xlfn.XLOOKUP(_26_03_2026_Log_Reseau_v15[[#This Row],[Cell_ID]],_26_03_2026_Registre_Maintenance_v1[ID_Antenne],_26_03_2026_Registre_Maintenance_v1[Latitude],"non trouvé")</f>
        <v>-12.192204</v>
      </c>
      <c r="H233">
        <f>_xlfn.XLOOKUP(_26_03_2026_Log_Reseau_v15[[#This Row],[Cell_ID]],_26_03_2026_Registre_Maintenance_v1[ID_Antenne],_26_03_2026_Registre_Maintenance_v1[Longitude],"pas trouvé")</f>
        <v>28.468682000000001</v>
      </c>
      <c r="I233" t="str">
        <f>_xlfn.XLOOKUP(_26_03_2026_Log_Reseau_v15[[#This Row],[Cell_ID]],_26_03_2026_Registre_Maintenance_v1[ID_Antenne],_26_03_2026_Registre_Maintenance_v1[Technologie],"non trouvé")</f>
        <v>3G</v>
      </c>
      <c r="J233" t="str">
        <f>_xlfn.XLOOKUP(_26_03_2026_Log_Reseau_v15[[#This Row],[Cell_ID]],_26_03_2026_Registre_Maintenance_v1[ID_Antenne],_26_03_2026_Registre_Maintenance_v1[Equipementier],"pas trouvé")</f>
        <v>ZTE</v>
      </c>
      <c r="K233" t="str">
        <f>_xlfn.XLOOKUP(_26_03_2026_Log_Reseau_v15[[#This Row],[province RDC]],_26_03_2026_Client_Churn_v1[Province_Client],_26_03_2026_Client_Churn_v1[ID_Client],"non trouvé")</f>
        <v>CLI-00361</v>
      </c>
      <c r="L233">
        <f>_xlfn.XLOOKUP(_26_03_2026_Log_Reseau_v15[[#This Row],[province RDC]],_26_03_2026_Client_Churn_v1[Province_Client],_26_03_2026_Client_Churn_v1[Anciennete_Mois],"non trouvé")</f>
        <v>66</v>
      </c>
      <c r="M233" t="str">
        <f>_xlfn.XLOOKUP(_26_03_2026_Log_Reseau_v15[[#This Row],[province RDC]],_26_03_2026_Client_Churn_v1[Province_Client],_26_03_2026_Client_Churn_v1[Type_Forfait],"non trouvé")</f>
        <v>Illimité 50Go</v>
      </c>
      <c r="N233">
        <f>_xlfn.XLOOKUP(_26_03_2026_Log_Reseau_v15[[#This Row],[province RDC]],_26_03_2026_Client_Churn_v1[Province_Client],_26_03_2026_Client_Churn_v1[Duree_Cumulee_Panne_Min],"non trouvé")</f>
        <v>270</v>
      </c>
      <c r="O233">
        <f>_xlfn.XLOOKUP(_26_03_2026_Log_Reseau_v15[[#This Row],[province RDC]],_26_03_2026_Client_Churn_v1[Province_Client],_26_03_2026_Client_Churn_v1[Facture_Mensuelle],"non trouvé")</f>
        <v>75.88</v>
      </c>
      <c r="P233">
        <f>_xlfn.XLOOKUP(_26_03_2026_Log_Reseau_v15[[#This Row],[province RDC]],_26_03_2026_Client_Churn_v1[Province_Client],_26_03_2026_Client_Churn_v1[Plaintes_Service_Client],"non trouvé")</f>
        <v>3</v>
      </c>
    </row>
    <row r="234" spans="1:16" x14ac:dyDescent="0.25">
      <c r="A234" s="1">
        <v>45228</v>
      </c>
      <c r="B234" s="2">
        <v>0.15902777777777777</v>
      </c>
      <c r="C234" t="s">
        <v>959</v>
      </c>
      <c r="D234">
        <v>30</v>
      </c>
      <c r="E234" t="s">
        <v>807</v>
      </c>
      <c r="F234" t="str">
        <f>_xlfn.XLOOKUP(_26_03_2026_Log_Reseau_v15[[#This Row],[Cell_ID]],_26_03_2026_Registre_Maintenance_v1[ID_Antenne],_26_03_2026_Registre_Maintenance_v1[zone],"pas trouvé")</f>
        <v>Kwilu</v>
      </c>
      <c r="G234">
        <f>_xlfn.XLOOKUP(_26_03_2026_Log_Reseau_v15[[#This Row],[Cell_ID]],_26_03_2026_Registre_Maintenance_v1[ID_Antenne],_26_03_2026_Registre_Maintenance_v1[Latitude],"non trouvé")</f>
        <v>0.62055499999999997</v>
      </c>
      <c r="H234">
        <f>_xlfn.XLOOKUP(_26_03_2026_Log_Reseau_v15[[#This Row],[Cell_ID]],_26_03_2026_Registre_Maintenance_v1[ID_Antenne],_26_03_2026_Registre_Maintenance_v1[Longitude],"pas trouvé")</f>
        <v>21.222035000000002</v>
      </c>
      <c r="I234" t="str">
        <f>_xlfn.XLOOKUP(_26_03_2026_Log_Reseau_v15[[#This Row],[Cell_ID]],_26_03_2026_Registre_Maintenance_v1[ID_Antenne],_26_03_2026_Registre_Maintenance_v1[Technologie],"non trouvé")</f>
        <v>5G</v>
      </c>
      <c r="J234" t="str">
        <f>_xlfn.XLOOKUP(_26_03_2026_Log_Reseau_v15[[#This Row],[Cell_ID]],_26_03_2026_Registre_Maintenance_v1[ID_Antenne],_26_03_2026_Registre_Maintenance_v1[Equipementier],"pas trouvé")</f>
        <v>Nokia</v>
      </c>
      <c r="K234" t="str">
        <f>_xlfn.XLOOKUP(_26_03_2026_Log_Reseau_v15[[#This Row],[province RDC]],_26_03_2026_Client_Churn_v1[Province_Client],_26_03_2026_Client_Churn_v1[ID_Client],"non trouvé")</f>
        <v>CLI-00996</v>
      </c>
      <c r="L234">
        <f>_xlfn.XLOOKUP(_26_03_2026_Log_Reseau_v15[[#This Row],[province RDC]],_26_03_2026_Client_Churn_v1[Province_Client],_26_03_2026_Client_Churn_v1[Anciennete_Mois],"non trouvé")</f>
        <v>119</v>
      </c>
      <c r="M234" t="str">
        <f>_xlfn.XLOOKUP(_26_03_2026_Log_Reseau_v15[[#This Row],[province RDC]],_26_03_2026_Client_Churn_v1[Province_Client],_26_03_2026_Client_Churn_v1[Type_Forfait],"non trouvé")</f>
        <v>Illimité 50Go</v>
      </c>
      <c r="N234">
        <f>_xlfn.XLOOKUP(_26_03_2026_Log_Reseau_v15[[#This Row],[province RDC]],_26_03_2026_Client_Churn_v1[Province_Client],_26_03_2026_Client_Churn_v1[Duree_Cumulee_Panne_Min],"non trouvé")</f>
        <v>228</v>
      </c>
      <c r="O234">
        <f>_xlfn.XLOOKUP(_26_03_2026_Log_Reseau_v15[[#This Row],[province RDC]],_26_03_2026_Client_Churn_v1[Province_Client],_26_03_2026_Client_Churn_v1[Facture_Mensuelle],"non trouvé")</f>
        <v>94.72</v>
      </c>
      <c r="P234">
        <f>_xlfn.XLOOKUP(_26_03_2026_Log_Reseau_v15[[#This Row],[province RDC]],_26_03_2026_Client_Churn_v1[Province_Client],_26_03_2026_Client_Churn_v1[Plaintes_Service_Client],"non trouvé")</f>
        <v>3</v>
      </c>
    </row>
    <row r="235" spans="1:16" x14ac:dyDescent="0.25">
      <c r="A235" s="1">
        <v>45230</v>
      </c>
      <c r="B235" s="2">
        <v>0.40902777777777777</v>
      </c>
      <c r="C235" t="s">
        <v>959</v>
      </c>
      <c r="D235">
        <v>80</v>
      </c>
      <c r="E235" t="s">
        <v>808</v>
      </c>
      <c r="F235" t="str">
        <f>_xlfn.XLOOKUP(_26_03_2026_Log_Reseau_v15[[#This Row],[Cell_ID]],_26_03_2026_Registre_Maintenance_v1[ID_Antenne],_26_03_2026_Registre_Maintenance_v1[zone],"pas trouvé")</f>
        <v>Kwilu</v>
      </c>
      <c r="G235">
        <f>_xlfn.XLOOKUP(_26_03_2026_Log_Reseau_v15[[#This Row],[Cell_ID]],_26_03_2026_Registre_Maintenance_v1[ID_Antenne],_26_03_2026_Registre_Maintenance_v1[Latitude],"non trouvé")</f>
        <v>0.62055499999999997</v>
      </c>
      <c r="H235">
        <f>_xlfn.XLOOKUP(_26_03_2026_Log_Reseau_v15[[#This Row],[Cell_ID]],_26_03_2026_Registre_Maintenance_v1[ID_Antenne],_26_03_2026_Registre_Maintenance_v1[Longitude],"pas trouvé")</f>
        <v>21.222035000000002</v>
      </c>
      <c r="I235" t="str">
        <f>_xlfn.XLOOKUP(_26_03_2026_Log_Reseau_v15[[#This Row],[Cell_ID]],_26_03_2026_Registre_Maintenance_v1[ID_Antenne],_26_03_2026_Registre_Maintenance_v1[Technologie],"non trouvé")</f>
        <v>5G</v>
      </c>
      <c r="J235" t="str">
        <f>_xlfn.XLOOKUP(_26_03_2026_Log_Reseau_v15[[#This Row],[Cell_ID]],_26_03_2026_Registre_Maintenance_v1[ID_Antenne],_26_03_2026_Registre_Maintenance_v1[Equipementier],"pas trouvé")</f>
        <v>Nokia</v>
      </c>
      <c r="K235" t="str">
        <f>_xlfn.XLOOKUP(_26_03_2026_Log_Reseau_v15[[#This Row],[province RDC]],_26_03_2026_Client_Churn_v1[Province_Client],_26_03_2026_Client_Churn_v1[ID_Client],"non trouvé")</f>
        <v>CLI-00996</v>
      </c>
      <c r="L235">
        <f>_xlfn.XLOOKUP(_26_03_2026_Log_Reseau_v15[[#This Row],[province RDC]],_26_03_2026_Client_Churn_v1[Province_Client],_26_03_2026_Client_Churn_v1[Anciennete_Mois],"non trouvé")</f>
        <v>119</v>
      </c>
      <c r="M235" t="str">
        <f>_xlfn.XLOOKUP(_26_03_2026_Log_Reseau_v15[[#This Row],[province RDC]],_26_03_2026_Client_Churn_v1[Province_Client],_26_03_2026_Client_Churn_v1[Type_Forfait],"non trouvé")</f>
        <v>Illimité 50Go</v>
      </c>
      <c r="N235">
        <f>_xlfn.XLOOKUP(_26_03_2026_Log_Reseau_v15[[#This Row],[province RDC]],_26_03_2026_Client_Churn_v1[Province_Client],_26_03_2026_Client_Churn_v1[Duree_Cumulee_Panne_Min],"non trouvé")</f>
        <v>228</v>
      </c>
      <c r="O235">
        <f>_xlfn.XLOOKUP(_26_03_2026_Log_Reseau_v15[[#This Row],[province RDC]],_26_03_2026_Client_Churn_v1[Province_Client],_26_03_2026_Client_Churn_v1[Facture_Mensuelle],"non trouvé")</f>
        <v>94.72</v>
      </c>
      <c r="P235">
        <f>_xlfn.XLOOKUP(_26_03_2026_Log_Reseau_v15[[#This Row],[province RDC]],_26_03_2026_Client_Churn_v1[Province_Client],_26_03_2026_Client_Churn_v1[Plaintes_Service_Client],"non trouvé")</f>
        <v>3</v>
      </c>
    </row>
    <row r="236" spans="1:16" x14ac:dyDescent="0.25">
      <c r="A236" s="1">
        <v>45220</v>
      </c>
      <c r="B236" s="2">
        <v>0.74305555555555558</v>
      </c>
      <c r="C236" t="s">
        <v>960</v>
      </c>
      <c r="D236">
        <v>54</v>
      </c>
      <c r="E236" t="s">
        <v>808</v>
      </c>
      <c r="F236" t="str">
        <f>_xlfn.XLOOKUP(_26_03_2026_Log_Reseau_v15[[#This Row],[Cell_ID]],_26_03_2026_Registre_Maintenance_v1[ID_Antenne],_26_03_2026_Registre_Maintenance_v1[zone],"pas trouvé")</f>
        <v>Nord-Kivu</v>
      </c>
      <c r="G236">
        <f>_xlfn.XLOOKUP(_26_03_2026_Log_Reseau_v15[[#This Row],[Cell_ID]],_26_03_2026_Registre_Maintenance_v1[ID_Antenne],_26_03_2026_Registre_Maintenance_v1[Latitude],"non trouvé")</f>
        <v>-5.42171</v>
      </c>
      <c r="H236">
        <f>_xlfn.XLOOKUP(_26_03_2026_Log_Reseau_v15[[#This Row],[Cell_ID]],_26_03_2026_Registre_Maintenance_v1[ID_Antenne],_26_03_2026_Registre_Maintenance_v1[Longitude],"pas trouvé")</f>
        <v>24.202960999999998</v>
      </c>
      <c r="I236" t="str">
        <f>_xlfn.XLOOKUP(_26_03_2026_Log_Reseau_v15[[#This Row],[Cell_ID]],_26_03_2026_Registre_Maintenance_v1[ID_Antenne],_26_03_2026_Registre_Maintenance_v1[Technologie],"non trouvé")</f>
        <v>5G</v>
      </c>
      <c r="J236" t="str">
        <f>_xlfn.XLOOKUP(_26_03_2026_Log_Reseau_v15[[#This Row],[Cell_ID]],_26_03_2026_Registre_Maintenance_v1[ID_Antenne],_26_03_2026_Registre_Maintenance_v1[Equipementier],"pas trouvé")</f>
        <v>Ericsson</v>
      </c>
      <c r="K236" t="str">
        <f>_xlfn.XLOOKUP(_26_03_2026_Log_Reseau_v15[[#This Row],[province RDC]],_26_03_2026_Client_Churn_v1[Province_Client],_26_03_2026_Client_Churn_v1[ID_Client],"non trouvé")</f>
        <v>CLI-00837</v>
      </c>
      <c r="L236">
        <f>_xlfn.XLOOKUP(_26_03_2026_Log_Reseau_v15[[#This Row],[province RDC]],_26_03_2026_Client_Churn_v1[Province_Client],_26_03_2026_Client_Churn_v1[Anciennete_Mois],"non trouvé")</f>
        <v>16</v>
      </c>
      <c r="M236" t="str">
        <f>_xlfn.XLOOKUP(_26_03_2026_Log_Reseau_v15[[#This Row],[province RDC]],_26_03_2026_Client_Churn_v1[Province_Client],_26_03_2026_Client_Churn_v1[Type_Forfait],"non trouvé")</f>
        <v>Bloqué 5Go</v>
      </c>
      <c r="N236">
        <f>_xlfn.XLOOKUP(_26_03_2026_Log_Reseau_v15[[#This Row],[province RDC]],_26_03_2026_Client_Churn_v1[Province_Client],_26_03_2026_Client_Churn_v1[Duree_Cumulee_Panne_Min],"non trouvé")</f>
        <v>390</v>
      </c>
      <c r="O236">
        <f>_xlfn.XLOOKUP(_26_03_2026_Log_Reseau_v15[[#This Row],[province RDC]],_26_03_2026_Client_Churn_v1[Province_Client],_26_03_2026_Client_Churn_v1[Facture_Mensuelle],"non trouvé")</f>
        <v>98.17</v>
      </c>
      <c r="P236">
        <f>_xlfn.XLOOKUP(_26_03_2026_Log_Reseau_v15[[#This Row],[province RDC]],_26_03_2026_Client_Churn_v1[Province_Client],_26_03_2026_Client_Churn_v1[Plaintes_Service_Client],"non trouvé")</f>
        <v>5</v>
      </c>
    </row>
    <row r="237" spans="1:16" x14ac:dyDescent="0.25">
      <c r="A237" s="1">
        <v>45205</v>
      </c>
      <c r="B237" s="2">
        <v>0.52708333333333335</v>
      </c>
      <c r="C237" t="s">
        <v>960</v>
      </c>
      <c r="D237">
        <v>40</v>
      </c>
      <c r="E237" t="s">
        <v>812</v>
      </c>
      <c r="F237" t="str">
        <f>_xlfn.XLOOKUP(_26_03_2026_Log_Reseau_v15[[#This Row],[Cell_ID]],_26_03_2026_Registre_Maintenance_v1[ID_Antenne],_26_03_2026_Registre_Maintenance_v1[zone],"pas trouvé")</f>
        <v>Nord-Kivu</v>
      </c>
      <c r="G237">
        <f>_xlfn.XLOOKUP(_26_03_2026_Log_Reseau_v15[[#This Row],[Cell_ID]],_26_03_2026_Registre_Maintenance_v1[ID_Antenne],_26_03_2026_Registre_Maintenance_v1[Latitude],"non trouvé")</f>
        <v>-5.42171</v>
      </c>
      <c r="H237">
        <f>_xlfn.XLOOKUP(_26_03_2026_Log_Reseau_v15[[#This Row],[Cell_ID]],_26_03_2026_Registre_Maintenance_v1[ID_Antenne],_26_03_2026_Registre_Maintenance_v1[Longitude],"pas trouvé")</f>
        <v>24.202960999999998</v>
      </c>
      <c r="I237" t="str">
        <f>_xlfn.XLOOKUP(_26_03_2026_Log_Reseau_v15[[#This Row],[Cell_ID]],_26_03_2026_Registre_Maintenance_v1[ID_Antenne],_26_03_2026_Registre_Maintenance_v1[Technologie],"non trouvé")</f>
        <v>5G</v>
      </c>
      <c r="J237" t="str">
        <f>_xlfn.XLOOKUP(_26_03_2026_Log_Reseau_v15[[#This Row],[Cell_ID]],_26_03_2026_Registre_Maintenance_v1[ID_Antenne],_26_03_2026_Registre_Maintenance_v1[Equipementier],"pas trouvé")</f>
        <v>Ericsson</v>
      </c>
      <c r="K237" t="str">
        <f>_xlfn.XLOOKUP(_26_03_2026_Log_Reseau_v15[[#This Row],[province RDC]],_26_03_2026_Client_Churn_v1[Province_Client],_26_03_2026_Client_Churn_v1[ID_Client],"non trouvé")</f>
        <v>CLI-00837</v>
      </c>
      <c r="L237">
        <f>_xlfn.XLOOKUP(_26_03_2026_Log_Reseau_v15[[#This Row],[province RDC]],_26_03_2026_Client_Churn_v1[Province_Client],_26_03_2026_Client_Churn_v1[Anciennete_Mois],"non trouvé")</f>
        <v>16</v>
      </c>
      <c r="M237" t="str">
        <f>_xlfn.XLOOKUP(_26_03_2026_Log_Reseau_v15[[#This Row],[province RDC]],_26_03_2026_Client_Churn_v1[Province_Client],_26_03_2026_Client_Churn_v1[Type_Forfait],"non trouvé")</f>
        <v>Bloqué 5Go</v>
      </c>
      <c r="N237">
        <f>_xlfn.XLOOKUP(_26_03_2026_Log_Reseau_v15[[#This Row],[province RDC]],_26_03_2026_Client_Churn_v1[Province_Client],_26_03_2026_Client_Churn_v1[Duree_Cumulee_Panne_Min],"non trouvé")</f>
        <v>390</v>
      </c>
      <c r="O237">
        <f>_xlfn.XLOOKUP(_26_03_2026_Log_Reseau_v15[[#This Row],[province RDC]],_26_03_2026_Client_Churn_v1[Province_Client],_26_03_2026_Client_Churn_v1[Facture_Mensuelle],"non trouvé")</f>
        <v>98.17</v>
      </c>
      <c r="P237">
        <f>_xlfn.XLOOKUP(_26_03_2026_Log_Reseau_v15[[#This Row],[province RDC]],_26_03_2026_Client_Churn_v1[Province_Client],_26_03_2026_Client_Churn_v1[Plaintes_Service_Client],"non trouvé")</f>
        <v>5</v>
      </c>
    </row>
    <row r="238" spans="1:16" x14ac:dyDescent="0.25">
      <c r="A238" s="1">
        <v>45212</v>
      </c>
      <c r="B238" s="2">
        <v>0.72083333333333333</v>
      </c>
      <c r="C238" t="s">
        <v>961</v>
      </c>
      <c r="D238">
        <v>33</v>
      </c>
      <c r="E238" t="s">
        <v>812</v>
      </c>
      <c r="F238" t="str">
        <f>_xlfn.XLOOKUP(_26_03_2026_Log_Reseau_v15[[#This Row],[Cell_ID]],_26_03_2026_Registre_Maintenance_v1[ID_Antenne],_26_03_2026_Registre_Maintenance_v1[zone],"pas trouvé")</f>
        <v>Tshuapa</v>
      </c>
      <c r="G238">
        <f>_xlfn.XLOOKUP(_26_03_2026_Log_Reseau_v15[[#This Row],[Cell_ID]],_26_03_2026_Registre_Maintenance_v1[ID_Antenne],_26_03_2026_Registre_Maintenance_v1[Latitude],"non trouvé")</f>
        <v>-5.7957599999999996</v>
      </c>
      <c r="H238">
        <f>_xlfn.XLOOKUP(_26_03_2026_Log_Reseau_v15[[#This Row],[Cell_ID]],_26_03_2026_Registre_Maintenance_v1[ID_Antenne],_26_03_2026_Registre_Maintenance_v1[Longitude],"pas trouvé")</f>
        <v>14.078258</v>
      </c>
      <c r="I238" t="str">
        <f>_xlfn.XLOOKUP(_26_03_2026_Log_Reseau_v15[[#This Row],[Cell_ID]],_26_03_2026_Registre_Maintenance_v1[ID_Antenne],_26_03_2026_Registre_Maintenance_v1[Technologie],"non trouvé")</f>
        <v>5G</v>
      </c>
      <c r="J238" t="str">
        <f>_xlfn.XLOOKUP(_26_03_2026_Log_Reseau_v15[[#This Row],[Cell_ID]],_26_03_2026_Registre_Maintenance_v1[ID_Antenne],_26_03_2026_Registre_Maintenance_v1[Equipementier],"pas trouvé")</f>
        <v>Ericsson</v>
      </c>
      <c r="K238" t="str">
        <f>_xlfn.XLOOKUP(_26_03_2026_Log_Reseau_v15[[#This Row],[province RDC]],_26_03_2026_Client_Churn_v1[Province_Client],_26_03_2026_Client_Churn_v1[ID_Client],"non trouvé")</f>
        <v>CLI-00894</v>
      </c>
      <c r="L238">
        <f>_xlfn.XLOOKUP(_26_03_2026_Log_Reseau_v15[[#This Row],[province RDC]],_26_03_2026_Client_Churn_v1[Province_Client],_26_03_2026_Client_Churn_v1[Anciennete_Mois],"non trouvé")</f>
        <v>63</v>
      </c>
      <c r="M238" t="str">
        <f>_xlfn.XLOOKUP(_26_03_2026_Log_Reseau_v15[[#This Row],[province RDC]],_26_03_2026_Client_Churn_v1[Province_Client],_26_03_2026_Client_Churn_v1[Type_Forfait],"non trouvé")</f>
        <v>Pro Monde</v>
      </c>
      <c r="N238">
        <f>_xlfn.XLOOKUP(_26_03_2026_Log_Reseau_v15[[#This Row],[province RDC]],_26_03_2026_Client_Churn_v1[Province_Client],_26_03_2026_Client_Churn_v1[Duree_Cumulee_Panne_Min],"non trouvé")</f>
        <v>205</v>
      </c>
      <c r="O238">
        <f>_xlfn.XLOOKUP(_26_03_2026_Log_Reseau_v15[[#This Row],[province RDC]],_26_03_2026_Client_Churn_v1[Province_Client],_26_03_2026_Client_Churn_v1[Facture_Mensuelle],"non trouvé")</f>
        <v>89.19</v>
      </c>
      <c r="P238">
        <f>_xlfn.XLOOKUP(_26_03_2026_Log_Reseau_v15[[#This Row],[province RDC]],_26_03_2026_Client_Churn_v1[Province_Client],_26_03_2026_Client_Churn_v1[Plaintes_Service_Client],"non trouvé")</f>
        <v>0</v>
      </c>
    </row>
    <row r="239" spans="1:16" hidden="1" x14ac:dyDescent="0.25">
      <c r="A239" s="1">
        <v>45212</v>
      </c>
      <c r="B239" s="2">
        <v>0.24027777777777778</v>
      </c>
      <c r="C239" t="s">
        <v>962</v>
      </c>
      <c r="D239">
        <v>54</v>
      </c>
      <c r="E239" t="s">
        <v>808</v>
      </c>
      <c r="F239" t="str">
        <f>_xlfn.XLOOKUP(_26_03_2026_Log_Reseau_v15[[#This Row],[Cell_ID]],_26_03_2026_Registre_Maintenance_v1[ID_Antenne],_26_03_2026_Registre_Maintenance_v1[zone],"pas trouvé")</f>
        <v>pas trouvé</v>
      </c>
      <c r="G239" t="str">
        <f>_xlfn.XLOOKUP(_26_03_2026_Log_Reseau_v15[[#This Row],[Cell_ID]],_26_03_2026_Registre_Maintenance_v1[ID_Antenne],_26_03_2026_Registre_Maintenance_v1[Latitude],"non trouvé")</f>
        <v>non trouvé</v>
      </c>
      <c r="H239" t="str">
        <f>_xlfn.XLOOKUP(_26_03_2026_Log_Reseau_v15[[#This Row],[Cell_ID]],_26_03_2026_Registre_Maintenance_v1[ID_Antenne],_26_03_2026_Registre_Maintenance_v1[Longitude],"pas trouvé")</f>
        <v>pas trouvé</v>
      </c>
      <c r="I239" t="str">
        <f>_xlfn.XLOOKUP(_26_03_2026_Log_Reseau_v15[[#This Row],[Cell_ID]],_26_03_2026_Registre_Maintenance_v1[ID_Antenne],_26_03_2026_Registre_Maintenance_v1[Technologie],"non trouvé")</f>
        <v>non trouvé</v>
      </c>
      <c r="J239" t="str">
        <f>_xlfn.XLOOKUP(_26_03_2026_Log_Reseau_v15[[#This Row],[Cell_ID]],_26_03_2026_Registre_Maintenance_v1[ID_Antenne],_26_03_2026_Registre_Maintenance_v1[Equipementier],"pas trouvé")</f>
        <v>pas trouvé</v>
      </c>
      <c r="K239" t="str">
        <f>_xlfn.XLOOKUP(_26_03_2026_Log_Reseau_v15[[#This Row],[province RDC]],_26_03_2026_Client_Churn_v1[Province_Client],_26_03_2026_Client_Churn_v1[ID_Client],"non trouvé")</f>
        <v>non trouvé</v>
      </c>
      <c r="L239" t="str">
        <f>_xlfn.XLOOKUP(_26_03_2026_Log_Reseau_v15[[#This Row],[province RDC]],_26_03_2026_Client_Churn_v1[Province_Client],_26_03_2026_Client_Churn_v1[Anciennete_Mois],"non trouvé")</f>
        <v>non trouvé</v>
      </c>
      <c r="M239" t="str">
        <f>_xlfn.XLOOKUP(_26_03_2026_Log_Reseau_v15[[#This Row],[province RDC]],_26_03_2026_Client_Churn_v1[Province_Client],_26_03_2026_Client_Churn_v1[Type_Forfait],"non trouvé")</f>
        <v>non trouvé</v>
      </c>
      <c r="N239" t="str">
        <f>_xlfn.XLOOKUP(_26_03_2026_Log_Reseau_v15[[#This Row],[province RDC]],_26_03_2026_Client_Churn_v1[Province_Client],_26_03_2026_Client_Churn_v1[Duree_Cumulee_Panne_Min],"non trouvé")</f>
        <v>non trouvé</v>
      </c>
      <c r="O239" t="str">
        <f>_xlfn.XLOOKUP(_26_03_2026_Log_Reseau_v15[[#This Row],[province RDC]],_26_03_2026_Client_Churn_v1[Province_Client],_26_03_2026_Client_Churn_v1[Facture_Mensuelle],"non trouvé")</f>
        <v>non trouvé</v>
      </c>
      <c r="P239" t="str">
        <f>_xlfn.XLOOKUP(_26_03_2026_Log_Reseau_v15[[#This Row],[province RDC]],_26_03_2026_Client_Churn_v1[Province_Client],_26_03_2026_Client_Churn_v1[Plaintes_Service_Client],"non trouvé")</f>
        <v>non trouvé</v>
      </c>
    </row>
    <row r="240" spans="1:16" hidden="1" x14ac:dyDescent="0.25">
      <c r="A240" s="1">
        <v>45211</v>
      </c>
      <c r="B240" s="2">
        <v>7.9861111111111105E-2</v>
      </c>
      <c r="C240" t="s">
        <v>962</v>
      </c>
      <c r="D240">
        <v>59</v>
      </c>
      <c r="E240" t="s">
        <v>808</v>
      </c>
      <c r="F240" t="str">
        <f>_xlfn.XLOOKUP(_26_03_2026_Log_Reseau_v15[[#This Row],[Cell_ID]],_26_03_2026_Registre_Maintenance_v1[ID_Antenne],_26_03_2026_Registre_Maintenance_v1[zone],"pas trouvé")</f>
        <v>pas trouvé</v>
      </c>
      <c r="G240" t="str">
        <f>_xlfn.XLOOKUP(_26_03_2026_Log_Reseau_v15[[#This Row],[Cell_ID]],_26_03_2026_Registre_Maintenance_v1[ID_Antenne],_26_03_2026_Registre_Maintenance_v1[Latitude],"non trouvé")</f>
        <v>non trouvé</v>
      </c>
      <c r="H240" t="str">
        <f>_xlfn.XLOOKUP(_26_03_2026_Log_Reseau_v15[[#This Row],[Cell_ID]],_26_03_2026_Registre_Maintenance_v1[ID_Antenne],_26_03_2026_Registre_Maintenance_v1[Longitude],"pas trouvé")</f>
        <v>pas trouvé</v>
      </c>
      <c r="I240" t="str">
        <f>_xlfn.XLOOKUP(_26_03_2026_Log_Reseau_v15[[#This Row],[Cell_ID]],_26_03_2026_Registre_Maintenance_v1[ID_Antenne],_26_03_2026_Registre_Maintenance_v1[Technologie],"non trouvé")</f>
        <v>non trouvé</v>
      </c>
      <c r="J240" t="str">
        <f>_xlfn.XLOOKUP(_26_03_2026_Log_Reseau_v15[[#This Row],[Cell_ID]],_26_03_2026_Registre_Maintenance_v1[ID_Antenne],_26_03_2026_Registre_Maintenance_v1[Equipementier],"pas trouvé")</f>
        <v>pas trouvé</v>
      </c>
      <c r="K240" t="str">
        <f>_xlfn.XLOOKUP(_26_03_2026_Log_Reseau_v15[[#This Row],[province RDC]],_26_03_2026_Client_Churn_v1[Province_Client],_26_03_2026_Client_Churn_v1[ID_Client],"non trouvé")</f>
        <v>non trouvé</v>
      </c>
      <c r="L240" t="str">
        <f>_xlfn.XLOOKUP(_26_03_2026_Log_Reseau_v15[[#This Row],[province RDC]],_26_03_2026_Client_Churn_v1[Province_Client],_26_03_2026_Client_Churn_v1[Anciennete_Mois],"non trouvé")</f>
        <v>non trouvé</v>
      </c>
      <c r="M240" t="str">
        <f>_xlfn.XLOOKUP(_26_03_2026_Log_Reseau_v15[[#This Row],[province RDC]],_26_03_2026_Client_Churn_v1[Province_Client],_26_03_2026_Client_Churn_v1[Type_Forfait],"non trouvé")</f>
        <v>non trouvé</v>
      </c>
      <c r="N240" t="str">
        <f>_xlfn.XLOOKUP(_26_03_2026_Log_Reseau_v15[[#This Row],[province RDC]],_26_03_2026_Client_Churn_v1[Province_Client],_26_03_2026_Client_Churn_v1[Duree_Cumulee_Panne_Min],"non trouvé")</f>
        <v>non trouvé</v>
      </c>
      <c r="O240" t="str">
        <f>_xlfn.XLOOKUP(_26_03_2026_Log_Reseau_v15[[#This Row],[province RDC]],_26_03_2026_Client_Churn_v1[Province_Client],_26_03_2026_Client_Churn_v1[Facture_Mensuelle],"non trouvé")</f>
        <v>non trouvé</v>
      </c>
      <c r="P240" t="str">
        <f>_xlfn.XLOOKUP(_26_03_2026_Log_Reseau_v15[[#This Row],[province RDC]],_26_03_2026_Client_Churn_v1[Province_Client],_26_03_2026_Client_Churn_v1[Plaintes_Service_Client],"non trouvé")</f>
        <v>non trouvé</v>
      </c>
    </row>
    <row r="241" spans="1:16" hidden="1" x14ac:dyDescent="0.25">
      <c r="A241" s="1">
        <v>45209</v>
      </c>
      <c r="B241" s="2">
        <v>0.3888888888888889</v>
      </c>
      <c r="C241" t="s">
        <v>963</v>
      </c>
      <c r="D241">
        <v>44</v>
      </c>
      <c r="E241" t="s">
        <v>807</v>
      </c>
      <c r="F241" t="str">
        <f>_xlfn.XLOOKUP(_26_03_2026_Log_Reseau_v15[[#This Row],[Cell_ID]],_26_03_2026_Registre_Maintenance_v1[ID_Antenne],_26_03_2026_Registre_Maintenance_v1[zone],"pas trouvé")</f>
        <v>pas trouvé</v>
      </c>
      <c r="G241" t="str">
        <f>_xlfn.XLOOKUP(_26_03_2026_Log_Reseau_v15[[#This Row],[Cell_ID]],_26_03_2026_Registre_Maintenance_v1[ID_Antenne],_26_03_2026_Registre_Maintenance_v1[Latitude],"non trouvé")</f>
        <v>non trouvé</v>
      </c>
      <c r="H241" t="str">
        <f>_xlfn.XLOOKUP(_26_03_2026_Log_Reseau_v15[[#This Row],[Cell_ID]],_26_03_2026_Registre_Maintenance_v1[ID_Antenne],_26_03_2026_Registre_Maintenance_v1[Longitude],"pas trouvé")</f>
        <v>pas trouvé</v>
      </c>
      <c r="I241" t="str">
        <f>_xlfn.XLOOKUP(_26_03_2026_Log_Reseau_v15[[#This Row],[Cell_ID]],_26_03_2026_Registre_Maintenance_v1[ID_Antenne],_26_03_2026_Registre_Maintenance_v1[Technologie],"non trouvé")</f>
        <v>non trouvé</v>
      </c>
      <c r="J241" t="str">
        <f>_xlfn.XLOOKUP(_26_03_2026_Log_Reseau_v15[[#This Row],[Cell_ID]],_26_03_2026_Registre_Maintenance_v1[ID_Antenne],_26_03_2026_Registre_Maintenance_v1[Equipementier],"pas trouvé")</f>
        <v>pas trouvé</v>
      </c>
      <c r="K241" t="str">
        <f>_xlfn.XLOOKUP(_26_03_2026_Log_Reseau_v15[[#This Row],[province RDC]],_26_03_2026_Client_Churn_v1[Province_Client],_26_03_2026_Client_Churn_v1[ID_Client],"non trouvé")</f>
        <v>non trouvé</v>
      </c>
      <c r="L241" t="str">
        <f>_xlfn.XLOOKUP(_26_03_2026_Log_Reseau_v15[[#This Row],[province RDC]],_26_03_2026_Client_Churn_v1[Province_Client],_26_03_2026_Client_Churn_v1[Anciennete_Mois],"non trouvé")</f>
        <v>non trouvé</v>
      </c>
      <c r="M241" t="str">
        <f>_xlfn.XLOOKUP(_26_03_2026_Log_Reseau_v15[[#This Row],[province RDC]],_26_03_2026_Client_Churn_v1[Province_Client],_26_03_2026_Client_Churn_v1[Type_Forfait],"non trouvé")</f>
        <v>non trouvé</v>
      </c>
      <c r="N241" t="str">
        <f>_xlfn.XLOOKUP(_26_03_2026_Log_Reseau_v15[[#This Row],[province RDC]],_26_03_2026_Client_Churn_v1[Province_Client],_26_03_2026_Client_Churn_v1[Duree_Cumulee_Panne_Min],"non trouvé")</f>
        <v>non trouvé</v>
      </c>
      <c r="O241" t="str">
        <f>_xlfn.XLOOKUP(_26_03_2026_Log_Reseau_v15[[#This Row],[province RDC]],_26_03_2026_Client_Churn_v1[Province_Client],_26_03_2026_Client_Churn_v1[Facture_Mensuelle],"non trouvé")</f>
        <v>non trouvé</v>
      </c>
      <c r="P241" t="str">
        <f>_xlfn.XLOOKUP(_26_03_2026_Log_Reseau_v15[[#This Row],[province RDC]],_26_03_2026_Client_Churn_v1[Province_Client],_26_03_2026_Client_Churn_v1[Plaintes_Service_Client],"non trouvé")</f>
        <v>non trouvé</v>
      </c>
    </row>
    <row r="242" spans="1:16" hidden="1" x14ac:dyDescent="0.25">
      <c r="A242" s="1">
        <v>45207</v>
      </c>
      <c r="B242" s="2">
        <v>0.12430555555555556</v>
      </c>
      <c r="C242" t="s">
        <v>964</v>
      </c>
      <c r="D242">
        <v>77</v>
      </c>
      <c r="E242" t="s">
        <v>812</v>
      </c>
      <c r="F242" t="str">
        <f>_xlfn.XLOOKUP(_26_03_2026_Log_Reseau_v15[[#This Row],[Cell_ID]],_26_03_2026_Registre_Maintenance_v1[ID_Antenne],_26_03_2026_Registre_Maintenance_v1[zone],"pas trouvé")</f>
        <v>pas trouvé</v>
      </c>
      <c r="G242" t="str">
        <f>_xlfn.XLOOKUP(_26_03_2026_Log_Reseau_v15[[#This Row],[Cell_ID]],_26_03_2026_Registre_Maintenance_v1[ID_Antenne],_26_03_2026_Registre_Maintenance_v1[Latitude],"non trouvé")</f>
        <v>non trouvé</v>
      </c>
      <c r="H242" t="str">
        <f>_xlfn.XLOOKUP(_26_03_2026_Log_Reseau_v15[[#This Row],[Cell_ID]],_26_03_2026_Registre_Maintenance_v1[ID_Antenne],_26_03_2026_Registre_Maintenance_v1[Longitude],"pas trouvé")</f>
        <v>pas trouvé</v>
      </c>
      <c r="I242" t="str">
        <f>_xlfn.XLOOKUP(_26_03_2026_Log_Reseau_v15[[#This Row],[Cell_ID]],_26_03_2026_Registre_Maintenance_v1[ID_Antenne],_26_03_2026_Registre_Maintenance_v1[Technologie],"non trouvé")</f>
        <v>non trouvé</v>
      </c>
      <c r="J242" t="str">
        <f>_xlfn.XLOOKUP(_26_03_2026_Log_Reseau_v15[[#This Row],[Cell_ID]],_26_03_2026_Registre_Maintenance_v1[ID_Antenne],_26_03_2026_Registre_Maintenance_v1[Equipementier],"pas trouvé")</f>
        <v>pas trouvé</v>
      </c>
      <c r="K242" t="str">
        <f>_xlfn.XLOOKUP(_26_03_2026_Log_Reseau_v15[[#This Row],[province RDC]],_26_03_2026_Client_Churn_v1[Province_Client],_26_03_2026_Client_Churn_v1[ID_Client],"non trouvé")</f>
        <v>non trouvé</v>
      </c>
      <c r="L242" t="str">
        <f>_xlfn.XLOOKUP(_26_03_2026_Log_Reseau_v15[[#This Row],[province RDC]],_26_03_2026_Client_Churn_v1[Province_Client],_26_03_2026_Client_Churn_v1[Anciennete_Mois],"non trouvé")</f>
        <v>non trouvé</v>
      </c>
      <c r="M242" t="str">
        <f>_xlfn.XLOOKUP(_26_03_2026_Log_Reseau_v15[[#This Row],[province RDC]],_26_03_2026_Client_Churn_v1[Province_Client],_26_03_2026_Client_Churn_v1[Type_Forfait],"non trouvé")</f>
        <v>non trouvé</v>
      </c>
      <c r="N242" t="str">
        <f>_xlfn.XLOOKUP(_26_03_2026_Log_Reseau_v15[[#This Row],[province RDC]],_26_03_2026_Client_Churn_v1[Province_Client],_26_03_2026_Client_Churn_v1[Duree_Cumulee_Panne_Min],"non trouvé")</f>
        <v>non trouvé</v>
      </c>
      <c r="O242" t="str">
        <f>_xlfn.XLOOKUP(_26_03_2026_Log_Reseau_v15[[#This Row],[province RDC]],_26_03_2026_Client_Churn_v1[Province_Client],_26_03_2026_Client_Churn_v1[Facture_Mensuelle],"non trouvé")</f>
        <v>non trouvé</v>
      </c>
      <c r="P242" t="str">
        <f>_xlfn.XLOOKUP(_26_03_2026_Log_Reseau_v15[[#This Row],[province RDC]],_26_03_2026_Client_Churn_v1[Province_Client],_26_03_2026_Client_Churn_v1[Plaintes_Service_Client],"non trouvé")</f>
        <v>non trouvé</v>
      </c>
    </row>
    <row r="243" spans="1:16" x14ac:dyDescent="0.25">
      <c r="A243" s="1">
        <v>45219</v>
      </c>
      <c r="B243" s="2">
        <v>0.4201388888888889</v>
      </c>
      <c r="C243" t="s">
        <v>965</v>
      </c>
      <c r="D243">
        <v>63</v>
      </c>
      <c r="E243" t="s">
        <v>812</v>
      </c>
      <c r="F243" t="str">
        <f>_xlfn.XLOOKUP(_26_03_2026_Log_Reseau_v15[[#This Row],[Cell_ID]],_26_03_2026_Registre_Maintenance_v1[ID_Antenne],_26_03_2026_Registre_Maintenance_v1[zone],"pas trouvé")</f>
        <v>Lomami</v>
      </c>
      <c r="G243">
        <f>_xlfn.XLOOKUP(_26_03_2026_Log_Reseau_v15[[#This Row],[Cell_ID]],_26_03_2026_Registre_Maintenance_v1[ID_Antenne],_26_03_2026_Registre_Maintenance_v1[Latitude],"non trouvé")</f>
        <v>-9.9875139999999991</v>
      </c>
      <c r="H243">
        <f>_xlfn.XLOOKUP(_26_03_2026_Log_Reseau_v15[[#This Row],[Cell_ID]],_26_03_2026_Registre_Maintenance_v1[ID_Antenne],_26_03_2026_Registre_Maintenance_v1[Longitude],"pas trouvé")</f>
        <v>12.013676999999999</v>
      </c>
      <c r="I243" t="str">
        <f>_xlfn.XLOOKUP(_26_03_2026_Log_Reseau_v15[[#This Row],[Cell_ID]],_26_03_2026_Registre_Maintenance_v1[ID_Antenne],_26_03_2026_Registre_Maintenance_v1[Technologie],"non trouvé")</f>
        <v>3G</v>
      </c>
      <c r="J243" t="str">
        <f>_xlfn.XLOOKUP(_26_03_2026_Log_Reseau_v15[[#This Row],[Cell_ID]],_26_03_2026_Registre_Maintenance_v1[ID_Antenne],_26_03_2026_Registre_Maintenance_v1[Equipementier],"pas trouvé")</f>
        <v>ZTE</v>
      </c>
      <c r="K243" t="str">
        <f>_xlfn.XLOOKUP(_26_03_2026_Log_Reseau_v15[[#This Row],[province RDC]],_26_03_2026_Client_Churn_v1[Province_Client],_26_03_2026_Client_Churn_v1[ID_Client],"non trouvé")</f>
        <v>CLI-00131</v>
      </c>
      <c r="L243">
        <f>_xlfn.XLOOKUP(_26_03_2026_Log_Reseau_v15[[#This Row],[province RDC]],_26_03_2026_Client_Churn_v1[Province_Client],_26_03_2026_Client_Churn_v1[Anciennete_Mois],"non trouvé")</f>
        <v>101</v>
      </c>
      <c r="M243" t="str">
        <f>_xlfn.XLOOKUP(_26_03_2026_Log_Reseau_v15[[#This Row],[province RDC]],_26_03_2026_Client_Churn_v1[Province_Client],_26_03_2026_Client_Churn_v1[Type_Forfait],"non trouvé")</f>
        <v>Pro Monde</v>
      </c>
      <c r="N243">
        <f>_xlfn.XLOOKUP(_26_03_2026_Log_Reseau_v15[[#This Row],[province RDC]],_26_03_2026_Client_Churn_v1[Province_Client],_26_03_2026_Client_Churn_v1[Duree_Cumulee_Panne_Min],"non trouvé")</f>
        <v>176</v>
      </c>
      <c r="O243">
        <f>_xlfn.XLOOKUP(_26_03_2026_Log_Reseau_v15[[#This Row],[province RDC]],_26_03_2026_Client_Churn_v1[Province_Client],_26_03_2026_Client_Churn_v1[Facture_Mensuelle],"non trouvé")</f>
        <v>86</v>
      </c>
      <c r="P243">
        <f>_xlfn.XLOOKUP(_26_03_2026_Log_Reseau_v15[[#This Row],[province RDC]],_26_03_2026_Client_Churn_v1[Province_Client],_26_03_2026_Client_Churn_v1[Plaintes_Service_Client],"non trouvé")</f>
        <v>3</v>
      </c>
    </row>
    <row r="244" spans="1:16" hidden="1" x14ac:dyDescent="0.25">
      <c r="A244" s="1">
        <v>45228</v>
      </c>
      <c r="B244" s="2">
        <v>0.84027777777777779</v>
      </c>
      <c r="C244" t="s">
        <v>966</v>
      </c>
      <c r="D244">
        <v>101</v>
      </c>
      <c r="E244" t="s">
        <v>807</v>
      </c>
      <c r="F244" t="str">
        <f>_xlfn.XLOOKUP(_26_03_2026_Log_Reseau_v15[[#This Row],[Cell_ID]],_26_03_2026_Registre_Maintenance_v1[ID_Antenne],_26_03_2026_Registre_Maintenance_v1[zone],"pas trouvé")</f>
        <v>pas trouvé</v>
      </c>
      <c r="G244" t="str">
        <f>_xlfn.XLOOKUP(_26_03_2026_Log_Reseau_v15[[#This Row],[Cell_ID]],_26_03_2026_Registre_Maintenance_v1[ID_Antenne],_26_03_2026_Registre_Maintenance_v1[Latitude],"non trouvé")</f>
        <v>non trouvé</v>
      </c>
      <c r="H244" t="str">
        <f>_xlfn.XLOOKUP(_26_03_2026_Log_Reseau_v15[[#This Row],[Cell_ID]],_26_03_2026_Registre_Maintenance_v1[ID_Antenne],_26_03_2026_Registre_Maintenance_v1[Longitude],"pas trouvé")</f>
        <v>pas trouvé</v>
      </c>
      <c r="I244" t="str">
        <f>_xlfn.XLOOKUP(_26_03_2026_Log_Reseau_v15[[#This Row],[Cell_ID]],_26_03_2026_Registre_Maintenance_v1[ID_Antenne],_26_03_2026_Registre_Maintenance_v1[Technologie],"non trouvé")</f>
        <v>non trouvé</v>
      </c>
      <c r="J244" t="str">
        <f>_xlfn.XLOOKUP(_26_03_2026_Log_Reseau_v15[[#This Row],[Cell_ID]],_26_03_2026_Registre_Maintenance_v1[ID_Antenne],_26_03_2026_Registre_Maintenance_v1[Equipementier],"pas trouvé")</f>
        <v>pas trouvé</v>
      </c>
      <c r="K244" t="str">
        <f>_xlfn.XLOOKUP(_26_03_2026_Log_Reseau_v15[[#This Row],[province RDC]],_26_03_2026_Client_Churn_v1[Province_Client],_26_03_2026_Client_Churn_v1[ID_Client],"non trouvé")</f>
        <v>non trouvé</v>
      </c>
      <c r="L244" t="str">
        <f>_xlfn.XLOOKUP(_26_03_2026_Log_Reseau_v15[[#This Row],[province RDC]],_26_03_2026_Client_Churn_v1[Province_Client],_26_03_2026_Client_Churn_v1[Anciennete_Mois],"non trouvé")</f>
        <v>non trouvé</v>
      </c>
      <c r="M244" t="str">
        <f>_xlfn.XLOOKUP(_26_03_2026_Log_Reseau_v15[[#This Row],[province RDC]],_26_03_2026_Client_Churn_v1[Province_Client],_26_03_2026_Client_Churn_v1[Type_Forfait],"non trouvé")</f>
        <v>non trouvé</v>
      </c>
      <c r="N244" t="str">
        <f>_xlfn.XLOOKUP(_26_03_2026_Log_Reseau_v15[[#This Row],[province RDC]],_26_03_2026_Client_Churn_v1[Province_Client],_26_03_2026_Client_Churn_v1[Duree_Cumulee_Panne_Min],"non trouvé")</f>
        <v>non trouvé</v>
      </c>
      <c r="O244" t="str">
        <f>_xlfn.XLOOKUP(_26_03_2026_Log_Reseau_v15[[#This Row],[province RDC]],_26_03_2026_Client_Churn_v1[Province_Client],_26_03_2026_Client_Churn_v1[Facture_Mensuelle],"non trouvé")</f>
        <v>non trouvé</v>
      </c>
      <c r="P244" t="str">
        <f>_xlfn.XLOOKUP(_26_03_2026_Log_Reseau_v15[[#This Row],[province RDC]],_26_03_2026_Client_Churn_v1[Province_Client],_26_03_2026_Client_Churn_v1[Plaintes_Service_Client],"non trouvé")</f>
        <v>non trouvé</v>
      </c>
    </row>
    <row r="245" spans="1:16" hidden="1" x14ac:dyDescent="0.25">
      <c r="A245" s="1">
        <v>45200</v>
      </c>
      <c r="B245" s="2">
        <v>9.3055555555555558E-2</v>
      </c>
      <c r="C245" t="s">
        <v>966</v>
      </c>
      <c r="D245">
        <v>63</v>
      </c>
      <c r="E245" t="s">
        <v>808</v>
      </c>
      <c r="F245" t="str">
        <f>_xlfn.XLOOKUP(_26_03_2026_Log_Reseau_v15[[#This Row],[Cell_ID]],_26_03_2026_Registre_Maintenance_v1[ID_Antenne],_26_03_2026_Registre_Maintenance_v1[zone],"pas trouvé")</f>
        <v>pas trouvé</v>
      </c>
      <c r="G245" t="str">
        <f>_xlfn.XLOOKUP(_26_03_2026_Log_Reseau_v15[[#This Row],[Cell_ID]],_26_03_2026_Registre_Maintenance_v1[ID_Antenne],_26_03_2026_Registre_Maintenance_v1[Latitude],"non trouvé")</f>
        <v>non trouvé</v>
      </c>
      <c r="H245" t="str">
        <f>_xlfn.XLOOKUP(_26_03_2026_Log_Reseau_v15[[#This Row],[Cell_ID]],_26_03_2026_Registre_Maintenance_v1[ID_Antenne],_26_03_2026_Registre_Maintenance_v1[Longitude],"pas trouvé")</f>
        <v>pas trouvé</v>
      </c>
      <c r="I245" t="str">
        <f>_xlfn.XLOOKUP(_26_03_2026_Log_Reseau_v15[[#This Row],[Cell_ID]],_26_03_2026_Registre_Maintenance_v1[ID_Antenne],_26_03_2026_Registre_Maintenance_v1[Technologie],"non trouvé")</f>
        <v>non trouvé</v>
      </c>
      <c r="J245" t="str">
        <f>_xlfn.XLOOKUP(_26_03_2026_Log_Reseau_v15[[#This Row],[Cell_ID]],_26_03_2026_Registre_Maintenance_v1[ID_Antenne],_26_03_2026_Registre_Maintenance_v1[Equipementier],"pas trouvé")</f>
        <v>pas trouvé</v>
      </c>
      <c r="K245" t="str">
        <f>_xlfn.XLOOKUP(_26_03_2026_Log_Reseau_v15[[#This Row],[province RDC]],_26_03_2026_Client_Churn_v1[Province_Client],_26_03_2026_Client_Churn_v1[ID_Client],"non trouvé")</f>
        <v>non trouvé</v>
      </c>
      <c r="L245" t="str">
        <f>_xlfn.XLOOKUP(_26_03_2026_Log_Reseau_v15[[#This Row],[province RDC]],_26_03_2026_Client_Churn_v1[Province_Client],_26_03_2026_Client_Churn_v1[Anciennete_Mois],"non trouvé")</f>
        <v>non trouvé</v>
      </c>
      <c r="M245" t="str">
        <f>_xlfn.XLOOKUP(_26_03_2026_Log_Reseau_v15[[#This Row],[province RDC]],_26_03_2026_Client_Churn_v1[Province_Client],_26_03_2026_Client_Churn_v1[Type_Forfait],"non trouvé")</f>
        <v>non trouvé</v>
      </c>
      <c r="N245" t="str">
        <f>_xlfn.XLOOKUP(_26_03_2026_Log_Reseau_v15[[#This Row],[province RDC]],_26_03_2026_Client_Churn_v1[Province_Client],_26_03_2026_Client_Churn_v1[Duree_Cumulee_Panne_Min],"non trouvé")</f>
        <v>non trouvé</v>
      </c>
      <c r="O245" t="str">
        <f>_xlfn.XLOOKUP(_26_03_2026_Log_Reseau_v15[[#This Row],[province RDC]],_26_03_2026_Client_Churn_v1[Province_Client],_26_03_2026_Client_Churn_v1[Facture_Mensuelle],"non trouvé")</f>
        <v>non trouvé</v>
      </c>
      <c r="P245" t="str">
        <f>_xlfn.XLOOKUP(_26_03_2026_Log_Reseau_v15[[#This Row],[province RDC]],_26_03_2026_Client_Churn_v1[Province_Client],_26_03_2026_Client_Churn_v1[Plaintes_Service_Client],"non trouvé")</f>
        <v>non trouvé</v>
      </c>
    </row>
    <row r="246" spans="1:16" hidden="1" x14ac:dyDescent="0.25">
      <c r="A246" s="1">
        <v>45230</v>
      </c>
      <c r="B246" s="2">
        <v>0.78888888888888886</v>
      </c>
      <c r="C246" t="s">
        <v>966</v>
      </c>
      <c r="D246">
        <v>87</v>
      </c>
      <c r="E246" t="s">
        <v>808</v>
      </c>
      <c r="F246" t="str">
        <f>_xlfn.XLOOKUP(_26_03_2026_Log_Reseau_v15[[#This Row],[Cell_ID]],_26_03_2026_Registre_Maintenance_v1[ID_Antenne],_26_03_2026_Registre_Maintenance_v1[zone],"pas trouvé")</f>
        <v>pas trouvé</v>
      </c>
      <c r="G246" t="str">
        <f>_xlfn.XLOOKUP(_26_03_2026_Log_Reseau_v15[[#This Row],[Cell_ID]],_26_03_2026_Registre_Maintenance_v1[ID_Antenne],_26_03_2026_Registre_Maintenance_v1[Latitude],"non trouvé")</f>
        <v>non trouvé</v>
      </c>
      <c r="H246" t="str">
        <f>_xlfn.XLOOKUP(_26_03_2026_Log_Reseau_v15[[#This Row],[Cell_ID]],_26_03_2026_Registre_Maintenance_v1[ID_Antenne],_26_03_2026_Registre_Maintenance_v1[Longitude],"pas trouvé")</f>
        <v>pas trouvé</v>
      </c>
      <c r="I246" t="str">
        <f>_xlfn.XLOOKUP(_26_03_2026_Log_Reseau_v15[[#This Row],[Cell_ID]],_26_03_2026_Registre_Maintenance_v1[ID_Antenne],_26_03_2026_Registre_Maintenance_v1[Technologie],"non trouvé")</f>
        <v>non trouvé</v>
      </c>
      <c r="J246" t="str">
        <f>_xlfn.XLOOKUP(_26_03_2026_Log_Reseau_v15[[#This Row],[Cell_ID]],_26_03_2026_Registre_Maintenance_v1[ID_Antenne],_26_03_2026_Registre_Maintenance_v1[Equipementier],"pas trouvé")</f>
        <v>pas trouvé</v>
      </c>
      <c r="K246" t="str">
        <f>_xlfn.XLOOKUP(_26_03_2026_Log_Reseau_v15[[#This Row],[province RDC]],_26_03_2026_Client_Churn_v1[Province_Client],_26_03_2026_Client_Churn_v1[ID_Client],"non trouvé")</f>
        <v>non trouvé</v>
      </c>
      <c r="L246" t="str">
        <f>_xlfn.XLOOKUP(_26_03_2026_Log_Reseau_v15[[#This Row],[province RDC]],_26_03_2026_Client_Churn_v1[Province_Client],_26_03_2026_Client_Churn_v1[Anciennete_Mois],"non trouvé")</f>
        <v>non trouvé</v>
      </c>
      <c r="M246" t="str">
        <f>_xlfn.XLOOKUP(_26_03_2026_Log_Reseau_v15[[#This Row],[province RDC]],_26_03_2026_Client_Churn_v1[Province_Client],_26_03_2026_Client_Churn_v1[Type_Forfait],"non trouvé")</f>
        <v>non trouvé</v>
      </c>
      <c r="N246" t="str">
        <f>_xlfn.XLOOKUP(_26_03_2026_Log_Reseau_v15[[#This Row],[province RDC]],_26_03_2026_Client_Churn_v1[Province_Client],_26_03_2026_Client_Churn_v1[Duree_Cumulee_Panne_Min],"non trouvé")</f>
        <v>non trouvé</v>
      </c>
      <c r="O246" t="str">
        <f>_xlfn.XLOOKUP(_26_03_2026_Log_Reseau_v15[[#This Row],[province RDC]],_26_03_2026_Client_Churn_v1[Province_Client],_26_03_2026_Client_Churn_v1[Facture_Mensuelle],"non trouvé")</f>
        <v>non trouvé</v>
      </c>
      <c r="P246" t="str">
        <f>_xlfn.XLOOKUP(_26_03_2026_Log_Reseau_v15[[#This Row],[province RDC]],_26_03_2026_Client_Churn_v1[Province_Client],_26_03_2026_Client_Churn_v1[Plaintes_Service_Client],"non trouvé")</f>
        <v>non trouvé</v>
      </c>
    </row>
    <row r="247" spans="1:16" hidden="1" x14ac:dyDescent="0.25">
      <c r="A247" s="1">
        <v>45226</v>
      </c>
      <c r="B247" s="2">
        <v>0.92013888888888884</v>
      </c>
      <c r="C247" t="s">
        <v>967</v>
      </c>
      <c r="D247">
        <v>64</v>
      </c>
      <c r="E247" t="s">
        <v>812</v>
      </c>
      <c r="F247" t="str">
        <f>_xlfn.XLOOKUP(_26_03_2026_Log_Reseau_v15[[#This Row],[Cell_ID]],_26_03_2026_Registre_Maintenance_v1[ID_Antenne],_26_03_2026_Registre_Maintenance_v1[zone],"pas trouvé")</f>
        <v>pas trouvé</v>
      </c>
      <c r="G247" t="str">
        <f>_xlfn.XLOOKUP(_26_03_2026_Log_Reseau_v15[[#This Row],[Cell_ID]],_26_03_2026_Registre_Maintenance_v1[ID_Antenne],_26_03_2026_Registre_Maintenance_v1[Latitude],"non trouvé")</f>
        <v>non trouvé</v>
      </c>
      <c r="H247" t="str">
        <f>_xlfn.XLOOKUP(_26_03_2026_Log_Reseau_v15[[#This Row],[Cell_ID]],_26_03_2026_Registre_Maintenance_v1[ID_Antenne],_26_03_2026_Registre_Maintenance_v1[Longitude],"pas trouvé")</f>
        <v>pas trouvé</v>
      </c>
      <c r="I247" t="str">
        <f>_xlfn.XLOOKUP(_26_03_2026_Log_Reseau_v15[[#This Row],[Cell_ID]],_26_03_2026_Registre_Maintenance_v1[ID_Antenne],_26_03_2026_Registre_Maintenance_v1[Technologie],"non trouvé")</f>
        <v>non trouvé</v>
      </c>
      <c r="J247" t="str">
        <f>_xlfn.XLOOKUP(_26_03_2026_Log_Reseau_v15[[#This Row],[Cell_ID]],_26_03_2026_Registre_Maintenance_v1[ID_Antenne],_26_03_2026_Registre_Maintenance_v1[Equipementier],"pas trouvé")</f>
        <v>pas trouvé</v>
      </c>
      <c r="K247" t="str">
        <f>_xlfn.XLOOKUP(_26_03_2026_Log_Reseau_v15[[#This Row],[province RDC]],_26_03_2026_Client_Churn_v1[Province_Client],_26_03_2026_Client_Churn_v1[ID_Client],"non trouvé")</f>
        <v>non trouvé</v>
      </c>
      <c r="L247" t="str">
        <f>_xlfn.XLOOKUP(_26_03_2026_Log_Reseau_v15[[#This Row],[province RDC]],_26_03_2026_Client_Churn_v1[Province_Client],_26_03_2026_Client_Churn_v1[Anciennete_Mois],"non trouvé")</f>
        <v>non trouvé</v>
      </c>
      <c r="M247" t="str">
        <f>_xlfn.XLOOKUP(_26_03_2026_Log_Reseau_v15[[#This Row],[province RDC]],_26_03_2026_Client_Churn_v1[Province_Client],_26_03_2026_Client_Churn_v1[Type_Forfait],"non trouvé")</f>
        <v>non trouvé</v>
      </c>
      <c r="N247" t="str">
        <f>_xlfn.XLOOKUP(_26_03_2026_Log_Reseau_v15[[#This Row],[province RDC]],_26_03_2026_Client_Churn_v1[Province_Client],_26_03_2026_Client_Churn_v1[Duree_Cumulee_Panne_Min],"non trouvé")</f>
        <v>non trouvé</v>
      </c>
      <c r="O247" t="str">
        <f>_xlfn.XLOOKUP(_26_03_2026_Log_Reseau_v15[[#This Row],[province RDC]],_26_03_2026_Client_Churn_v1[Province_Client],_26_03_2026_Client_Churn_v1[Facture_Mensuelle],"non trouvé")</f>
        <v>non trouvé</v>
      </c>
      <c r="P247" t="str">
        <f>_xlfn.XLOOKUP(_26_03_2026_Log_Reseau_v15[[#This Row],[province RDC]],_26_03_2026_Client_Churn_v1[Province_Client],_26_03_2026_Client_Churn_v1[Plaintes_Service_Client],"non trouvé")</f>
        <v>non trouvé</v>
      </c>
    </row>
    <row r="248" spans="1:16" hidden="1" x14ac:dyDescent="0.25">
      <c r="A248" s="1">
        <v>45218</v>
      </c>
      <c r="B248" s="2">
        <v>0.36180555555555555</v>
      </c>
      <c r="C248" t="s">
        <v>967</v>
      </c>
      <c r="D248">
        <v>45</v>
      </c>
      <c r="E248" t="s">
        <v>812</v>
      </c>
      <c r="F248" t="str">
        <f>_xlfn.XLOOKUP(_26_03_2026_Log_Reseau_v15[[#This Row],[Cell_ID]],_26_03_2026_Registre_Maintenance_v1[ID_Antenne],_26_03_2026_Registre_Maintenance_v1[zone],"pas trouvé")</f>
        <v>pas trouvé</v>
      </c>
      <c r="G248" t="str">
        <f>_xlfn.XLOOKUP(_26_03_2026_Log_Reseau_v15[[#This Row],[Cell_ID]],_26_03_2026_Registre_Maintenance_v1[ID_Antenne],_26_03_2026_Registre_Maintenance_v1[Latitude],"non trouvé")</f>
        <v>non trouvé</v>
      </c>
      <c r="H248" t="str">
        <f>_xlfn.XLOOKUP(_26_03_2026_Log_Reseau_v15[[#This Row],[Cell_ID]],_26_03_2026_Registre_Maintenance_v1[ID_Antenne],_26_03_2026_Registre_Maintenance_v1[Longitude],"pas trouvé")</f>
        <v>pas trouvé</v>
      </c>
      <c r="I248" t="str">
        <f>_xlfn.XLOOKUP(_26_03_2026_Log_Reseau_v15[[#This Row],[Cell_ID]],_26_03_2026_Registre_Maintenance_v1[ID_Antenne],_26_03_2026_Registre_Maintenance_v1[Technologie],"non trouvé")</f>
        <v>non trouvé</v>
      </c>
      <c r="J248" t="str">
        <f>_xlfn.XLOOKUP(_26_03_2026_Log_Reseau_v15[[#This Row],[Cell_ID]],_26_03_2026_Registre_Maintenance_v1[ID_Antenne],_26_03_2026_Registre_Maintenance_v1[Equipementier],"pas trouvé")</f>
        <v>pas trouvé</v>
      </c>
      <c r="K248" t="str">
        <f>_xlfn.XLOOKUP(_26_03_2026_Log_Reseau_v15[[#This Row],[province RDC]],_26_03_2026_Client_Churn_v1[Province_Client],_26_03_2026_Client_Churn_v1[ID_Client],"non trouvé")</f>
        <v>non trouvé</v>
      </c>
      <c r="L248" t="str">
        <f>_xlfn.XLOOKUP(_26_03_2026_Log_Reseau_v15[[#This Row],[province RDC]],_26_03_2026_Client_Churn_v1[Province_Client],_26_03_2026_Client_Churn_v1[Anciennete_Mois],"non trouvé")</f>
        <v>non trouvé</v>
      </c>
      <c r="M248" t="str">
        <f>_xlfn.XLOOKUP(_26_03_2026_Log_Reseau_v15[[#This Row],[province RDC]],_26_03_2026_Client_Churn_v1[Province_Client],_26_03_2026_Client_Churn_v1[Type_Forfait],"non trouvé")</f>
        <v>non trouvé</v>
      </c>
      <c r="N248" t="str">
        <f>_xlfn.XLOOKUP(_26_03_2026_Log_Reseau_v15[[#This Row],[province RDC]],_26_03_2026_Client_Churn_v1[Province_Client],_26_03_2026_Client_Churn_v1[Duree_Cumulee_Panne_Min],"non trouvé")</f>
        <v>non trouvé</v>
      </c>
      <c r="O248" t="str">
        <f>_xlfn.XLOOKUP(_26_03_2026_Log_Reseau_v15[[#This Row],[province RDC]],_26_03_2026_Client_Churn_v1[Province_Client],_26_03_2026_Client_Churn_v1[Facture_Mensuelle],"non trouvé")</f>
        <v>non trouvé</v>
      </c>
      <c r="P248" t="str">
        <f>_xlfn.XLOOKUP(_26_03_2026_Log_Reseau_v15[[#This Row],[province RDC]],_26_03_2026_Client_Churn_v1[Province_Client],_26_03_2026_Client_Churn_v1[Plaintes_Service_Client],"non trouvé")</f>
        <v>non trouvé</v>
      </c>
    </row>
    <row r="249" spans="1:16" hidden="1" x14ac:dyDescent="0.25">
      <c r="A249" s="1">
        <v>45229</v>
      </c>
      <c r="B249" s="2">
        <v>0.28263888888888888</v>
      </c>
      <c r="C249" t="s">
        <v>967</v>
      </c>
      <c r="D249">
        <v>102</v>
      </c>
      <c r="E249" t="s">
        <v>808</v>
      </c>
      <c r="F249" t="str">
        <f>_xlfn.XLOOKUP(_26_03_2026_Log_Reseau_v15[[#This Row],[Cell_ID]],_26_03_2026_Registre_Maintenance_v1[ID_Antenne],_26_03_2026_Registre_Maintenance_v1[zone],"pas trouvé")</f>
        <v>pas trouvé</v>
      </c>
      <c r="G249" t="str">
        <f>_xlfn.XLOOKUP(_26_03_2026_Log_Reseau_v15[[#This Row],[Cell_ID]],_26_03_2026_Registre_Maintenance_v1[ID_Antenne],_26_03_2026_Registre_Maintenance_v1[Latitude],"non trouvé")</f>
        <v>non trouvé</v>
      </c>
      <c r="H249" t="str">
        <f>_xlfn.XLOOKUP(_26_03_2026_Log_Reseau_v15[[#This Row],[Cell_ID]],_26_03_2026_Registre_Maintenance_v1[ID_Antenne],_26_03_2026_Registre_Maintenance_v1[Longitude],"pas trouvé")</f>
        <v>pas trouvé</v>
      </c>
      <c r="I249" t="str">
        <f>_xlfn.XLOOKUP(_26_03_2026_Log_Reseau_v15[[#This Row],[Cell_ID]],_26_03_2026_Registre_Maintenance_v1[ID_Antenne],_26_03_2026_Registre_Maintenance_v1[Technologie],"non trouvé")</f>
        <v>non trouvé</v>
      </c>
      <c r="J249" t="str">
        <f>_xlfn.XLOOKUP(_26_03_2026_Log_Reseau_v15[[#This Row],[Cell_ID]],_26_03_2026_Registre_Maintenance_v1[ID_Antenne],_26_03_2026_Registre_Maintenance_v1[Equipementier],"pas trouvé")</f>
        <v>pas trouvé</v>
      </c>
      <c r="K249" t="str">
        <f>_xlfn.XLOOKUP(_26_03_2026_Log_Reseau_v15[[#This Row],[province RDC]],_26_03_2026_Client_Churn_v1[Province_Client],_26_03_2026_Client_Churn_v1[ID_Client],"non trouvé")</f>
        <v>non trouvé</v>
      </c>
      <c r="L249" t="str">
        <f>_xlfn.XLOOKUP(_26_03_2026_Log_Reseau_v15[[#This Row],[province RDC]],_26_03_2026_Client_Churn_v1[Province_Client],_26_03_2026_Client_Churn_v1[Anciennete_Mois],"non trouvé")</f>
        <v>non trouvé</v>
      </c>
      <c r="M249" t="str">
        <f>_xlfn.XLOOKUP(_26_03_2026_Log_Reseau_v15[[#This Row],[province RDC]],_26_03_2026_Client_Churn_v1[Province_Client],_26_03_2026_Client_Churn_v1[Type_Forfait],"non trouvé")</f>
        <v>non trouvé</v>
      </c>
      <c r="N249" t="str">
        <f>_xlfn.XLOOKUP(_26_03_2026_Log_Reseau_v15[[#This Row],[province RDC]],_26_03_2026_Client_Churn_v1[Province_Client],_26_03_2026_Client_Churn_v1[Duree_Cumulee_Panne_Min],"non trouvé")</f>
        <v>non trouvé</v>
      </c>
      <c r="O249" t="str">
        <f>_xlfn.XLOOKUP(_26_03_2026_Log_Reseau_v15[[#This Row],[province RDC]],_26_03_2026_Client_Churn_v1[Province_Client],_26_03_2026_Client_Churn_v1[Facture_Mensuelle],"non trouvé")</f>
        <v>non trouvé</v>
      </c>
      <c r="P249" t="str">
        <f>_xlfn.XLOOKUP(_26_03_2026_Log_Reseau_v15[[#This Row],[province RDC]],_26_03_2026_Client_Churn_v1[Province_Client],_26_03_2026_Client_Churn_v1[Plaintes_Service_Client],"non trouvé")</f>
        <v>non trouvé</v>
      </c>
    </row>
    <row r="250" spans="1:16" hidden="1" x14ac:dyDescent="0.25">
      <c r="A250" s="1">
        <v>45230</v>
      </c>
      <c r="B250" s="2">
        <v>0.83472222222222225</v>
      </c>
      <c r="C250" t="s">
        <v>967</v>
      </c>
      <c r="D250">
        <v>46</v>
      </c>
      <c r="E250" t="s">
        <v>808</v>
      </c>
      <c r="F250" t="str">
        <f>_xlfn.XLOOKUP(_26_03_2026_Log_Reseau_v15[[#This Row],[Cell_ID]],_26_03_2026_Registre_Maintenance_v1[ID_Antenne],_26_03_2026_Registre_Maintenance_v1[zone],"pas trouvé")</f>
        <v>pas trouvé</v>
      </c>
      <c r="G250" t="str">
        <f>_xlfn.XLOOKUP(_26_03_2026_Log_Reseau_v15[[#This Row],[Cell_ID]],_26_03_2026_Registre_Maintenance_v1[ID_Antenne],_26_03_2026_Registre_Maintenance_v1[Latitude],"non trouvé")</f>
        <v>non trouvé</v>
      </c>
      <c r="H250" t="str">
        <f>_xlfn.XLOOKUP(_26_03_2026_Log_Reseau_v15[[#This Row],[Cell_ID]],_26_03_2026_Registre_Maintenance_v1[ID_Antenne],_26_03_2026_Registre_Maintenance_v1[Longitude],"pas trouvé")</f>
        <v>pas trouvé</v>
      </c>
      <c r="I250" t="str">
        <f>_xlfn.XLOOKUP(_26_03_2026_Log_Reseau_v15[[#This Row],[Cell_ID]],_26_03_2026_Registre_Maintenance_v1[ID_Antenne],_26_03_2026_Registre_Maintenance_v1[Technologie],"non trouvé")</f>
        <v>non trouvé</v>
      </c>
      <c r="J250" t="str">
        <f>_xlfn.XLOOKUP(_26_03_2026_Log_Reseau_v15[[#This Row],[Cell_ID]],_26_03_2026_Registre_Maintenance_v1[ID_Antenne],_26_03_2026_Registre_Maintenance_v1[Equipementier],"pas trouvé")</f>
        <v>pas trouvé</v>
      </c>
      <c r="K250" t="str">
        <f>_xlfn.XLOOKUP(_26_03_2026_Log_Reseau_v15[[#This Row],[province RDC]],_26_03_2026_Client_Churn_v1[Province_Client],_26_03_2026_Client_Churn_v1[ID_Client],"non trouvé")</f>
        <v>non trouvé</v>
      </c>
      <c r="L250" t="str">
        <f>_xlfn.XLOOKUP(_26_03_2026_Log_Reseau_v15[[#This Row],[province RDC]],_26_03_2026_Client_Churn_v1[Province_Client],_26_03_2026_Client_Churn_v1[Anciennete_Mois],"non trouvé")</f>
        <v>non trouvé</v>
      </c>
      <c r="M250" t="str">
        <f>_xlfn.XLOOKUP(_26_03_2026_Log_Reseau_v15[[#This Row],[province RDC]],_26_03_2026_Client_Churn_v1[Province_Client],_26_03_2026_Client_Churn_v1[Type_Forfait],"non trouvé")</f>
        <v>non trouvé</v>
      </c>
      <c r="N250" t="str">
        <f>_xlfn.XLOOKUP(_26_03_2026_Log_Reseau_v15[[#This Row],[province RDC]],_26_03_2026_Client_Churn_v1[Province_Client],_26_03_2026_Client_Churn_v1[Duree_Cumulee_Panne_Min],"non trouvé")</f>
        <v>non trouvé</v>
      </c>
      <c r="O250" t="str">
        <f>_xlfn.XLOOKUP(_26_03_2026_Log_Reseau_v15[[#This Row],[province RDC]],_26_03_2026_Client_Churn_v1[Province_Client],_26_03_2026_Client_Churn_v1[Facture_Mensuelle],"non trouvé")</f>
        <v>non trouvé</v>
      </c>
      <c r="P250" t="str">
        <f>_xlfn.XLOOKUP(_26_03_2026_Log_Reseau_v15[[#This Row],[province RDC]],_26_03_2026_Client_Churn_v1[Province_Client],_26_03_2026_Client_Churn_v1[Plaintes_Service_Client],"non trouvé")</f>
        <v>non trouvé</v>
      </c>
    </row>
    <row r="251" spans="1:16" hidden="1" x14ac:dyDescent="0.25">
      <c r="A251" s="1">
        <v>45220</v>
      </c>
      <c r="B251" s="2">
        <v>0.11458333333333333</v>
      </c>
      <c r="C251" t="s">
        <v>967</v>
      </c>
      <c r="D251">
        <v>54</v>
      </c>
      <c r="E251" t="s">
        <v>808</v>
      </c>
      <c r="F251" t="str">
        <f>_xlfn.XLOOKUP(_26_03_2026_Log_Reseau_v15[[#This Row],[Cell_ID]],_26_03_2026_Registre_Maintenance_v1[ID_Antenne],_26_03_2026_Registre_Maintenance_v1[zone],"pas trouvé")</f>
        <v>pas trouvé</v>
      </c>
      <c r="G251" t="str">
        <f>_xlfn.XLOOKUP(_26_03_2026_Log_Reseau_v15[[#This Row],[Cell_ID]],_26_03_2026_Registre_Maintenance_v1[ID_Antenne],_26_03_2026_Registre_Maintenance_v1[Latitude],"non trouvé")</f>
        <v>non trouvé</v>
      </c>
      <c r="H251" t="str">
        <f>_xlfn.XLOOKUP(_26_03_2026_Log_Reseau_v15[[#This Row],[Cell_ID]],_26_03_2026_Registre_Maintenance_v1[ID_Antenne],_26_03_2026_Registre_Maintenance_v1[Longitude],"pas trouvé")</f>
        <v>pas trouvé</v>
      </c>
      <c r="I251" t="str">
        <f>_xlfn.XLOOKUP(_26_03_2026_Log_Reseau_v15[[#This Row],[Cell_ID]],_26_03_2026_Registre_Maintenance_v1[ID_Antenne],_26_03_2026_Registre_Maintenance_v1[Technologie],"non trouvé")</f>
        <v>non trouvé</v>
      </c>
      <c r="J251" t="str">
        <f>_xlfn.XLOOKUP(_26_03_2026_Log_Reseau_v15[[#This Row],[Cell_ID]],_26_03_2026_Registre_Maintenance_v1[ID_Antenne],_26_03_2026_Registre_Maintenance_v1[Equipementier],"pas trouvé")</f>
        <v>pas trouvé</v>
      </c>
      <c r="K251" t="str">
        <f>_xlfn.XLOOKUP(_26_03_2026_Log_Reseau_v15[[#This Row],[province RDC]],_26_03_2026_Client_Churn_v1[Province_Client],_26_03_2026_Client_Churn_v1[ID_Client],"non trouvé")</f>
        <v>non trouvé</v>
      </c>
      <c r="L251" t="str">
        <f>_xlfn.XLOOKUP(_26_03_2026_Log_Reseau_v15[[#This Row],[province RDC]],_26_03_2026_Client_Churn_v1[Province_Client],_26_03_2026_Client_Churn_v1[Anciennete_Mois],"non trouvé")</f>
        <v>non trouvé</v>
      </c>
      <c r="M251" t="str">
        <f>_xlfn.XLOOKUP(_26_03_2026_Log_Reseau_v15[[#This Row],[province RDC]],_26_03_2026_Client_Churn_v1[Province_Client],_26_03_2026_Client_Churn_v1[Type_Forfait],"non trouvé")</f>
        <v>non trouvé</v>
      </c>
      <c r="N251" t="str">
        <f>_xlfn.XLOOKUP(_26_03_2026_Log_Reseau_v15[[#This Row],[province RDC]],_26_03_2026_Client_Churn_v1[Province_Client],_26_03_2026_Client_Churn_v1[Duree_Cumulee_Panne_Min],"non trouvé")</f>
        <v>non trouvé</v>
      </c>
      <c r="O251" t="str">
        <f>_xlfn.XLOOKUP(_26_03_2026_Log_Reseau_v15[[#This Row],[province RDC]],_26_03_2026_Client_Churn_v1[Province_Client],_26_03_2026_Client_Churn_v1[Facture_Mensuelle],"non trouvé")</f>
        <v>non trouvé</v>
      </c>
      <c r="P251" t="str">
        <f>_xlfn.XLOOKUP(_26_03_2026_Log_Reseau_v15[[#This Row],[province RDC]],_26_03_2026_Client_Churn_v1[Province_Client],_26_03_2026_Client_Churn_v1[Plaintes_Service_Client],"non trouvé")</f>
        <v>non trouvé</v>
      </c>
    </row>
    <row r="252" spans="1:16" hidden="1" x14ac:dyDescent="0.25">
      <c r="A252" s="1">
        <v>45220</v>
      </c>
      <c r="B252" s="2">
        <v>0.64236111111111116</v>
      </c>
      <c r="C252" t="s">
        <v>967</v>
      </c>
      <c r="D252">
        <v>19</v>
      </c>
      <c r="E252" t="s">
        <v>807</v>
      </c>
      <c r="F252" t="str">
        <f>_xlfn.XLOOKUP(_26_03_2026_Log_Reseau_v15[[#This Row],[Cell_ID]],_26_03_2026_Registre_Maintenance_v1[ID_Antenne],_26_03_2026_Registre_Maintenance_v1[zone],"pas trouvé")</f>
        <v>pas trouvé</v>
      </c>
      <c r="G252" t="str">
        <f>_xlfn.XLOOKUP(_26_03_2026_Log_Reseau_v15[[#This Row],[Cell_ID]],_26_03_2026_Registre_Maintenance_v1[ID_Antenne],_26_03_2026_Registre_Maintenance_v1[Latitude],"non trouvé")</f>
        <v>non trouvé</v>
      </c>
      <c r="H252" t="str">
        <f>_xlfn.XLOOKUP(_26_03_2026_Log_Reseau_v15[[#This Row],[Cell_ID]],_26_03_2026_Registre_Maintenance_v1[ID_Antenne],_26_03_2026_Registre_Maintenance_v1[Longitude],"pas trouvé")</f>
        <v>pas trouvé</v>
      </c>
      <c r="I252" t="str">
        <f>_xlfn.XLOOKUP(_26_03_2026_Log_Reseau_v15[[#This Row],[Cell_ID]],_26_03_2026_Registre_Maintenance_v1[ID_Antenne],_26_03_2026_Registre_Maintenance_v1[Technologie],"non trouvé")</f>
        <v>non trouvé</v>
      </c>
      <c r="J252" t="str">
        <f>_xlfn.XLOOKUP(_26_03_2026_Log_Reseau_v15[[#This Row],[Cell_ID]],_26_03_2026_Registre_Maintenance_v1[ID_Antenne],_26_03_2026_Registre_Maintenance_v1[Equipementier],"pas trouvé")</f>
        <v>pas trouvé</v>
      </c>
      <c r="K252" t="str">
        <f>_xlfn.XLOOKUP(_26_03_2026_Log_Reseau_v15[[#This Row],[province RDC]],_26_03_2026_Client_Churn_v1[Province_Client],_26_03_2026_Client_Churn_v1[ID_Client],"non trouvé")</f>
        <v>non trouvé</v>
      </c>
      <c r="L252" t="str">
        <f>_xlfn.XLOOKUP(_26_03_2026_Log_Reseau_v15[[#This Row],[province RDC]],_26_03_2026_Client_Churn_v1[Province_Client],_26_03_2026_Client_Churn_v1[Anciennete_Mois],"non trouvé")</f>
        <v>non trouvé</v>
      </c>
      <c r="M252" t="str">
        <f>_xlfn.XLOOKUP(_26_03_2026_Log_Reseau_v15[[#This Row],[province RDC]],_26_03_2026_Client_Churn_v1[Province_Client],_26_03_2026_Client_Churn_v1[Type_Forfait],"non trouvé")</f>
        <v>non trouvé</v>
      </c>
      <c r="N252" t="str">
        <f>_xlfn.XLOOKUP(_26_03_2026_Log_Reseau_v15[[#This Row],[province RDC]],_26_03_2026_Client_Churn_v1[Province_Client],_26_03_2026_Client_Churn_v1[Duree_Cumulee_Panne_Min],"non trouvé")</f>
        <v>non trouvé</v>
      </c>
      <c r="O252" t="str">
        <f>_xlfn.XLOOKUP(_26_03_2026_Log_Reseau_v15[[#This Row],[province RDC]],_26_03_2026_Client_Churn_v1[Province_Client],_26_03_2026_Client_Churn_v1[Facture_Mensuelle],"non trouvé")</f>
        <v>non trouvé</v>
      </c>
      <c r="P252" t="str">
        <f>_xlfn.XLOOKUP(_26_03_2026_Log_Reseau_v15[[#This Row],[province RDC]],_26_03_2026_Client_Churn_v1[Province_Client],_26_03_2026_Client_Churn_v1[Plaintes_Service_Client],"non trouvé")</f>
        <v>non trouvé</v>
      </c>
    </row>
    <row r="253" spans="1:16" x14ac:dyDescent="0.25">
      <c r="A253" s="1">
        <v>45230</v>
      </c>
      <c r="B253" s="2">
        <v>0.32361111111111113</v>
      </c>
      <c r="C253" t="s">
        <v>968</v>
      </c>
      <c r="D253">
        <v>105</v>
      </c>
      <c r="E253" t="s">
        <v>807</v>
      </c>
      <c r="F253" t="str">
        <f>_xlfn.XLOOKUP(_26_03_2026_Log_Reseau_v15[[#This Row],[Cell_ID]],_26_03_2026_Registre_Maintenance_v1[ID_Antenne],_26_03_2026_Registre_Maintenance_v1[zone],"pas trouvé")</f>
        <v>Haut-Uele</v>
      </c>
      <c r="G253">
        <f>_xlfn.XLOOKUP(_26_03_2026_Log_Reseau_v15[[#This Row],[Cell_ID]],_26_03_2026_Registre_Maintenance_v1[ID_Antenne],_26_03_2026_Registre_Maintenance_v1[Latitude],"non trouvé")</f>
        <v>-4.4351269999999996</v>
      </c>
      <c r="H253">
        <f>_xlfn.XLOOKUP(_26_03_2026_Log_Reseau_v15[[#This Row],[Cell_ID]],_26_03_2026_Registre_Maintenance_v1[ID_Antenne],_26_03_2026_Registre_Maintenance_v1[Longitude],"pas trouvé")</f>
        <v>24.825467</v>
      </c>
      <c r="I253" t="str">
        <f>_xlfn.XLOOKUP(_26_03_2026_Log_Reseau_v15[[#This Row],[Cell_ID]],_26_03_2026_Registre_Maintenance_v1[ID_Antenne],_26_03_2026_Registre_Maintenance_v1[Technologie],"non trouvé")</f>
        <v>4G</v>
      </c>
      <c r="J253" t="str">
        <f>_xlfn.XLOOKUP(_26_03_2026_Log_Reseau_v15[[#This Row],[Cell_ID]],_26_03_2026_Registre_Maintenance_v1[ID_Antenne],_26_03_2026_Registre_Maintenance_v1[Equipementier],"pas trouvé")</f>
        <v>Huawei</v>
      </c>
      <c r="K253" t="str">
        <f>_xlfn.XLOOKUP(_26_03_2026_Log_Reseau_v15[[#This Row],[province RDC]],_26_03_2026_Client_Churn_v1[Province_Client],_26_03_2026_Client_Churn_v1[ID_Client],"non trouvé")</f>
        <v>CLI-00439</v>
      </c>
      <c r="L253">
        <f>_xlfn.XLOOKUP(_26_03_2026_Log_Reseau_v15[[#This Row],[province RDC]],_26_03_2026_Client_Churn_v1[Province_Client],_26_03_2026_Client_Churn_v1[Anciennete_Mois],"non trouvé")</f>
        <v>40</v>
      </c>
      <c r="M253" t="str">
        <f>_xlfn.XLOOKUP(_26_03_2026_Log_Reseau_v15[[#This Row],[province RDC]],_26_03_2026_Client_Churn_v1[Province_Client],_26_03_2026_Client_Churn_v1[Type_Forfait],"non trouvé")</f>
        <v>Premium 5G 150Go</v>
      </c>
      <c r="N253">
        <f>_xlfn.XLOOKUP(_26_03_2026_Log_Reseau_v15[[#This Row],[province RDC]],_26_03_2026_Client_Churn_v1[Province_Client],_26_03_2026_Client_Churn_v1[Duree_Cumulee_Panne_Min],"non trouvé")</f>
        <v>345</v>
      </c>
      <c r="O253">
        <f>_xlfn.XLOOKUP(_26_03_2026_Log_Reseau_v15[[#This Row],[province RDC]],_26_03_2026_Client_Churn_v1[Province_Client],_26_03_2026_Client_Churn_v1[Facture_Mensuelle],"non trouvé")</f>
        <v>89.55</v>
      </c>
      <c r="P253">
        <f>_xlfn.XLOOKUP(_26_03_2026_Log_Reseau_v15[[#This Row],[province RDC]],_26_03_2026_Client_Churn_v1[Province_Client],_26_03_2026_Client_Churn_v1[Plaintes_Service_Client],"non trouvé")</f>
        <v>3</v>
      </c>
    </row>
    <row r="254" spans="1:16" x14ac:dyDescent="0.25">
      <c r="A254" s="1">
        <v>45228</v>
      </c>
      <c r="B254" s="2">
        <v>0.51180555555555551</v>
      </c>
      <c r="C254" t="s">
        <v>968</v>
      </c>
      <c r="D254">
        <v>64</v>
      </c>
      <c r="E254" t="s">
        <v>808</v>
      </c>
      <c r="F254" t="str">
        <f>_xlfn.XLOOKUP(_26_03_2026_Log_Reseau_v15[[#This Row],[Cell_ID]],_26_03_2026_Registre_Maintenance_v1[ID_Antenne],_26_03_2026_Registre_Maintenance_v1[zone],"pas trouvé")</f>
        <v>Haut-Uele</v>
      </c>
      <c r="G254">
        <f>_xlfn.XLOOKUP(_26_03_2026_Log_Reseau_v15[[#This Row],[Cell_ID]],_26_03_2026_Registre_Maintenance_v1[ID_Antenne],_26_03_2026_Registre_Maintenance_v1[Latitude],"non trouvé")</f>
        <v>-4.4351269999999996</v>
      </c>
      <c r="H254">
        <f>_xlfn.XLOOKUP(_26_03_2026_Log_Reseau_v15[[#This Row],[Cell_ID]],_26_03_2026_Registre_Maintenance_v1[ID_Antenne],_26_03_2026_Registre_Maintenance_v1[Longitude],"pas trouvé")</f>
        <v>24.825467</v>
      </c>
      <c r="I254" t="str">
        <f>_xlfn.XLOOKUP(_26_03_2026_Log_Reseau_v15[[#This Row],[Cell_ID]],_26_03_2026_Registre_Maintenance_v1[ID_Antenne],_26_03_2026_Registre_Maintenance_v1[Technologie],"non trouvé")</f>
        <v>4G</v>
      </c>
      <c r="J254" t="str">
        <f>_xlfn.XLOOKUP(_26_03_2026_Log_Reseau_v15[[#This Row],[Cell_ID]],_26_03_2026_Registre_Maintenance_v1[ID_Antenne],_26_03_2026_Registre_Maintenance_v1[Equipementier],"pas trouvé")</f>
        <v>Huawei</v>
      </c>
      <c r="K254" t="str">
        <f>_xlfn.XLOOKUP(_26_03_2026_Log_Reseau_v15[[#This Row],[province RDC]],_26_03_2026_Client_Churn_v1[Province_Client],_26_03_2026_Client_Churn_v1[ID_Client],"non trouvé")</f>
        <v>CLI-00439</v>
      </c>
      <c r="L254">
        <f>_xlfn.XLOOKUP(_26_03_2026_Log_Reseau_v15[[#This Row],[province RDC]],_26_03_2026_Client_Churn_v1[Province_Client],_26_03_2026_Client_Churn_v1[Anciennete_Mois],"non trouvé")</f>
        <v>40</v>
      </c>
      <c r="M254" t="str">
        <f>_xlfn.XLOOKUP(_26_03_2026_Log_Reseau_v15[[#This Row],[province RDC]],_26_03_2026_Client_Churn_v1[Province_Client],_26_03_2026_Client_Churn_v1[Type_Forfait],"non trouvé")</f>
        <v>Premium 5G 150Go</v>
      </c>
      <c r="N254">
        <f>_xlfn.XLOOKUP(_26_03_2026_Log_Reseau_v15[[#This Row],[province RDC]],_26_03_2026_Client_Churn_v1[Province_Client],_26_03_2026_Client_Churn_v1[Duree_Cumulee_Panne_Min],"non trouvé")</f>
        <v>345</v>
      </c>
      <c r="O254">
        <f>_xlfn.XLOOKUP(_26_03_2026_Log_Reseau_v15[[#This Row],[province RDC]],_26_03_2026_Client_Churn_v1[Province_Client],_26_03_2026_Client_Churn_v1[Facture_Mensuelle],"non trouvé")</f>
        <v>89.55</v>
      </c>
      <c r="P254">
        <f>_xlfn.XLOOKUP(_26_03_2026_Log_Reseau_v15[[#This Row],[province RDC]],_26_03_2026_Client_Churn_v1[Province_Client],_26_03_2026_Client_Churn_v1[Plaintes_Service_Client],"non trouvé")</f>
        <v>3</v>
      </c>
    </row>
    <row r="255" spans="1:16" x14ac:dyDescent="0.25">
      <c r="A255" s="1">
        <v>45202</v>
      </c>
      <c r="B255" s="2">
        <v>0.78055555555555556</v>
      </c>
      <c r="C255" t="s">
        <v>969</v>
      </c>
      <c r="D255">
        <v>53</v>
      </c>
      <c r="E255" t="s">
        <v>812</v>
      </c>
      <c r="F255" t="str">
        <f>_xlfn.XLOOKUP(_26_03_2026_Log_Reseau_v15[[#This Row],[Cell_ID]],_26_03_2026_Registre_Maintenance_v1[ID_Antenne],_26_03_2026_Registre_Maintenance_v1[zone],"pas trouvé")</f>
        <v>Maniema</v>
      </c>
      <c r="G255">
        <f>_xlfn.XLOOKUP(_26_03_2026_Log_Reseau_v15[[#This Row],[Cell_ID]],_26_03_2026_Registre_Maintenance_v1[ID_Antenne],_26_03_2026_Registre_Maintenance_v1[Latitude],"non trouvé")</f>
        <v>-2.3743210000000001</v>
      </c>
      <c r="H255">
        <f>_xlfn.XLOOKUP(_26_03_2026_Log_Reseau_v15[[#This Row],[Cell_ID]],_26_03_2026_Registre_Maintenance_v1[ID_Antenne],_26_03_2026_Registre_Maintenance_v1[Longitude],"pas trouvé")</f>
        <v>22.399491000000001</v>
      </c>
      <c r="I255" t="str">
        <f>_xlfn.XLOOKUP(_26_03_2026_Log_Reseau_v15[[#This Row],[Cell_ID]],_26_03_2026_Registre_Maintenance_v1[ID_Antenne],_26_03_2026_Registre_Maintenance_v1[Technologie],"non trouvé")</f>
        <v>5G</v>
      </c>
      <c r="J255" t="str">
        <f>_xlfn.XLOOKUP(_26_03_2026_Log_Reseau_v15[[#This Row],[Cell_ID]],_26_03_2026_Registre_Maintenance_v1[ID_Antenne],_26_03_2026_Registre_Maintenance_v1[Equipementier],"pas trouvé")</f>
        <v>Ericsson</v>
      </c>
      <c r="K255" t="str">
        <f>_xlfn.XLOOKUP(_26_03_2026_Log_Reseau_v15[[#This Row],[province RDC]],_26_03_2026_Client_Churn_v1[Province_Client],_26_03_2026_Client_Churn_v1[ID_Client],"non trouvé")</f>
        <v>CLI-00185</v>
      </c>
      <c r="L255">
        <f>_xlfn.XLOOKUP(_26_03_2026_Log_Reseau_v15[[#This Row],[province RDC]],_26_03_2026_Client_Churn_v1[Province_Client],_26_03_2026_Client_Churn_v1[Anciennete_Mois],"non trouvé")</f>
        <v>81</v>
      </c>
      <c r="M255" t="str">
        <f>_xlfn.XLOOKUP(_26_03_2026_Log_Reseau_v15[[#This Row],[province RDC]],_26_03_2026_Client_Churn_v1[Province_Client],_26_03_2026_Client_Churn_v1[Type_Forfait],"non trouvé")</f>
        <v>Pro Monde</v>
      </c>
      <c r="N255">
        <f>_xlfn.XLOOKUP(_26_03_2026_Log_Reseau_v15[[#This Row],[province RDC]],_26_03_2026_Client_Churn_v1[Province_Client],_26_03_2026_Client_Churn_v1[Duree_Cumulee_Panne_Min],"non trouvé")</f>
        <v>154</v>
      </c>
      <c r="O255">
        <f>_xlfn.XLOOKUP(_26_03_2026_Log_Reseau_v15[[#This Row],[province RDC]],_26_03_2026_Client_Churn_v1[Province_Client],_26_03_2026_Client_Churn_v1[Facture_Mensuelle],"non trouvé")</f>
        <v>19.47</v>
      </c>
      <c r="P255">
        <f>_xlfn.XLOOKUP(_26_03_2026_Log_Reseau_v15[[#This Row],[province RDC]],_26_03_2026_Client_Churn_v1[Province_Client],_26_03_2026_Client_Churn_v1[Plaintes_Service_Client],"non trouvé")</f>
        <v>3</v>
      </c>
    </row>
    <row r="256" spans="1:16" x14ac:dyDescent="0.25">
      <c r="A256" s="1">
        <v>45217</v>
      </c>
      <c r="B256" s="2">
        <v>0.77569444444444446</v>
      </c>
      <c r="C256" t="s">
        <v>969</v>
      </c>
      <c r="D256">
        <v>84</v>
      </c>
      <c r="E256" t="s">
        <v>807</v>
      </c>
      <c r="F256" t="str">
        <f>_xlfn.XLOOKUP(_26_03_2026_Log_Reseau_v15[[#This Row],[Cell_ID]],_26_03_2026_Registre_Maintenance_v1[ID_Antenne],_26_03_2026_Registre_Maintenance_v1[zone],"pas trouvé")</f>
        <v>Maniema</v>
      </c>
      <c r="G256">
        <f>_xlfn.XLOOKUP(_26_03_2026_Log_Reseau_v15[[#This Row],[Cell_ID]],_26_03_2026_Registre_Maintenance_v1[ID_Antenne],_26_03_2026_Registre_Maintenance_v1[Latitude],"non trouvé")</f>
        <v>-2.3743210000000001</v>
      </c>
      <c r="H256">
        <f>_xlfn.XLOOKUP(_26_03_2026_Log_Reseau_v15[[#This Row],[Cell_ID]],_26_03_2026_Registre_Maintenance_v1[ID_Antenne],_26_03_2026_Registre_Maintenance_v1[Longitude],"pas trouvé")</f>
        <v>22.399491000000001</v>
      </c>
      <c r="I256" t="str">
        <f>_xlfn.XLOOKUP(_26_03_2026_Log_Reseau_v15[[#This Row],[Cell_ID]],_26_03_2026_Registre_Maintenance_v1[ID_Antenne],_26_03_2026_Registre_Maintenance_v1[Technologie],"non trouvé")</f>
        <v>5G</v>
      </c>
      <c r="J256" t="str">
        <f>_xlfn.XLOOKUP(_26_03_2026_Log_Reseau_v15[[#This Row],[Cell_ID]],_26_03_2026_Registre_Maintenance_v1[ID_Antenne],_26_03_2026_Registre_Maintenance_v1[Equipementier],"pas trouvé")</f>
        <v>Ericsson</v>
      </c>
      <c r="K256" t="str">
        <f>_xlfn.XLOOKUP(_26_03_2026_Log_Reseau_v15[[#This Row],[province RDC]],_26_03_2026_Client_Churn_v1[Province_Client],_26_03_2026_Client_Churn_v1[ID_Client],"non trouvé")</f>
        <v>CLI-00185</v>
      </c>
      <c r="L256">
        <f>_xlfn.XLOOKUP(_26_03_2026_Log_Reseau_v15[[#This Row],[province RDC]],_26_03_2026_Client_Churn_v1[Province_Client],_26_03_2026_Client_Churn_v1[Anciennete_Mois],"non trouvé")</f>
        <v>81</v>
      </c>
      <c r="M256" t="str">
        <f>_xlfn.XLOOKUP(_26_03_2026_Log_Reseau_v15[[#This Row],[province RDC]],_26_03_2026_Client_Churn_v1[Province_Client],_26_03_2026_Client_Churn_v1[Type_Forfait],"non trouvé")</f>
        <v>Pro Monde</v>
      </c>
      <c r="N256">
        <f>_xlfn.XLOOKUP(_26_03_2026_Log_Reseau_v15[[#This Row],[province RDC]],_26_03_2026_Client_Churn_v1[Province_Client],_26_03_2026_Client_Churn_v1[Duree_Cumulee_Panne_Min],"non trouvé")</f>
        <v>154</v>
      </c>
      <c r="O256">
        <f>_xlfn.XLOOKUP(_26_03_2026_Log_Reseau_v15[[#This Row],[province RDC]],_26_03_2026_Client_Churn_v1[Province_Client],_26_03_2026_Client_Churn_v1[Facture_Mensuelle],"non trouvé")</f>
        <v>19.47</v>
      </c>
      <c r="P256">
        <f>_xlfn.XLOOKUP(_26_03_2026_Log_Reseau_v15[[#This Row],[province RDC]],_26_03_2026_Client_Churn_v1[Province_Client],_26_03_2026_Client_Churn_v1[Plaintes_Service_Client],"non trouvé")</f>
        <v>3</v>
      </c>
    </row>
    <row r="257" spans="1:16" x14ac:dyDescent="0.25">
      <c r="A257" s="1">
        <v>45216</v>
      </c>
      <c r="B257" s="2">
        <v>0.26666666666666666</v>
      </c>
      <c r="C257" t="s">
        <v>969</v>
      </c>
      <c r="D257">
        <v>90</v>
      </c>
      <c r="E257" t="s">
        <v>812</v>
      </c>
      <c r="F257" t="str">
        <f>_xlfn.XLOOKUP(_26_03_2026_Log_Reseau_v15[[#This Row],[Cell_ID]],_26_03_2026_Registre_Maintenance_v1[ID_Antenne],_26_03_2026_Registre_Maintenance_v1[zone],"pas trouvé")</f>
        <v>Maniema</v>
      </c>
      <c r="G257">
        <f>_xlfn.XLOOKUP(_26_03_2026_Log_Reseau_v15[[#This Row],[Cell_ID]],_26_03_2026_Registre_Maintenance_v1[ID_Antenne],_26_03_2026_Registre_Maintenance_v1[Latitude],"non trouvé")</f>
        <v>-2.3743210000000001</v>
      </c>
      <c r="H257">
        <f>_xlfn.XLOOKUP(_26_03_2026_Log_Reseau_v15[[#This Row],[Cell_ID]],_26_03_2026_Registre_Maintenance_v1[ID_Antenne],_26_03_2026_Registre_Maintenance_v1[Longitude],"pas trouvé")</f>
        <v>22.399491000000001</v>
      </c>
      <c r="I257" t="str">
        <f>_xlfn.XLOOKUP(_26_03_2026_Log_Reseau_v15[[#This Row],[Cell_ID]],_26_03_2026_Registre_Maintenance_v1[ID_Antenne],_26_03_2026_Registre_Maintenance_v1[Technologie],"non trouvé")</f>
        <v>5G</v>
      </c>
      <c r="J257" t="str">
        <f>_xlfn.XLOOKUP(_26_03_2026_Log_Reseau_v15[[#This Row],[Cell_ID]],_26_03_2026_Registre_Maintenance_v1[ID_Antenne],_26_03_2026_Registre_Maintenance_v1[Equipementier],"pas trouvé")</f>
        <v>Ericsson</v>
      </c>
      <c r="K257" t="str">
        <f>_xlfn.XLOOKUP(_26_03_2026_Log_Reseau_v15[[#This Row],[province RDC]],_26_03_2026_Client_Churn_v1[Province_Client],_26_03_2026_Client_Churn_v1[ID_Client],"non trouvé")</f>
        <v>CLI-00185</v>
      </c>
      <c r="L257">
        <f>_xlfn.XLOOKUP(_26_03_2026_Log_Reseau_v15[[#This Row],[province RDC]],_26_03_2026_Client_Churn_v1[Province_Client],_26_03_2026_Client_Churn_v1[Anciennete_Mois],"non trouvé")</f>
        <v>81</v>
      </c>
      <c r="M257" t="str">
        <f>_xlfn.XLOOKUP(_26_03_2026_Log_Reseau_v15[[#This Row],[province RDC]],_26_03_2026_Client_Churn_v1[Province_Client],_26_03_2026_Client_Churn_v1[Type_Forfait],"non trouvé")</f>
        <v>Pro Monde</v>
      </c>
      <c r="N257">
        <f>_xlfn.XLOOKUP(_26_03_2026_Log_Reseau_v15[[#This Row],[province RDC]],_26_03_2026_Client_Churn_v1[Province_Client],_26_03_2026_Client_Churn_v1[Duree_Cumulee_Panne_Min],"non trouvé")</f>
        <v>154</v>
      </c>
      <c r="O257">
        <f>_xlfn.XLOOKUP(_26_03_2026_Log_Reseau_v15[[#This Row],[province RDC]],_26_03_2026_Client_Churn_v1[Province_Client],_26_03_2026_Client_Churn_v1[Facture_Mensuelle],"non trouvé")</f>
        <v>19.47</v>
      </c>
      <c r="P257">
        <f>_xlfn.XLOOKUP(_26_03_2026_Log_Reseau_v15[[#This Row],[province RDC]],_26_03_2026_Client_Churn_v1[Province_Client],_26_03_2026_Client_Churn_v1[Plaintes_Service_Client],"non trouvé")</f>
        <v>3</v>
      </c>
    </row>
    <row r="258" spans="1:16" hidden="1" x14ac:dyDescent="0.25">
      <c r="A258" s="1">
        <v>45226</v>
      </c>
      <c r="B258" s="2">
        <v>1.3194444444444444E-2</v>
      </c>
      <c r="C258" t="s">
        <v>970</v>
      </c>
      <c r="D258">
        <v>107</v>
      </c>
      <c r="E258" t="s">
        <v>808</v>
      </c>
      <c r="F258" t="str">
        <f>_xlfn.XLOOKUP(_26_03_2026_Log_Reseau_v15[[#This Row],[Cell_ID]],_26_03_2026_Registre_Maintenance_v1[ID_Antenne],_26_03_2026_Registre_Maintenance_v1[zone],"pas trouvé")</f>
        <v>pas trouvé</v>
      </c>
      <c r="G258" t="str">
        <f>_xlfn.XLOOKUP(_26_03_2026_Log_Reseau_v15[[#This Row],[Cell_ID]],_26_03_2026_Registre_Maintenance_v1[ID_Antenne],_26_03_2026_Registre_Maintenance_v1[Latitude],"non trouvé")</f>
        <v>non trouvé</v>
      </c>
      <c r="H258" t="str">
        <f>_xlfn.XLOOKUP(_26_03_2026_Log_Reseau_v15[[#This Row],[Cell_ID]],_26_03_2026_Registre_Maintenance_v1[ID_Antenne],_26_03_2026_Registre_Maintenance_v1[Longitude],"pas trouvé")</f>
        <v>pas trouvé</v>
      </c>
      <c r="I258" t="str">
        <f>_xlfn.XLOOKUP(_26_03_2026_Log_Reseau_v15[[#This Row],[Cell_ID]],_26_03_2026_Registre_Maintenance_v1[ID_Antenne],_26_03_2026_Registre_Maintenance_v1[Technologie],"non trouvé")</f>
        <v>non trouvé</v>
      </c>
      <c r="J258" t="str">
        <f>_xlfn.XLOOKUP(_26_03_2026_Log_Reseau_v15[[#This Row],[Cell_ID]],_26_03_2026_Registre_Maintenance_v1[ID_Antenne],_26_03_2026_Registre_Maintenance_v1[Equipementier],"pas trouvé")</f>
        <v>pas trouvé</v>
      </c>
      <c r="K258" t="str">
        <f>_xlfn.XLOOKUP(_26_03_2026_Log_Reseau_v15[[#This Row],[province RDC]],_26_03_2026_Client_Churn_v1[Province_Client],_26_03_2026_Client_Churn_v1[ID_Client],"non trouvé")</f>
        <v>non trouvé</v>
      </c>
      <c r="L258" t="str">
        <f>_xlfn.XLOOKUP(_26_03_2026_Log_Reseau_v15[[#This Row],[province RDC]],_26_03_2026_Client_Churn_v1[Province_Client],_26_03_2026_Client_Churn_v1[Anciennete_Mois],"non trouvé")</f>
        <v>non trouvé</v>
      </c>
      <c r="M258" t="str">
        <f>_xlfn.XLOOKUP(_26_03_2026_Log_Reseau_v15[[#This Row],[province RDC]],_26_03_2026_Client_Churn_v1[Province_Client],_26_03_2026_Client_Churn_v1[Type_Forfait],"non trouvé")</f>
        <v>non trouvé</v>
      </c>
      <c r="N258" t="str">
        <f>_xlfn.XLOOKUP(_26_03_2026_Log_Reseau_v15[[#This Row],[province RDC]],_26_03_2026_Client_Churn_v1[Province_Client],_26_03_2026_Client_Churn_v1[Duree_Cumulee_Panne_Min],"non trouvé")</f>
        <v>non trouvé</v>
      </c>
      <c r="O258" t="str">
        <f>_xlfn.XLOOKUP(_26_03_2026_Log_Reseau_v15[[#This Row],[province RDC]],_26_03_2026_Client_Churn_v1[Province_Client],_26_03_2026_Client_Churn_v1[Facture_Mensuelle],"non trouvé")</f>
        <v>non trouvé</v>
      </c>
      <c r="P258" t="str">
        <f>_xlfn.XLOOKUP(_26_03_2026_Log_Reseau_v15[[#This Row],[province RDC]],_26_03_2026_Client_Churn_v1[Province_Client],_26_03_2026_Client_Churn_v1[Plaintes_Service_Client],"non trouvé")</f>
        <v>non trouvé</v>
      </c>
    </row>
    <row r="259" spans="1:16" hidden="1" x14ac:dyDescent="0.25">
      <c r="A259" s="1">
        <v>45211</v>
      </c>
      <c r="B259" s="2">
        <v>0.12361111111111112</v>
      </c>
      <c r="C259" t="s">
        <v>970</v>
      </c>
      <c r="D259">
        <v>87</v>
      </c>
      <c r="E259" t="s">
        <v>807</v>
      </c>
      <c r="F259" t="str">
        <f>_xlfn.XLOOKUP(_26_03_2026_Log_Reseau_v15[[#This Row],[Cell_ID]],_26_03_2026_Registre_Maintenance_v1[ID_Antenne],_26_03_2026_Registre_Maintenance_v1[zone],"pas trouvé")</f>
        <v>pas trouvé</v>
      </c>
      <c r="G259" t="str">
        <f>_xlfn.XLOOKUP(_26_03_2026_Log_Reseau_v15[[#This Row],[Cell_ID]],_26_03_2026_Registre_Maintenance_v1[ID_Antenne],_26_03_2026_Registre_Maintenance_v1[Latitude],"non trouvé")</f>
        <v>non trouvé</v>
      </c>
      <c r="H259" t="str">
        <f>_xlfn.XLOOKUP(_26_03_2026_Log_Reseau_v15[[#This Row],[Cell_ID]],_26_03_2026_Registre_Maintenance_v1[ID_Antenne],_26_03_2026_Registre_Maintenance_v1[Longitude],"pas trouvé")</f>
        <v>pas trouvé</v>
      </c>
      <c r="I259" t="str">
        <f>_xlfn.XLOOKUP(_26_03_2026_Log_Reseau_v15[[#This Row],[Cell_ID]],_26_03_2026_Registre_Maintenance_v1[ID_Antenne],_26_03_2026_Registre_Maintenance_v1[Technologie],"non trouvé")</f>
        <v>non trouvé</v>
      </c>
      <c r="J259" t="str">
        <f>_xlfn.XLOOKUP(_26_03_2026_Log_Reseau_v15[[#This Row],[Cell_ID]],_26_03_2026_Registre_Maintenance_v1[ID_Antenne],_26_03_2026_Registre_Maintenance_v1[Equipementier],"pas trouvé")</f>
        <v>pas trouvé</v>
      </c>
      <c r="K259" t="str">
        <f>_xlfn.XLOOKUP(_26_03_2026_Log_Reseau_v15[[#This Row],[province RDC]],_26_03_2026_Client_Churn_v1[Province_Client],_26_03_2026_Client_Churn_v1[ID_Client],"non trouvé")</f>
        <v>non trouvé</v>
      </c>
      <c r="L259" t="str">
        <f>_xlfn.XLOOKUP(_26_03_2026_Log_Reseau_v15[[#This Row],[province RDC]],_26_03_2026_Client_Churn_v1[Province_Client],_26_03_2026_Client_Churn_v1[Anciennete_Mois],"non trouvé")</f>
        <v>non trouvé</v>
      </c>
      <c r="M259" t="str">
        <f>_xlfn.XLOOKUP(_26_03_2026_Log_Reseau_v15[[#This Row],[province RDC]],_26_03_2026_Client_Churn_v1[Province_Client],_26_03_2026_Client_Churn_v1[Type_Forfait],"non trouvé")</f>
        <v>non trouvé</v>
      </c>
      <c r="N259" t="str">
        <f>_xlfn.XLOOKUP(_26_03_2026_Log_Reseau_v15[[#This Row],[province RDC]],_26_03_2026_Client_Churn_v1[Province_Client],_26_03_2026_Client_Churn_v1[Duree_Cumulee_Panne_Min],"non trouvé")</f>
        <v>non trouvé</v>
      </c>
      <c r="O259" t="str">
        <f>_xlfn.XLOOKUP(_26_03_2026_Log_Reseau_v15[[#This Row],[province RDC]],_26_03_2026_Client_Churn_v1[Province_Client],_26_03_2026_Client_Churn_v1[Facture_Mensuelle],"non trouvé")</f>
        <v>non trouvé</v>
      </c>
      <c r="P259" t="str">
        <f>_xlfn.XLOOKUP(_26_03_2026_Log_Reseau_v15[[#This Row],[province RDC]],_26_03_2026_Client_Churn_v1[Province_Client],_26_03_2026_Client_Churn_v1[Plaintes_Service_Client],"non trouvé")</f>
        <v>non trouvé</v>
      </c>
    </row>
    <row r="260" spans="1:16" hidden="1" x14ac:dyDescent="0.25">
      <c r="A260" s="1">
        <v>45217</v>
      </c>
      <c r="B260" s="2">
        <v>0.41458333333333336</v>
      </c>
      <c r="C260" t="s">
        <v>970</v>
      </c>
      <c r="D260">
        <v>74</v>
      </c>
      <c r="E260" t="s">
        <v>812</v>
      </c>
      <c r="F260" t="str">
        <f>_xlfn.XLOOKUP(_26_03_2026_Log_Reseau_v15[[#This Row],[Cell_ID]],_26_03_2026_Registre_Maintenance_v1[ID_Antenne],_26_03_2026_Registre_Maintenance_v1[zone],"pas trouvé")</f>
        <v>pas trouvé</v>
      </c>
      <c r="G260" t="str">
        <f>_xlfn.XLOOKUP(_26_03_2026_Log_Reseau_v15[[#This Row],[Cell_ID]],_26_03_2026_Registre_Maintenance_v1[ID_Antenne],_26_03_2026_Registre_Maintenance_v1[Latitude],"non trouvé")</f>
        <v>non trouvé</v>
      </c>
      <c r="H260" t="str">
        <f>_xlfn.XLOOKUP(_26_03_2026_Log_Reseau_v15[[#This Row],[Cell_ID]],_26_03_2026_Registre_Maintenance_v1[ID_Antenne],_26_03_2026_Registre_Maintenance_v1[Longitude],"pas trouvé")</f>
        <v>pas trouvé</v>
      </c>
      <c r="I260" t="str">
        <f>_xlfn.XLOOKUP(_26_03_2026_Log_Reseau_v15[[#This Row],[Cell_ID]],_26_03_2026_Registre_Maintenance_v1[ID_Antenne],_26_03_2026_Registre_Maintenance_v1[Technologie],"non trouvé")</f>
        <v>non trouvé</v>
      </c>
      <c r="J260" t="str">
        <f>_xlfn.XLOOKUP(_26_03_2026_Log_Reseau_v15[[#This Row],[Cell_ID]],_26_03_2026_Registre_Maintenance_v1[ID_Antenne],_26_03_2026_Registre_Maintenance_v1[Equipementier],"pas trouvé")</f>
        <v>pas trouvé</v>
      </c>
      <c r="K260" t="str">
        <f>_xlfn.XLOOKUP(_26_03_2026_Log_Reseau_v15[[#This Row],[province RDC]],_26_03_2026_Client_Churn_v1[Province_Client],_26_03_2026_Client_Churn_v1[ID_Client],"non trouvé")</f>
        <v>non trouvé</v>
      </c>
      <c r="L260" t="str">
        <f>_xlfn.XLOOKUP(_26_03_2026_Log_Reseau_v15[[#This Row],[province RDC]],_26_03_2026_Client_Churn_v1[Province_Client],_26_03_2026_Client_Churn_v1[Anciennete_Mois],"non trouvé")</f>
        <v>non trouvé</v>
      </c>
      <c r="M260" t="str">
        <f>_xlfn.XLOOKUP(_26_03_2026_Log_Reseau_v15[[#This Row],[province RDC]],_26_03_2026_Client_Churn_v1[Province_Client],_26_03_2026_Client_Churn_v1[Type_Forfait],"non trouvé")</f>
        <v>non trouvé</v>
      </c>
      <c r="N260" t="str">
        <f>_xlfn.XLOOKUP(_26_03_2026_Log_Reseau_v15[[#This Row],[province RDC]],_26_03_2026_Client_Churn_v1[Province_Client],_26_03_2026_Client_Churn_v1[Duree_Cumulee_Panne_Min],"non trouvé")</f>
        <v>non trouvé</v>
      </c>
      <c r="O260" t="str">
        <f>_xlfn.XLOOKUP(_26_03_2026_Log_Reseau_v15[[#This Row],[province RDC]],_26_03_2026_Client_Churn_v1[Province_Client],_26_03_2026_Client_Churn_v1[Facture_Mensuelle],"non trouvé")</f>
        <v>non trouvé</v>
      </c>
      <c r="P260" t="str">
        <f>_xlfn.XLOOKUP(_26_03_2026_Log_Reseau_v15[[#This Row],[province RDC]],_26_03_2026_Client_Churn_v1[Province_Client],_26_03_2026_Client_Churn_v1[Plaintes_Service_Client],"non trouvé")</f>
        <v>non trouvé</v>
      </c>
    </row>
    <row r="261" spans="1:16" hidden="1" x14ac:dyDescent="0.25">
      <c r="A261" s="1">
        <v>45211</v>
      </c>
      <c r="B261" s="2">
        <v>0.49583333333333335</v>
      </c>
      <c r="C261" t="s">
        <v>970</v>
      </c>
      <c r="D261">
        <v>61</v>
      </c>
      <c r="E261" t="s">
        <v>808</v>
      </c>
      <c r="F261" t="str">
        <f>_xlfn.XLOOKUP(_26_03_2026_Log_Reseau_v15[[#This Row],[Cell_ID]],_26_03_2026_Registre_Maintenance_v1[ID_Antenne],_26_03_2026_Registre_Maintenance_v1[zone],"pas trouvé")</f>
        <v>pas trouvé</v>
      </c>
      <c r="G261" t="str">
        <f>_xlfn.XLOOKUP(_26_03_2026_Log_Reseau_v15[[#This Row],[Cell_ID]],_26_03_2026_Registre_Maintenance_v1[ID_Antenne],_26_03_2026_Registre_Maintenance_v1[Latitude],"non trouvé")</f>
        <v>non trouvé</v>
      </c>
      <c r="H261" t="str">
        <f>_xlfn.XLOOKUP(_26_03_2026_Log_Reseau_v15[[#This Row],[Cell_ID]],_26_03_2026_Registre_Maintenance_v1[ID_Antenne],_26_03_2026_Registre_Maintenance_v1[Longitude],"pas trouvé")</f>
        <v>pas trouvé</v>
      </c>
      <c r="I261" t="str">
        <f>_xlfn.XLOOKUP(_26_03_2026_Log_Reseau_v15[[#This Row],[Cell_ID]],_26_03_2026_Registre_Maintenance_v1[ID_Antenne],_26_03_2026_Registre_Maintenance_v1[Technologie],"non trouvé")</f>
        <v>non trouvé</v>
      </c>
      <c r="J261" t="str">
        <f>_xlfn.XLOOKUP(_26_03_2026_Log_Reseau_v15[[#This Row],[Cell_ID]],_26_03_2026_Registre_Maintenance_v1[ID_Antenne],_26_03_2026_Registre_Maintenance_v1[Equipementier],"pas trouvé")</f>
        <v>pas trouvé</v>
      </c>
      <c r="K261" t="str">
        <f>_xlfn.XLOOKUP(_26_03_2026_Log_Reseau_v15[[#This Row],[province RDC]],_26_03_2026_Client_Churn_v1[Province_Client],_26_03_2026_Client_Churn_v1[ID_Client],"non trouvé")</f>
        <v>non trouvé</v>
      </c>
      <c r="L261" t="str">
        <f>_xlfn.XLOOKUP(_26_03_2026_Log_Reseau_v15[[#This Row],[province RDC]],_26_03_2026_Client_Churn_v1[Province_Client],_26_03_2026_Client_Churn_v1[Anciennete_Mois],"non trouvé")</f>
        <v>non trouvé</v>
      </c>
      <c r="M261" t="str">
        <f>_xlfn.XLOOKUP(_26_03_2026_Log_Reseau_v15[[#This Row],[province RDC]],_26_03_2026_Client_Churn_v1[Province_Client],_26_03_2026_Client_Churn_v1[Type_Forfait],"non trouvé")</f>
        <v>non trouvé</v>
      </c>
      <c r="N261" t="str">
        <f>_xlfn.XLOOKUP(_26_03_2026_Log_Reseau_v15[[#This Row],[province RDC]],_26_03_2026_Client_Churn_v1[Province_Client],_26_03_2026_Client_Churn_v1[Duree_Cumulee_Panne_Min],"non trouvé")</f>
        <v>non trouvé</v>
      </c>
      <c r="O261" t="str">
        <f>_xlfn.XLOOKUP(_26_03_2026_Log_Reseau_v15[[#This Row],[province RDC]],_26_03_2026_Client_Churn_v1[Province_Client],_26_03_2026_Client_Churn_v1[Facture_Mensuelle],"non trouvé")</f>
        <v>non trouvé</v>
      </c>
      <c r="P261" t="str">
        <f>_xlfn.XLOOKUP(_26_03_2026_Log_Reseau_v15[[#This Row],[province RDC]],_26_03_2026_Client_Churn_v1[Province_Client],_26_03_2026_Client_Churn_v1[Plaintes_Service_Client],"non trouvé")</f>
        <v>non trouvé</v>
      </c>
    </row>
    <row r="262" spans="1:16" x14ac:dyDescent="0.25">
      <c r="A262" s="1">
        <v>45228</v>
      </c>
      <c r="B262" s="2">
        <v>8.611111111111111E-2</v>
      </c>
      <c r="C262" t="s">
        <v>971</v>
      </c>
      <c r="D262">
        <v>43</v>
      </c>
      <c r="E262" t="s">
        <v>812</v>
      </c>
      <c r="F262" t="str">
        <f>_xlfn.XLOOKUP(_26_03_2026_Log_Reseau_v15[[#This Row],[Cell_ID]],_26_03_2026_Registre_Maintenance_v1[ID_Antenne],_26_03_2026_Registre_Maintenance_v1[zone],"pas trouvé")</f>
        <v>Sankuru</v>
      </c>
      <c r="G262">
        <f>_xlfn.XLOOKUP(_26_03_2026_Log_Reseau_v15[[#This Row],[Cell_ID]],_26_03_2026_Registre_Maintenance_v1[ID_Antenne],_26_03_2026_Registre_Maintenance_v1[Latitude],"non trouvé")</f>
        <v>-6.4883290000000002</v>
      </c>
      <c r="H262">
        <f>_xlfn.XLOOKUP(_26_03_2026_Log_Reseau_v15[[#This Row],[Cell_ID]],_26_03_2026_Registre_Maintenance_v1[ID_Antenne],_26_03_2026_Registre_Maintenance_v1[Longitude],"pas trouvé")</f>
        <v>25.103404000000001</v>
      </c>
      <c r="I262" t="str">
        <f>_xlfn.XLOOKUP(_26_03_2026_Log_Reseau_v15[[#This Row],[Cell_ID]],_26_03_2026_Registre_Maintenance_v1[ID_Antenne],_26_03_2026_Registre_Maintenance_v1[Technologie],"non trouvé")</f>
        <v>5G</v>
      </c>
      <c r="J262" t="str">
        <f>_xlfn.XLOOKUP(_26_03_2026_Log_Reseau_v15[[#This Row],[Cell_ID]],_26_03_2026_Registre_Maintenance_v1[ID_Antenne],_26_03_2026_Registre_Maintenance_v1[Equipementier],"pas trouvé")</f>
        <v>ZTE</v>
      </c>
      <c r="K262" t="str">
        <f>_xlfn.XLOOKUP(_26_03_2026_Log_Reseau_v15[[#This Row],[province RDC]],_26_03_2026_Client_Churn_v1[Province_Client],_26_03_2026_Client_Churn_v1[ID_Client],"non trouvé")</f>
        <v>CLI-00530</v>
      </c>
      <c r="L262">
        <f>_xlfn.XLOOKUP(_26_03_2026_Log_Reseau_v15[[#This Row],[province RDC]],_26_03_2026_Client_Churn_v1[Province_Client],_26_03_2026_Client_Churn_v1[Anciennete_Mois],"non trouvé")</f>
        <v>35</v>
      </c>
      <c r="M262" t="str">
        <f>_xlfn.XLOOKUP(_26_03_2026_Log_Reseau_v15[[#This Row],[province RDC]],_26_03_2026_Client_Churn_v1[Province_Client],_26_03_2026_Client_Churn_v1[Type_Forfait],"non trouvé")</f>
        <v>Pro Monde</v>
      </c>
      <c r="N262">
        <f>_xlfn.XLOOKUP(_26_03_2026_Log_Reseau_v15[[#This Row],[province RDC]],_26_03_2026_Client_Churn_v1[Province_Client],_26_03_2026_Client_Churn_v1[Duree_Cumulee_Panne_Min],"non trouvé")</f>
        <v>465</v>
      </c>
      <c r="O262">
        <f>_xlfn.XLOOKUP(_26_03_2026_Log_Reseau_v15[[#This Row],[province RDC]],_26_03_2026_Client_Churn_v1[Province_Client],_26_03_2026_Client_Churn_v1[Facture_Mensuelle],"non trouvé")</f>
        <v>58.59</v>
      </c>
      <c r="P262">
        <f>_xlfn.XLOOKUP(_26_03_2026_Log_Reseau_v15[[#This Row],[province RDC]],_26_03_2026_Client_Churn_v1[Province_Client],_26_03_2026_Client_Churn_v1[Plaintes_Service_Client],"non trouvé")</f>
        <v>5</v>
      </c>
    </row>
    <row r="263" spans="1:16" x14ac:dyDescent="0.25">
      <c r="A263" s="1">
        <v>45230</v>
      </c>
      <c r="B263" s="2">
        <v>0.86388888888888893</v>
      </c>
      <c r="C263" t="s">
        <v>972</v>
      </c>
      <c r="D263">
        <v>57</v>
      </c>
      <c r="E263" t="s">
        <v>807</v>
      </c>
      <c r="F263" t="str">
        <f>_xlfn.XLOOKUP(_26_03_2026_Log_Reseau_v15[[#This Row],[Cell_ID]],_26_03_2026_Registre_Maintenance_v1[ID_Antenne],_26_03_2026_Registre_Maintenance_v1[zone],"pas trouvé")</f>
        <v>Sud-Kivu</v>
      </c>
      <c r="G263">
        <f>_xlfn.XLOOKUP(_26_03_2026_Log_Reseau_v15[[#This Row],[Cell_ID]],_26_03_2026_Registre_Maintenance_v1[ID_Antenne],_26_03_2026_Registre_Maintenance_v1[Latitude],"non trouvé")</f>
        <v>-4.1694589999999998</v>
      </c>
      <c r="H263">
        <f>_xlfn.XLOOKUP(_26_03_2026_Log_Reseau_v15[[#This Row],[Cell_ID]],_26_03_2026_Registre_Maintenance_v1[ID_Antenne],_26_03_2026_Registre_Maintenance_v1[Longitude],"pas trouvé")</f>
        <v>23.376487000000001</v>
      </c>
      <c r="I263" t="str">
        <f>_xlfn.XLOOKUP(_26_03_2026_Log_Reseau_v15[[#This Row],[Cell_ID]],_26_03_2026_Registre_Maintenance_v1[ID_Antenne],_26_03_2026_Registre_Maintenance_v1[Technologie],"non trouvé")</f>
        <v>3G</v>
      </c>
      <c r="J263" t="str">
        <f>_xlfn.XLOOKUP(_26_03_2026_Log_Reseau_v15[[#This Row],[Cell_ID]],_26_03_2026_Registre_Maintenance_v1[ID_Antenne],_26_03_2026_Registre_Maintenance_v1[Equipementier],"pas trouvé")</f>
        <v>Nokia</v>
      </c>
      <c r="K263" t="str">
        <f>_xlfn.XLOOKUP(_26_03_2026_Log_Reseau_v15[[#This Row],[province RDC]],_26_03_2026_Client_Churn_v1[Province_Client],_26_03_2026_Client_Churn_v1[ID_Client],"non trouvé")</f>
        <v>CLI-01855</v>
      </c>
      <c r="L263">
        <f>_xlfn.XLOOKUP(_26_03_2026_Log_Reseau_v15[[#This Row],[province RDC]],_26_03_2026_Client_Churn_v1[Province_Client],_26_03_2026_Client_Churn_v1[Anciennete_Mois],"non trouvé")</f>
        <v>101</v>
      </c>
      <c r="M263" t="str">
        <f>_xlfn.XLOOKUP(_26_03_2026_Log_Reseau_v15[[#This Row],[province RDC]],_26_03_2026_Client_Churn_v1[Province_Client],_26_03_2026_Client_Churn_v1[Type_Forfait],"non trouvé")</f>
        <v>Illimité 50Go</v>
      </c>
      <c r="N263">
        <f>_xlfn.XLOOKUP(_26_03_2026_Log_Reseau_v15[[#This Row],[province RDC]],_26_03_2026_Client_Churn_v1[Province_Client],_26_03_2026_Client_Churn_v1[Duree_Cumulee_Panne_Min],"non trouvé")</f>
        <v>358</v>
      </c>
      <c r="O263">
        <f>_xlfn.XLOOKUP(_26_03_2026_Log_Reseau_v15[[#This Row],[province RDC]],_26_03_2026_Client_Churn_v1[Province_Client],_26_03_2026_Client_Churn_v1[Facture_Mensuelle],"non trouvé")</f>
        <v>29.24</v>
      </c>
      <c r="P263">
        <f>_xlfn.XLOOKUP(_26_03_2026_Log_Reseau_v15[[#This Row],[province RDC]],_26_03_2026_Client_Churn_v1[Province_Client],_26_03_2026_Client_Churn_v1[Plaintes_Service_Client],"non trouvé")</f>
        <v>3</v>
      </c>
    </row>
    <row r="264" spans="1:16" x14ac:dyDescent="0.25">
      <c r="A264" s="1">
        <v>45217</v>
      </c>
      <c r="B264" s="2">
        <v>2.8472222222222222E-2</v>
      </c>
      <c r="C264" t="s">
        <v>972</v>
      </c>
      <c r="D264">
        <v>120</v>
      </c>
      <c r="E264" t="s">
        <v>812</v>
      </c>
      <c r="F264" t="str">
        <f>_xlfn.XLOOKUP(_26_03_2026_Log_Reseau_v15[[#This Row],[Cell_ID]],_26_03_2026_Registre_Maintenance_v1[ID_Antenne],_26_03_2026_Registre_Maintenance_v1[zone],"pas trouvé")</f>
        <v>Sud-Kivu</v>
      </c>
      <c r="G264">
        <f>_xlfn.XLOOKUP(_26_03_2026_Log_Reseau_v15[[#This Row],[Cell_ID]],_26_03_2026_Registre_Maintenance_v1[ID_Antenne],_26_03_2026_Registre_Maintenance_v1[Latitude],"non trouvé")</f>
        <v>-4.1694589999999998</v>
      </c>
      <c r="H264">
        <f>_xlfn.XLOOKUP(_26_03_2026_Log_Reseau_v15[[#This Row],[Cell_ID]],_26_03_2026_Registre_Maintenance_v1[ID_Antenne],_26_03_2026_Registre_Maintenance_v1[Longitude],"pas trouvé")</f>
        <v>23.376487000000001</v>
      </c>
      <c r="I264" t="str">
        <f>_xlfn.XLOOKUP(_26_03_2026_Log_Reseau_v15[[#This Row],[Cell_ID]],_26_03_2026_Registre_Maintenance_v1[ID_Antenne],_26_03_2026_Registre_Maintenance_v1[Technologie],"non trouvé")</f>
        <v>3G</v>
      </c>
      <c r="J264" t="str">
        <f>_xlfn.XLOOKUP(_26_03_2026_Log_Reseau_v15[[#This Row],[Cell_ID]],_26_03_2026_Registre_Maintenance_v1[ID_Antenne],_26_03_2026_Registre_Maintenance_v1[Equipementier],"pas trouvé")</f>
        <v>Nokia</v>
      </c>
      <c r="K264" t="str">
        <f>_xlfn.XLOOKUP(_26_03_2026_Log_Reseau_v15[[#This Row],[province RDC]],_26_03_2026_Client_Churn_v1[Province_Client],_26_03_2026_Client_Churn_v1[ID_Client],"non trouvé")</f>
        <v>CLI-01855</v>
      </c>
      <c r="L264">
        <f>_xlfn.XLOOKUP(_26_03_2026_Log_Reseau_v15[[#This Row],[province RDC]],_26_03_2026_Client_Churn_v1[Province_Client],_26_03_2026_Client_Churn_v1[Anciennete_Mois],"non trouvé")</f>
        <v>101</v>
      </c>
      <c r="M264" t="str">
        <f>_xlfn.XLOOKUP(_26_03_2026_Log_Reseau_v15[[#This Row],[province RDC]],_26_03_2026_Client_Churn_v1[Province_Client],_26_03_2026_Client_Churn_v1[Type_Forfait],"non trouvé")</f>
        <v>Illimité 50Go</v>
      </c>
      <c r="N264">
        <f>_xlfn.XLOOKUP(_26_03_2026_Log_Reseau_v15[[#This Row],[province RDC]],_26_03_2026_Client_Churn_v1[Province_Client],_26_03_2026_Client_Churn_v1[Duree_Cumulee_Panne_Min],"non trouvé")</f>
        <v>358</v>
      </c>
      <c r="O264">
        <f>_xlfn.XLOOKUP(_26_03_2026_Log_Reseau_v15[[#This Row],[province RDC]],_26_03_2026_Client_Churn_v1[Province_Client],_26_03_2026_Client_Churn_v1[Facture_Mensuelle],"non trouvé")</f>
        <v>29.24</v>
      </c>
      <c r="P264">
        <f>_xlfn.XLOOKUP(_26_03_2026_Log_Reseau_v15[[#This Row],[province RDC]],_26_03_2026_Client_Churn_v1[Province_Client],_26_03_2026_Client_Churn_v1[Plaintes_Service_Client],"non trouvé")</f>
        <v>3</v>
      </c>
    </row>
    <row r="265" spans="1:16" x14ac:dyDescent="0.25">
      <c r="A265" s="1">
        <v>45214</v>
      </c>
      <c r="B265" s="2">
        <v>0.9604166666666667</v>
      </c>
      <c r="C265" t="s">
        <v>973</v>
      </c>
      <c r="D265">
        <v>38</v>
      </c>
      <c r="E265" t="s">
        <v>807</v>
      </c>
      <c r="F265" t="str">
        <f>_xlfn.XLOOKUP(_26_03_2026_Log_Reseau_v15[[#This Row],[Cell_ID]],_26_03_2026_Registre_Maintenance_v1[ID_Antenne],_26_03_2026_Registre_Maintenance_v1[zone],"pas trouvé")</f>
        <v>Lualaba</v>
      </c>
      <c r="G265">
        <f>_xlfn.XLOOKUP(_26_03_2026_Log_Reseau_v15[[#This Row],[Cell_ID]],_26_03_2026_Registre_Maintenance_v1[ID_Antenne],_26_03_2026_Registre_Maintenance_v1[Latitude],"non trouvé")</f>
        <v>-11.710407999999999</v>
      </c>
      <c r="H265">
        <f>_xlfn.XLOOKUP(_26_03_2026_Log_Reseau_v15[[#This Row],[Cell_ID]],_26_03_2026_Registre_Maintenance_v1[ID_Antenne],_26_03_2026_Registre_Maintenance_v1[Longitude],"pas trouvé")</f>
        <v>23.741330999999999</v>
      </c>
      <c r="I265" t="str">
        <f>_xlfn.XLOOKUP(_26_03_2026_Log_Reseau_v15[[#This Row],[Cell_ID]],_26_03_2026_Registre_Maintenance_v1[ID_Antenne],_26_03_2026_Registre_Maintenance_v1[Technologie],"non trouvé")</f>
        <v>3G</v>
      </c>
      <c r="J265" t="str">
        <f>_xlfn.XLOOKUP(_26_03_2026_Log_Reseau_v15[[#This Row],[Cell_ID]],_26_03_2026_Registre_Maintenance_v1[ID_Antenne],_26_03_2026_Registre_Maintenance_v1[Equipementier],"pas trouvé")</f>
        <v>Huawei</v>
      </c>
      <c r="K265" t="str">
        <f>_xlfn.XLOOKUP(_26_03_2026_Log_Reseau_v15[[#This Row],[province RDC]],_26_03_2026_Client_Churn_v1[Province_Client],_26_03_2026_Client_Churn_v1[ID_Client],"non trouvé")</f>
        <v>CLI-01005</v>
      </c>
      <c r="L265">
        <f>_xlfn.XLOOKUP(_26_03_2026_Log_Reseau_v15[[#This Row],[province RDC]],_26_03_2026_Client_Churn_v1[Province_Client],_26_03_2026_Client_Churn_v1[Anciennete_Mois],"non trouvé")</f>
        <v>80</v>
      </c>
      <c r="M265" t="str">
        <f>_xlfn.XLOOKUP(_26_03_2026_Log_Reseau_v15[[#This Row],[province RDC]],_26_03_2026_Client_Churn_v1[Province_Client],_26_03_2026_Client_Churn_v1[Type_Forfait],"non trouvé")</f>
        <v>Illimité 50Go</v>
      </c>
      <c r="N265">
        <f>_xlfn.XLOOKUP(_26_03_2026_Log_Reseau_v15[[#This Row],[province RDC]],_26_03_2026_Client_Churn_v1[Province_Client],_26_03_2026_Client_Churn_v1[Duree_Cumulee_Panne_Min],"non trouvé")</f>
        <v>155</v>
      </c>
      <c r="O265">
        <f>_xlfn.XLOOKUP(_26_03_2026_Log_Reseau_v15[[#This Row],[province RDC]],_26_03_2026_Client_Churn_v1[Province_Client],_26_03_2026_Client_Churn_v1[Facture_Mensuelle],"non trouvé")</f>
        <v>28.96</v>
      </c>
      <c r="P265">
        <f>_xlfn.XLOOKUP(_26_03_2026_Log_Reseau_v15[[#This Row],[province RDC]],_26_03_2026_Client_Churn_v1[Province_Client],_26_03_2026_Client_Churn_v1[Plaintes_Service_Client],"non trouvé")</f>
        <v>2</v>
      </c>
    </row>
    <row r="266" spans="1:16" hidden="1" x14ac:dyDescent="0.25">
      <c r="A266" s="1">
        <v>45215</v>
      </c>
      <c r="B266" s="2">
        <v>0.59791666666666665</v>
      </c>
      <c r="C266" t="s">
        <v>974</v>
      </c>
      <c r="D266">
        <v>7</v>
      </c>
      <c r="E266" t="s">
        <v>812</v>
      </c>
      <c r="F266" t="str">
        <f>_xlfn.XLOOKUP(_26_03_2026_Log_Reseau_v15[[#This Row],[Cell_ID]],_26_03_2026_Registre_Maintenance_v1[ID_Antenne],_26_03_2026_Registre_Maintenance_v1[zone],"pas trouvé")</f>
        <v>pas trouvé</v>
      </c>
      <c r="G266" t="str">
        <f>_xlfn.XLOOKUP(_26_03_2026_Log_Reseau_v15[[#This Row],[Cell_ID]],_26_03_2026_Registre_Maintenance_v1[ID_Antenne],_26_03_2026_Registre_Maintenance_v1[Latitude],"non trouvé")</f>
        <v>non trouvé</v>
      </c>
      <c r="H266" t="str">
        <f>_xlfn.XLOOKUP(_26_03_2026_Log_Reseau_v15[[#This Row],[Cell_ID]],_26_03_2026_Registre_Maintenance_v1[ID_Antenne],_26_03_2026_Registre_Maintenance_v1[Longitude],"pas trouvé")</f>
        <v>pas trouvé</v>
      </c>
      <c r="I266" t="str">
        <f>_xlfn.XLOOKUP(_26_03_2026_Log_Reseau_v15[[#This Row],[Cell_ID]],_26_03_2026_Registre_Maintenance_v1[ID_Antenne],_26_03_2026_Registre_Maintenance_v1[Technologie],"non trouvé")</f>
        <v>non trouvé</v>
      </c>
      <c r="J266" t="str">
        <f>_xlfn.XLOOKUP(_26_03_2026_Log_Reseau_v15[[#This Row],[Cell_ID]],_26_03_2026_Registre_Maintenance_v1[ID_Antenne],_26_03_2026_Registre_Maintenance_v1[Equipementier],"pas trouvé")</f>
        <v>pas trouvé</v>
      </c>
      <c r="K266" t="str">
        <f>_xlfn.XLOOKUP(_26_03_2026_Log_Reseau_v15[[#This Row],[province RDC]],_26_03_2026_Client_Churn_v1[Province_Client],_26_03_2026_Client_Churn_v1[ID_Client],"non trouvé")</f>
        <v>non trouvé</v>
      </c>
      <c r="L266" t="str">
        <f>_xlfn.XLOOKUP(_26_03_2026_Log_Reseau_v15[[#This Row],[province RDC]],_26_03_2026_Client_Churn_v1[Province_Client],_26_03_2026_Client_Churn_v1[Anciennete_Mois],"non trouvé")</f>
        <v>non trouvé</v>
      </c>
      <c r="M266" t="str">
        <f>_xlfn.XLOOKUP(_26_03_2026_Log_Reseau_v15[[#This Row],[province RDC]],_26_03_2026_Client_Churn_v1[Province_Client],_26_03_2026_Client_Churn_v1[Type_Forfait],"non trouvé")</f>
        <v>non trouvé</v>
      </c>
      <c r="N266" t="str">
        <f>_xlfn.XLOOKUP(_26_03_2026_Log_Reseau_v15[[#This Row],[province RDC]],_26_03_2026_Client_Churn_v1[Province_Client],_26_03_2026_Client_Churn_v1[Duree_Cumulee_Panne_Min],"non trouvé")</f>
        <v>non trouvé</v>
      </c>
      <c r="O266" t="str">
        <f>_xlfn.XLOOKUP(_26_03_2026_Log_Reseau_v15[[#This Row],[province RDC]],_26_03_2026_Client_Churn_v1[Province_Client],_26_03_2026_Client_Churn_v1[Facture_Mensuelle],"non trouvé")</f>
        <v>non trouvé</v>
      </c>
      <c r="P266" t="str">
        <f>_xlfn.XLOOKUP(_26_03_2026_Log_Reseau_v15[[#This Row],[province RDC]],_26_03_2026_Client_Churn_v1[Province_Client],_26_03_2026_Client_Churn_v1[Plaintes_Service_Client],"non trouvé")</f>
        <v>non trouvé</v>
      </c>
    </row>
    <row r="267" spans="1:16" hidden="1" x14ac:dyDescent="0.25">
      <c r="A267" s="1">
        <v>45220</v>
      </c>
      <c r="B267" s="2">
        <v>0.65138888888888891</v>
      </c>
      <c r="C267" t="s">
        <v>974</v>
      </c>
      <c r="D267">
        <v>36</v>
      </c>
      <c r="E267" t="s">
        <v>807</v>
      </c>
      <c r="F267" t="str">
        <f>_xlfn.XLOOKUP(_26_03_2026_Log_Reseau_v15[[#This Row],[Cell_ID]],_26_03_2026_Registre_Maintenance_v1[ID_Antenne],_26_03_2026_Registre_Maintenance_v1[zone],"pas trouvé")</f>
        <v>pas trouvé</v>
      </c>
      <c r="G267" t="str">
        <f>_xlfn.XLOOKUP(_26_03_2026_Log_Reseau_v15[[#This Row],[Cell_ID]],_26_03_2026_Registre_Maintenance_v1[ID_Antenne],_26_03_2026_Registre_Maintenance_v1[Latitude],"non trouvé")</f>
        <v>non trouvé</v>
      </c>
      <c r="H267" t="str">
        <f>_xlfn.XLOOKUP(_26_03_2026_Log_Reseau_v15[[#This Row],[Cell_ID]],_26_03_2026_Registre_Maintenance_v1[ID_Antenne],_26_03_2026_Registre_Maintenance_v1[Longitude],"pas trouvé")</f>
        <v>pas trouvé</v>
      </c>
      <c r="I267" t="str">
        <f>_xlfn.XLOOKUP(_26_03_2026_Log_Reseau_v15[[#This Row],[Cell_ID]],_26_03_2026_Registre_Maintenance_v1[ID_Antenne],_26_03_2026_Registre_Maintenance_v1[Technologie],"non trouvé")</f>
        <v>non trouvé</v>
      </c>
      <c r="J267" t="str">
        <f>_xlfn.XLOOKUP(_26_03_2026_Log_Reseau_v15[[#This Row],[Cell_ID]],_26_03_2026_Registre_Maintenance_v1[ID_Antenne],_26_03_2026_Registre_Maintenance_v1[Equipementier],"pas trouvé")</f>
        <v>pas trouvé</v>
      </c>
      <c r="K267" t="str">
        <f>_xlfn.XLOOKUP(_26_03_2026_Log_Reseau_v15[[#This Row],[province RDC]],_26_03_2026_Client_Churn_v1[Province_Client],_26_03_2026_Client_Churn_v1[ID_Client],"non trouvé")</f>
        <v>non trouvé</v>
      </c>
      <c r="L267" t="str">
        <f>_xlfn.XLOOKUP(_26_03_2026_Log_Reseau_v15[[#This Row],[province RDC]],_26_03_2026_Client_Churn_v1[Province_Client],_26_03_2026_Client_Churn_v1[Anciennete_Mois],"non trouvé")</f>
        <v>non trouvé</v>
      </c>
      <c r="M267" t="str">
        <f>_xlfn.XLOOKUP(_26_03_2026_Log_Reseau_v15[[#This Row],[province RDC]],_26_03_2026_Client_Churn_v1[Province_Client],_26_03_2026_Client_Churn_v1[Type_Forfait],"non trouvé")</f>
        <v>non trouvé</v>
      </c>
      <c r="N267" t="str">
        <f>_xlfn.XLOOKUP(_26_03_2026_Log_Reseau_v15[[#This Row],[province RDC]],_26_03_2026_Client_Churn_v1[Province_Client],_26_03_2026_Client_Churn_v1[Duree_Cumulee_Panne_Min],"non trouvé")</f>
        <v>non trouvé</v>
      </c>
      <c r="O267" t="str">
        <f>_xlfn.XLOOKUP(_26_03_2026_Log_Reseau_v15[[#This Row],[province RDC]],_26_03_2026_Client_Churn_v1[Province_Client],_26_03_2026_Client_Churn_v1[Facture_Mensuelle],"non trouvé")</f>
        <v>non trouvé</v>
      </c>
      <c r="P267" t="str">
        <f>_xlfn.XLOOKUP(_26_03_2026_Log_Reseau_v15[[#This Row],[province RDC]],_26_03_2026_Client_Churn_v1[Province_Client],_26_03_2026_Client_Churn_v1[Plaintes_Service_Client],"non trouvé")</f>
        <v>non trouvé</v>
      </c>
    </row>
    <row r="268" spans="1:16" hidden="1" x14ac:dyDescent="0.25">
      <c r="A268" s="1">
        <v>45212</v>
      </c>
      <c r="B268" s="2">
        <v>0.31597222222222221</v>
      </c>
      <c r="C268" t="s">
        <v>974</v>
      </c>
      <c r="D268">
        <v>112</v>
      </c>
      <c r="E268" t="s">
        <v>807</v>
      </c>
      <c r="F268" t="str">
        <f>_xlfn.XLOOKUP(_26_03_2026_Log_Reseau_v15[[#This Row],[Cell_ID]],_26_03_2026_Registre_Maintenance_v1[ID_Antenne],_26_03_2026_Registre_Maintenance_v1[zone],"pas trouvé")</f>
        <v>pas trouvé</v>
      </c>
      <c r="G268" t="str">
        <f>_xlfn.XLOOKUP(_26_03_2026_Log_Reseau_v15[[#This Row],[Cell_ID]],_26_03_2026_Registre_Maintenance_v1[ID_Antenne],_26_03_2026_Registre_Maintenance_v1[Latitude],"non trouvé")</f>
        <v>non trouvé</v>
      </c>
      <c r="H268" t="str">
        <f>_xlfn.XLOOKUP(_26_03_2026_Log_Reseau_v15[[#This Row],[Cell_ID]],_26_03_2026_Registre_Maintenance_v1[ID_Antenne],_26_03_2026_Registre_Maintenance_v1[Longitude],"pas trouvé")</f>
        <v>pas trouvé</v>
      </c>
      <c r="I268" t="str">
        <f>_xlfn.XLOOKUP(_26_03_2026_Log_Reseau_v15[[#This Row],[Cell_ID]],_26_03_2026_Registre_Maintenance_v1[ID_Antenne],_26_03_2026_Registre_Maintenance_v1[Technologie],"non trouvé")</f>
        <v>non trouvé</v>
      </c>
      <c r="J268" t="str">
        <f>_xlfn.XLOOKUP(_26_03_2026_Log_Reseau_v15[[#This Row],[Cell_ID]],_26_03_2026_Registre_Maintenance_v1[ID_Antenne],_26_03_2026_Registre_Maintenance_v1[Equipementier],"pas trouvé")</f>
        <v>pas trouvé</v>
      </c>
      <c r="K268" t="str">
        <f>_xlfn.XLOOKUP(_26_03_2026_Log_Reseau_v15[[#This Row],[province RDC]],_26_03_2026_Client_Churn_v1[Province_Client],_26_03_2026_Client_Churn_v1[ID_Client],"non trouvé")</f>
        <v>non trouvé</v>
      </c>
      <c r="L268" t="str">
        <f>_xlfn.XLOOKUP(_26_03_2026_Log_Reseau_v15[[#This Row],[province RDC]],_26_03_2026_Client_Churn_v1[Province_Client],_26_03_2026_Client_Churn_v1[Anciennete_Mois],"non trouvé")</f>
        <v>non trouvé</v>
      </c>
      <c r="M268" t="str">
        <f>_xlfn.XLOOKUP(_26_03_2026_Log_Reseau_v15[[#This Row],[province RDC]],_26_03_2026_Client_Churn_v1[Province_Client],_26_03_2026_Client_Churn_v1[Type_Forfait],"non trouvé")</f>
        <v>non trouvé</v>
      </c>
      <c r="N268" t="str">
        <f>_xlfn.XLOOKUP(_26_03_2026_Log_Reseau_v15[[#This Row],[province RDC]],_26_03_2026_Client_Churn_v1[Province_Client],_26_03_2026_Client_Churn_v1[Duree_Cumulee_Panne_Min],"non trouvé")</f>
        <v>non trouvé</v>
      </c>
      <c r="O268" t="str">
        <f>_xlfn.XLOOKUP(_26_03_2026_Log_Reseau_v15[[#This Row],[province RDC]],_26_03_2026_Client_Churn_v1[Province_Client],_26_03_2026_Client_Churn_v1[Facture_Mensuelle],"non trouvé")</f>
        <v>non trouvé</v>
      </c>
      <c r="P268" t="str">
        <f>_xlfn.XLOOKUP(_26_03_2026_Log_Reseau_v15[[#This Row],[province RDC]],_26_03_2026_Client_Churn_v1[Province_Client],_26_03_2026_Client_Churn_v1[Plaintes_Service_Client],"non trouvé")</f>
        <v>non trouvé</v>
      </c>
    </row>
    <row r="269" spans="1:16" hidden="1" x14ac:dyDescent="0.25">
      <c r="A269" s="1">
        <v>45203</v>
      </c>
      <c r="B269" s="2">
        <v>0.89166666666666672</v>
      </c>
      <c r="C269" t="s">
        <v>974</v>
      </c>
      <c r="D269">
        <v>7</v>
      </c>
      <c r="E269" t="s">
        <v>808</v>
      </c>
      <c r="F269" t="str">
        <f>_xlfn.XLOOKUP(_26_03_2026_Log_Reseau_v15[[#This Row],[Cell_ID]],_26_03_2026_Registre_Maintenance_v1[ID_Antenne],_26_03_2026_Registre_Maintenance_v1[zone],"pas trouvé")</f>
        <v>pas trouvé</v>
      </c>
      <c r="G269" t="str">
        <f>_xlfn.XLOOKUP(_26_03_2026_Log_Reseau_v15[[#This Row],[Cell_ID]],_26_03_2026_Registre_Maintenance_v1[ID_Antenne],_26_03_2026_Registre_Maintenance_v1[Latitude],"non trouvé")</f>
        <v>non trouvé</v>
      </c>
      <c r="H269" t="str">
        <f>_xlfn.XLOOKUP(_26_03_2026_Log_Reseau_v15[[#This Row],[Cell_ID]],_26_03_2026_Registre_Maintenance_v1[ID_Antenne],_26_03_2026_Registre_Maintenance_v1[Longitude],"pas trouvé")</f>
        <v>pas trouvé</v>
      </c>
      <c r="I269" t="str">
        <f>_xlfn.XLOOKUP(_26_03_2026_Log_Reseau_v15[[#This Row],[Cell_ID]],_26_03_2026_Registre_Maintenance_v1[ID_Antenne],_26_03_2026_Registre_Maintenance_v1[Technologie],"non trouvé")</f>
        <v>non trouvé</v>
      </c>
      <c r="J269" t="str">
        <f>_xlfn.XLOOKUP(_26_03_2026_Log_Reseau_v15[[#This Row],[Cell_ID]],_26_03_2026_Registre_Maintenance_v1[ID_Antenne],_26_03_2026_Registre_Maintenance_v1[Equipementier],"pas trouvé")</f>
        <v>pas trouvé</v>
      </c>
      <c r="K269" t="str">
        <f>_xlfn.XLOOKUP(_26_03_2026_Log_Reseau_v15[[#This Row],[province RDC]],_26_03_2026_Client_Churn_v1[Province_Client],_26_03_2026_Client_Churn_v1[ID_Client],"non trouvé")</f>
        <v>non trouvé</v>
      </c>
      <c r="L269" t="str">
        <f>_xlfn.XLOOKUP(_26_03_2026_Log_Reseau_v15[[#This Row],[province RDC]],_26_03_2026_Client_Churn_v1[Province_Client],_26_03_2026_Client_Churn_v1[Anciennete_Mois],"non trouvé")</f>
        <v>non trouvé</v>
      </c>
      <c r="M269" t="str">
        <f>_xlfn.XLOOKUP(_26_03_2026_Log_Reseau_v15[[#This Row],[province RDC]],_26_03_2026_Client_Churn_v1[Province_Client],_26_03_2026_Client_Churn_v1[Type_Forfait],"non trouvé")</f>
        <v>non trouvé</v>
      </c>
      <c r="N269" t="str">
        <f>_xlfn.XLOOKUP(_26_03_2026_Log_Reseau_v15[[#This Row],[province RDC]],_26_03_2026_Client_Churn_v1[Province_Client],_26_03_2026_Client_Churn_v1[Duree_Cumulee_Panne_Min],"non trouvé")</f>
        <v>non trouvé</v>
      </c>
      <c r="O269" t="str">
        <f>_xlfn.XLOOKUP(_26_03_2026_Log_Reseau_v15[[#This Row],[province RDC]],_26_03_2026_Client_Churn_v1[Province_Client],_26_03_2026_Client_Churn_v1[Facture_Mensuelle],"non trouvé")</f>
        <v>non trouvé</v>
      </c>
      <c r="P269" t="str">
        <f>_xlfn.XLOOKUP(_26_03_2026_Log_Reseau_v15[[#This Row],[province RDC]],_26_03_2026_Client_Churn_v1[Province_Client],_26_03_2026_Client_Churn_v1[Plaintes_Service_Client],"non trouvé")</f>
        <v>non trouvé</v>
      </c>
    </row>
    <row r="270" spans="1:16" hidden="1" x14ac:dyDescent="0.25">
      <c r="A270" s="1">
        <v>45207</v>
      </c>
      <c r="B270" s="2">
        <v>0.35069444444444442</v>
      </c>
      <c r="C270" t="s">
        <v>975</v>
      </c>
      <c r="D270">
        <v>75</v>
      </c>
      <c r="E270" t="s">
        <v>812</v>
      </c>
      <c r="F270" t="str">
        <f>_xlfn.XLOOKUP(_26_03_2026_Log_Reseau_v15[[#This Row],[Cell_ID]],_26_03_2026_Registre_Maintenance_v1[ID_Antenne],_26_03_2026_Registre_Maintenance_v1[zone],"pas trouvé")</f>
        <v>pas trouvé</v>
      </c>
      <c r="G270" t="str">
        <f>_xlfn.XLOOKUP(_26_03_2026_Log_Reseau_v15[[#This Row],[Cell_ID]],_26_03_2026_Registre_Maintenance_v1[ID_Antenne],_26_03_2026_Registre_Maintenance_v1[Latitude],"non trouvé")</f>
        <v>non trouvé</v>
      </c>
      <c r="H270" t="str">
        <f>_xlfn.XLOOKUP(_26_03_2026_Log_Reseau_v15[[#This Row],[Cell_ID]],_26_03_2026_Registre_Maintenance_v1[ID_Antenne],_26_03_2026_Registre_Maintenance_v1[Longitude],"pas trouvé")</f>
        <v>pas trouvé</v>
      </c>
      <c r="I270" t="str">
        <f>_xlfn.XLOOKUP(_26_03_2026_Log_Reseau_v15[[#This Row],[Cell_ID]],_26_03_2026_Registre_Maintenance_v1[ID_Antenne],_26_03_2026_Registre_Maintenance_v1[Technologie],"non trouvé")</f>
        <v>non trouvé</v>
      </c>
      <c r="J270" t="str">
        <f>_xlfn.XLOOKUP(_26_03_2026_Log_Reseau_v15[[#This Row],[Cell_ID]],_26_03_2026_Registre_Maintenance_v1[ID_Antenne],_26_03_2026_Registre_Maintenance_v1[Equipementier],"pas trouvé")</f>
        <v>pas trouvé</v>
      </c>
      <c r="K270" t="str">
        <f>_xlfn.XLOOKUP(_26_03_2026_Log_Reseau_v15[[#This Row],[province RDC]],_26_03_2026_Client_Churn_v1[Province_Client],_26_03_2026_Client_Churn_v1[ID_Client],"non trouvé")</f>
        <v>non trouvé</v>
      </c>
      <c r="L270" t="str">
        <f>_xlfn.XLOOKUP(_26_03_2026_Log_Reseau_v15[[#This Row],[province RDC]],_26_03_2026_Client_Churn_v1[Province_Client],_26_03_2026_Client_Churn_v1[Anciennete_Mois],"non trouvé")</f>
        <v>non trouvé</v>
      </c>
      <c r="M270" t="str">
        <f>_xlfn.XLOOKUP(_26_03_2026_Log_Reseau_v15[[#This Row],[province RDC]],_26_03_2026_Client_Churn_v1[Province_Client],_26_03_2026_Client_Churn_v1[Type_Forfait],"non trouvé")</f>
        <v>non trouvé</v>
      </c>
      <c r="N270" t="str">
        <f>_xlfn.XLOOKUP(_26_03_2026_Log_Reseau_v15[[#This Row],[province RDC]],_26_03_2026_Client_Churn_v1[Province_Client],_26_03_2026_Client_Churn_v1[Duree_Cumulee_Panne_Min],"non trouvé")</f>
        <v>non trouvé</v>
      </c>
      <c r="O270" t="str">
        <f>_xlfn.XLOOKUP(_26_03_2026_Log_Reseau_v15[[#This Row],[province RDC]],_26_03_2026_Client_Churn_v1[Province_Client],_26_03_2026_Client_Churn_v1[Facture_Mensuelle],"non trouvé")</f>
        <v>non trouvé</v>
      </c>
      <c r="P270" t="str">
        <f>_xlfn.XLOOKUP(_26_03_2026_Log_Reseau_v15[[#This Row],[province RDC]],_26_03_2026_Client_Churn_v1[Province_Client],_26_03_2026_Client_Churn_v1[Plaintes_Service_Client],"non trouvé")</f>
        <v>non trouvé</v>
      </c>
    </row>
    <row r="271" spans="1:16" x14ac:dyDescent="0.25">
      <c r="A271" s="1">
        <v>45221</v>
      </c>
      <c r="B271" s="2">
        <v>3.9583333333333331E-2</v>
      </c>
      <c r="C271" t="s">
        <v>976</v>
      </c>
      <c r="D271">
        <v>33</v>
      </c>
      <c r="E271" t="s">
        <v>808</v>
      </c>
      <c r="F271" t="str">
        <f>_xlfn.XLOOKUP(_26_03_2026_Log_Reseau_v15[[#This Row],[Cell_ID]],_26_03_2026_Registre_Maintenance_v1[ID_Antenne],_26_03_2026_Registre_Maintenance_v1[zone],"pas trouvé")</f>
        <v>Kinshasa</v>
      </c>
      <c r="G271">
        <f>_xlfn.XLOOKUP(_26_03_2026_Log_Reseau_v15[[#This Row],[Cell_ID]],_26_03_2026_Registre_Maintenance_v1[ID_Antenne],_26_03_2026_Registre_Maintenance_v1[Latitude],"non trouvé")</f>
        <v>0.48965500000000001</v>
      </c>
      <c r="H271">
        <f>_xlfn.XLOOKUP(_26_03_2026_Log_Reseau_v15[[#This Row],[Cell_ID]],_26_03_2026_Registre_Maintenance_v1[ID_Antenne],_26_03_2026_Registre_Maintenance_v1[Longitude],"pas trouvé")</f>
        <v>26.176860000000001</v>
      </c>
      <c r="I271" t="str">
        <f>_xlfn.XLOOKUP(_26_03_2026_Log_Reseau_v15[[#This Row],[Cell_ID]],_26_03_2026_Registre_Maintenance_v1[ID_Antenne],_26_03_2026_Registre_Maintenance_v1[Technologie],"non trouvé")</f>
        <v>4G</v>
      </c>
      <c r="J271" t="str">
        <f>_xlfn.XLOOKUP(_26_03_2026_Log_Reseau_v15[[#This Row],[Cell_ID]],_26_03_2026_Registre_Maintenance_v1[ID_Antenne],_26_03_2026_Registre_Maintenance_v1[Equipementier],"pas trouvé")</f>
        <v>Huawei</v>
      </c>
      <c r="K271" t="str">
        <f>_xlfn.XLOOKUP(_26_03_2026_Log_Reseau_v15[[#This Row],[province RDC]],_26_03_2026_Client_Churn_v1[Province_Client],_26_03_2026_Client_Churn_v1[ID_Client],"non trouvé")</f>
        <v>CLI-00611</v>
      </c>
      <c r="L271">
        <f>_xlfn.XLOOKUP(_26_03_2026_Log_Reseau_v15[[#This Row],[province RDC]],_26_03_2026_Client_Churn_v1[Province_Client],_26_03_2026_Client_Churn_v1[Anciennete_Mois],"non trouvé")</f>
        <v>79</v>
      </c>
      <c r="M271" t="str">
        <f>_xlfn.XLOOKUP(_26_03_2026_Log_Reseau_v15[[#This Row],[province RDC]],_26_03_2026_Client_Churn_v1[Province_Client],_26_03_2026_Client_Churn_v1[Type_Forfait],"non trouvé")</f>
        <v>Premium 5G 150Go</v>
      </c>
      <c r="N271">
        <f>_xlfn.XLOOKUP(_26_03_2026_Log_Reseau_v15[[#This Row],[province RDC]],_26_03_2026_Client_Churn_v1[Province_Client],_26_03_2026_Client_Churn_v1[Duree_Cumulee_Panne_Min],"non trouvé")</f>
        <v>226</v>
      </c>
      <c r="O271">
        <f>_xlfn.XLOOKUP(_26_03_2026_Log_Reseau_v15[[#This Row],[province RDC]],_26_03_2026_Client_Churn_v1[Province_Client],_26_03_2026_Client_Churn_v1[Facture_Mensuelle],"non trouvé")</f>
        <v>94.38</v>
      </c>
      <c r="P271">
        <f>_xlfn.XLOOKUP(_26_03_2026_Log_Reseau_v15[[#This Row],[province RDC]],_26_03_2026_Client_Churn_v1[Province_Client],_26_03_2026_Client_Churn_v1[Plaintes_Service_Client],"non trouvé")</f>
        <v>3</v>
      </c>
    </row>
    <row r="272" spans="1:16" hidden="1" x14ac:dyDescent="0.25">
      <c r="A272" s="1">
        <v>45205</v>
      </c>
      <c r="B272" s="2">
        <v>0.81666666666666665</v>
      </c>
      <c r="C272" t="s">
        <v>977</v>
      </c>
      <c r="D272">
        <v>33</v>
      </c>
      <c r="E272" t="s">
        <v>812</v>
      </c>
      <c r="F272" t="str">
        <f>_xlfn.XLOOKUP(_26_03_2026_Log_Reseau_v15[[#This Row],[Cell_ID]],_26_03_2026_Registre_Maintenance_v1[ID_Antenne],_26_03_2026_Registre_Maintenance_v1[zone],"pas trouvé")</f>
        <v>pas trouvé</v>
      </c>
      <c r="G272" t="str">
        <f>_xlfn.XLOOKUP(_26_03_2026_Log_Reseau_v15[[#This Row],[Cell_ID]],_26_03_2026_Registre_Maintenance_v1[ID_Antenne],_26_03_2026_Registre_Maintenance_v1[Latitude],"non trouvé")</f>
        <v>non trouvé</v>
      </c>
      <c r="H272" t="str">
        <f>_xlfn.XLOOKUP(_26_03_2026_Log_Reseau_v15[[#This Row],[Cell_ID]],_26_03_2026_Registre_Maintenance_v1[ID_Antenne],_26_03_2026_Registre_Maintenance_v1[Longitude],"pas trouvé")</f>
        <v>pas trouvé</v>
      </c>
      <c r="I272" t="str">
        <f>_xlfn.XLOOKUP(_26_03_2026_Log_Reseau_v15[[#This Row],[Cell_ID]],_26_03_2026_Registre_Maintenance_v1[ID_Antenne],_26_03_2026_Registre_Maintenance_v1[Technologie],"non trouvé")</f>
        <v>non trouvé</v>
      </c>
      <c r="J272" t="str">
        <f>_xlfn.XLOOKUP(_26_03_2026_Log_Reseau_v15[[#This Row],[Cell_ID]],_26_03_2026_Registre_Maintenance_v1[ID_Antenne],_26_03_2026_Registre_Maintenance_v1[Equipementier],"pas trouvé")</f>
        <v>pas trouvé</v>
      </c>
      <c r="K272" t="str">
        <f>_xlfn.XLOOKUP(_26_03_2026_Log_Reseau_v15[[#This Row],[province RDC]],_26_03_2026_Client_Churn_v1[Province_Client],_26_03_2026_Client_Churn_v1[ID_Client],"non trouvé")</f>
        <v>non trouvé</v>
      </c>
      <c r="L272" t="str">
        <f>_xlfn.XLOOKUP(_26_03_2026_Log_Reseau_v15[[#This Row],[province RDC]],_26_03_2026_Client_Churn_v1[Province_Client],_26_03_2026_Client_Churn_v1[Anciennete_Mois],"non trouvé")</f>
        <v>non trouvé</v>
      </c>
      <c r="M272" t="str">
        <f>_xlfn.XLOOKUP(_26_03_2026_Log_Reseau_v15[[#This Row],[province RDC]],_26_03_2026_Client_Churn_v1[Province_Client],_26_03_2026_Client_Churn_v1[Type_Forfait],"non trouvé")</f>
        <v>non trouvé</v>
      </c>
      <c r="N272" t="str">
        <f>_xlfn.XLOOKUP(_26_03_2026_Log_Reseau_v15[[#This Row],[province RDC]],_26_03_2026_Client_Churn_v1[Province_Client],_26_03_2026_Client_Churn_v1[Duree_Cumulee_Panne_Min],"non trouvé")</f>
        <v>non trouvé</v>
      </c>
      <c r="O272" t="str">
        <f>_xlfn.XLOOKUP(_26_03_2026_Log_Reseau_v15[[#This Row],[province RDC]],_26_03_2026_Client_Churn_v1[Province_Client],_26_03_2026_Client_Churn_v1[Facture_Mensuelle],"non trouvé")</f>
        <v>non trouvé</v>
      </c>
      <c r="P272" t="str">
        <f>_xlfn.XLOOKUP(_26_03_2026_Log_Reseau_v15[[#This Row],[province RDC]],_26_03_2026_Client_Churn_v1[Province_Client],_26_03_2026_Client_Churn_v1[Plaintes_Service_Client],"non trouvé")</f>
        <v>non trouvé</v>
      </c>
    </row>
    <row r="273" spans="1:16" x14ac:dyDescent="0.25">
      <c r="A273" s="1">
        <v>45200</v>
      </c>
      <c r="B273" s="2">
        <v>0.46666666666666667</v>
      </c>
      <c r="C273" t="s">
        <v>978</v>
      </c>
      <c r="D273">
        <v>31</v>
      </c>
      <c r="E273" t="s">
        <v>808</v>
      </c>
      <c r="F273" t="str">
        <f>_xlfn.XLOOKUP(_26_03_2026_Log_Reseau_v15[[#This Row],[Cell_ID]],_26_03_2026_Registre_Maintenance_v1[ID_Antenne],_26_03_2026_Registre_Maintenance_v1[zone],"pas trouvé")</f>
        <v>Lomami</v>
      </c>
      <c r="G273">
        <f>_xlfn.XLOOKUP(_26_03_2026_Log_Reseau_v15[[#This Row],[Cell_ID]],_26_03_2026_Registre_Maintenance_v1[ID_Antenne],_26_03_2026_Registre_Maintenance_v1[Latitude],"non trouvé")</f>
        <v>-9.5619429999999994</v>
      </c>
      <c r="H273">
        <f>_xlfn.XLOOKUP(_26_03_2026_Log_Reseau_v15[[#This Row],[Cell_ID]],_26_03_2026_Registre_Maintenance_v1[ID_Antenne],_26_03_2026_Registre_Maintenance_v1[Longitude],"pas trouvé")</f>
        <v>21.445726000000001</v>
      </c>
      <c r="I273" t="str">
        <f>_xlfn.XLOOKUP(_26_03_2026_Log_Reseau_v15[[#This Row],[Cell_ID]],_26_03_2026_Registre_Maintenance_v1[ID_Antenne],_26_03_2026_Registre_Maintenance_v1[Technologie],"non trouvé")</f>
        <v>4G</v>
      </c>
      <c r="J273" t="str">
        <f>_xlfn.XLOOKUP(_26_03_2026_Log_Reseau_v15[[#This Row],[Cell_ID]],_26_03_2026_Registre_Maintenance_v1[ID_Antenne],_26_03_2026_Registre_Maintenance_v1[Equipementier],"pas trouvé")</f>
        <v>Nokia</v>
      </c>
      <c r="K273" t="str">
        <f>_xlfn.XLOOKUP(_26_03_2026_Log_Reseau_v15[[#This Row],[province RDC]],_26_03_2026_Client_Churn_v1[Province_Client],_26_03_2026_Client_Churn_v1[ID_Client],"non trouvé")</f>
        <v>CLI-00131</v>
      </c>
      <c r="L273">
        <f>_xlfn.XLOOKUP(_26_03_2026_Log_Reseau_v15[[#This Row],[province RDC]],_26_03_2026_Client_Churn_v1[Province_Client],_26_03_2026_Client_Churn_v1[Anciennete_Mois],"non trouvé")</f>
        <v>101</v>
      </c>
      <c r="M273" t="str">
        <f>_xlfn.XLOOKUP(_26_03_2026_Log_Reseau_v15[[#This Row],[province RDC]],_26_03_2026_Client_Churn_v1[Province_Client],_26_03_2026_Client_Churn_v1[Type_Forfait],"non trouvé")</f>
        <v>Pro Monde</v>
      </c>
      <c r="N273">
        <f>_xlfn.XLOOKUP(_26_03_2026_Log_Reseau_v15[[#This Row],[province RDC]],_26_03_2026_Client_Churn_v1[Province_Client],_26_03_2026_Client_Churn_v1[Duree_Cumulee_Panne_Min],"non trouvé")</f>
        <v>176</v>
      </c>
      <c r="O273">
        <f>_xlfn.XLOOKUP(_26_03_2026_Log_Reseau_v15[[#This Row],[province RDC]],_26_03_2026_Client_Churn_v1[Province_Client],_26_03_2026_Client_Churn_v1[Facture_Mensuelle],"non trouvé")</f>
        <v>86</v>
      </c>
      <c r="P273">
        <f>_xlfn.XLOOKUP(_26_03_2026_Log_Reseau_v15[[#This Row],[province RDC]],_26_03_2026_Client_Churn_v1[Province_Client],_26_03_2026_Client_Churn_v1[Plaintes_Service_Client],"non trouvé")</f>
        <v>3</v>
      </c>
    </row>
    <row r="274" spans="1:16" x14ac:dyDescent="0.25">
      <c r="A274" s="1">
        <v>45201</v>
      </c>
      <c r="B274" s="2">
        <v>0.29305555555555557</v>
      </c>
      <c r="C274" t="s">
        <v>978</v>
      </c>
      <c r="D274">
        <v>95</v>
      </c>
      <c r="E274" t="s">
        <v>812</v>
      </c>
      <c r="F274" t="str">
        <f>_xlfn.XLOOKUP(_26_03_2026_Log_Reseau_v15[[#This Row],[Cell_ID]],_26_03_2026_Registre_Maintenance_v1[ID_Antenne],_26_03_2026_Registre_Maintenance_v1[zone],"pas trouvé")</f>
        <v>Lomami</v>
      </c>
      <c r="G274">
        <f>_xlfn.XLOOKUP(_26_03_2026_Log_Reseau_v15[[#This Row],[Cell_ID]],_26_03_2026_Registre_Maintenance_v1[ID_Antenne],_26_03_2026_Registre_Maintenance_v1[Latitude],"non trouvé")</f>
        <v>-9.5619429999999994</v>
      </c>
      <c r="H274">
        <f>_xlfn.XLOOKUP(_26_03_2026_Log_Reseau_v15[[#This Row],[Cell_ID]],_26_03_2026_Registre_Maintenance_v1[ID_Antenne],_26_03_2026_Registre_Maintenance_v1[Longitude],"pas trouvé")</f>
        <v>21.445726000000001</v>
      </c>
      <c r="I274" t="str">
        <f>_xlfn.XLOOKUP(_26_03_2026_Log_Reseau_v15[[#This Row],[Cell_ID]],_26_03_2026_Registre_Maintenance_v1[ID_Antenne],_26_03_2026_Registre_Maintenance_v1[Technologie],"non trouvé")</f>
        <v>4G</v>
      </c>
      <c r="J274" t="str">
        <f>_xlfn.XLOOKUP(_26_03_2026_Log_Reseau_v15[[#This Row],[Cell_ID]],_26_03_2026_Registre_Maintenance_v1[ID_Antenne],_26_03_2026_Registre_Maintenance_v1[Equipementier],"pas trouvé")</f>
        <v>Nokia</v>
      </c>
      <c r="K274" t="str">
        <f>_xlfn.XLOOKUP(_26_03_2026_Log_Reseau_v15[[#This Row],[province RDC]],_26_03_2026_Client_Churn_v1[Province_Client],_26_03_2026_Client_Churn_v1[ID_Client],"non trouvé")</f>
        <v>CLI-00131</v>
      </c>
      <c r="L274">
        <f>_xlfn.XLOOKUP(_26_03_2026_Log_Reseau_v15[[#This Row],[province RDC]],_26_03_2026_Client_Churn_v1[Province_Client],_26_03_2026_Client_Churn_v1[Anciennete_Mois],"non trouvé")</f>
        <v>101</v>
      </c>
      <c r="M274" t="str">
        <f>_xlfn.XLOOKUP(_26_03_2026_Log_Reseau_v15[[#This Row],[province RDC]],_26_03_2026_Client_Churn_v1[Province_Client],_26_03_2026_Client_Churn_v1[Type_Forfait],"non trouvé")</f>
        <v>Pro Monde</v>
      </c>
      <c r="N274">
        <f>_xlfn.XLOOKUP(_26_03_2026_Log_Reseau_v15[[#This Row],[province RDC]],_26_03_2026_Client_Churn_v1[Province_Client],_26_03_2026_Client_Churn_v1[Duree_Cumulee_Panne_Min],"non trouvé")</f>
        <v>176</v>
      </c>
      <c r="O274">
        <f>_xlfn.XLOOKUP(_26_03_2026_Log_Reseau_v15[[#This Row],[province RDC]],_26_03_2026_Client_Churn_v1[Province_Client],_26_03_2026_Client_Churn_v1[Facture_Mensuelle],"non trouvé")</f>
        <v>86</v>
      </c>
      <c r="P274">
        <f>_xlfn.XLOOKUP(_26_03_2026_Log_Reseau_v15[[#This Row],[province RDC]],_26_03_2026_Client_Churn_v1[Province_Client],_26_03_2026_Client_Churn_v1[Plaintes_Service_Client],"non trouvé")</f>
        <v>3</v>
      </c>
    </row>
    <row r="275" spans="1:16" hidden="1" x14ac:dyDescent="0.25">
      <c r="A275" s="1">
        <v>45200</v>
      </c>
      <c r="B275" s="2">
        <v>0.51111111111111107</v>
      </c>
      <c r="C275" t="s">
        <v>979</v>
      </c>
      <c r="D275">
        <v>108</v>
      </c>
      <c r="E275" t="s">
        <v>812</v>
      </c>
      <c r="F275" t="str">
        <f>_xlfn.XLOOKUP(_26_03_2026_Log_Reseau_v15[[#This Row],[Cell_ID]],_26_03_2026_Registre_Maintenance_v1[ID_Antenne],_26_03_2026_Registre_Maintenance_v1[zone],"pas trouvé")</f>
        <v>pas trouvé</v>
      </c>
      <c r="G275" t="str">
        <f>_xlfn.XLOOKUP(_26_03_2026_Log_Reseau_v15[[#This Row],[Cell_ID]],_26_03_2026_Registre_Maintenance_v1[ID_Antenne],_26_03_2026_Registre_Maintenance_v1[Latitude],"non trouvé")</f>
        <v>non trouvé</v>
      </c>
      <c r="H275" t="str">
        <f>_xlfn.XLOOKUP(_26_03_2026_Log_Reseau_v15[[#This Row],[Cell_ID]],_26_03_2026_Registre_Maintenance_v1[ID_Antenne],_26_03_2026_Registre_Maintenance_v1[Longitude],"pas trouvé")</f>
        <v>pas trouvé</v>
      </c>
      <c r="I275" t="str">
        <f>_xlfn.XLOOKUP(_26_03_2026_Log_Reseau_v15[[#This Row],[Cell_ID]],_26_03_2026_Registre_Maintenance_v1[ID_Antenne],_26_03_2026_Registre_Maintenance_v1[Technologie],"non trouvé")</f>
        <v>non trouvé</v>
      </c>
      <c r="J275" t="str">
        <f>_xlfn.XLOOKUP(_26_03_2026_Log_Reseau_v15[[#This Row],[Cell_ID]],_26_03_2026_Registre_Maintenance_v1[ID_Antenne],_26_03_2026_Registre_Maintenance_v1[Equipementier],"pas trouvé")</f>
        <v>pas trouvé</v>
      </c>
      <c r="K275" t="str">
        <f>_xlfn.XLOOKUP(_26_03_2026_Log_Reseau_v15[[#This Row],[province RDC]],_26_03_2026_Client_Churn_v1[Province_Client],_26_03_2026_Client_Churn_v1[ID_Client],"non trouvé")</f>
        <v>non trouvé</v>
      </c>
      <c r="L275" t="str">
        <f>_xlfn.XLOOKUP(_26_03_2026_Log_Reseau_v15[[#This Row],[province RDC]],_26_03_2026_Client_Churn_v1[Province_Client],_26_03_2026_Client_Churn_v1[Anciennete_Mois],"non trouvé")</f>
        <v>non trouvé</v>
      </c>
      <c r="M275" t="str">
        <f>_xlfn.XLOOKUP(_26_03_2026_Log_Reseau_v15[[#This Row],[province RDC]],_26_03_2026_Client_Churn_v1[Province_Client],_26_03_2026_Client_Churn_v1[Type_Forfait],"non trouvé")</f>
        <v>non trouvé</v>
      </c>
      <c r="N275" t="str">
        <f>_xlfn.XLOOKUP(_26_03_2026_Log_Reseau_v15[[#This Row],[province RDC]],_26_03_2026_Client_Churn_v1[Province_Client],_26_03_2026_Client_Churn_v1[Duree_Cumulee_Panne_Min],"non trouvé")</f>
        <v>non trouvé</v>
      </c>
      <c r="O275" t="str">
        <f>_xlfn.XLOOKUP(_26_03_2026_Log_Reseau_v15[[#This Row],[province RDC]],_26_03_2026_Client_Churn_v1[Province_Client],_26_03_2026_Client_Churn_v1[Facture_Mensuelle],"non trouvé")</f>
        <v>non trouvé</v>
      </c>
      <c r="P275" t="str">
        <f>_xlfn.XLOOKUP(_26_03_2026_Log_Reseau_v15[[#This Row],[province RDC]],_26_03_2026_Client_Churn_v1[Province_Client],_26_03_2026_Client_Churn_v1[Plaintes_Service_Client],"non trouvé")</f>
        <v>non trouvé</v>
      </c>
    </row>
    <row r="276" spans="1:16" x14ac:dyDescent="0.25">
      <c r="A276" s="1">
        <v>45221</v>
      </c>
      <c r="B276" s="2">
        <v>0.18055555555555555</v>
      </c>
      <c r="C276" t="s">
        <v>980</v>
      </c>
      <c r="D276">
        <v>8</v>
      </c>
      <c r="E276" t="s">
        <v>807</v>
      </c>
      <c r="F276" t="str">
        <f>_xlfn.XLOOKUP(_26_03_2026_Log_Reseau_v15[[#This Row],[Cell_ID]],_26_03_2026_Registre_Maintenance_v1[ID_Antenne],_26_03_2026_Registre_Maintenance_v1[zone],"pas trouvé")</f>
        <v>Kasai-Central</v>
      </c>
      <c r="G276">
        <f>_xlfn.XLOOKUP(_26_03_2026_Log_Reseau_v15[[#This Row],[Cell_ID]],_26_03_2026_Registre_Maintenance_v1[ID_Antenne],_26_03_2026_Registre_Maintenance_v1[Latitude],"non trouvé")</f>
        <v>-1.648264</v>
      </c>
      <c r="H276">
        <f>_xlfn.XLOOKUP(_26_03_2026_Log_Reseau_v15[[#This Row],[Cell_ID]],_26_03_2026_Registre_Maintenance_v1[ID_Antenne],_26_03_2026_Registre_Maintenance_v1[Longitude],"pas trouvé")</f>
        <v>28.866143999999998</v>
      </c>
      <c r="I276" t="str">
        <f>_xlfn.XLOOKUP(_26_03_2026_Log_Reseau_v15[[#This Row],[Cell_ID]],_26_03_2026_Registre_Maintenance_v1[ID_Antenne],_26_03_2026_Registre_Maintenance_v1[Technologie],"non trouvé")</f>
        <v>5G</v>
      </c>
      <c r="J276" t="str">
        <f>_xlfn.XLOOKUP(_26_03_2026_Log_Reseau_v15[[#This Row],[Cell_ID]],_26_03_2026_Registre_Maintenance_v1[ID_Antenne],_26_03_2026_Registre_Maintenance_v1[Equipementier],"pas trouvé")</f>
        <v>Ericsson</v>
      </c>
      <c r="K276" t="str">
        <f>_xlfn.XLOOKUP(_26_03_2026_Log_Reseau_v15[[#This Row],[province RDC]],_26_03_2026_Client_Churn_v1[Province_Client],_26_03_2026_Client_Churn_v1[ID_Client],"non trouvé")</f>
        <v>CLI-00060</v>
      </c>
      <c r="L276">
        <f>_xlfn.XLOOKUP(_26_03_2026_Log_Reseau_v15[[#This Row],[province RDC]],_26_03_2026_Client_Churn_v1[Province_Client],_26_03_2026_Client_Churn_v1[Anciennete_Mois],"non trouvé")</f>
        <v>72</v>
      </c>
      <c r="M276" t="str">
        <f>_xlfn.XLOOKUP(_26_03_2026_Log_Reseau_v15[[#This Row],[province RDC]],_26_03_2026_Client_Churn_v1[Province_Client],_26_03_2026_Client_Churn_v1[Type_Forfait],"non trouvé")</f>
        <v>Pro Monde</v>
      </c>
      <c r="N276">
        <f>_xlfn.XLOOKUP(_26_03_2026_Log_Reseau_v15[[#This Row],[province RDC]],_26_03_2026_Client_Churn_v1[Province_Client],_26_03_2026_Client_Churn_v1[Duree_Cumulee_Panne_Min],"non trouvé")</f>
        <v>160</v>
      </c>
      <c r="O276">
        <f>_xlfn.XLOOKUP(_26_03_2026_Log_Reseau_v15[[#This Row],[province RDC]],_26_03_2026_Client_Churn_v1[Province_Client],_26_03_2026_Client_Churn_v1[Facture_Mensuelle],"non trouvé")</f>
        <v>90.13</v>
      </c>
      <c r="P276">
        <f>_xlfn.XLOOKUP(_26_03_2026_Log_Reseau_v15[[#This Row],[province RDC]],_26_03_2026_Client_Churn_v1[Province_Client],_26_03_2026_Client_Churn_v1[Plaintes_Service_Client],"non trouvé")</f>
        <v>2</v>
      </c>
    </row>
    <row r="277" spans="1:16" x14ac:dyDescent="0.25">
      <c r="A277" s="1">
        <v>45202</v>
      </c>
      <c r="B277" s="2">
        <v>0.25972222222222224</v>
      </c>
      <c r="C277" t="s">
        <v>980</v>
      </c>
      <c r="D277">
        <v>79</v>
      </c>
      <c r="E277" t="s">
        <v>807</v>
      </c>
      <c r="F277" t="str">
        <f>_xlfn.XLOOKUP(_26_03_2026_Log_Reseau_v15[[#This Row],[Cell_ID]],_26_03_2026_Registre_Maintenance_v1[ID_Antenne],_26_03_2026_Registre_Maintenance_v1[zone],"pas trouvé")</f>
        <v>Kasai-Central</v>
      </c>
      <c r="G277">
        <f>_xlfn.XLOOKUP(_26_03_2026_Log_Reseau_v15[[#This Row],[Cell_ID]],_26_03_2026_Registre_Maintenance_v1[ID_Antenne],_26_03_2026_Registre_Maintenance_v1[Latitude],"non trouvé")</f>
        <v>-1.648264</v>
      </c>
      <c r="H277">
        <f>_xlfn.XLOOKUP(_26_03_2026_Log_Reseau_v15[[#This Row],[Cell_ID]],_26_03_2026_Registre_Maintenance_v1[ID_Antenne],_26_03_2026_Registre_Maintenance_v1[Longitude],"pas trouvé")</f>
        <v>28.866143999999998</v>
      </c>
      <c r="I277" t="str">
        <f>_xlfn.XLOOKUP(_26_03_2026_Log_Reseau_v15[[#This Row],[Cell_ID]],_26_03_2026_Registre_Maintenance_v1[ID_Antenne],_26_03_2026_Registre_Maintenance_v1[Technologie],"non trouvé")</f>
        <v>5G</v>
      </c>
      <c r="J277" t="str">
        <f>_xlfn.XLOOKUP(_26_03_2026_Log_Reseau_v15[[#This Row],[Cell_ID]],_26_03_2026_Registre_Maintenance_v1[ID_Antenne],_26_03_2026_Registre_Maintenance_v1[Equipementier],"pas trouvé")</f>
        <v>Ericsson</v>
      </c>
      <c r="K277" t="str">
        <f>_xlfn.XLOOKUP(_26_03_2026_Log_Reseau_v15[[#This Row],[province RDC]],_26_03_2026_Client_Churn_v1[Province_Client],_26_03_2026_Client_Churn_v1[ID_Client],"non trouvé")</f>
        <v>CLI-00060</v>
      </c>
      <c r="L277">
        <f>_xlfn.XLOOKUP(_26_03_2026_Log_Reseau_v15[[#This Row],[province RDC]],_26_03_2026_Client_Churn_v1[Province_Client],_26_03_2026_Client_Churn_v1[Anciennete_Mois],"non trouvé")</f>
        <v>72</v>
      </c>
      <c r="M277" t="str">
        <f>_xlfn.XLOOKUP(_26_03_2026_Log_Reseau_v15[[#This Row],[province RDC]],_26_03_2026_Client_Churn_v1[Province_Client],_26_03_2026_Client_Churn_v1[Type_Forfait],"non trouvé")</f>
        <v>Pro Monde</v>
      </c>
      <c r="N277">
        <f>_xlfn.XLOOKUP(_26_03_2026_Log_Reseau_v15[[#This Row],[province RDC]],_26_03_2026_Client_Churn_v1[Province_Client],_26_03_2026_Client_Churn_v1[Duree_Cumulee_Panne_Min],"non trouvé")</f>
        <v>160</v>
      </c>
      <c r="O277">
        <f>_xlfn.XLOOKUP(_26_03_2026_Log_Reseau_v15[[#This Row],[province RDC]],_26_03_2026_Client_Churn_v1[Province_Client],_26_03_2026_Client_Churn_v1[Facture_Mensuelle],"non trouvé")</f>
        <v>90.13</v>
      </c>
      <c r="P277">
        <f>_xlfn.XLOOKUP(_26_03_2026_Log_Reseau_v15[[#This Row],[province RDC]],_26_03_2026_Client_Churn_v1[Province_Client],_26_03_2026_Client_Churn_v1[Plaintes_Service_Client],"non trouvé")</f>
        <v>2</v>
      </c>
    </row>
    <row r="278" spans="1:16" x14ac:dyDescent="0.25">
      <c r="A278" s="1">
        <v>45213</v>
      </c>
      <c r="B278" s="2">
        <v>0.25416666666666665</v>
      </c>
      <c r="C278" t="s">
        <v>981</v>
      </c>
      <c r="D278">
        <v>73</v>
      </c>
      <c r="E278" t="s">
        <v>812</v>
      </c>
      <c r="F278" t="str">
        <f>_xlfn.XLOOKUP(_26_03_2026_Log_Reseau_v15[[#This Row],[Cell_ID]],_26_03_2026_Registre_Maintenance_v1[ID_Antenne],_26_03_2026_Registre_Maintenance_v1[zone],"pas trouvé")</f>
        <v>Tshuapa</v>
      </c>
      <c r="G278">
        <f>_xlfn.XLOOKUP(_26_03_2026_Log_Reseau_v15[[#This Row],[Cell_ID]],_26_03_2026_Registre_Maintenance_v1[ID_Antenne],_26_03_2026_Registre_Maintenance_v1[Latitude],"non trouvé")</f>
        <v>-5.1030600000000002</v>
      </c>
      <c r="H278">
        <f>_xlfn.XLOOKUP(_26_03_2026_Log_Reseau_v15[[#This Row],[Cell_ID]],_26_03_2026_Registre_Maintenance_v1[ID_Antenne],_26_03_2026_Registre_Maintenance_v1[Longitude],"pas trouvé")</f>
        <v>22.849231</v>
      </c>
      <c r="I278" t="str">
        <f>_xlfn.XLOOKUP(_26_03_2026_Log_Reseau_v15[[#This Row],[Cell_ID]],_26_03_2026_Registre_Maintenance_v1[ID_Antenne],_26_03_2026_Registre_Maintenance_v1[Technologie],"non trouvé")</f>
        <v>5G</v>
      </c>
      <c r="J278" t="str">
        <f>_xlfn.XLOOKUP(_26_03_2026_Log_Reseau_v15[[#This Row],[Cell_ID]],_26_03_2026_Registre_Maintenance_v1[ID_Antenne],_26_03_2026_Registre_Maintenance_v1[Equipementier],"pas trouvé")</f>
        <v>ZTE</v>
      </c>
      <c r="K278" t="str">
        <f>_xlfn.XLOOKUP(_26_03_2026_Log_Reseau_v15[[#This Row],[province RDC]],_26_03_2026_Client_Churn_v1[Province_Client],_26_03_2026_Client_Churn_v1[ID_Client],"non trouvé")</f>
        <v>CLI-00894</v>
      </c>
      <c r="L278">
        <f>_xlfn.XLOOKUP(_26_03_2026_Log_Reseau_v15[[#This Row],[province RDC]],_26_03_2026_Client_Churn_v1[Province_Client],_26_03_2026_Client_Churn_v1[Anciennete_Mois],"non trouvé")</f>
        <v>63</v>
      </c>
      <c r="M278" t="str">
        <f>_xlfn.XLOOKUP(_26_03_2026_Log_Reseau_v15[[#This Row],[province RDC]],_26_03_2026_Client_Churn_v1[Province_Client],_26_03_2026_Client_Churn_v1[Type_Forfait],"non trouvé")</f>
        <v>Pro Monde</v>
      </c>
      <c r="N278">
        <f>_xlfn.XLOOKUP(_26_03_2026_Log_Reseau_v15[[#This Row],[province RDC]],_26_03_2026_Client_Churn_v1[Province_Client],_26_03_2026_Client_Churn_v1[Duree_Cumulee_Panne_Min],"non trouvé")</f>
        <v>205</v>
      </c>
      <c r="O278">
        <f>_xlfn.XLOOKUP(_26_03_2026_Log_Reseau_v15[[#This Row],[province RDC]],_26_03_2026_Client_Churn_v1[Province_Client],_26_03_2026_Client_Churn_v1[Facture_Mensuelle],"non trouvé")</f>
        <v>89.19</v>
      </c>
      <c r="P278">
        <f>_xlfn.XLOOKUP(_26_03_2026_Log_Reseau_v15[[#This Row],[province RDC]],_26_03_2026_Client_Churn_v1[Province_Client],_26_03_2026_Client_Churn_v1[Plaintes_Service_Client],"non trouvé")</f>
        <v>0</v>
      </c>
    </row>
    <row r="279" spans="1:16" x14ac:dyDescent="0.25">
      <c r="A279" s="1">
        <v>45226</v>
      </c>
      <c r="B279" s="2">
        <v>0.17083333333333334</v>
      </c>
      <c r="C279" t="s">
        <v>981</v>
      </c>
      <c r="D279">
        <v>54</v>
      </c>
      <c r="E279" t="s">
        <v>807</v>
      </c>
      <c r="F279" t="str">
        <f>_xlfn.XLOOKUP(_26_03_2026_Log_Reseau_v15[[#This Row],[Cell_ID]],_26_03_2026_Registre_Maintenance_v1[ID_Antenne],_26_03_2026_Registre_Maintenance_v1[zone],"pas trouvé")</f>
        <v>Tshuapa</v>
      </c>
      <c r="G279">
        <f>_xlfn.XLOOKUP(_26_03_2026_Log_Reseau_v15[[#This Row],[Cell_ID]],_26_03_2026_Registre_Maintenance_v1[ID_Antenne],_26_03_2026_Registre_Maintenance_v1[Latitude],"non trouvé")</f>
        <v>-5.1030600000000002</v>
      </c>
      <c r="H279">
        <f>_xlfn.XLOOKUP(_26_03_2026_Log_Reseau_v15[[#This Row],[Cell_ID]],_26_03_2026_Registre_Maintenance_v1[ID_Antenne],_26_03_2026_Registre_Maintenance_v1[Longitude],"pas trouvé")</f>
        <v>22.849231</v>
      </c>
      <c r="I279" t="str">
        <f>_xlfn.XLOOKUP(_26_03_2026_Log_Reseau_v15[[#This Row],[Cell_ID]],_26_03_2026_Registre_Maintenance_v1[ID_Antenne],_26_03_2026_Registre_Maintenance_v1[Technologie],"non trouvé")</f>
        <v>5G</v>
      </c>
      <c r="J279" t="str">
        <f>_xlfn.XLOOKUP(_26_03_2026_Log_Reseau_v15[[#This Row],[Cell_ID]],_26_03_2026_Registre_Maintenance_v1[ID_Antenne],_26_03_2026_Registre_Maintenance_v1[Equipementier],"pas trouvé")</f>
        <v>ZTE</v>
      </c>
      <c r="K279" t="str">
        <f>_xlfn.XLOOKUP(_26_03_2026_Log_Reseau_v15[[#This Row],[province RDC]],_26_03_2026_Client_Churn_v1[Province_Client],_26_03_2026_Client_Churn_v1[ID_Client],"non trouvé")</f>
        <v>CLI-00894</v>
      </c>
      <c r="L279">
        <f>_xlfn.XLOOKUP(_26_03_2026_Log_Reseau_v15[[#This Row],[province RDC]],_26_03_2026_Client_Churn_v1[Province_Client],_26_03_2026_Client_Churn_v1[Anciennete_Mois],"non trouvé")</f>
        <v>63</v>
      </c>
      <c r="M279" t="str">
        <f>_xlfn.XLOOKUP(_26_03_2026_Log_Reseau_v15[[#This Row],[province RDC]],_26_03_2026_Client_Churn_v1[Province_Client],_26_03_2026_Client_Churn_v1[Type_Forfait],"non trouvé")</f>
        <v>Pro Monde</v>
      </c>
      <c r="N279">
        <f>_xlfn.XLOOKUP(_26_03_2026_Log_Reseau_v15[[#This Row],[province RDC]],_26_03_2026_Client_Churn_v1[Province_Client],_26_03_2026_Client_Churn_v1[Duree_Cumulee_Panne_Min],"non trouvé")</f>
        <v>205</v>
      </c>
      <c r="O279">
        <f>_xlfn.XLOOKUP(_26_03_2026_Log_Reseau_v15[[#This Row],[province RDC]],_26_03_2026_Client_Churn_v1[Province_Client],_26_03_2026_Client_Churn_v1[Facture_Mensuelle],"non trouvé")</f>
        <v>89.19</v>
      </c>
      <c r="P279">
        <f>_xlfn.XLOOKUP(_26_03_2026_Log_Reseau_v15[[#This Row],[province RDC]],_26_03_2026_Client_Churn_v1[Province_Client],_26_03_2026_Client_Churn_v1[Plaintes_Service_Client],"non trouvé")</f>
        <v>0</v>
      </c>
    </row>
    <row r="280" spans="1:16" hidden="1" x14ac:dyDescent="0.25">
      <c r="A280" s="1">
        <v>45225</v>
      </c>
      <c r="B280" s="2">
        <v>0.85902777777777772</v>
      </c>
      <c r="C280" t="s">
        <v>982</v>
      </c>
      <c r="D280">
        <v>90</v>
      </c>
      <c r="E280" t="s">
        <v>808</v>
      </c>
      <c r="F280" t="str">
        <f>_xlfn.XLOOKUP(_26_03_2026_Log_Reseau_v15[[#This Row],[Cell_ID]],_26_03_2026_Registre_Maintenance_v1[ID_Antenne],_26_03_2026_Registre_Maintenance_v1[zone],"pas trouvé")</f>
        <v>pas trouvé</v>
      </c>
      <c r="G280" t="str">
        <f>_xlfn.XLOOKUP(_26_03_2026_Log_Reseau_v15[[#This Row],[Cell_ID]],_26_03_2026_Registre_Maintenance_v1[ID_Antenne],_26_03_2026_Registre_Maintenance_v1[Latitude],"non trouvé")</f>
        <v>non trouvé</v>
      </c>
      <c r="H280" t="str">
        <f>_xlfn.XLOOKUP(_26_03_2026_Log_Reseau_v15[[#This Row],[Cell_ID]],_26_03_2026_Registre_Maintenance_v1[ID_Antenne],_26_03_2026_Registre_Maintenance_v1[Longitude],"pas trouvé")</f>
        <v>pas trouvé</v>
      </c>
      <c r="I280" t="str">
        <f>_xlfn.XLOOKUP(_26_03_2026_Log_Reseau_v15[[#This Row],[Cell_ID]],_26_03_2026_Registre_Maintenance_v1[ID_Antenne],_26_03_2026_Registre_Maintenance_v1[Technologie],"non trouvé")</f>
        <v>non trouvé</v>
      </c>
      <c r="J280" t="str">
        <f>_xlfn.XLOOKUP(_26_03_2026_Log_Reseau_v15[[#This Row],[Cell_ID]],_26_03_2026_Registre_Maintenance_v1[ID_Antenne],_26_03_2026_Registre_Maintenance_v1[Equipementier],"pas trouvé")</f>
        <v>pas trouvé</v>
      </c>
      <c r="K280" t="str">
        <f>_xlfn.XLOOKUP(_26_03_2026_Log_Reseau_v15[[#This Row],[province RDC]],_26_03_2026_Client_Churn_v1[Province_Client],_26_03_2026_Client_Churn_v1[ID_Client],"non trouvé")</f>
        <v>non trouvé</v>
      </c>
      <c r="L280" t="str">
        <f>_xlfn.XLOOKUP(_26_03_2026_Log_Reseau_v15[[#This Row],[province RDC]],_26_03_2026_Client_Churn_v1[Province_Client],_26_03_2026_Client_Churn_v1[Anciennete_Mois],"non trouvé")</f>
        <v>non trouvé</v>
      </c>
      <c r="M280" t="str">
        <f>_xlfn.XLOOKUP(_26_03_2026_Log_Reseau_v15[[#This Row],[province RDC]],_26_03_2026_Client_Churn_v1[Province_Client],_26_03_2026_Client_Churn_v1[Type_Forfait],"non trouvé")</f>
        <v>non trouvé</v>
      </c>
      <c r="N280" t="str">
        <f>_xlfn.XLOOKUP(_26_03_2026_Log_Reseau_v15[[#This Row],[province RDC]],_26_03_2026_Client_Churn_v1[Province_Client],_26_03_2026_Client_Churn_v1[Duree_Cumulee_Panne_Min],"non trouvé")</f>
        <v>non trouvé</v>
      </c>
      <c r="O280" t="str">
        <f>_xlfn.XLOOKUP(_26_03_2026_Log_Reseau_v15[[#This Row],[province RDC]],_26_03_2026_Client_Churn_v1[Province_Client],_26_03_2026_Client_Churn_v1[Facture_Mensuelle],"non trouvé")</f>
        <v>non trouvé</v>
      </c>
      <c r="P280" t="str">
        <f>_xlfn.XLOOKUP(_26_03_2026_Log_Reseau_v15[[#This Row],[province RDC]],_26_03_2026_Client_Churn_v1[Province_Client],_26_03_2026_Client_Churn_v1[Plaintes_Service_Client],"non trouvé")</f>
        <v>non trouvé</v>
      </c>
    </row>
    <row r="281" spans="1:16" hidden="1" x14ac:dyDescent="0.25">
      <c r="A281" s="1">
        <v>45210</v>
      </c>
      <c r="B281" s="2">
        <v>0.89027777777777772</v>
      </c>
      <c r="C281" t="s">
        <v>982</v>
      </c>
      <c r="D281">
        <v>118</v>
      </c>
      <c r="E281" t="s">
        <v>807</v>
      </c>
      <c r="F281" t="str">
        <f>_xlfn.XLOOKUP(_26_03_2026_Log_Reseau_v15[[#This Row],[Cell_ID]],_26_03_2026_Registre_Maintenance_v1[ID_Antenne],_26_03_2026_Registre_Maintenance_v1[zone],"pas trouvé")</f>
        <v>pas trouvé</v>
      </c>
      <c r="G281" t="str">
        <f>_xlfn.XLOOKUP(_26_03_2026_Log_Reseau_v15[[#This Row],[Cell_ID]],_26_03_2026_Registre_Maintenance_v1[ID_Antenne],_26_03_2026_Registre_Maintenance_v1[Latitude],"non trouvé")</f>
        <v>non trouvé</v>
      </c>
      <c r="H281" t="str">
        <f>_xlfn.XLOOKUP(_26_03_2026_Log_Reseau_v15[[#This Row],[Cell_ID]],_26_03_2026_Registre_Maintenance_v1[ID_Antenne],_26_03_2026_Registre_Maintenance_v1[Longitude],"pas trouvé")</f>
        <v>pas trouvé</v>
      </c>
      <c r="I281" t="str">
        <f>_xlfn.XLOOKUP(_26_03_2026_Log_Reseau_v15[[#This Row],[Cell_ID]],_26_03_2026_Registre_Maintenance_v1[ID_Antenne],_26_03_2026_Registre_Maintenance_v1[Technologie],"non trouvé")</f>
        <v>non trouvé</v>
      </c>
      <c r="J281" t="str">
        <f>_xlfn.XLOOKUP(_26_03_2026_Log_Reseau_v15[[#This Row],[Cell_ID]],_26_03_2026_Registre_Maintenance_v1[ID_Antenne],_26_03_2026_Registre_Maintenance_v1[Equipementier],"pas trouvé")</f>
        <v>pas trouvé</v>
      </c>
      <c r="K281" t="str">
        <f>_xlfn.XLOOKUP(_26_03_2026_Log_Reseau_v15[[#This Row],[province RDC]],_26_03_2026_Client_Churn_v1[Province_Client],_26_03_2026_Client_Churn_v1[ID_Client],"non trouvé")</f>
        <v>non trouvé</v>
      </c>
      <c r="L281" t="str">
        <f>_xlfn.XLOOKUP(_26_03_2026_Log_Reseau_v15[[#This Row],[province RDC]],_26_03_2026_Client_Churn_v1[Province_Client],_26_03_2026_Client_Churn_v1[Anciennete_Mois],"non trouvé")</f>
        <v>non trouvé</v>
      </c>
      <c r="M281" t="str">
        <f>_xlfn.XLOOKUP(_26_03_2026_Log_Reseau_v15[[#This Row],[province RDC]],_26_03_2026_Client_Churn_v1[Province_Client],_26_03_2026_Client_Churn_v1[Type_Forfait],"non trouvé")</f>
        <v>non trouvé</v>
      </c>
      <c r="N281" t="str">
        <f>_xlfn.XLOOKUP(_26_03_2026_Log_Reseau_v15[[#This Row],[province RDC]],_26_03_2026_Client_Churn_v1[Province_Client],_26_03_2026_Client_Churn_v1[Duree_Cumulee_Panne_Min],"non trouvé")</f>
        <v>non trouvé</v>
      </c>
      <c r="O281" t="str">
        <f>_xlfn.XLOOKUP(_26_03_2026_Log_Reseau_v15[[#This Row],[province RDC]],_26_03_2026_Client_Churn_v1[Province_Client],_26_03_2026_Client_Churn_v1[Facture_Mensuelle],"non trouvé")</f>
        <v>non trouvé</v>
      </c>
      <c r="P281" t="str">
        <f>_xlfn.XLOOKUP(_26_03_2026_Log_Reseau_v15[[#This Row],[province RDC]],_26_03_2026_Client_Churn_v1[Province_Client],_26_03_2026_Client_Churn_v1[Plaintes_Service_Client],"non trouvé")</f>
        <v>non trouvé</v>
      </c>
    </row>
    <row r="282" spans="1:16" hidden="1" x14ac:dyDescent="0.25">
      <c r="A282" s="1">
        <v>45211</v>
      </c>
      <c r="B282" s="2">
        <v>0.38611111111111113</v>
      </c>
      <c r="C282" t="s">
        <v>982</v>
      </c>
      <c r="D282">
        <v>13</v>
      </c>
      <c r="E282" t="s">
        <v>808</v>
      </c>
      <c r="F282" t="str">
        <f>_xlfn.XLOOKUP(_26_03_2026_Log_Reseau_v15[[#This Row],[Cell_ID]],_26_03_2026_Registre_Maintenance_v1[ID_Antenne],_26_03_2026_Registre_Maintenance_v1[zone],"pas trouvé")</f>
        <v>pas trouvé</v>
      </c>
      <c r="G282" t="str">
        <f>_xlfn.XLOOKUP(_26_03_2026_Log_Reseau_v15[[#This Row],[Cell_ID]],_26_03_2026_Registre_Maintenance_v1[ID_Antenne],_26_03_2026_Registre_Maintenance_v1[Latitude],"non trouvé")</f>
        <v>non trouvé</v>
      </c>
      <c r="H282" t="str">
        <f>_xlfn.XLOOKUP(_26_03_2026_Log_Reseau_v15[[#This Row],[Cell_ID]],_26_03_2026_Registre_Maintenance_v1[ID_Antenne],_26_03_2026_Registre_Maintenance_v1[Longitude],"pas trouvé")</f>
        <v>pas trouvé</v>
      </c>
      <c r="I282" t="str">
        <f>_xlfn.XLOOKUP(_26_03_2026_Log_Reseau_v15[[#This Row],[Cell_ID]],_26_03_2026_Registre_Maintenance_v1[ID_Antenne],_26_03_2026_Registre_Maintenance_v1[Technologie],"non trouvé")</f>
        <v>non trouvé</v>
      </c>
      <c r="J282" t="str">
        <f>_xlfn.XLOOKUP(_26_03_2026_Log_Reseau_v15[[#This Row],[Cell_ID]],_26_03_2026_Registre_Maintenance_v1[ID_Antenne],_26_03_2026_Registre_Maintenance_v1[Equipementier],"pas trouvé")</f>
        <v>pas trouvé</v>
      </c>
      <c r="K282" t="str">
        <f>_xlfn.XLOOKUP(_26_03_2026_Log_Reseau_v15[[#This Row],[province RDC]],_26_03_2026_Client_Churn_v1[Province_Client],_26_03_2026_Client_Churn_v1[ID_Client],"non trouvé")</f>
        <v>non trouvé</v>
      </c>
      <c r="L282" t="str">
        <f>_xlfn.XLOOKUP(_26_03_2026_Log_Reseau_v15[[#This Row],[province RDC]],_26_03_2026_Client_Churn_v1[Province_Client],_26_03_2026_Client_Churn_v1[Anciennete_Mois],"non trouvé")</f>
        <v>non trouvé</v>
      </c>
      <c r="M282" t="str">
        <f>_xlfn.XLOOKUP(_26_03_2026_Log_Reseau_v15[[#This Row],[province RDC]],_26_03_2026_Client_Churn_v1[Province_Client],_26_03_2026_Client_Churn_v1[Type_Forfait],"non trouvé")</f>
        <v>non trouvé</v>
      </c>
      <c r="N282" t="str">
        <f>_xlfn.XLOOKUP(_26_03_2026_Log_Reseau_v15[[#This Row],[province RDC]],_26_03_2026_Client_Churn_v1[Province_Client],_26_03_2026_Client_Churn_v1[Duree_Cumulee_Panne_Min],"non trouvé")</f>
        <v>non trouvé</v>
      </c>
      <c r="O282" t="str">
        <f>_xlfn.XLOOKUP(_26_03_2026_Log_Reseau_v15[[#This Row],[province RDC]],_26_03_2026_Client_Churn_v1[Province_Client],_26_03_2026_Client_Churn_v1[Facture_Mensuelle],"non trouvé")</f>
        <v>non trouvé</v>
      </c>
      <c r="P282" t="str">
        <f>_xlfn.XLOOKUP(_26_03_2026_Log_Reseau_v15[[#This Row],[province RDC]],_26_03_2026_Client_Churn_v1[Province_Client],_26_03_2026_Client_Churn_v1[Plaintes_Service_Client],"non trouvé")</f>
        <v>non trouvé</v>
      </c>
    </row>
    <row r="283" spans="1:16" hidden="1" x14ac:dyDescent="0.25">
      <c r="A283" s="1">
        <v>45205</v>
      </c>
      <c r="B283" s="2">
        <v>0.96875</v>
      </c>
      <c r="C283" t="s">
        <v>983</v>
      </c>
      <c r="D283">
        <v>84</v>
      </c>
      <c r="E283" t="s">
        <v>808</v>
      </c>
      <c r="F283" t="str">
        <f>_xlfn.XLOOKUP(_26_03_2026_Log_Reseau_v15[[#This Row],[Cell_ID]],_26_03_2026_Registre_Maintenance_v1[ID_Antenne],_26_03_2026_Registre_Maintenance_v1[zone],"pas trouvé")</f>
        <v>pas trouvé</v>
      </c>
      <c r="G283" t="str">
        <f>_xlfn.XLOOKUP(_26_03_2026_Log_Reseau_v15[[#This Row],[Cell_ID]],_26_03_2026_Registre_Maintenance_v1[ID_Antenne],_26_03_2026_Registre_Maintenance_v1[Latitude],"non trouvé")</f>
        <v>non trouvé</v>
      </c>
      <c r="H283" t="str">
        <f>_xlfn.XLOOKUP(_26_03_2026_Log_Reseau_v15[[#This Row],[Cell_ID]],_26_03_2026_Registre_Maintenance_v1[ID_Antenne],_26_03_2026_Registre_Maintenance_v1[Longitude],"pas trouvé")</f>
        <v>pas trouvé</v>
      </c>
      <c r="I283" t="str">
        <f>_xlfn.XLOOKUP(_26_03_2026_Log_Reseau_v15[[#This Row],[Cell_ID]],_26_03_2026_Registre_Maintenance_v1[ID_Antenne],_26_03_2026_Registre_Maintenance_v1[Technologie],"non trouvé")</f>
        <v>non trouvé</v>
      </c>
      <c r="J283" t="str">
        <f>_xlfn.XLOOKUP(_26_03_2026_Log_Reseau_v15[[#This Row],[Cell_ID]],_26_03_2026_Registre_Maintenance_v1[ID_Antenne],_26_03_2026_Registre_Maintenance_v1[Equipementier],"pas trouvé")</f>
        <v>pas trouvé</v>
      </c>
      <c r="K283" t="str">
        <f>_xlfn.XLOOKUP(_26_03_2026_Log_Reseau_v15[[#This Row],[province RDC]],_26_03_2026_Client_Churn_v1[Province_Client],_26_03_2026_Client_Churn_v1[ID_Client],"non trouvé")</f>
        <v>non trouvé</v>
      </c>
      <c r="L283" t="str">
        <f>_xlfn.XLOOKUP(_26_03_2026_Log_Reseau_v15[[#This Row],[province RDC]],_26_03_2026_Client_Churn_v1[Province_Client],_26_03_2026_Client_Churn_v1[Anciennete_Mois],"non trouvé")</f>
        <v>non trouvé</v>
      </c>
      <c r="M283" t="str">
        <f>_xlfn.XLOOKUP(_26_03_2026_Log_Reseau_v15[[#This Row],[province RDC]],_26_03_2026_Client_Churn_v1[Province_Client],_26_03_2026_Client_Churn_v1[Type_Forfait],"non trouvé")</f>
        <v>non trouvé</v>
      </c>
      <c r="N283" t="str">
        <f>_xlfn.XLOOKUP(_26_03_2026_Log_Reseau_v15[[#This Row],[province RDC]],_26_03_2026_Client_Churn_v1[Province_Client],_26_03_2026_Client_Churn_v1[Duree_Cumulee_Panne_Min],"non trouvé")</f>
        <v>non trouvé</v>
      </c>
      <c r="O283" t="str">
        <f>_xlfn.XLOOKUP(_26_03_2026_Log_Reseau_v15[[#This Row],[province RDC]],_26_03_2026_Client_Churn_v1[Province_Client],_26_03_2026_Client_Churn_v1[Facture_Mensuelle],"non trouvé")</f>
        <v>non trouvé</v>
      </c>
      <c r="P283" t="str">
        <f>_xlfn.XLOOKUP(_26_03_2026_Log_Reseau_v15[[#This Row],[province RDC]],_26_03_2026_Client_Churn_v1[Province_Client],_26_03_2026_Client_Churn_v1[Plaintes_Service_Client],"non trouvé")</f>
        <v>non trouvé</v>
      </c>
    </row>
    <row r="284" spans="1:16" x14ac:dyDescent="0.25">
      <c r="A284" s="1">
        <v>45226</v>
      </c>
      <c r="B284" s="2">
        <v>0.22500000000000001</v>
      </c>
      <c r="C284" t="s">
        <v>984</v>
      </c>
      <c r="D284">
        <v>11</v>
      </c>
      <c r="E284" t="s">
        <v>808</v>
      </c>
      <c r="F284" t="str">
        <f>_xlfn.XLOOKUP(_26_03_2026_Log_Reseau_v15[[#This Row],[Cell_ID]],_26_03_2026_Registre_Maintenance_v1[ID_Antenne],_26_03_2026_Registre_Maintenance_v1[zone],"pas trouvé")</f>
        <v>Sankuru</v>
      </c>
      <c r="G284">
        <f>_xlfn.XLOOKUP(_26_03_2026_Log_Reseau_v15[[#This Row],[Cell_ID]],_26_03_2026_Registre_Maintenance_v1[ID_Antenne],_26_03_2026_Registre_Maintenance_v1[Latitude],"non trouvé")</f>
        <v>-0.157111</v>
      </c>
      <c r="H284">
        <f>_xlfn.XLOOKUP(_26_03_2026_Log_Reseau_v15[[#This Row],[Cell_ID]],_26_03_2026_Registre_Maintenance_v1[ID_Antenne],_26_03_2026_Registre_Maintenance_v1[Longitude],"pas trouvé")</f>
        <v>25.415125</v>
      </c>
      <c r="I284" t="str">
        <f>_xlfn.XLOOKUP(_26_03_2026_Log_Reseau_v15[[#This Row],[Cell_ID]],_26_03_2026_Registre_Maintenance_v1[ID_Antenne],_26_03_2026_Registre_Maintenance_v1[Technologie],"non trouvé")</f>
        <v>4G</v>
      </c>
      <c r="J284" t="str">
        <f>_xlfn.XLOOKUP(_26_03_2026_Log_Reseau_v15[[#This Row],[Cell_ID]],_26_03_2026_Registre_Maintenance_v1[ID_Antenne],_26_03_2026_Registre_Maintenance_v1[Equipementier],"pas trouvé")</f>
        <v>Ericsson</v>
      </c>
      <c r="K284" t="str">
        <f>_xlfn.XLOOKUP(_26_03_2026_Log_Reseau_v15[[#This Row],[province RDC]],_26_03_2026_Client_Churn_v1[Province_Client],_26_03_2026_Client_Churn_v1[ID_Client],"non trouvé")</f>
        <v>CLI-00530</v>
      </c>
      <c r="L284">
        <f>_xlfn.XLOOKUP(_26_03_2026_Log_Reseau_v15[[#This Row],[province RDC]],_26_03_2026_Client_Churn_v1[Province_Client],_26_03_2026_Client_Churn_v1[Anciennete_Mois],"non trouvé")</f>
        <v>35</v>
      </c>
      <c r="M284" t="str">
        <f>_xlfn.XLOOKUP(_26_03_2026_Log_Reseau_v15[[#This Row],[province RDC]],_26_03_2026_Client_Churn_v1[Province_Client],_26_03_2026_Client_Churn_v1[Type_Forfait],"non trouvé")</f>
        <v>Pro Monde</v>
      </c>
      <c r="N284">
        <f>_xlfn.XLOOKUP(_26_03_2026_Log_Reseau_v15[[#This Row],[province RDC]],_26_03_2026_Client_Churn_v1[Province_Client],_26_03_2026_Client_Churn_v1[Duree_Cumulee_Panne_Min],"non trouvé")</f>
        <v>465</v>
      </c>
      <c r="O284">
        <f>_xlfn.XLOOKUP(_26_03_2026_Log_Reseau_v15[[#This Row],[province RDC]],_26_03_2026_Client_Churn_v1[Province_Client],_26_03_2026_Client_Churn_v1[Facture_Mensuelle],"non trouvé")</f>
        <v>58.59</v>
      </c>
      <c r="P284">
        <f>_xlfn.XLOOKUP(_26_03_2026_Log_Reseau_v15[[#This Row],[province RDC]],_26_03_2026_Client_Churn_v1[Province_Client],_26_03_2026_Client_Churn_v1[Plaintes_Service_Client],"non trouvé")</f>
        <v>5</v>
      </c>
    </row>
    <row r="285" spans="1:16" x14ac:dyDescent="0.25">
      <c r="A285" s="1">
        <v>45230</v>
      </c>
      <c r="B285" s="2">
        <v>0.64166666666666672</v>
      </c>
      <c r="C285" t="s">
        <v>985</v>
      </c>
      <c r="D285">
        <v>106</v>
      </c>
      <c r="E285" t="s">
        <v>807</v>
      </c>
      <c r="F285" t="str">
        <f>_xlfn.XLOOKUP(_26_03_2026_Log_Reseau_v15[[#This Row],[Cell_ID]],_26_03_2026_Registre_Maintenance_v1[ID_Antenne],_26_03_2026_Registre_Maintenance_v1[zone],"pas trouvé")</f>
        <v>Nord-Ubangi</v>
      </c>
      <c r="G285">
        <f>_xlfn.XLOOKUP(_26_03_2026_Log_Reseau_v15[[#This Row],[Cell_ID]],_26_03_2026_Registre_Maintenance_v1[ID_Antenne],_26_03_2026_Registre_Maintenance_v1[Latitude],"non trouvé")</f>
        <v>-6.8149179999999996</v>
      </c>
      <c r="H285">
        <f>_xlfn.XLOOKUP(_26_03_2026_Log_Reseau_v15[[#This Row],[Cell_ID]],_26_03_2026_Registre_Maintenance_v1[ID_Antenne],_26_03_2026_Registre_Maintenance_v1[Longitude],"pas trouvé")</f>
        <v>23.258102000000001</v>
      </c>
      <c r="I285" t="str">
        <f>_xlfn.XLOOKUP(_26_03_2026_Log_Reseau_v15[[#This Row],[Cell_ID]],_26_03_2026_Registre_Maintenance_v1[ID_Antenne],_26_03_2026_Registre_Maintenance_v1[Technologie],"non trouvé")</f>
        <v>5G</v>
      </c>
      <c r="J285" t="str">
        <f>_xlfn.XLOOKUP(_26_03_2026_Log_Reseau_v15[[#This Row],[Cell_ID]],_26_03_2026_Registre_Maintenance_v1[ID_Antenne],_26_03_2026_Registre_Maintenance_v1[Equipementier],"pas trouvé")</f>
        <v>Huawei</v>
      </c>
      <c r="K285" t="str">
        <f>_xlfn.XLOOKUP(_26_03_2026_Log_Reseau_v15[[#This Row],[province RDC]],_26_03_2026_Client_Churn_v1[Province_Client],_26_03_2026_Client_Churn_v1[ID_Client],"non trouvé")</f>
        <v>CLI-01170</v>
      </c>
      <c r="L285">
        <f>_xlfn.XLOOKUP(_26_03_2026_Log_Reseau_v15[[#This Row],[province RDC]],_26_03_2026_Client_Churn_v1[Province_Client],_26_03_2026_Client_Churn_v1[Anciennete_Mois],"non trouvé")</f>
        <v>98</v>
      </c>
      <c r="M285" t="str">
        <f>_xlfn.XLOOKUP(_26_03_2026_Log_Reseau_v15[[#This Row],[province RDC]],_26_03_2026_Client_Churn_v1[Province_Client],_26_03_2026_Client_Churn_v1[Type_Forfait],"non trouvé")</f>
        <v>Pro Monde</v>
      </c>
      <c r="N285">
        <f>_xlfn.XLOOKUP(_26_03_2026_Log_Reseau_v15[[#This Row],[province RDC]],_26_03_2026_Client_Churn_v1[Province_Client],_26_03_2026_Client_Churn_v1[Duree_Cumulee_Panne_Min],"non trouvé")</f>
        <v>482</v>
      </c>
      <c r="O285">
        <f>_xlfn.XLOOKUP(_26_03_2026_Log_Reseau_v15[[#This Row],[province RDC]],_26_03_2026_Client_Churn_v1[Province_Client],_26_03_2026_Client_Churn_v1[Facture_Mensuelle],"non trouvé")</f>
        <v>55.04</v>
      </c>
      <c r="P285">
        <f>_xlfn.XLOOKUP(_26_03_2026_Log_Reseau_v15[[#This Row],[province RDC]],_26_03_2026_Client_Churn_v1[Province_Client],_26_03_2026_Client_Churn_v1[Plaintes_Service_Client],"non trouvé")</f>
        <v>5</v>
      </c>
    </row>
    <row r="286" spans="1:16" hidden="1" x14ac:dyDescent="0.25">
      <c r="A286" s="1">
        <v>45229</v>
      </c>
      <c r="B286" s="2">
        <v>0.75624999999999998</v>
      </c>
      <c r="C286" t="s">
        <v>986</v>
      </c>
      <c r="D286">
        <v>82</v>
      </c>
      <c r="E286" t="s">
        <v>812</v>
      </c>
      <c r="F286" t="str">
        <f>_xlfn.XLOOKUP(_26_03_2026_Log_Reseau_v15[[#This Row],[Cell_ID]],_26_03_2026_Registre_Maintenance_v1[ID_Antenne],_26_03_2026_Registre_Maintenance_v1[zone],"pas trouvé")</f>
        <v>pas trouvé</v>
      </c>
      <c r="G286" t="str">
        <f>_xlfn.XLOOKUP(_26_03_2026_Log_Reseau_v15[[#This Row],[Cell_ID]],_26_03_2026_Registre_Maintenance_v1[ID_Antenne],_26_03_2026_Registre_Maintenance_v1[Latitude],"non trouvé")</f>
        <v>non trouvé</v>
      </c>
      <c r="H286" t="str">
        <f>_xlfn.XLOOKUP(_26_03_2026_Log_Reseau_v15[[#This Row],[Cell_ID]],_26_03_2026_Registre_Maintenance_v1[ID_Antenne],_26_03_2026_Registre_Maintenance_v1[Longitude],"pas trouvé")</f>
        <v>pas trouvé</v>
      </c>
      <c r="I286" t="str">
        <f>_xlfn.XLOOKUP(_26_03_2026_Log_Reseau_v15[[#This Row],[Cell_ID]],_26_03_2026_Registre_Maintenance_v1[ID_Antenne],_26_03_2026_Registre_Maintenance_v1[Technologie],"non trouvé")</f>
        <v>non trouvé</v>
      </c>
      <c r="J286" t="str">
        <f>_xlfn.XLOOKUP(_26_03_2026_Log_Reseau_v15[[#This Row],[Cell_ID]],_26_03_2026_Registre_Maintenance_v1[ID_Antenne],_26_03_2026_Registre_Maintenance_v1[Equipementier],"pas trouvé")</f>
        <v>pas trouvé</v>
      </c>
      <c r="K286" t="str">
        <f>_xlfn.XLOOKUP(_26_03_2026_Log_Reseau_v15[[#This Row],[province RDC]],_26_03_2026_Client_Churn_v1[Province_Client],_26_03_2026_Client_Churn_v1[ID_Client],"non trouvé")</f>
        <v>non trouvé</v>
      </c>
      <c r="L286" t="str">
        <f>_xlfn.XLOOKUP(_26_03_2026_Log_Reseau_v15[[#This Row],[province RDC]],_26_03_2026_Client_Churn_v1[Province_Client],_26_03_2026_Client_Churn_v1[Anciennete_Mois],"non trouvé")</f>
        <v>non trouvé</v>
      </c>
      <c r="M286" t="str">
        <f>_xlfn.XLOOKUP(_26_03_2026_Log_Reseau_v15[[#This Row],[province RDC]],_26_03_2026_Client_Churn_v1[Province_Client],_26_03_2026_Client_Churn_v1[Type_Forfait],"non trouvé")</f>
        <v>non trouvé</v>
      </c>
      <c r="N286" t="str">
        <f>_xlfn.XLOOKUP(_26_03_2026_Log_Reseau_v15[[#This Row],[province RDC]],_26_03_2026_Client_Churn_v1[Province_Client],_26_03_2026_Client_Churn_v1[Duree_Cumulee_Panne_Min],"non trouvé")</f>
        <v>non trouvé</v>
      </c>
      <c r="O286" t="str">
        <f>_xlfn.XLOOKUP(_26_03_2026_Log_Reseau_v15[[#This Row],[province RDC]],_26_03_2026_Client_Churn_v1[Province_Client],_26_03_2026_Client_Churn_v1[Facture_Mensuelle],"non trouvé")</f>
        <v>non trouvé</v>
      </c>
      <c r="P286" t="str">
        <f>_xlfn.XLOOKUP(_26_03_2026_Log_Reseau_v15[[#This Row],[province RDC]],_26_03_2026_Client_Churn_v1[Province_Client],_26_03_2026_Client_Churn_v1[Plaintes_Service_Client],"non trouvé")</f>
        <v>non trouvé</v>
      </c>
    </row>
    <row r="287" spans="1:16" x14ac:dyDescent="0.25">
      <c r="A287" s="1">
        <v>45227</v>
      </c>
      <c r="B287" s="2">
        <v>0.92291666666666672</v>
      </c>
      <c r="C287" t="s">
        <v>987</v>
      </c>
      <c r="D287">
        <v>26</v>
      </c>
      <c r="E287" t="s">
        <v>812</v>
      </c>
      <c r="F287" t="str">
        <f>_xlfn.XLOOKUP(_26_03_2026_Log_Reseau_v15[[#This Row],[Cell_ID]],_26_03_2026_Registre_Maintenance_v1[ID_Antenne],_26_03_2026_Registre_Maintenance_v1[zone],"pas trouvé")</f>
        <v>Nord-Kivu</v>
      </c>
      <c r="G287">
        <f>_xlfn.XLOOKUP(_26_03_2026_Log_Reseau_v15[[#This Row],[Cell_ID]],_26_03_2026_Registre_Maintenance_v1[ID_Antenne],_26_03_2026_Registre_Maintenance_v1[Latitude],"non trouvé")</f>
        <v>-10.25074</v>
      </c>
      <c r="H287">
        <f>_xlfn.XLOOKUP(_26_03_2026_Log_Reseau_v15[[#This Row],[Cell_ID]],_26_03_2026_Registre_Maintenance_v1[ID_Antenne],_26_03_2026_Registre_Maintenance_v1[Longitude],"pas trouvé")</f>
        <v>26.099086</v>
      </c>
      <c r="I287" t="str">
        <f>_xlfn.XLOOKUP(_26_03_2026_Log_Reseau_v15[[#This Row],[Cell_ID]],_26_03_2026_Registre_Maintenance_v1[ID_Antenne],_26_03_2026_Registre_Maintenance_v1[Technologie],"non trouvé")</f>
        <v>4G</v>
      </c>
      <c r="J287" t="str">
        <f>_xlfn.XLOOKUP(_26_03_2026_Log_Reseau_v15[[#This Row],[Cell_ID]],_26_03_2026_Registre_Maintenance_v1[ID_Antenne],_26_03_2026_Registre_Maintenance_v1[Equipementier],"pas trouvé")</f>
        <v>Huawei</v>
      </c>
      <c r="K287" t="str">
        <f>_xlfn.XLOOKUP(_26_03_2026_Log_Reseau_v15[[#This Row],[province RDC]],_26_03_2026_Client_Churn_v1[Province_Client],_26_03_2026_Client_Churn_v1[ID_Client],"non trouvé")</f>
        <v>CLI-00837</v>
      </c>
      <c r="L287">
        <f>_xlfn.XLOOKUP(_26_03_2026_Log_Reseau_v15[[#This Row],[province RDC]],_26_03_2026_Client_Churn_v1[Province_Client],_26_03_2026_Client_Churn_v1[Anciennete_Mois],"non trouvé")</f>
        <v>16</v>
      </c>
      <c r="M287" t="str">
        <f>_xlfn.XLOOKUP(_26_03_2026_Log_Reseau_v15[[#This Row],[province RDC]],_26_03_2026_Client_Churn_v1[Province_Client],_26_03_2026_Client_Churn_v1[Type_Forfait],"non trouvé")</f>
        <v>Bloqué 5Go</v>
      </c>
      <c r="N287">
        <f>_xlfn.XLOOKUP(_26_03_2026_Log_Reseau_v15[[#This Row],[province RDC]],_26_03_2026_Client_Churn_v1[Province_Client],_26_03_2026_Client_Churn_v1[Duree_Cumulee_Panne_Min],"non trouvé")</f>
        <v>390</v>
      </c>
      <c r="O287">
        <f>_xlfn.XLOOKUP(_26_03_2026_Log_Reseau_v15[[#This Row],[province RDC]],_26_03_2026_Client_Churn_v1[Province_Client],_26_03_2026_Client_Churn_v1[Facture_Mensuelle],"non trouvé")</f>
        <v>98.17</v>
      </c>
      <c r="P287">
        <f>_xlfn.XLOOKUP(_26_03_2026_Log_Reseau_v15[[#This Row],[province RDC]],_26_03_2026_Client_Churn_v1[Province_Client],_26_03_2026_Client_Churn_v1[Plaintes_Service_Client],"non trouvé")</f>
        <v>5</v>
      </c>
    </row>
    <row r="288" spans="1:16" x14ac:dyDescent="0.25">
      <c r="A288" s="1">
        <v>45213</v>
      </c>
      <c r="B288" s="2">
        <v>0.23749999999999999</v>
      </c>
      <c r="C288" t="s">
        <v>987</v>
      </c>
      <c r="D288">
        <v>68</v>
      </c>
      <c r="E288" t="s">
        <v>812</v>
      </c>
      <c r="F288" t="str">
        <f>_xlfn.XLOOKUP(_26_03_2026_Log_Reseau_v15[[#This Row],[Cell_ID]],_26_03_2026_Registre_Maintenance_v1[ID_Antenne],_26_03_2026_Registre_Maintenance_v1[zone],"pas trouvé")</f>
        <v>Nord-Kivu</v>
      </c>
      <c r="G288">
        <f>_xlfn.XLOOKUP(_26_03_2026_Log_Reseau_v15[[#This Row],[Cell_ID]],_26_03_2026_Registre_Maintenance_v1[ID_Antenne],_26_03_2026_Registre_Maintenance_v1[Latitude],"non trouvé")</f>
        <v>-10.25074</v>
      </c>
      <c r="H288">
        <f>_xlfn.XLOOKUP(_26_03_2026_Log_Reseau_v15[[#This Row],[Cell_ID]],_26_03_2026_Registre_Maintenance_v1[ID_Antenne],_26_03_2026_Registre_Maintenance_v1[Longitude],"pas trouvé")</f>
        <v>26.099086</v>
      </c>
      <c r="I288" t="str">
        <f>_xlfn.XLOOKUP(_26_03_2026_Log_Reseau_v15[[#This Row],[Cell_ID]],_26_03_2026_Registre_Maintenance_v1[ID_Antenne],_26_03_2026_Registre_Maintenance_v1[Technologie],"non trouvé")</f>
        <v>4G</v>
      </c>
      <c r="J288" t="str">
        <f>_xlfn.XLOOKUP(_26_03_2026_Log_Reseau_v15[[#This Row],[Cell_ID]],_26_03_2026_Registre_Maintenance_v1[ID_Antenne],_26_03_2026_Registre_Maintenance_v1[Equipementier],"pas trouvé")</f>
        <v>Huawei</v>
      </c>
      <c r="K288" t="str">
        <f>_xlfn.XLOOKUP(_26_03_2026_Log_Reseau_v15[[#This Row],[province RDC]],_26_03_2026_Client_Churn_v1[Province_Client],_26_03_2026_Client_Churn_v1[ID_Client],"non trouvé")</f>
        <v>CLI-00837</v>
      </c>
      <c r="L288">
        <f>_xlfn.XLOOKUP(_26_03_2026_Log_Reseau_v15[[#This Row],[province RDC]],_26_03_2026_Client_Churn_v1[Province_Client],_26_03_2026_Client_Churn_v1[Anciennete_Mois],"non trouvé")</f>
        <v>16</v>
      </c>
      <c r="M288" t="str">
        <f>_xlfn.XLOOKUP(_26_03_2026_Log_Reseau_v15[[#This Row],[province RDC]],_26_03_2026_Client_Churn_v1[Province_Client],_26_03_2026_Client_Churn_v1[Type_Forfait],"non trouvé")</f>
        <v>Bloqué 5Go</v>
      </c>
      <c r="N288">
        <f>_xlfn.XLOOKUP(_26_03_2026_Log_Reseau_v15[[#This Row],[province RDC]],_26_03_2026_Client_Churn_v1[Province_Client],_26_03_2026_Client_Churn_v1[Duree_Cumulee_Panne_Min],"non trouvé")</f>
        <v>390</v>
      </c>
      <c r="O288">
        <f>_xlfn.XLOOKUP(_26_03_2026_Log_Reseau_v15[[#This Row],[province RDC]],_26_03_2026_Client_Churn_v1[Province_Client],_26_03_2026_Client_Churn_v1[Facture_Mensuelle],"non trouvé")</f>
        <v>98.17</v>
      </c>
      <c r="P288">
        <f>_xlfn.XLOOKUP(_26_03_2026_Log_Reseau_v15[[#This Row],[province RDC]],_26_03_2026_Client_Churn_v1[Province_Client],_26_03_2026_Client_Churn_v1[Plaintes_Service_Client],"non trouvé")</f>
        <v>5</v>
      </c>
    </row>
    <row r="289" spans="1:16" x14ac:dyDescent="0.25">
      <c r="A289" s="1">
        <v>45207</v>
      </c>
      <c r="B289" s="2">
        <v>0.59930555555555554</v>
      </c>
      <c r="C289" t="s">
        <v>987</v>
      </c>
      <c r="D289">
        <v>59</v>
      </c>
      <c r="E289" t="s">
        <v>807</v>
      </c>
      <c r="F289" t="str">
        <f>_xlfn.XLOOKUP(_26_03_2026_Log_Reseau_v15[[#This Row],[Cell_ID]],_26_03_2026_Registre_Maintenance_v1[ID_Antenne],_26_03_2026_Registre_Maintenance_v1[zone],"pas trouvé")</f>
        <v>Nord-Kivu</v>
      </c>
      <c r="G289">
        <f>_xlfn.XLOOKUP(_26_03_2026_Log_Reseau_v15[[#This Row],[Cell_ID]],_26_03_2026_Registre_Maintenance_v1[ID_Antenne],_26_03_2026_Registre_Maintenance_v1[Latitude],"non trouvé")</f>
        <v>-10.25074</v>
      </c>
      <c r="H289">
        <f>_xlfn.XLOOKUP(_26_03_2026_Log_Reseau_v15[[#This Row],[Cell_ID]],_26_03_2026_Registre_Maintenance_v1[ID_Antenne],_26_03_2026_Registre_Maintenance_v1[Longitude],"pas trouvé")</f>
        <v>26.099086</v>
      </c>
      <c r="I289" t="str">
        <f>_xlfn.XLOOKUP(_26_03_2026_Log_Reseau_v15[[#This Row],[Cell_ID]],_26_03_2026_Registre_Maintenance_v1[ID_Antenne],_26_03_2026_Registre_Maintenance_v1[Technologie],"non trouvé")</f>
        <v>4G</v>
      </c>
      <c r="J289" t="str">
        <f>_xlfn.XLOOKUP(_26_03_2026_Log_Reseau_v15[[#This Row],[Cell_ID]],_26_03_2026_Registre_Maintenance_v1[ID_Antenne],_26_03_2026_Registre_Maintenance_v1[Equipementier],"pas trouvé")</f>
        <v>Huawei</v>
      </c>
      <c r="K289" t="str">
        <f>_xlfn.XLOOKUP(_26_03_2026_Log_Reseau_v15[[#This Row],[province RDC]],_26_03_2026_Client_Churn_v1[Province_Client],_26_03_2026_Client_Churn_v1[ID_Client],"non trouvé")</f>
        <v>CLI-00837</v>
      </c>
      <c r="L289">
        <f>_xlfn.XLOOKUP(_26_03_2026_Log_Reseau_v15[[#This Row],[province RDC]],_26_03_2026_Client_Churn_v1[Province_Client],_26_03_2026_Client_Churn_v1[Anciennete_Mois],"non trouvé")</f>
        <v>16</v>
      </c>
      <c r="M289" t="str">
        <f>_xlfn.XLOOKUP(_26_03_2026_Log_Reseau_v15[[#This Row],[province RDC]],_26_03_2026_Client_Churn_v1[Province_Client],_26_03_2026_Client_Churn_v1[Type_Forfait],"non trouvé")</f>
        <v>Bloqué 5Go</v>
      </c>
      <c r="N289">
        <f>_xlfn.XLOOKUP(_26_03_2026_Log_Reseau_v15[[#This Row],[province RDC]],_26_03_2026_Client_Churn_v1[Province_Client],_26_03_2026_Client_Churn_v1[Duree_Cumulee_Panne_Min],"non trouvé")</f>
        <v>390</v>
      </c>
      <c r="O289">
        <f>_xlfn.XLOOKUP(_26_03_2026_Log_Reseau_v15[[#This Row],[province RDC]],_26_03_2026_Client_Churn_v1[Province_Client],_26_03_2026_Client_Churn_v1[Facture_Mensuelle],"non trouvé")</f>
        <v>98.17</v>
      </c>
      <c r="P289">
        <f>_xlfn.XLOOKUP(_26_03_2026_Log_Reseau_v15[[#This Row],[province RDC]],_26_03_2026_Client_Churn_v1[Province_Client],_26_03_2026_Client_Churn_v1[Plaintes_Service_Client],"non trouvé")</f>
        <v>5</v>
      </c>
    </row>
    <row r="290" spans="1:16" x14ac:dyDescent="0.25">
      <c r="A290" s="1">
        <v>45201</v>
      </c>
      <c r="B290" s="2">
        <v>0.51180555555555551</v>
      </c>
      <c r="C290" t="s">
        <v>987</v>
      </c>
      <c r="D290">
        <v>62</v>
      </c>
      <c r="E290" t="s">
        <v>808</v>
      </c>
      <c r="F290" t="str">
        <f>_xlfn.XLOOKUP(_26_03_2026_Log_Reseau_v15[[#This Row],[Cell_ID]],_26_03_2026_Registre_Maintenance_v1[ID_Antenne],_26_03_2026_Registre_Maintenance_v1[zone],"pas trouvé")</f>
        <v>Nord-Kivu</v>
      </c>
      <c r="G290">
        <f>_xlfn.XLOOKUP(_26_03_2026_Log_Reseau_v15[[#This Row],[Cell_ID]],_26_03_2026_Registre_Maintenance_v1[ID_Antenne],_26_03_2026_Registre_Maintenance_v1[Latitude],"non trouvé")</f>
        <v>-10.25074</v>
      </c>
      <c r="H290">
        <f>_xlfn.XLOOKUP(_26_03_2026_Log_Reseau_v15[[#This Row],[Cell_ID]],_26_03_2026_Registre_Maintenance_v1[ID_Antenne],_26_03_2026_Registre_Maintenance_v1[Longitude],"pas trouvé")</f>
        <v>26.099086</v>
      </c>
      <c r="I290" t="str">
        <f>_xlfn.XLOOKUP(_26_03_2026_Log_Reseau_v15[[#This Row],[Cell_ID]],_26_03_2026_Registre_Maintenance_v1[ID_Antenne],_26_03_2026_Registre_Maintenance_v1[Technologie],"non trouvé")</f>
        <v>4G</v>
      </c>
      <c r="J290" t="str">
        <f>_xlfn.XLOOKUP(_26_03_2026_Log_Reseau_v15[[#This Row],[Cell_ID]],_26_03_2026_Registre_Maintenance_v1[ID_Antenne],_26_03_2026_Registre_Maintenance_v1[Equipementier],"pas trouvé")</f>
        <v>Huawei</v>
      </c>
      <c r="K290" t="str">
        <f>_xlfn.XLOOKUP(_26_03_2026_Log_Reseau_v15[[#This Row],[province RDC]],_26_03_2026_Client_Churn_v1[Province_Client],_26_03_2026_Client_Churn_v1[ID_Client],"non trouvé")</f>
        <v>CLI-00837</v>
      </c>
      <c r="L290">
        <f>_xlfn.XLOOKUP(_26_03_2026_Log_Reseau_v15[[#This Row],[province RDC]],_26_03_2026_Client_Churn_v1[Province_Client],_26_03_2026_Client_Churn_v1[Anciennete_Mois],"non trouvé")</f>
        <v>16</v>
      </c>
      <c r="M290" t="str">
        <f>_xlfn.XLOOKUP(_26_03_2026_Log_Reseau_v15[[#This Row],[province RDC]],_26_03_2026_Client_Churn_v1[Province_Client],_26_03_2026_Client_Churn_v1[Type_Forfait],"non trouvé")</f>
        <v>Bloqué 5Go</v>
      </c>
      <c r="N290">
        <f>_xlfn.XLOOKUP(_26_03_2026_Log_Reseau_v15[[#This Row],[province RDC]],_26_03_2026_Client_Churn_v1[Province_Client],_26_03_2026_Client_Churn_v1[Duree_Cumulee_Panne_Min],"non trouvé")</f>
        <v>390</v>
      </c>
      <c r="O290">
        <f>_xlfn.XLOOKUP(_26_03_2026_Log_Reseau_v15[[#This Row],[province RDC]],_26_03_2026_Client_Churn_v1[Province_Client],_26_03_2026_Client_Churn_v1[Facture_Mensuelle],"non trouvé")</f>
        <v>98.17</v>
      </c>
      <c r="P290">
        <f>_xlfn.XLOOKUP(_26_03_2026_Log_Reseau_v15[[#This Row],[province RDC]],_26_03_2026_Client_Churn_v1[Province_Client],_26_03_2026_Client_Churn_v1[Plaintes_Service_Client],"non trouvé")</f>
        <v>5</v>
      </c>
    </row>
    <row r="291" spans="1:16" x14ac:dyDescent="0.25">
      <c r="A291" s="1">
        <v>45226</v>
      </c>
      <c r="B291" s="2">
        <v>0.3215277777777778</v>
      </c>
      <c r="C291" t="s">
        <v>987</v>
      </c>
      <c r="D291">
        <v>22</v>
      </c>
      <c r="E291" t="s">
        <v>812</v>
      </c>
      <c r="F291" t="str">
        <f>_xlfn.XLOOKUP(_26_03_2026_Log_Reseau_v15[[#This Row],[Cell_ID]],_26_03_2026_Registre_Maintenance_v1[ID_Antenne],_26_03_2026_Registre_Maintenance_v1[zone],"pas trouvé")</f>
        <v>Nord-Kivu</v>
      </c>
      <c r="G291">
        <f>_xlfn.XLOOKUP(_26_03_2026_Log_Reseau_v15[[#This Row],[Cell_ID]],_26_03_2026_Registre_Maintenance_v1[ID_Antenne],_26_03_2026_Registre_Maintenance_v1[Latitude],"non trouvé")</f>
        <v>-10.25074</v>
      </c>
      <c r="H291">
        <f>_xlfn.XLOOKUP(_26_03_2026_Log_Reseau_v15[[#This Row],[Cell_ID]],_26_03_2026_Registre_Maintenance_v1[ID_Antenne],_26_03_2026_Registre_Maintenance_v1[Longitude],"pas trouvé")</f>
        <v>26.099086</v>
      </c>
      <c r="I291" t="str">
        <f>_xlfn.XLOOKUP(_26_03_2026_Log_Reseau_v15[[#This Row],[Cell_ID]],_26_03_2026_Registre_Maintenance_v1[ID_Antenne],_26_03_2026_Registre_Maintenance_v1[Technologie],"non trouvé")</f>
        <v>4G</v>
      </c>
      <c r="J291" t="str">
        <f>_xlfn.XLOOKUP(_26_03_2026_Log_Reseau_v15[[#This Row],[Cell_ID]],_26_03_2026_Registre_Maintenance_v1[ID_Antenne],_26_03_2026_Registre_Maintenance_v1[Equipementier],"pas trouvé")</f>
        <v>Huawei</v>
      </c>
      <c r="K291" t="str">
        <f>_xlfn.XLOOKUP(_26_03_2026_Log_Reseau_v15[[#This Row],[province RDC]],_26_03_2026_Client_Churn_v1[Province_Client],_26_03_2026_Client_Churn_v1[ID_Client],"non trouvé")</f>
        <v>CLI-00837</v>
      </c>
      <c r="L291">
        <f>_xlfn.XLOOKUP(_26_03_2026_Log_Reseau_v15[[#This Row],[province RDC]],_26_03_2026_Client_Churn_v1[Province_Client],_26_03_2026_Client_Churn_v1[Anciennete_Mois],"non trouvé")</f>
        <v>16</v>
      </c>
      <c r="M291" t="str">
        <f>_xlfn.XLOOKUP(_26_03_2026_Log_Reseau_v15[[#This Row],[province RDC]],_26_03_2026_Client_Churn_v1[Province_Client],_26_03_2026_Client_Churn_v1[Type_Forfait],"non trouvé")</f>
        <v>Bloqué 5Go</v>
      </c>
      <c r="N291">
        <f>_xlfn.XLOOKUP(_26_03_2026_Log_Reseau_v15[[#This Row],[province RDC]],_26_03_2026_Client_Churn_v1[Province_Client],_26_03_2026_Client_Churn_v1[Duree_Cumulee_Panne_Min],"non trouvé")</f>
        <v>390</v>
      </c>
      <c r="O291">
        <f>_xlfn.XLOOKUP(_26_03_2026_Log_Reseau_v15[[#This Row],[province RDC]],_26_03_2026_Client_Churn_v1[Province_Client],_26_03_2026_Client_Churn_v1[Facture_Mensuelle],"non trouvé")</f>
        <v>98.17</v>
      </c>
      <c r="P291">
        <f>_xlfn.XLOOKUP(_26_03_2026_Log_Reseau_v15[[#This Row],[province RDC]],_26_03_2026_Client_Churn_v1[Province_Client],_26_03_2026_Client_Churn_v1[Plaintes_Service_Client],"non trouvé")</f>
        <v>5</v>
      </c>
    </row>
    <row r="292" spans="1:16" x14ac:dyDescent="0.25">
      <c r="A292" s="1">
        <v>45217</v>
      </c>
      <c r="B292" s="2">
        <v>0.1736111111111111</v>
      </c>
      <c r="C292" t="s">
        <v>988</v>
      </c>
      <c r="D292">
        <v>53</v>
      </c>
      <c r="E292" t="s">
        <v>808</v>
      </c>
      <c r="F292" t="str">
        <f>_xlfn.XLOOKUP(_26_03_2026_Log_Reseau_v15[[#This Row],[Cell_ID]],_26_03_2026_Registre_Maintenance_v1[ID_Antenne],_26_03_2026_Registre_Maintenance_v1[zone],"pas trouvé")</f>
        <v>Kinshasa</v>
      </c>
      <c r="G292">
        <f>_xlfn.XLOOKUP(_26_03_2026_Log_Reseau_v15[[#This Row],[Cell_ID]],_26_03_2026_Registre_Maintenance_v1[ID_Antenne],_26_03_2026_Registre_Maintenance_v1[Latitude],"non trouvé")</f>
        <v>-1.6097570000000001</v>
      </c>
      <c r="H292">
        <f>_xlfn.XLOOKUP(_26_03_2026_Log_Reseau_v15[[#This Row],[Cell_ID]],_26_03_2026_Registre_Maintenance_v1[ID_Antenne],_26_03_2026_Registre_Maintenance_v1[Longitude],"pas trouvé")</f>
        <v>30.661662</v>
      </c>
      <c r="I292" t="str">
        <f>_xlfn.XLOOKUP(_26_03_2026_Log_Reseau_v15[[#This Row],[Cell_ID]],_26_03_2026_Registre_Maintenance_v1[ID_Antenne],_26_03_2026_Registre_Maintenance_v1[Technologie],"non trouvé")</f>
        <v>4G</v>
      </c>
      <c r="J292" t="str">
        <f>_xlfn.XLOOKUP(_26_03_2026_Log_Reseau_v15[[#This Row],[Cell_ID]],_26_03_2026_Registre_Maintenance_v1[ID_Antenne],_26_03_2026_Registre_Maintenance_v1[Equipementier],"pas trouvé")</f>
        <v>Ericsson</v>
      </c>
      <c r="K292" t="str">
        <f>_xlfn.XLOOKUP(_26_03_2026_Log_Reseau_v15[[#This Row],[province RDC]],_26_03_2026_Client_Churn_v1[Province_Client],_26_03_2026_Client_Churn_v1[ID_Client],"non trouvé")</f>
        <v>CLI-00611</v>
      </c>
      <c r="L292">
        <f>_xlfn.XLOOKUP(_26_03_2026_Log_Reseau_v15[[#This Row],[province RDC]],_26_03_2026_Client_Churn_v1[Province_Client],_26_03_2026_Client_Churn_v1[Anciennete_Mois],"non trouvé")</f>
        <v>79</v>
      </c>
      <c r="M292" t="str">
        <f>_xlfn.XLOOKUP(_26_03_2026_Log_Reseau_v15[[#This Row],[province RDC]],_26_03_2026_Client_Churn_v1[Province_Client],_26_03_2026_Client_Churn_v1[Type_Forfait],"non trouvé")</f>
        <v>Premium 5G 150Go</v>
      </c>
      <c r="N292">
        <f>_xlfn.XLOOKUP(_26_03_2026_Log_Reseau_v15[[#This Row],[province RDC]],_26_03_2026_Client_Churn_v1[Province_Client],_26_03_2026_Client_Churn_v1[Duree_Cumulee_Panne_Min],"non trouvé")</f>
        <v>226</v>
      </c>
      <c r="O292">
        <f>_xlfn.XLOOKUP(_26_03_2026_Log_Reseau_v15[[#This Row],[province RDC]],_26_03_2026_Client_Churn_v1[Province_Client],_26_03_2026_Client_Churn_v1[Facture_Mensuelle],"non trouvé")</f>
        <v>94.38</v>
      </c>
      <c r="P292">
        <f>_xlfn.XLOOKUP(_26_03_2026_Log_Reseau_v15[[#This Row],[province RDC]],_26_03_2026_Client_Churn_v1[Province_Client],_26_03_2026_Client_Churn_v1[Plaintes_Service_Client],"non trouvé")</f>
        <v>3</v>
      </c>
    </row>
    <row r="293" spans="1:16" x14ac:dyDescent="0.25">
      <c r="A293" s="1">
        <v>45200</v>
      </c>
      <c r="B293" s="2">
        <v>0.52569444444444446</v>
      </c>
      <c r="C293" t="s">
        <v>988</v>
      </c>
      <c r="D293">
        <v>88</v>
      </c>
      <c r="E293" t="s">
        <v>812</v>
      </c>
      <c r="F293" t="str">
        <f>_xlfn.XLOOKUP(_26_03_2026_Log_Reseau_v15[[#This Row],[Cell_ID]],_26_03_2026_Registre_Maintenance_v1[ID_Antenne],_26_03_2026_Registre_Maintenance_v1[zone],"pas trouvé")</f>
        <v>Kinshasa</v>
      </c>
      <c r="G293">
        <f>_xlfn.XLOOKUP(_26_03_2026_Log_Reseau_v15[[#This Row],[Cell_ID]],_26_03_2026_Registre_Maintenance_v1[ID_Antenne],_26_03_2026_Registre_Maintenance_v1[Latitude],"non trouvé")</f>
        <v>-1.6097570000000001</v>
      </c>
      <c r="H293">
        <f>_xlfn.XLOOKUP(_26_03_2026_Log_Reseau_v15[[#This Row],[Cell_ID]],_26_03_2026_Registre_Maintenance_v1[ID_Antenne],_26_03_2026_Registre_Maintenance_v1[Longitude],"pas trouvé")</f>
        <v>30.661662</v>
      </c>
      <c r="I293" t="str">
        <f>_xlfn.XLOOKUP(_26_03_2026_Log_Reseau_v15[[#This Row],[Cell_ID]],_26_03_2026_Registre_Maintenance_v1[ID_Antenne],_26_03_2026_Registre_Maintenance_v1[Technologie],"non trouvé")</f>
        <v>4G</v>
      </c>
      <c r="J293" t="str">
        <f>_xlfn.XLOOKUP(_26_03_2026_Log_Reseau_v15[[#This Row],[Cell_ID]],_26_03_2026_Registre_Maintenance_v1[ID_Antenne],_26_03_2026_Registre_Maintenance_v1[Equipementier],"pas trouvé")</f>
        <v>Ericsson</v>
      </c>
      <c r="K293" t="str">
        <f>_xlfn.XLOOKUP(_26_03_2026_Log_Reseau_v15[[#This Row],[province RDC]],_26_03_2026_Client_Churn_v1[Province_Client],_26_03_2026_Client_Churn_v1[ID_Client],"non trouvé")</f>
        <v>CLI-00611</v>
      </c>
      <c r="L293">
        <f>_xlfn.XLOOKUP(_26_03_2026_Log_Reseau_v15[[#This Row],[province RDC]],_26_03_2026_Client_Churn_v1[Province_Client],_26_03_2026_Client_Churn_v1[Anciennete_Mois],"non trouvé")</f>
        <v>79</v>
      </c>
      <c r="M293" t="str">
        <f>_xlfn.XLOOKUP(_26_03_2026_Log_Reseau_v15[[#This Row],[province RDC]],_26_03_2026_Client_Churn_v1[Province_Client],_26_03_2026_Client_Churn_v1[Type_Forfait],"non trouvé")</f>
        <v>Premium 5G 150Go</v>
      </c>
      <c r="N293">
        <f>_xlfn.XLOOKUP(_26_03_2026_Log_Reseau_v15[[#This Row],[province RDC]],_26_03_2026_Client_Churn_v1[Province_Client],_26_03_2026_Client_Churn_v1[Duree_Cumulee_Panne_Min],"non trouvé")</f>
        <v>226</v>
      </c>
      <c r="O293">
        <f>_xlfn.XLOOKUP(_26_03_2026_Log_Reseau_v15[[#This Row],[province RDC]],_26_03_2026_Client_Churn_v1[Province_Client],_26_03_2026_Client_Churn_v1[Facture_Mensuelle],"non trouvé")</f>
        <v>94.38</v>
      </c>
      <c r="P293">
        <f>_xlfn.XLOOKUP(_26_03_2026_Log_Reseau_v15[[#This Row],[province RDC]],_26_03_2026_Client_Churn_v1[Province_Client],_26_03_2026_Client_Churn_v1[Plaintes_Service_Client],"non trouvé")</f>
        <v>3</v>
      </c>
    </row>
    <row r="294" spans="1:16" x14ac:dyDescent="0.25">
      <c r="A294" s="1">
        <v>45206</v>
      </c>
      <c r="B294" s="2">
        <v>0.28680555555555554</v>
      </c>
      <c r="C294" t="s">
        <v>989</v>
      </c>
      <c r="D294">
        <v>96</v>
      </c>
      <c r="E294" t="s">
        <v>808</v>
      </c>
      <c r="F294" t="str">
        <f>_xlfn.XLOOKUP(_26_03_2026_Log_Reseau_v15[[#This Row],[Cell_ID]],_26_03_2026_Registre_Maintenance_v1[ID_Antenne],_26_03_2026_Registre_Maintenance_v1[zone],"pas trouvé")</f>
        <v>Haut-Katanga</v>
      </c>
      <c r="G294">
        <f>_xlfn.XLOOKUP(_26_03_2026_Log_Reseau_v15[[#This Row],[Cell_ID]],_26_03_2026_Registre_Maintenance_v1[ID_Antenne],_26_03_2026_Registre_Maintenance_v1[Latitude],"non trouvé")</f>
        <v>-5.5445120000000001</v>
      </c>
      <c r="H294">
        <f>_xlfn.XLOOKUP(_26_03_2026_Log_Reseau_v15[[#This Row],[Cell_ID]],_26_03_2026_Registre_Maintenance_v1[ID_Antenne],_26_03_2026_Registre_Maintenance_v1[Longitude],"pas trouvé")</f>
        <v>27.547335</v>
      </c>
      <c r="I294" t="str">
        <f>_xlfn.XLOOKUP(_26_03_2026_Log_Reseau_v15[[#This Row],[Cell_ID]],_26_03_2026_Registre_Maintenance_v1[ID_Antenne],_26_03_2026_Registre_Maintenance_v1[Technologie],"non trouvé")</f>
        <v>4G</v>
      </c>
      <c r="J294" t="str">
        <f>_xlfn.XLOOKUP(_26_03_2026_Log_Reseau_v15[[#This Row],[Cell_ID]],_26_03_2026_Registre_Maintenance_v1[ID_Antenne],_26_03_2026_Registre_Maintenance_v1[Equipementier],"pas trouvé")</f>
        <v>Ericsson</v>
      </c>
      <c r="K294" t="str">
        <f>_xlfn.XLOOKUP(_26_03_2026_Log_Reseau_v15[[#This Row],[province RDC]],_26_03_2026_Client_Churn_v1[Province_Client],_26_03_2026_Client_Churn_v1[ID_Client],"non trouvé")</f>
        <v>CLI-00076</v>
      </c>
      <c r="L294">
        <f>_xlfn.XLOOKUP(_26_03_2026_Log_Reseau_v15[[#This Row],[province RDC]],_26_03_2026_Client_Churn_v1[Province_Client],_26_03_2026_Client_Churn_v1[Anciennete_Mois],"non trouvé")</f>
        <v>46</v>
      </c>
      <c r="M294" t="str">
        <f>_xlfn.XLOOKUP(_26_03_2026_Log_Reseau_v15[[#This Row],[province RDC]],_26_03_2026_Client_Churn_v1[Province_Client],_26_03_2026_Client_Churn_v1[Type_Forfait],"non trouvé")</f>
        <v>Premium 5G 150Go</v>
      </c>
      <c r="N294">
        <f>_xlfn.XLOOKUP(_26_03_2026_Log_Reseau_v15[[#This Row],[province RDC]],_26_03_2026_Client_Churn_v1[Province_Client],_26_03_2026_Client_Churn_v1[Duree_Cumulee_Panne_Min],"non trouvé")</f>
        <v>283</v>
      </c>
      <c r="O294">
        <f>_xlfn.XLOOKUP(_26_03_2026_Log_Reseau_v15[[#This Row],[province RDC]],_26_03_2026_Client_Churn_v1[Province_Client],_26_03_2026_Client_Churn_v1[Facture_Mensuelle],"non trouvé")</f>
        <v>56.05</v>
      </c>
      <c r="P294">
        <f>_xlfn.XLOOKUP(_26_03_2026_Log_Reseau_v15[[#This Row],[province RDC]],_26_03_2026_Client_Churn_v1[Province_Client],_26_03_2026_Client_Churn_v1[Plaintes_Service_Client],"non trouvé")</f>
        <v>1</v>
      </c>
    </row>
    <row r="295" spans="1:16" x14ac:dyDescent="0.25">
      <c r="A295" s="1">
        <v>45209</v>
      </c>
      <c r="B295" s="2">
        <v>0.93888888888888888</v>
      </c>
      <c r="C295" t="s">
        <v>989</v>
      </c>
      <c r="D295">
        <v>37</v>
      </c>
      <c r="E295" t="s">
        <v>808</v>
      </c>
      <c r="F295" t="str">
        <f>_xlfn.XLOOKUP(_26_03_2026_Log_Reseau_v15[[#This Row],[Cell_ID]],_26_03_2026_Registre_Maintenance_v1[ID_Antenne],_26_03_2026_Registre_Maintenance_v1[zone],"pas trouvé")</f>
        <v>Haut-Katanga</v>
      </c>
      <c r="G295">
        <f>_xlfn.XLOOKUP(_26_03_2026_Log_Reseau_v15[[#This Row],[Cell_ID]],_26_03_2026_Registre_Maintenance_v1[ID_Antenne],_26_03_2026_Registre_Maintenance_v1[Latitude],"non trouvé")</f>
        <v>-5.5445120000000001</v>
      </c>
      <c r="H295">
        <f>_xlfn.XLOOKUP(_26_03_2026_Log_Reseau_v15[[#This Row],[Cell_ID]],_26_03_2026_Registre_Maintenance_v1[ID_Antenne],_26_03_2026_Registre_Maintenance_v1[Longitude],"pas trouvé")</f>
        <v>27.547335</v>
      </c>
      <c r="I295" t="str">
        <f>_xlfn.XLOOKUP(_26_03_2026_Log_Reseau_v15[[#This Row],[Cell_ID]],_26_03_2026_Registre_Maintenance_v1[ID_Antenne],_26_03_2026_Registre_Maintenance_v1[Technologie],"non trouvé")</f>
        <v>4G</v>
      </c>
      <c r="J295" t="str">
        <f>_xlfn.XLOOKUP(_26_03_2026_Log_Reseau_v15[[#This Row],[Cell_ID]],_26_03_2026_Registre_Maintenance_v1[ID_Antenne],_26_03_2026_Registre_Maintenance_v1[Equipementier],"pas trouvé")</f>
        <v>Ericsson</v>
      </c>
      <c r="K295" t="str">
        <f>_xlfn.XLOOKUP(_26_03_2026_Log_Reseau_v15[[#This Row],[province RDC]],_26_03_2026_Client_Churn_v1[Province_Client],_26_03_2026_Client_Churn_v1[ID_Client],"non trouvé")</f>
        <v>CLI-00076</v>
      </c>
      <c r="L295">
        <f>_xlfn.XLOOKUP(_26_03_2026_Log_Reseau_v15[[#This Row],[province RDC]],_26_03_2026_Client_Churn_v1[Province_Client],_26_03_2026_Client_Churn_v1[Anciennete_Mois],"non trouvé")</f>
        <v>46</v>
      </c>
      <c r="M295" t="str">
        <f>_xlfn.XLOOKUP(_26_03_2026_Log_Reseau_v15[[#This Row],[province RDC]],_26_03_2026_Client_Churn_v1[Province_Client],_26_03_2026_Client_Churn_v1[Type_Forfait],"non trouvé")</f>
        <v>Premium 5G 150Go</v>
      </c>
      <c r="N295">
        <f>_xlfn.XLOOKUP(_26_03_2026_Log_Reseau_v15[[#This Row],[province RDC]],_26_03_2026_Client_Churn_v1[Province_Client],_26_03_2026_Client_Churn_v1[Duree_Cumulee_Panne_Min],"non trouvé")</f>
        <v>283</v>
      </c>
      <c r="O295">
        <f>_xlfn.XLOOKUP(_26_03_2026_Log_Reseau_v15[[#This Row],[province RDC]],_26_03_2026_Client_Churn_v1[Province_Client],_26_03_2026_Client_Churn_v1[Facture_Mensuelle],"non trouvé")</f>
        <v>56.05</v>
      </c>
      <c r="P295">
        <f>_xlfn.XLOOKUP(_26_03_2026_Log_Reseau_v15[[#This Row],[province RDC]],_26_03_2026_Client_Churn_v1[Province_Client],_26_03_2026_Client_Churn_v1[Plaintes_Service_Client],"non trouvé")</f>
        <v>1</v>
      </c>
    </row>
    <row r="296" spans="1:16" x14ac:dyDescent="0.25">
      <c r="A296" s="1">
        <v>45220</v>
      </c>
      <c r="B296" s="2">
        <v>0.43680555555555556</v>
      </c>
      <c r="C296" t="s">
        <v>989</v>
      </c>
      <c r="D296">
        <v>64</v>
      </c>
      <c r="E296" t="s">
        <v>808</v>
      </c>
      <c r="F296" t="str">
        <f>_xlfn.XLOOKUP(_26_03_2026_Log_Reseau_v15[[#This Row],[Cell_ID]],_26_03_2026_Registre_Maintenance_v1[ID_Antenne],_26_03_2026_Registre_Maintenance_v1[zone],"pas trouvé")</f>
        <v>Haut-Katanga</v>
      </c>
      <c r="G296">
        <f>_xlfn.XLOOKUP(_26_03_2026_Log_Reseau_v15[[#This Row],[Cell_ID]],_26_03_2026_Registre_Maintenance_v1[ID_Antenne],_26_03_2026_Registre_Maintenance_v1[Latitude],"non trouvé")</f>
        <v>-5.5445120000000001</v>
      </c>
      <c r="H296">
        <f>_xlfn.XLOOKUP(_26_03_2026_Log_Reseau_v15[[#This Row],[Cell_ID]],_26_03_2026_Registre_Maintenance_v1[ID_Antenne],_26_03_2026_Registre_Maintenance_v1[Longitude],"pas trouvé")</f>
        <v>27.547335</v>
      </c>
      <c r="I296" t="str">
        <f>_xlfn.XLOOKUP(_26_03_2026_Log_Reseau_v15[[#This Row],[Cell_ID]],_26_03_2026_Registre_Maintenance_v1[ID_Antenne],_26_03_2026_Registre_Maintenance_v1[Technologie],"non trouvé")</f>
        <v>4G</v>
      </c>
      <c r="J296" t="str">
        <f>_xlfn.XLOOKUP(_26_03_2026_Log_Reseau_v15[[#This Row],[Cell_ID]],_26_03_2026_Registre_Maintenance_v1[ID_Antenne],_26_03_2026_Registre_Maintenance_v1[Equipementier],"pas trouvé")</f>
        <v>Ericsson</v>
      </c>
      <c r="K296" t="str">
        <f>_xlfn.XLOOKUP(_26_03_2026_Log_Reseau_v15[[#This Row],[province RDC]],_26_03_2026_Client_Churn_v1[Province_Client],_26_03_2026_Client_Churn_v1[ID_Client],"non trouvé")</f>
        <v>CLI-00076</v>
      </c>
      <c r="L296">
        <f>_xlfn.XLOOKUP(_26_03_2026_Log_Reseau_v15[[#This Row],[province RDC]],_26_03_2026_Client_Churn_v1[Province_Client],_26_03_2026_Client_Churn_v1[Anciennete_Mois],"non trouvé")</f>
        <v>46</v>
      </c>
      <c r="M296" t="str">
        <f>_xlfn.XLOOKUP(_26_03_2026_Log_Reseau_v15[[#This Row],[province RDC]],_26_03_2026_Client_Churn_v1[Province_Client],_26_03_2026_Client_Churn_v1[Type_Forfait],"non trouvé")</f>
        <v>Premium 5G 150Go</v>
      </c>
      <c r="N296">
        <f>_xlfn.XLOOKUP(_26_03_2026_Log_Reseau_v15[[#This Row],[province RDC]],_26_03_2026_Client_Churn_v1[Province_Client],_26_03_2026_Client_Churn_v1[Duree_Cumulee_Panne_Min],"non trouvé")</f>
        <v>283</v>
      </c>
      <c r="O296">
        <f>_xlfn.XLOOKUP(_26_03_2026_Log_Reseau_v15[[#This Row],[province RDC]],_26_03_2026_Client_Churn_v1[Province_Client],_26_03_2026_Client_Churn_v1[Facture_Mensuelle],"non trouvé")</f>
        <v>56.05</v>
      </c>
      <c r="P296">
        <f>_xlfn.XLOOKUP(_26_03_2026_Log_Reseau_v15[[#This Row],[province RDC]],_26_03_2026_Client_Churn_v1[Province_Client],_26_03_2026_Client_Churn_v1[Plaintes_Service_Client],"non trouvé")</f>
        <v>1</v>
      </c>
    </row>
    <row r="297" spans="1:16" x14ac:dyDescent="0.25">
      <c r="A297" s="1">
        <v>45225</v>
      </c>
      <c r="B297" s="2">
        <v>0.71250000000000002</v>
      </c>
      <c r="C297" t="s">
        <v>989</v>
      </c>
      <c r="D297">
        <v>25</v>
      </c>
      <c r="E297" t="s">
        <v>807</v>
      </c>
      <c r="F297" t="str">
        <f>_xlfn.XLOOKUP(_26_03_2026_Log_Reseau_v15[[#This Row],[Cell_ID]],_26_03_2026_Registre_Maintenance_v1[ID_Antenne],_26_03_2026_Registre_Maintenance_v1[zone],"pas trouvé")</f>
        <v>Haut-Katanga</v>
      </c>
      <c r="G297">
        <f>_xlfn.XLOOKUP(_26_03_2026_Log_Reseau_v15[[#This Row],[Cell_ID]],_26_03_2026_Registre_Maintenance_v1[ID_Antenne],_26_03_2026_Registre_Maintenance_v1[Latitude],"non trouvé")</f>
        <v>-5.5445120000000001</v>
      </c>
      <c r="H297">
        <f>_xlfn.XLOOKUP(_26_03_2026_Log_Reseau_v15[[#This Row],[Cell_ID]],_26_03_2026_Registre_Maintenance_v1[ID_Antenne],_26_03_2026_Registre_Maintenance_v1[Longitude],"pas trouvé")</f>
        <v>27.547335</v>
      </c>
      <c r="I297" t="str">
        <f>_xlfn.XLOOKUP(_26_03_2026_Log_Reseau_v15[[#This Row],[Cell_ID]],_26_03_2026_Registre_Maintenance_v1[ID_Antenne],_26_03_2026_Registre_Maintenance_v1[Technologie],"non trouvé")</f>
        <v>4G</v>
      </c>
      <c r="J297" t="str">
        <f>_xlfn.XLOOKUP(_26_03_2026_Log_Reseau_v15[[#This Row],[Cell_ID]],_26_03_2026_Registre_Maintenance_v1[ID_Antenne],_26_03_2026_Registre_Maintenance_v1[Equipementier],"pas trouvé")</f>
        <v>Ericsson</v>
      </c>
      <c r="K297" t="str">
        <f>_xlfn.XLOOKUP(_26_03_2026_Log_Reseau_v15[[#This Row],[province RDC]],_26_03_2026_Client_Churn_v1[Province_Client],_26_03_2026_Client_Churn_v1[ID_Client],"non trouvé")</f>
        <v>CLI-00076</v>
      </c>
      <c r="L297">
        <f>_xlfn.XLOOKUP(_26_03_2026_Log_Reseau_v15[[#This Row],[province RDC]],_26_03_2026_Client_Churn_v1[Province_Client],_26_03_2026_Client_Churn_v1[Anciennete_Mois],"non trouvé")</f>
        <v>46</v>
      </c>
      <c r="M297" t="str">
        <f>_xlfn.XLOOKUP(_26_03_2026_Log_Reseau_v15[[#This Row],[province RDC]],_26_03_2026_Client_Churn_v1[Province_Client],_26_03_2026_Client_Churn_v1[Type_Forfait],"non trouvé")</f>
        <v>Premium 5G 150Go</v>
      </c>
      <c r="N297">
        <f>_xlfn.XLOOKUP(_26_03_2026_Log_Reseau_v15[[#This Row],[province RDC]],_26_03_2026_Client_Churn_v1[Province_Client],_26_03_2026_Client_Churn_v1[Duree_Cumulee_Panne_Min],"non trouvé")</f>
        <v>283</v>
      </c>
      <c r="O297">
        <f>_xlfn.XLOOKUP(_26_03_2026_Log_Reseau_v15[[#This Row],[province RDC]],_26_03_2026_Client_Churn_v1[Province_Client],_26_03_2026_Client_Churn_v1[Facture_Mensuelle],"non trouvé")</f>
        <v>56.05</v>
      </c>
      <c r="P297">
        <f>_xlfn.XLOOKUP(_26_03_2026_Log_Reseau_v15[[#This Row],[province RDC]],_26_03_2026_Client_Churn_v1[Province_Client],_26_03_2026_Client_Churn_v1[Plaintes_Service_Client],"non trouvé")</f>
        <v>1</v>
      </c>
    </row>
    <row r="298" spans="1:16" hidden="1" x14ac:dyDescent="0.25">
      <c r="A298" s="1">
        <v>45216</v>
      </c>
      <c r="B298" s="2">
        <v>0.2388888888888889</v>
      </c>
      <c r="C298" t="s">
        <v>990</v>
      </c>
      <c r="D298">
        <v>11</v>
      </c>
      <c r="E298" t="s">
        <v>807</v>
      </c>
      <c r="F298" t="str">
        <f>_xlfn.XLOOKUP(_26_03_2026_Log_Reseau_v15[[#This Row],[Cell_ID]],_26_03_2026_Registre_Maintenance_v1[ID_Antenne],_26_03_2026_Registre_Maintenance_v1[zone],"pas trouvé")</f>
        <v>pas trouvé</v>
      </c>
      <c r="G298" t="str">
        <f>_xlfn.XLOOKUP(_26_03_2026_Log_Reseau_v15[[#This Row],[Cell_ID]],_26_03_2026_Registre_Maintenance_v1[ID_Antenne],_26_03_2026_Registre_Maintenance_v1[Latitude],"non trouvé")</f>
        <v>non trouvé</v>
      </c>
      <c r="H298" t="str">
        <f>_xlfn.XLOOKUP(_26_03_2026_Log_Reseau_v15[[#This Row],[Cell_ID]],_26_03_2026_Registre_Maintenance_v1[ID_Antenne],_26_03_2026_Registre_Maintenance_v1[Longitude],"pas trouvé")</f>
        <v>pas trouvé</v>
      </c>
      <c r="I298" t="str">
        <f>_xlfn.XLOOKUP(_26_03_2026_Log_Reseau_v15[[#This Row],[Cell_ID]],_26_03_2026_Registre_Maintenance_v1[ID_Antenne],_26_03_2026_Registre_Maintenance_v1[Technologie],"non trouvé")</f>
        <v>non trouvé</v>
      </c>
      <c r="J298" t="str">
        <f>_xlfn.XLOOKUP(_26_03_2026_Log_Reseau_v15[[#This Row],[Cell_ID]],_26_03_2026_Registre_Maintenance_v1[ID_Antenne],_26_03_2026_Registre_Maintenance_v1[Equipementier],"pas trouvé")</f>
        <v>pas trouvé</v>
      </c>
      <c r="K298" t="str">
        <f>_xlfn.XLOOKUP(_26_03_2026_Log_Reseau_v15[[#This Row],[province RDC]],_26_03_2026_Client_Churn_v1[Province_Client],_26_03_2026_Client_Churn_v1[ID_Client],"non trouvé")</f>
        <v>non trouvé</v>
      </c>
      <c r="L298" t="str">
        <f>_xlfn.XLOOKUP(_26_03_2026_Log_Reseau_v15[[#This Row],[province RDC]],_26_03_2026_Client_Churn_v1[Province_Client],_26_03_2026_Client_Churn_v1[Anciennete_Mois],"non trouvé")</f>
        <v>non trouvé</v>
      </c>
      <c r="M298" t="str">
        <f>_xlfn.XLOOKUP(_26_03_2026_Log_Reseau_v15[[#This Row],[province RDC]],_26_03_2026_Client_Churn_v1[Province_Client],_26_03_2026_Client_Churn_v1[Type_Forfait],"non trouvé")</f>
        <v>non trouvé</v>
      </c>
      <c r="N298" t="str">
        <f>_xlfn.XLOOKUP(_26_03_2026_Log_Reseau_v15[[#This Row],[province RDC]],_26_03_2026_Client_Churn_v1[Province_Client],_26_03_2026_Client_Churn_v1[Duree_Cumulee_Panne_Min],"non trouvé")</f>
        <v>non trouvé</v>
      </c>
      <c r="O298" t="str">
        <f>_xlfn.XLOOKUP(_26_03_2026_Log_Reseau_v15[[#This Row],[province RDC]],_26_03_2026_Client_Churn_v1[Province_Client],_26_03_2026_Client_Churn_v1[Facture_Mensuelle],"non trouvé")</f>
        <v>non trouvé</v>
      </c>
      <c r="P298" t="str">
        <f>_xlfn.XLOOKUP(_26_03_2026_Log_Reseau_v15[[#This Row],[province RDC]],_26_03_2026_Client_Churn_v1[Province_Client],_26_03_2026_Client_Churn_v1[Plaintes_Service_Client],"non trouvé")</f>
        <v>non trouvé</v>
      </c>
    </row>
    <row r="299" spans="1:16" x14ac:dyDescent="0.25">
      <c r="A299" s="1">
        <v>45200</v>
      </c>
      <c r="B299" s="2">
        <v>0.51458333333333328</v>
      </c>
      <c r="C299" t="s">
        <v>991</v>
      </c>
      <c r="D299">
        <v>24</v>
      </c>
      <c r="E299" t="s">
        <v>812</v>
      </c>
      <c r="F299" t="str">
        <f>_xlfn.XLOOKUP(_26_03_2026_Log_Reseau_v15[[#This Row],[Cell_ID]],_26_03_2026_Registre_Maintenance_v1[ID_Antenne],_26_03_2026_Registre_Maintenance_v1[zone],"pas trouvé")</f>
        <v>Tshuapa</v>
      </c>
      <c r="G299">
        <f>_xlfn.XLOOKUP(_26_03_2026_Log_Reseau_v15[[#This Row],[Cell_ID]],_26_03_2026_Registre_Maintenance_v1[ID_Antenne],_26_03_2026_Registre_Maintenance_v1[Latitude],"non trouvé")</f>
        <v>-11.622688999999999</v>
      </c>
      <c r="H299">
        <f>_xlfn.XLOOKUP(_26_03_2026_Log_Reseau_v15[[#This Row],[Cell_ID]],_26_03_2026_Registre_Maintenance_v1[ID_Antenne],_26_03_2026_Registre_Maintenance_v1[Longitude],"pas trouvé")</f>
        <v>18.483874</v>
      </c>
      <c r="I299" t="str">
        <f>_xlfn.XLOOKUP(_26_03_2026_Log_Reseau_v15[[#This Row],[Cell_ID]],_26_03_2026_Registre_Maintenance_v1[ID_Antenne],_26_03_2026_Registre_Maintenance_v1[Technologie],"non trouvé")</f>
        <v>5G</v>
      </c>
      <c r="J299" t="str">
        <f>_xlfn.XLOOKUP(_26_03_2026_Log_Reseau_v15[[#This Row],[Cell_ID]],_26_03_2026_Registre_Maintenance_v1[ID_Antenne],_26_03_2026_Registre_Maintenance_v1[Equipementier],"pas trouvé")</f>
        <v>ZTE</v>
      </c>
      <c r="K299" t="str">
        <f>_xlfn.XLOOKUP(_26_03_2026_Log_Reseau_v15[[#This Row],[province RDC]],_26_03_2026_Client_Churn_v1[Province_Client],_26_03_2026_Client_Churn_v1[ID_Client],"non trouvé")</f>
        <v>CLI-00894</v>
      </c>
      <c r="L299">
        <f>_xlfn.XLOOKUP(_26_03_2026_Log_Reseau_v15[[#This Row],[province RDC]],_26_03_2026_Client_Churn_v1[Province_Client],_26_03_2026_Client_Churn_v1[Anciennete_Mois],"non trouvé")</f>
        <v>63</v>
      </c>
      <c r="M299" t="str">
        <f>_xlfn.XLOOKUP(_26_03_2026_Log_Reseau_v15[[#This Row],[province RDC]],_26_03_2026_Client_Churn_v1[Province_Client],_26_03_2026_Client_Churn_v1[Type_Forfait],"non trouvé")</f>
        <v>Pro Monde</v>
      </c>
      <c r="N299">
        <f>_xlfn.XLOOKUP(_26_03_2026_Log_Reseau_v15[[#This Row],[province RDC]],_26_03_2026_Client_Churn_v1[Province_Client],_26_03_2026_Client_Churn_v1[Duree_Cumulee_Panne_Min],"non trouvé")</f>
        <v>205</v>
      </c>
      <c r="O299">
        <f>_xlfn.XLOOKUP(_26_03_2026_Log_Reseau_v15[[#This Row],[province RDC]],_26_03_2026_Client_Churn_v1[Province_Client],_26_03_2026_Client_Churn_v1[Facture_Mensuelle],"non trouvé")</f>
        <v>89.19</v>
      </c>
      <c r="P299">
        <f>_xlfn.XLOOKUP(_26_03_2026_Log_Reseau_v15[[#This Row],[province RDC]],_26_03_2026_Client_Churn_v1[Province_Client],_26_03_2026_Client_Churn_v1[Plaintes_Service_Client],"non trouvé")</f>
        <v>0</v>
      </c>
    </row>
    <row r="300" spans="1:16" x14ac:dyDescent="0.25">
      <c r="A300" s="1">
        <v>45216</v>
      </c>
      <c r="B300" s="2">
        <v>0.70138888888888884</v>
      </c>
      <c r="C300" t="s">
        <v>991</v>
      </c>
      <c r="D300">
        <v>80</v>
      </c>
      <c r="E300" t="s">
        <v>807</v>
      </c>
      <c r="F300" t="str">
        <f>_xlfn.XLOOKUP(_26_03_2026_Log_Reseau_v15[[#This Row],[Cell_ID]],_26_03_2026_Registre_Maintenance_v1[ID_Antenne],_26_03_2026_Registre_Maintenance_v1[zone],"pas trouvé")</f>
        <v>Tshuapa</v>
      </c>
      <c r="G300">
        <f>_xlfn.XLOOKUP(_26_03_2026_Log_Reseau_v15[[#This Row],[Cell_ID]],_26_03_2026_Registre_Maintenance_v1[ID_Antenne],_26_03_2026_Registre_Maintenance_v1[Latitude],"non trouvé")</f>
        <v>-11.622688999999999</v>
      </c>
      <c r="H300">
        <f>_xlfn.XLOOKUP(_26_03_2026_Log_Reseau_v15[[#This Row],[Cell_ID]],_26_03_2026_Registre_Maintenance_v1[ID_Antenne],_26_03_2026_Registre_Maintenance_v1[Longitude],"pas trouvé")</f>
        <v>18.483874</v>
      </c>
      <c r="I300" t="str">
        <f>_xlfn.XLOOKUP(_26_03_2026_Log_Reseau_v15[[#This Row],[Cell_ID]],_26_03_2026_Registre_Maintenance_v1[ID_Antenne],_26_03_2026_Registre_Maintenance_v1[Technologie],"non trouvé")</f>
        <v>5G</v>
      </c>
      <c r="J300" t="str">
        <f>_xlfn.XLOOKUP(_26_03_2026_Log_Reseau_v15[[#This Row],[Cell_ID]],_26_03_2026_Registre_Maintenance_v1[ID_Antenne],_26_03_2026_Registre_Maintenance_v1[Equipementier],"pas trouvé")</f>
        <v>ZTE</v>
      </c>
      <c r="K300" t="str">
        <f>_xlfn.XLOOKUP(_26_03_2026_Log_Reseau_v15[[#This Row],[province RDC]],_26_03_2026_Client_Churn_v1[Province_Client],_26_03_2026_Client_Churn_v1[ID_Client],"non trouvé")</f>
        <v>CLI-00894</v>
      </c>
      <c r="L300">
        <f>_xlfn.XLOOKUP(_26_03_2026_Log_Reseau_v15[[#This Row],[province RDC]],_26_03_2026_Client_Churn_v1[Province_Client],_26_03_2026_Client_Churn_v1[Anciennete_Mois],"non trouvé")</f>
        <v>63</v>
      </c>
      <c r="M300" t="str">
        <f>_xlfn.XLOOKUP(_26_03_2026_Log_Reseau_v15[[#This Row],[province RDC]],_26_03_2026_Client_Churn_v1[Province_Client],_26_03_2026_Client_Churn_v1[Type_Forfait],"non trouvé")</f>
        <v>Pro Monde</v>
      </c>
      <c r="N300">
        <f>_xlfn.XLOOKUP(_26_03_2026_Log_Reseau_v15[[#This Row],[province RDC]],_26_03_2026_Client_Churn_v1[Province_Client],_26_03_2026_Client_Churn_v1[Duree_Cumulee_Panne_Min],"non trouvé")</f>
        <v>205</v>
      </c>
      <c r="O300">
        <f>_xlfn.XLOOKUP(_26_03_2026_Log_Reseau_v15[[#This Row],[province RDC]],_26_03_2026_Client_Churn_v1[Province_Client],_26_03_2026_Client_Churn_v1[Facture_Mensuelle],"non trouvé")</f>
        <v>89.19</v>
      </c>
      <c r="P300">
        <f>_xlfn.XLOOKUP(_26_03_2026_Log_Reseau_v15[[#This Row],[province RDC]],_26_03_2026_Client_Churn_v1[Province_Client],_26_03_2026_Client_Churn_v1[Plaintes_Service_Client],"non trouvé")</f>
        <v>0</v>
      </c>
    </row>
    <row r="301" spans="1:16" x14ac:dyDescent="0.25">
      <c r="A301" s="1">
        <v>45202</v>
      </c>
      <c r="B301" s="2">
        <v>0.69930555555555551</v>
      </c>
      <c r="C301" t="s">
        <v>992</v>
      </c>
      <c r="D301">
        <v>63</v>
      </c>
      <c r="E301" t="s">
        <v>808</v>
      </c>
      <c r="F301" t="str">
        <f>_xlfn.XLOOKUP(_26_03_2026_Log_Reseau_v15[[#This Row],[Cell_ID]],_26_03_2026_Registre_Maintenance_v1[ID_Antenne],_26_03_2026_Registre_Maintenance_v1[zone],"pas trouvé")</f>
        <v>Tshopo</v>
      </c>
      <c r="G301">
        <f>_xlfn.XLOOKUP(_26_03_2026_Log_Reseau_v15[[#This Row],[Cell_ID]],_26_03_2026_Registre_Maintenance_v1[ID_Antenne],_26_03_2026_Registre_Maintenance_v1[Latitude],"non trouvé")</f>
        <v>1.400674</v>
      </c>
      <c r="H301">
        <f>_xlfn.XLOOKUP(_26_03_2026_Log_Reseau_v15[[#This Row],[Cell_ID]],_26_03_2026_Registre_Maintenance_v1[ID_Antenne],_26_03_2026_Registre_Maintenance_v1[Longitude],"pas trouvé")</f>
        <v>13.503126999999999</v>
      </c>
      <c r="I301" t="str">
        <f>_xlfn.XLOOKUP(_26_03_2026_Log_Reseau_v15[[#This Row],[Cell_ID]],_26_03_2026_Registre_Maintenance_v1[ID_Antenne],_26_03_2026_Registre_Maintenance_v1[Technologie],"non trouvé")</f>
        <v>5G</v>
      </c>
      <c r="J301" t="str">
        <f>_xlfn.XLOOKUP(_26_03_2026_Log_Reseau_v15[[#This Row],[Cell_ID]],_26_03_2026_Registre_Maintenance_v1[ID_Antenne],_26_03_2026_Registre_Maintenance_v1[Equipementier],"pas trouvé")</f>
        <v>ZTE</v>
      </c>
      <c r="K301" t="str">
        <f>_xlfn.XLOOKUP(_26_03_2026_Log_Reseau_v15[[#This Row],[province RDC]],_26_03_2026_Client_Churn_v1[Province_Client],_26_03_2026_Client_Churn_v1[ID_Client],"non trouvé")</f>
        <v>CLI-00745</v>
      </c>
      <c r="L301">
        <f>_xlfn.XLOOKUP(_26_03_2026_Log_Reseau_v15[[#This Row],[province RDC]],_26_03_2026_Client_Churn_v1[Province_Client],_26_03_2026_Client_Churn_v1[Anciennete_Mois],"non trouvé")</f>
        <v>6</v>
      </c>
      <c r="M301" t="str">
        <f>_xlfn.XLOOKUP(_26_03_2026_Log_Reseau_v15[[#This Row],[province RDC]],_26_03_2026_Client_Churn_v1[Province_Client],_26_03_2026_Client_Churn_v1[Type_Forfait],"non trouvé")</f>
        <v>Premium 5G 150Go</v>
      </c>
      <c r="N301">
        <f>_xlfn.XLOOKUP(_26_03_2026_Log_Reseau_v15[[#This Row],[province RDC]],_26_03_2026_Client_Churn_v1[Province_Client],_26_03_2026_Client_Churn_v1[Duree_Cumulee_Panne_Min],"non trouvé")</f>
        <v>207</v>
      </c>
      <c r="O301">
        <f>_xlfn.XLOOKUP(_26_03_2026_Log_Reseau_v15[[#This Row],[province RDC]],_26_03_2026_Client_Churn_v1[Province_Client],_26_03_2026_Client_Churn_v1[Facture_Mensuelle],"non trouvé")</f>
        <v>61.55</v>
      </c>
      <c r="P301">
        <f>_xlfn.XLOOKUP(_26_03_2026_Log_Reseau_v15[[#This Row],[province RDC]],_26_03_2026_Client_Churn_v1[Province_Client],_26_03_2026_Client_Churn_v1[Plaintes_Service_Client],"non trouvé")</f>
        <v>0</v>
      </c>
    </row>
    <row r="302" spans="1:16" hidden="1" x14ac:dyDescent="0.25">
      <c r="A302" s="1">
        <v>45222</v>
      </c>
      <c r="B302" s="2">
        <v>0.60277777777777775</v>
      </c>
      <c r="C302" t="s">
        <v>993</v>
      </c>
      <c r="D302">
        <v>53</v>
      </c>
      <c r="E302" t="s">
        <v>808</v>
      </c>
      <c r="F302" t="str">
        <f>_xlfn.XLOOKUP(_26_03_2026_Log_Reseau_v15[[#This Row],[Cell_ID]],_26_03_2026_Registre_Maintenance_v1[ID_Antenne],_26_03_2026_Registre_Maintenance_v1[zone],"pas trouvé")</f>
        <v>pas trouvé</v>
      </c>
      <c r="G302" t="str">
        <f>_xlfn.XLOOKUP(_26_03_2026_Log_Reseau_v15[[#This Row],[Cell_ID]],_26_03_2026_Registre_Maintenance_v1[ID_Antenne],_26_03_2026_Registre_Maintenance_v1[Latitude],"non trouvé")</f>
        <v>non trouvé</v>
      </c>
      <c r="H302" t="str">
        <f>_xlfn.XLOOKUP(_26_03_2026_Log_Reseau_v15[[#This Row],[Cell_ID]],_26_03_2026_Registre_Maintenance_v1[ID_Antenne],_26_03_2026_Registre_Maintenance_v1[Longitude],"pas trouvé")</f>
        <v>pas trouvé</v>
      </c>
      <c r="I302" t="str">
        <f>_xlfn.XLOOKUP(_26_03_2026_Log_Reseau_v15[[#This Row],[Cell_ID]],_26_03_2026_Registre_Maintenance_v1[ID_Antenne],_26_03_2026_Registre_Maintenance_v1[Technologie],"non trouvé")</f>
        <v>non trouvé</v>
      </c>
      <c r="J302" t="str">
        <f>_xlfn.XLOOKUP(_26_03_2026_Log_Reseau_v15[[#This Row],[Cell_ID]],_26_03_2026_Registre_Maintenance_v1[ID_Antenne],_26_03_2026_Registre_Maintenance_v1[Equipementier],"pas trouvé")</f>
        <v>pas trouvé</v>
      </c>
      <c r="K302" t="str">
        <f>_xlfn.XLOOKUP(_26_03_2026_Log_Reseau_v15[[#This Row],[province RDC]],_26_03_2026_Client_Churn_v1[Province_Client],_26_03_2026_Client_Churn_v1[ID_Client],"non trouvé")</f>
        <v>non trouvé</v>
      </c>
      <c r="L302" t="str">
        <f>_xlfn.XLOOKUP(_26_03_2026_Log_Reseau_v15[[#This Row],[province RDC]],_26_03_2026_Client_Churn_v1[Province_Client],_26_03_2026_Client_Churn_v1[Anciennete_Mois],"non trouvé")</f>
        <v>non trouvé</v>
      </c>
      <c r="M302" t="str">
        <f>_xlfn.XLOOKUP(_26_03_2026_Log_Reseau_v15[[#This Row],[province RDC]],_26_03_2026_Client_Churn_v1[Province_Client],_26_03_2026_Client_Churn_v1[Type_Forfait],"non trouvé")</f>
        <v>non trouvé</v>
      </c>
      <c r="N302" t="str">
        <f>_xlfn.XLOOKUP(_26_03_2026_Log_Reseau_v15[[#This Row],[province RDC]],_26_03_2026_Client_Churn_v1[Province_Client],_26_03_2026_Client_Churn_v1[Duree_Cumulee_Panne_Min],"non trouvé")</f>
        <v>non trouvé</v>
      </c>
      <c r="O302" t="str">
        <f>_xlfn.XLOOKUP(_26_03_2026_Log_Reseau_v15[[#This Row],[province RDC]],_26_03_2026_Client_Churn_v1[Province_Client],_26_03_2026_Client_Churn_v1[Facture_Mensuelle],"non trouvé")</f>
        <v>non trouvé</v>
      </c>
      <c r="P302" t="str">
        <f>_xlfn.XLOOKUP(_26_03_2026_Log_Reseau_v15[[#This Row],[province RDC]],_26_03_2026_Client_Churn_v1[Province_Client],_26_03_2026_Client_Churn_v1[Plaintes_Service_Client],"non trouvé")</f>
        <v>non trouvé</v>
      </c>
    </row>
    <row r="303" spans="1:16" hidden="1" x14ac:dyDescent="0.25">
      <c r="A303" s="1">
        <v>45223</v>
      </c>
      <c r="B303" s="2">
        <v>0.56805555555555554</v>
      </c>
      <c r="C303" t="s">
        <v>994</v>
      </c>
      <c r="D303">
        <v>21</v>
      </c>
      <c r="E303" t="s">
        <v>807</v>
      </c>
      <c r="F303" t="str">
        <f>_xlfn.XLOOKUP(_26_03_2026_Log_Reseau_v15[[#This Row],[Cell_ID]],_26_03_2026_Registre_Maintenance_v1[ID_Antenne],_26_03_2026_Registre_Maintenance_v1[zone],"pas trouvé")</f>
        <v>pas trouvé</v>
      </c>
      <c r="G303" t="str">
        <f>_xlfn.XLOOKUP(_26_03_2026_Log_Reseau_v15[[#This Row],[Cell_ID]],_26_03_2026_Registre_Maintenance_v1[ID_Antenne],_26_03_2026_Registre_Maintenance_v1[Latitude],"non trouvé")</f>
        <v>non trouvé</v>
      </c>
      <c r="H303" t="str">
        <f>_xlfn.XLOOKUP(_26_03_2026_Log_Reseau_v15[[#This Row],[Cell_ID]],_26_03_2026_Registre_Maintenance_v1[ID_Antenne],_26_03_2026_Registre_Maintenance_v1[Longitude],"pas trouvé")</f>
        <v>pas trouvé</v>
      </c>
      <c r="I303" t="str">
        <f>_xlfn.XLOOKUP(_26_03_2026_Log_Reseau_v15[[#This Row],[Cell_ID]],_26_03_2026_Registre_Maintenance_v1[ID_Antenne],_26_03_2026_Registre_Maintenance_v1[Technologie],"non trouvé")</f>
        <v>non trouvé</v>
      </c>
      <c r="J303" t="str">
        <f>_xlfn.XLOOKUP(_26_03_2026_Log_Reseau_v15[[#This Row],[Cell_ID]],_26_03_2026_Registre_Maintenance_v1[ID_Antenne],_26_03_2026_Registre_Maintenance_v1[Equipementier],"pas trouvé")</f>
        <v>pas trouvé</v>
      </c>
      <c r="K303" t="str">
        <f>_xlfn.XLOOKUP(_26_03_2026_Log_Reseau_v15[[#This Row],[province RDC]],_26_03_2026_Client_Churn_v1[Province_Client],_26_03_2026_Client_Churn_v1[ID_Client],"non trouvé")</f>
        <v>non trouvé</v>
      </c>
      <c r="L303" t="str">
        <f>_xlfn.XLOOKUP(_26_03_2026_Log_Reseau_v15[[#This Row],[province RDC]],_26_03_2026_Client_Churn_v1[Province_Client],_26_03_2026_Client_Churn_v1[Anciennete_Mois],"non trouvé")</f>
        <v>non trouvé</v>
      </c>
      <c r="M303" t="str">
        <f>_xlfn.XLOOKUP(_26_03_2026_Log_Reseau_v15[[#This Row],[province RDC]],_26_03_2026_Client_Churn_v1[Province_Client],_26_03_2026_Client_Churn_v1[Type_Forfait],"non trouvé")</f>
        <v>non trouvé</v>
      </c>
      <c r="N303" t="str">
        <f>_xlfn.XLOOKUP(_26_03_2026_Log_Reseau_v15[[#This Row],[province RDC]],_26_03_2026_Client_Churn_v1[Province_Client],_26_03_2026_Client_Churn_v1[Duree_Cumulee_Panne_Min],"non trouvé")</f>
        <v>non trouvé</v>
      </c>
      <c r="O303" t="str">
        <f>_xlfn.XLOOKUP(_26_03_2026_Log_Reseau_v15[[#This Row],[province RDC]],_26_03_2026_Client_Churn_v1[Province_Client],_26_03_2026_Client_Churn_v1[Facture_Mensuelle],"non trouvé")</f>
        <v>non trouvé</v>
      </c>
      <c r="P303" t="str">
        <f>_xlfn.XLOOKUP(_26_03_2026_Log_Reseau_v15[[#This Row],[province RDC]],_26_03_2026_Client_Churn_v1[Province_Client],_26_03_2026_Client_Churn_v1[Plaintes_Service_Client],"non trouvé")</f>
        <v>non trouvé</v>
      </c>
    </row>
    <row r="304" spans="1:16" hidden="1" x14ac:dyDescent="0.25">
      <c r="A304" s="1">
        <v>45223</v>
      </c>
      <c r="B304" s="2">
        <v>0.69305555555555554</v>
      </c>
      <c r="C304" t="s">
        <v>994</v>
      </c>
      <c r="D304">
        <v>18</v>
      </c>
      <c r="E304" t="s">
        <v>808</v>
      </c>
      <c r="F304" t="str">
        <f>_xlfn.XLOOKUP(_26_03_2026_Log_Reseau_v15[[#This Row],[Cell_ID]],_26_03_2026_Registre_Maintenance_v1[ID_Antenne],_26_03_2026_Registre_Maintenance_v1[zone],"pas trouvé")</f>
        <v>pas trouvé</v>
      </c>
      <c r="G304" t="str">
        <f>_xlfn.XLOOKUP(_26_03_2026_Log_Reseau_v15[[#This Row],[Cell_ID]],_26_03_2026_Registre_Maintenance_v1[ID_Antenne],_26_03_2026_Registre_Maintenance_v1[Latitude],"non trouvé")</f>
        <v>non trouvé</v>
      </c>
      <c r="H304" t="str">
        <f>_xlfn.XLOOKUP(_26_03_2026_Log_Reseau_v15[[#This Row],[Cell_ID]],_26_03_2026_Registre_Maintenance_v1[ID_Antenne],_26_03_2026_Registre_Maintenance_v1[Longitude],"pas trouvé")</f>
        <v>pas trouvé</v>
      </c>
      <c r="I304" t="str">
        <f>_xlfn.XLOOKUP(_26_03_2026_Log_Reseau_v15[[#This Row],[Cell_ID]],_26_03_2026_Registre_Maintenance_v1[ID_Antenne],_26_03_2026_Registre_Maintenance_v1[Technologie],"non trouvé")</f>
        <v>non trouvé</v>
      </c>
      <c r="J304" t="str">
        <f>_xlfn.XLOOKUP(_26_03_2026_Log_Reseau_v15[[#This Row],[Cell_ID]],_26_03_2026_Registre_Maintenance_v1[ID_Antenne],_26_03_2026_Registre_Maintenance_v1[Equipementier],"pas trouvé")</f>
        <v>pas trouvé</v>
      </c>
      <c r="K304" t="str">
        <f>_xlfn.XLOOKUP(_26_03_2026_Log_Reseau_v15[[#This Row],[province RDC]],_26_03_2026_Client_Churn_v1[Province_Client],_26_03_2026_Client_Churn_v1[ID_Client],"non trouvé")</f>
        <v>non trouvé</v>
      </c>
      <c r="L304" t="str">
        <f>_xlfn.XLOOKUP(_26_03_2026_Log_Reseau_v15[[#This Row],[province RDC]],_26_03_2026_Client_Churn_v1[Province_Client],_26_03_2026_Client_Churn_v1[Anciennete_Mois],"non trouvé")</f>
        <v>non trouvé</v>
      </c>
      <c r="M304" t="str">
        <f>_xlfn.XLOOKUP(_26_03_2026_Log_Reseau_v15[[#This Row],[province RDC]],_26_03_2026_Client_Churn_v1[Province_Client],_26_03_2026_Client_Churn_v1[Type_Forfait],"non trouvé")</f>
        <v>non trouvé</v>
      </c>
      <c r="N304" t="str">
        <f>_xlfn.XLOOKUP(_26_03_2026_Log_Reseau_v15[[#This Row],[province RDC]],_26_03_2026_Client_Churn_v1[Province_Client],_26_03_2026_Client_Churn_v1[Duree_Cumulee_Panne_Min],"non trouvé")</f>
        <v>non trouvé</v>
      </c>
      <c r="O304" t="str">
        <f>_xlfn.XLOOKUP(_26_03_2026_Log_Reseau_v15[[#This Row],[province RDC]],_26_03_2026_Client_Churn_v1[Province_Client],_26_03_2026_Client_Churn_v1[Facture_Mensuelle],"non trouvé")</f>
        <v>non trouvé</v>
      </c>
      <c r="P304" t="str">
        <f>_xlfn.XLOOKUP(_26_03_2026_Log_Reseau_v15[[#This Row],[province RDC]],_26_03_2026_Client_Churn_v1[Province_Client],_26_03_2026_Client_Churn_v1[Plaintes_Service_Client],"non trouvé")</f>
        <v>non trouvé</v>
      </c>
    </row>
    <row r="305" spans="1:16" x14ac:dyDescent="0.25">
      <c r="A305" s="1">
        <v>45202</v>
      </c>
      <c r="B305" s="2">
        <v>0.41249999999999998</v>
      </c>
      <c r="C305" t="s">
        <v>995</v>
      </c>
      <c r="D305">
        <v>35</v>
      </c>
      <c r="E305" t="s">
        <v>807</v>
      </c>
      <c r="F305" t="str">
        <f>_xlfn.XLOOKUP(_26_03_2026_Log_Reseau_v15[[#This Row],[Cell_ID]],_26_03_2026_Registre_Maintenance_v1[ID_Antenne],_26_03_2026_Registre_Maintenance_v1[zone],"pas trouvé")</f>
        <v>Bas-Uele</v>
      </c>
      <c r="G305">
        <f>_xlfn.XLOOKUP(_26_03_2026_Log_Reseau_v15[[#This Row],[Cell_ID]],_26_03_2026_Registre_Maintenance_v1[ID_Antenne],_26_03_2026_Registre_Maintenance_v1[Latitude],"non trouvé")</f>
        <v>-6.4197189999999997</v>
      </c>
      <c r="H305">
        <f>_xlfn.XLOOKUP(_26_03_2026_Log_Reseau_v15[[#This Row],[Cell_ID]],_26_03_2026_Registre_Maintenance_v1[ID_Antenne],_26_03_2026_Registre_Maintenance_v1[Longitude],"pas trouvé")</f>
        <v>22.287264</v>
      </c>
      <c r="I305" t="str">
        <f>_xlfn.XLOOKUP(_26_03_2026_Log_Reseau_v15[[#This Row],[Cell_ID]],_26_03_2026_Registre_Maintenance_v1[ID_Antenne],_26_03_2026_Registre_Maintenance_v1[Technologie],"non trouvé")</f>
        <v>3G</v>
      </c>
      <c r="J305" t="str">
        <f>_xlfn.XLOOKUP(_26_03_2026_Log_Reseau_v15[[#This Row],[Cell_ID]],_26_03_2026_Registre_Maintenance_v1[ID_Antenne],_26_03_2026_Registre_Maintenance_v1[Equipementier],"pas trouvé")</f>
        <v>Ericsson</v>
      </c>
      <c r="K305" t="str">
        <f>_xlfn.XLOOKUP(_26_03_2026_Log_Reseau_v15[[#This Row],[province RDC]],_26_03_2026_Client_Churn_v1[Province_Client],_26_03_2026_Client_Churn_v1[ID_Client],"non trouvé")</f>
        <v>CLI-00414</v>
      </c>
      <c r="L305">
        <f>_xlfn.XLOOKUP(_26_03_2026_Log_Reseau_v15[[#This Row],[province RDC]],_26_03_2026_Client_Churn_v1[Province_Client],_26_03_2026_Client_Churn_v1[Anciennete_Mois],"non trouvé")</f>
        <v>99</v>
      </c>
      <c r="M305" t="str">
        <f>_xlfn.XLOOKUP(_26_03_2026_Log_Reseau_v15[[#This Row],[province RDC]],_26_03_2026_Client_Churn_v1[Province_Client],_26_03_2026_Client_Churn_v1[Type_Forfait],"non trouvé")</f>
        <v>Premium 5G 150Go</v>
      </c>
      <c r="N305">
        <f>_xlfn.XLOOKUP(_26_03_2026_Log_Reseau_v15[[#This Row],[province RDC]],_26_03_2026_Client_Churn_v1[Province_Client],_26_03_2026_Client_Churn_v1[Duree_Cumulee_Panne_Min],"non trouvé")</f>
        <v>447</v>
      </c>
      <c r="O305">
        <f>_xlfn.XLOOKUP(_26_03_2026_Log_Reseau_v15[[#This Row],[province RDC]],_26_03_2026_Client_Churn_v1[Province_Client],_26_03_2026_Client_Churn_v1[Facture_Mensuelle],"non trouvé")</f>
        <v>38.1</v>
      </c>
      <c r="P305">
        <f>_xlfn.XLOOKUP(_26_03_2026_Log_Reseau_v15[[#This Row],[province RDC]],_26_03_2026_Client_Churn_v1[Province_Client],_26_03_2026_Client_Churn_v1[Plaintes_Service_Client],"non trouvé")</f>
        <v>3</v>
      </c>
    </row>
    <row r="306" spans="1:16" x14ac:dyDescent="0.25">
      <c r="A306" s="1">
        <v>45209</v>
      </c>
      <c r="B306" s="2">
        <v>0.91388888888888886</v>
      </c>
      <c r="C306" t="s">
        <v>995</v>
      </c>
      <c r="D306">
        <v>111</v>
      </c>
      <c r="E306" t="s">
        <v>812</v>
      </c>
      <c r="F306" t="str">
        <f>_xlfn.XLOOKUP(_26_03_2026_Log_Reseau_v15[[#This Row],[Cell_ID]],_26_03_2026_Registre_Maintenance_v1[ID_Antenne],_26_03_2026_Registre_Maintenance_v1[zone],"pas trouvé")</f>
        <v>Bas-Uele</v>
      </c>
      <c r="G306">
        <f>_xlfn.XLOOKUP(_26_03_2026_Log_Reseau_v15[[#This Row],[Cell_ID]],_26_03_2026_Registre_Maintenance_v1[ID_Antenne],_26_03_2026_Registre_Maintenance_v1[Latitude],"non trouvé")</f>
        <v>-6.4197189999999997</v>
      </c>
      <c r="H306">
        <f>_xlfn.XLOOKUP(_26_03_2026_Log_Reseau_v15[[#This Row],[Cell_ID]],_26_03_2026_Registre_Maintenance_v1[ID_Antenne],_26_03_2026_Registre_Maintenance_v1[Longitude],"pas trouvé")</f>
        <v>22.287264</v>
      </c>
      <c r="I306" t="str">
        <f>_xlfn.XLOOKUP(_26_03_2026_Log_Reseau_v15[[#This Row],[Cell_ID]],_26_03_2026_Registre_Maintenance_v1[ID_Antenne],_26_03_2026_Registre_Maintenance_v1[Technologie],"non trouvé")</f>
        <v>3G</v>
      </c>
      <c r="J306" t="str">
        <f>_xlfn.XLOOKUP(_26_03_2026_Log_Reseau_v15[[#This Row],[Cell_ID]],_26_03_2026_Registre_Maintenance_v1[ID_Antenne],_26_03_2026_Registre_Maintenance_v1[Equipementier],"pas trouvé")</f>
        <v>Ericsson</v>
      </c>
      <c r="K306" t="str">
        <f>_xlfn.XLOOKUP(_26_03_2026_Log_Reseau_v15[[#This Row],[province RDC]],_26_03_2026_Client_Churn_v1[Province_Client],_26_03_2026_Client_Churn_v1[ID_Client],"non trouvé")</f>
        <v>CLI-00414</v>
      </c>
      <c r="L306">
        <f>_xlfn.XLOOKUP(_26_03_2026_Log_Reseau_v15[[#This Row],[province RDC]],_26_03_2026_Client_Churn_v1[Province_Client],_26_03_2026_Client_Churn_v1[Anciennete_Mois],"non trouvé")</f>
        <v>99</v>
      </c>
      <c r="M306" t="str">
        <f>_xlfn.XLOOKUP(_26_03_2026_Log_Reseau_v15[[#This Row],[province RDC]],_26_03_2026_Client_Churn_v1[Province_Client],_26_03_2026_Client_Churn_v1[Type_Forfait],"non trouvé")</f>
        <v>Premium 5G 150Go</v>
      </c>
      <c r="N306">
        <f>_xlfn.XLOOKUP(_26_03_2026_Log_Reseau_v15[[#This Row],[province RDC]],_26_03_2026_Client_Churn_v1[Province_Client],_26_03_2026_Client_Churn_v1[Duree_Cumulee_Panne_Min],"non trouvé")</f>
        <v>447</v>
      </c>
      <c r="O306">
        <f>_xlfn.XLOOKUP(_26_03_2026_Log_Reseau_v15[[#This Row],[province RDC]],_26_03_2026_Client_Churn_v1[Province_Client],_26_03_2026_Client_Churn_v1[Facture_Mensuelle],"non trouvé")</f>
        <v>38.1</v>
      </c>
      <c r="P306">
        <f>_xlfn.XLOOKUP(_26_03_2026_Log_Reseau_v15[[#This Row],[province RDC]],_26_03_2026_Client_Churn_v1[Province_Client],_26_03_2026_Client_Churn_v1[Plaintes_Service_Client],"non trouvé")</f>
        <v>3</v>
      </c>
    </row>
    <row r="307" spans="1:16" x14ac:dyDescent="0.25">
      <c r="A307" s="1">
        <v>45216</v>
      </c>
      <c r="B307" s="2">
        <v>0.97013888888888888</v>
      </c>
      <c r="C307" t="s">
        <v>995</v>
      </c>
      <c r="D307">
        <v>13</v>
      </c>
      <c r="E307" t="s">
        <v>812</v>
      </c>
      <c r="F307" t="str">
        <f>_xlfn.XLOOKUP(_26_03_2026_Log_Reseau_v15[[#This Row],[Cell_ID]],_26_03_2026_Registre_Maintenance_v1[ID_Antenne],_26_03_2026_Registre_Maintenance_v1[zone],"pas trouvé")</f>
        <v>Bas-Uele</v>
      </c>
      <c r="G307">
        <f>_xlfn.XLOOKUP(_26_03_2026_Log_Reseau_v15[[#This Row],[Cell_ID]],_26_03_2026_Registre_Maintenance_v1[ID_Antenne],_26_03_2026_Registre_Maintenance_v1[Latitude],"non trouvé")</f>
        <v>-6.4197189999999997</v>
      </c>
      <c r="H307">
        <f>_xlfn.XLOOKUP(_26_03_2026_Log_Reseau_v15[[#This Row],[Cell_ID]],_26_03_2026_Registre_Maintenance_v1[ID_Antenne],_26_03_2026_Registre_Maintenance_v1[Longitude],"pas trouvé")</f>
        <v>22.287264</v>
      </c>
      <c r="I307" t="str">
        <f>_xlfn.XLOOKUP(_26_03_2026_Log_Reseau_v15[[#This Row],[Cell_ID]],_26_03_2026_Registre_Maintenance_v1[ID_Antenne],_26_03_2026_Registre_Maintenance_v1[Technologie],"non trouvé")</f>
        <v>3G</v>
      </c>
      <c r="J307" t="str">
        <f>_xlfn.XLOOKUP(_26_03_2026_Log_Reseau_v15[[#This Row],[Cell_ID]],_26_03_2026_Registre_Maintenance_v1[ID_Antenne],_26_03_2026_Registre_Maintenance_v1[Equipementier],"pas trouvé")</f>
        <v>Ericsson</v>
      </c>
      <c r="K307" t="str">
        <f>_xlfn.XLOOKUP(_26_03_2026_Log_Reseau_v15[[#This Row],[province RDC]],_26_03_2026_Client_Churn_v1[Province_Client],_26_03_2026_Client_Churn_v1[ID_Client],"non trouvé")</f>
        <v>CLI-00414</v>
      </c>
      <c r="L307">
        <f>_xlfn.XLOOKUP(_26_03_2026_Log_Reseau_v15[[#This Row],[province RDC]],_26_03_2026_Client_Churn_v1[Province_Client],_26_03_2026_Client_Churn_v1[Anciennete_Mois],"non trouvé")</f>
        <v>99</v>
      </c>
      <c r="M307" t="str">
        <f>_xlfn.XLOOKUP(_26_03_2026_Log_Reseau_v15[[#This Row],[province RDC]],_26_03_2026_Client_Churn_v1[Province_Client],_26_03_2026_Client_Churn_v1[Type_Forfait],"non trouvé")</f>
        <v>Premium 5G 150Go</v>
      </c>
      <c r="N307">
        <f>_xlfn.XLOOKUP(_26_03_2026_Log_Reseau_v15[[#This Row],[province RDC]],_26_03_2026_Client_Churn_v1[Province_Client],_26_03_2026_Client_Churn_v1[Duree_Cumulee_Panne_Min],"non trouvé")</f>
        <v>447</v>
      </c>
      <c r="O307">
        <f>_xlfn.XLOOKUP(_26_03_2026_Log_Reseau_v15[[#This Row],[province RDC]],_26_03_2026_Client_Churn_v1[Province_Client],_26_03_2026_Client_Churn_v1[Facture_Mensuelle],"non trouvé")</f>
        <v>38.1</v>
      </c>
      <c r="P307">
        <f>_xlfn.XLOOKUP(_26_03_2026_Log_Reseau_v15[[#This Row],[province RDC]],_26_03_2026_Client_Churn_v1[Province_Client],_26_03_2026_Client_Churn_v1[Plaintes_Service_Client],"non trouvé")</f>
        <v>3</v>
      </c>
    </row>
    <row r="308" spans="1:16" x14ac:dyDescent="0.25">
      <c r="A308" s="1">
        <v>45230</v>
      </c>
      <c r="B308" s="2">
        <v>0.22847222222222222</v>
      </c>
      <c r="C308" t="s">
        <v>996</v>
      </c>
      <c r="D308">
        <v>39</v>
      </c>
      <c r="E308" t="s">
        <v>812</v>
      </c>
      <c r="F308" t="str">
        <f>_xlfn.XLOOKUP(_26_03_2026_Log_Reseau_v15[[#This Row],[Cell_ID]],_26_03_2026_Registre_Maintenance_v1[ID_Antenne],_26_03_2026_Registre_Maintenance_v1[zone],"pas trouvé")</f>
        <v>Lomami</v>
      </c>
      <c r="G308">
        <f>_xlfn.XLOOKUP(_26_03_2026_Log_Reseau_v15[[#This Row],[Cell_ID]],_26_03_2026_Registre_Maintenance_v1[ID_Antenne],_26_03_2026_Registre_Maintenance_v1[Latitude],"non trouvé")</f>
        <v>-5.7035130000000001</v>
      </c>
      <c r="H308">
        <f>_xlfn.XLOOKUP(_26_03_2026_Log_Reseau_v15[[#This Row],[Cell_ID]],_26_03_2026_Registre_Maintenance_v1[ID_Antenne],_26_03_2026_Registre_Maintenance_v1[Longitude],"pas trouvé")</f>
        <v>14.331479</v>
      </c>
      <c r="I308" t="str">
        <f>_xlfn.XLOOKUP(_26_03_2026_Log_Reseau_v15[[#This Row],[Cell_ID]],_26_03_2026_Registre_Maintenance_v1[ID_Antenne],_26_03_2026_Registre_Maintenance_v1[Technologie],"non trouvé")</f>
        <v>5G</v>
      </c>
      <c r="J308" t="str">
        <f>_xlfn.XLOOKUP(_26_03_2026_Log_Reseau_v15[[#This Row],[Cell_ID]],_26_03_2026_Registre_Maintenance_v1[ID_Antenne],_26_03_2026_Registre_Maintenance_v1[Equipementier],"pas trouvé")</f>
        <v>Nokia</v>
      </c>
      <c r="K308" t="str">
        <f>_xlfn.XLOOKUP(_26_03_2026_Log_Reseau_v15[[#This Row],[province RDC]],_26_03_2026_Client_Churn_v1[Province_Client],_26_03_2026_Client_Churn_v1[ID_Client],"non trouvé")</f>
        <v>CLI-00131</v>
      </c>
      <c r="L308">
        <f>_xlfn.XLOOKUP(_26_03_2026_Log_Reseau_v15[[#This Row],[province RDC]],_26_03_2026_Client_Churn_v1[Province_Client],_26_03_2026_Client_Churn_v1[Anciennete_Mois],"non trouvé")</f>
        <v>101</v>
      </c>
      <c r="M308" t="str">
        <f>_xlfn.XLOOKUP(_26_03_2026_Log_Reseau_v15[[#This Row],[province RDC]],_26_03_2026_Client_Churn_v1[Province_Client],_26_03_2026_Client_Churn_v1[Type_Forfait],"non trouvé")</f>
        <v>Pro Monde</v>
      </c>
      <c r="N308">
        <f>_xlfn.XLOOKUP(_26_03_2026_Log_Reseau_v15[[#This Row],[province RDC]],_26_03_2026_Client_Churn_v1[Province_Client],_26_03_2026_Client_Churn_v1[Duree_Cumulee_Panne_Min],"non trouvé")</f>
        <v>176</v>
      </c>
      <c r="O308">
        <f>_xlfn.XLOOKUP(_26_03_2026_Log_Reseau_v15[[#This Row],[province RDC]],_26_03_2026_Client_Churn_v1[Province_Client],_26_03_2026_Client_Churn_v1[Facture_Mensuelle],"non trouvé")</f>
        <v>86</v>
      </c>
      <c r="P308">
        <f>_xlfn.XLOOKUP(_26_03_2026_Log_Reseau_v15[[#This Row],[province RDC]],_26_03_2026_Client_Churn_v1[Province_Client],_26_03_2026_Client_Churn_v1[Plaintes_Service_Client],"non trouvé")</f>
        <v>3</v>
      </c>
    </row>
    <row r="309" spans="1:16" x14ac:dyDescent="0.25">
      <c r="A309" s="1">
        <v>45219</v>
      </c>
      <c r="B309" s="2">
        <v>0.10347222222222222</v>
      </c>
      <c r="C309" t="s">
        <v>996</v>
      </c>
      <c r="D309">
        <v>72</v>
      </c>
      <c r="E309" t="s">
        <v>808</v>
      </c>
      <c r="F309" t="str">
        <f>_xlfn.XLOOKUP(_26_03_2026_Log_Reseau_v15[[#This Row],[Cell_ID]],_26_03_2026_Registre_Maintenance_v1[ID_Antenne],_26_03_2026_Registre_Maintenance_v1[zone],"pas trouvé")</f>
        <v>Lomami</v>
      </c>
      <c r="G309">
        <f>_xlfn.XLOOKUP(_26_03_2026_Log_Reseau_v15[[#This Row],[Cell_ID]],_26_03_2026_Registre_Maintenance_v1[ID_Antenne],_26_03_2026_Registre_Maintenance_v1[Latitude],"non trouvé")</f>
        <v>-5.7035130000000001</v>
      </c>
      <c r="H309">
        <f>_xlfn.XLOOKUP(_26_03_2026_Log_Reseau_v15[[#This Row],[Cell_ID]],_26_03_2026_Registre_Maintenance_v1[ID_Antenne],_26_03_2026_Registre_Maintenance_v1[Longitude],"pas trouvé")</f>
        <v>14.331479</v>
      </c>
      <c r="I309" t="str">
        <f>_xlfn.XLOOKUP(_26_03_2026_Log_Reseau_v15[[#This Row],[Cell_ID]],_26_03_2026_Registre_Maintenance_v1[ID_Antenne],_26_03_2026_Registre_Maintenance_v1[Technologie],"non trouvé")</f>
        <v>5G</v>
      </c>
      <c r="J309" t="str">
        <f>_xlfn.XLOOKUP(_26_03_2026_Log_Reseau_v15[[#This Row],[Cell_ID]],_26_03_2026_Registre_Maintenance_v1[ID_Antenne],_26_03_2026_Registre_Maintenance_v1[Equipementier],"pas trouvé")</f>
        <v>Nokia</v>
      </c>
      <c r="K309" t="str">
        <f>_xlfn.XLOOKUP(_26_03_2026_Log_Reseau_v15[[#This Row],[province RDC]],_26_03_2026_Client_Churn_v1[Province_Client],_26_03_2026_Client_Churn_v1[ID_Client],"non trouvé")</f>
        <v>CLI-00131</v>
      </c>
      <c r="L309">
        <f>_xlfn.XLOOKUP(_26_03_2026_Log_Reseau_v15[[#This Row],[province RDC]],_26_03_2026_Client_Churn_v1[Province_Client],_26_03_2026_Client_Churn_v1[Anciennete_Mois],"non trouvé")</f>
        <v>101</v>
      </c>
      <c r="M309" t="str">
        <f>_xlfn.XLOOKUP(_26_03_2026_Log_Reseau_v15[[#This Row],[province RDC]],_26_03_2026_Client_Churn_v1[Province_Client],_26_03_2026_Client_Churn_v1[Type_Forfait],"non trouvé")</f>
        <v>Pro Monde</v>
      </c>
      <c r="N309">
        <f>_xlfn.XLOOKUP(_26_03_2026_Log_Reseau_v15[[#This Row],[province RDC]],_26_03_2026_Client_Churn_v1[Province_Client],_26_03_2026_Client_Churn_v1[Duree_Cumulee_Panne_Min],"non trouvé")</f>
        <v>176</v>
      </c>
      <c r="O309">
        <f>_xlfn.XLOOKUP(_26_03_2026_Log_Reseau_v15[[#This Row],[province RDC]],_26_03_2026_Client_Churn_v1[Province_Client],_26_03_2026_Client_Churn_v1[Facture_Mensuelle],"non trouvé")</f>
        <v>86</v>
      </c>
      <c r="P309">
        <f>_xlfn.XLOOKUP(_26_03_2026_Log_Reseau_v15[[#This Row],[province RDC]],_26_03_2026_Client_Churn_v1[Province_Client],_26_03_2026_Client_Churn_v1[Plaintes_Service_Client],"non trouvé")</f>
        <v>3</v>
      </c>
    </row>
    <row r="310" spans="1:16" x14ac:dyDescent="0.25">
      <c r="A310" s="1">
        <v>45201</v>
      </c>
      <c r="B310" s="2">
        <v>0.72638888888888886</v>
      </c>
      <c r="C310" t="s">
        <v>997</v>
      </c>
      <c r="D310">
        <v>97</v>
      </c>
      <c r="E310" t="s">
        <v>808</v>
      </c>
      <c r="F310" t="str">
        <f>_xlfn.XLOOKUP(_26_03_2026_Log_Reseau_v15[[#This Row],[Cell_ID]],_26_03_2026_Registre_Maintenance_v1[ID_Antenne],_26_03_2026_Registre_Maintenance_v1[zone],"pas trouvé")</f>
        <v>Kasai-Oriental</v>
      </c>
      <c r="G310">
        <f>_xlfn.XLOOKUP(_26_03_2026_Log_Reseau_v15[[#This Row],[Cell_ID]],_26_03_2026_Registre_Maintenance_v1[ID_Antenne],_26_03_2026_Registre_Maintenance_v1[Latitude],"non trouvé")</f>
        <v>-4.3639070000000002</v>
      </c>
      <c r="H310">
        <f>_xlfn.XLOOKUP(_26_03_2026_Log_Reseau_v15[[#This Row],[Cell_ID]],_26_03_2026_Registre_Maintenance_v1[ID_Antenne],_26_03_2026_Registre_Maintenance_v1[Longitude],"pas trouvé")</f>
        <v>16.283307000000001</v>
      </c>
      <c r="I310" t="str">
        <f>_xlfn.XLOOKUP(_26_03_2026_Log_Reseau_v15[[#This Row],[Cell_ID]],_26_03_2026_Registre_Maintenance_v1[ID_Antenne],_26_03_2026_Registre_Maintenance_v1[Technologie],"non trouvé")</f>
        <v>5G</v>
      </c>
      <c r="J310" t="str">
        <f>_xlfn.XLOOKUP(_26_03_2026_Log_Reseau_v15[[#This Row],[Cell_ID]],_26_03_2026_Registre_Maintenance_v1[ID_Antenne],_26_03_2026_Registre_Maintenance_v1[Equipementier],"pas trouvé")</f>
        <v>Huawei</v>
      </c>
      <c r="K310" t="str">
        <f>_xlfn.XLOOKUP(_26_03_2026_Log_Reseau_v15[[#This Row],[province RDC]],_26_03_2026_Client_Churn_v1[Province_Client],_26_03_2026_Client_Churn_v1[ID_Client],"non trouvé")</f>
        <v>CLI-01837</v>
      </c>
      <c r="L310">
        <f>_xlfn.XLOOKUP(_26_03_2026_Log_Reseau_v15[[#This Row],[province RDC]],_26_03_2026_Client_Churn_v1[Province_Client],_26_03_2026_Client_Churn_v1[Anciennete_Mois],"non trouvé")</f>
        <v>97</v>
      </c>
      <c r="M310" t="str">
        <f>_xlfn.XLOOKUP(_26_03_2026_Log_Reseau_v15[[#This Row],[province RDC]],_26_03_2026_Client_Churn_v1[Province_Client],_26_03_2026_Client_Churn_v1[Type_Forfait],"non trouvé")</f>
        <v>Pro Monde</v>
      </c>
      <c r="N310">
        <f>_xlfn.XLOOKUP(_26_03_2026_Log_Reseau_v15[[#This Row],[province RDC]],_26_03_2026_Client_Churn_v1[Province_Client],_26_03_2026_Client_Churn_v1[Duree_Cumulee_Panne_Min],"non trouvé")</f>
        <v>319</v>
      </c>
      <c r="O310">
        <f>_xlfn.XLOOKUP(_26_03_2026_Log_Reseau_v15[[#This Row],[province RDC]],_26_03_2026_Client_Churn_v1[Province_Client],_26_03_2026_Client_Churn_v1[Facture_Mensuelle],"non trouvé")</f>
        <v>31.25</v>
      </c>
      <c r="P310">
        <f>_xlfn.XLOOKUP(_26_03_2026_Log_Reseau_v15[[#This Row],[province RDC]],_26_03_2026_Client_Churn_v1[Province_Client],_26_03_2026_Client_Churn_v1[Plaintes_Service_Client],"non trouvé")</f>
        <v>1</v>
      </c>
    </row>
    <row r="311" spans="1:16" x14ac:dyDescent="0.25">
      <c r="A311" s="1">
        <v>45208</v>
      </c>
      <c r="B311" s="2">
        <v>0.16944444444444445</v>
      </c>
      <c r="C311" t="s">
        <v>998</v>
      </c>
      <c r="D311">
        <v>47</v>
      </c>
      <c r="E311" t="s">
        <v>807</v>
      </c>
      <c r="F311" t="str">
        <f>_xlfn.XLOOKUP(_26_03_2026_Log_Reseau_v15[[#This Row],[Cell_ID]],_26_03_2026_Registre_Maintenance_v1[ID_Antenne],_26_03_2026_Registre_Maintenance_v1[zone],"pas trouvé")</f>
        <v>Kasai</v>
      </c>
      <c r="G311">
        <f>_xlfn.XLOOKUP(_26_03_2026_Log_Reseau_v15[[#This Row],[Cell_ID]],_26_03_2026_Registre_Maintenance_v1[ID_Antenne],_26_03_2026_Registre_Maintenance_v1[Latitude],"non trouvé")</f>
        <v>-4.351254</v>
      </c>
      <c r="H311">
        <f>_xlfn.XLOOKUP(_26_03_2026_Log_Reseau_v15[[#This Row],[Cell_ID]],_26_03_2026_Registre_Maintenance_v1[ID_Antenne],_26_03_2026_Registre_Maintenance_v1[Longitude],"pas trouvé")</f>
        <v>30.097408999999999</v>
      </c>
      <c r="I311" t="str">
        <f>_xlfn.XLOOKUP(_26_03_2026_Log_Reseau_v15[[#This Row],[Cell_ID]],_26_03_2026_Registre_Maintenance_v1[ID_Antenne],_26_03_2026_Registre_Maintenance_v1[Technologie],"non trouvé")</f>
        <v>5G</v>
      </c>
      <c r="J311" t="str">
        <f>_xlfn.XLOOKUP(_26_03_2026_Log_Reseau_v15[[#This Row],[Cell_ID]],_26_03_2026_Registre_Maintenance_v1[ID_Antenne],_26_03_2026_Registre_Maintenance_v1[Equipementier],"pas trouvé")</f>
        <v>Nokia</v>
      </c>
      <c r="K311" t="str">
        <f>_xlfn.XLOOKUP(_26_03_2026_Log_Reseau_v15[[#This Row],[province RDC]],_26_03_2026_Client_Churn_v1[Province_Client],_26_03_2026_Client_Churn_v1[ID_Client],"non trouvé")</f>
        <v>CLI-00559</v>
      </c>
      <c r="L311">
        <f>_xlfn.XLOOKUP(_26_03_2026_Log_Reseau_v15[[#This Row],[province RDC]],_26_03_2026_Client_Churn_v1[Province_Client],_26_03_2026_Client_Churn_v1[Anciennete_Mois],"non trouvé")</f>
        <v>99</v>
      </c>
      <c r="M311" t="str">
        <f>_xlfn.XLOOKUP(_26_03_2026_Log_Reseau_v15[[#This Row],[province RDC]],_26_03_2026_Client_Churn_v1[Province_Client],_26_03_2026_Client_Churn_v1[Type_Forfait],"non trouvé")</f>
        <v>Bloqué 5Go</v>
      </c>
      <c r="N311">
        <f>_xlfn.XLOOKUP(_26_03_2026_Log_Reseau_v15[[#This Row],[province RDC]],_26_03_2026_Client_Churn_v1[Province_Client],_26_03_2026_Client_Churn_v1[Duree_Cumulee_Panne_Min],"non trouvé")</f>
        <v>369</v>
      </c>
      <c r="O311">
        <f>_xlfn.XLOOKUP(_26_03_2026_Log_Reseau_v15[[#This Row],[province RDC]],_26_03_2026_Client_Churn_v1[Province_Client],_26_03_2026_Client_Churn_v1[Facture_Mensuelle],"non trouvé")</f>
        <v>67.209999999999994</v>
      </c>
      <c r="P311">
        <f>_xlfn.XLOOKUP(_26_03_2026_Log_Reseau_v15[[#This Row],[province RDC]],_26_03_2026_Client_Churn_v1[Province_Client],_26_03_2026_Client_Churn_v1[Plaintes_Service_Client],"non trouvé")</f>
        <v>3</v>
      </c>
    </row>
    <row r="312" spans="1:16" x14ac:dyDescent="0.25">
      <c r="A312" s="1">
        <v>45210</v>
      </c>
      <c r="B312" s="2">
        <v>0.89583333333333337</v>
      </c>
      <c r="C312" t="s">
        <v>998</v>
      </c>
      <c r="D312">
        <v>110</v>
      </c>
      <c r="E312" t="s">
        <v>812</v>
      </c>
      <c r="F312" t="str">
        <f>_xlfn.XLOOKUP(_26_03_2026_Log_Reseau_v15[[#This Row],[Cell_ID]],_26_03_2026_Registre_Maintenance_v1[ID_Antenne],_26_03_2026_Registre_Maintenance_v1[zone],"pas trouvé")</f>
        <v>Kasai</v>
      </c>
      <c r="G312">
        <f>_xlfn.XLOOKUP(_26_03_2026_Log_Reseau_v15[[#This Row],[Cell_ID]],_26_03_2026_Registre_Maintenance_v1[ID_Antenne],_26_03_2026_Registre_Maintenance_v1[Latitude],"non trouvé")</f>
        <v>-4.351254</v>
      </c>
      <c r="H312">
        <f>_xlfn.XLOOKUP(_26_03_2026_Log_Reseau_v15[[#This Row],[Cell_ID]],_26_03_2026_Registre_Maintenance_v1[ID_Antenne],_26_03_2026_Registre_Maintenance_v1[Longitude],"pas trouvé")</f>
        <v>30.097408999999999</v>
      </c>
      <c r="I312" t="str">
        <f>_xlfn.XLOOKUP(_26_03_2026_Log_Reseau_v15[[#This Row],[Cell_ID]],_26_03_2026_Registre_Maintenance_v1[ID_Antenne],_26_03_2026_Registre_Maintenance_v1[Technologie],"non trouvé")</f>
        <v>5G</v>
      </c>
      <c r="J312" t="str">
        <f>_xlfn.XLOOKUP(_26_03_2026_Log_Reseau_v15[[#This Row],[Cell_ID]],_26_03_2026_Registre_Maintenance_v1[ID_Antenne],_26_03_2026_Registre_Maintenance_v1[Equipementier],"pas trouvé")</f>
        <v>Nokia</v>
      </c>
      <c r="K312" t="str">
        <f>_xlfn.XLOOKUP(_26_03_2026_Log_Reseau_v15[[#This Row],[province RDC]],_26_03_2026_Client_Churn_v1[Province_Client],_26_03_2026_Client_Churn_v1[ID_Client],"non trouvé")</f>
        <v>CLI-00559</v>
      </c>
      <c r="L312">
        <f>_xlfn.XLOOKUP(_26_03_2026_Log_Reseau_v15[[#This Row],[province RDC]],_26_03_2026_Client_Churn_v1[Province_Client],_26_03_2026_Client_Churn_v1[Anciennete_Mois],"non trouvé")</f>
        <v>99</v>
      </c>
      <c r="M312" t="str">
        <f>_xlfn.XLOOKUP(_26_03_2026_Log_Reseau_v15[[#This Row],[province RDC]],_26_03_2026_Client_Churn_v1[Province_Client],_26_03_2026_Client_Churn_v1[Type_Forfait],"non trouvé")</f>
        <v>Bloqué 5Go</v>
      </c>
      <c r="N312">
        <f>_xlfn.XLOOKUP(_26_03_2026_Log_Reseau_v15[[#This Row],[province RDC]],_26_03_2026_Client_Churn_v1[Province_Client],_26_03_2026_Client_Churn_v1[Duree_Cumulee_Panne_Min],"non trouvé")</f>
        <v>369</v>
      </c>
      <c r="O312">
        <f>_xlfn.XLOOKUP(_26_03_2026_Log_Reseau_v15[[#This Row],[province RDC]],_26_03_2026_Client_Churn_v1[Province_Client],_26_03_2026_Client_Churn_v1[Facture_Mensuelle],"non trouvé")</f>
        <v>67.209999999999994</v>
      </c>
      <c r="P312">
        <f>_xlfn.XLOOKUP(_26_03_2026_Log_Reseau_v15[[#This Row],[province RDC]],_26_03_2026_Client_Churn_v1[Province_Client],_26_03_2026_Client_Churn_v1[Plaintes_Service_Client],"non trouvé")</f>
        <v>3</v>
      </c>
    </row>
    <row r="313" spans="1:16" hidden="1" x14ac:dyDescent="0.25">
      <c r="A313" s="1">
        <v>45216</v>
      </c>
      <c r="B313" s="2">
        <v>0.18194444444444444</v>
      </c>
      <c r="C313" t="s">
        <v>999</v>
      </c>
      <c r="D313">
        <v>86</v>
      </c>
      <c r="E313" t="s">
        <v>808</v>
      </c>
      <c r="F313" t="str">
        <f>_xlfn.XLOOKUP(_26_03_2026_Log_Reseau_v15[[#This Row],[Cell_ID]],_26_03_2026_Registre_Maintenance_v1[ID_Antenne],_26_03_2026_Registre_Maintenance_v1[zone],"pas trouvé")</f>
        <v>pas trouvé</v>
      </c>
      <c r="G313" t="str">
        <f>_xlfn.XLOOKUP(_26_03_2026_Log_Reseau_v15[[#This Row],[Cell_ID]],_26_03_2026_Registre_Maintenance_v1[ID_Antenne],_26_03_2026_Registre_Maintenance_v1[Latitude],"non trouvé")</f>
        <v>non trouvé</v>
      </c>
      <c r="H313" t="str">
        <f>_xlfn.XLOOKUP(_26_03_2026_Log_Reseau_v15[[#This Row],[Cell_ID]],_26_03_2026_Registre_Maintenance_v1[ID_Antenne],_26_03_2026_Registre_Maintenance_v1[Longitude],"pas trouvé")</f>
        <v>pas trouvé</v>
      </c>
      <c r="I313" t="str">
        <f>_xlfn.XLOOKUP(_26_03_2026_Log_Reseau_v15[[#This Row],[Cell_ID]],_26_03_2026_Registre_Maintenance_v1[ID_Antenne],_26_03_2026_Registre_Maintenance_v1[Technologie],"non trouvé")</f>
        <v>non trouvé</v>
      </c>
      <c r="J313" t="str">
        <f>_xlfn.XLOOKUP(_26_03_2026_Log_Reseau_v15[[#This Row],[Cell_ID]],_26_03_2026_Registre_Maintenance_v1[ID_Antenne],_26_03_2026_Registre_Maintenance_v1[Equipementier],"pas trouvé")</f>
        <v>pas trouvé</v>
      </c>
      <c r="K313" t="str">
        <f>_xlfn.XLOOKUP(_26_03_2026_Log_Reseau_v15[[#This Row],[province RDC]],_26_03_2026_Client_Churn_v1[Province_Client],_26_03_2026_Client_Churn_v1[ID_Client],"non trouvé")</f>
        <v>non trouvé</v>
      </c>
      <c r="L313" t="str">
        <f>_xlfn.XLOOKUP(_26_03_2026_Log_Reseau_v15[[#This Row],[province RDC]],_26_03_2026_Client_Churn_v1[Province_Client],_26_03_2026_Client_Churn_v1[Anciennete_Mois],"non trouvé")</f>
        <v>non trouvé</v>
      </c>
      <c r="M313" t="str">
        <f>_xlfn.XLOOKUP(_26_03_2026_Log_Reseau_v15[[#This Row],[province RDC]],_26_03_2026_Client_Churn_v1[Province_Client],_26_03_2026_Client_Churn_v1[Type_Forfait],"non trouvé")</f>
        <v>non trouvé</v>
      </c>
      <c r="N313" t="str">
        <f>_xlfn.XLOOKUP(_26_03_2026_Log_Reseau_v15[[#This Row],[province RDC]],_26_03_2026_Client_Churn_v1[Province_Client],_26_03_2026_Client_Churn_v1[Duree_Cumulee_Panne_Min],"non trouvé")</f>
        <v>non trouvé</v>
      </c>
      <c r="O313" t="str">
        <f>_xlfn.XLOOKUP(_26_03_2026_Log_Reseau_v15[[#This Row],[province RDC]],_26_03_2026_Client_Churn_v1[Province_Client],_26_03_2026_Client_Churn_v1[Facture_Mensuelle],"non trouvé")</f>
        <v>non trouvé</v>
      </c>
      <c r="P313" t="str">
        <f>_xlfn.XLOOKUP(_26_03_2026_Log_Reseau_v15[[#This Row],[province RDC]],_26_03_2026_Client_Churn_v1[Province_Client],_26_03_2026_Client_Churn_v1[Plaintes_Service_Client],"non trouvé")</f>
        <v>non trouvé</v>
      </c>
    </row>
    <row r="314" spans="1:16" x14ac:dyDescent="0.25">
      <c r="A314" s="1">
        <v>45214</v>
      </c>
      <c r="B314" s="2">
        <v>0.85069444444444442</v>
      </c>
      <c r="C314" t="s">
        <v>1000</v>
      </c>
      <c r="D314">
        <v>31</v>
      </c>
      <c r="E314" t="s">
        <v>812</v>
      </c>
      <c r="F314" t="str">
        <f>_xlfn.XLOOKUP(_26_03_2026_Log_Reseau_v15[[#This Row],[Cell_ID]],_26_03_2026_Registre_Maintenance_v1[ID_Antenne],_26_03_2026_Registre_Maintenance_v1[zone],"pas trouvé")</f>
        <v>Kasai-Oriental</v>
      </c>
      <c r="G314">
        <f>_xlfn.XLOOKUP(_26_03_2026_Log_Reseau_v15[[#This Row],[Cell_ID]],_26_03_2026_Registre_Maintenance_v1[ID_Antenne],_26_03_2026_Registre_Maintenance_v1[Latitude],"non trouvé")</f>
        <v>-5.4073029999999997</v>
      </c>
      <c r="H314">
        <f>_xlfn.XLOOKUP(_26_03_2026_Log_Reseau_v15[[#This Row],[Cell_ID]],_26_03_2026_Registre_Maintenance_v1[ID_Antenne],_26_03_2026_Registre_Maintenance_v1[Longitude],"pas trouvé")</f>
        <v>29.762294000000001</v>
      </c>
      <c r="I314" t="str">
        <f>_xlfn.XLOOKUP(_26_03_2026_Log_Reseau_v15[[#This Row],[Cell_ID]],_26_03_2026_Registre_Maintenance_v1[ID_Antenne],_26_03_2026_Registre_Maintenance_v1[Technologie],"non trouvé")</f>
        <v>3G</v>
      </c>
      <c r="J314" t="str">
        <f>_xlfn.XLOOKUP(_26_03_2026_Log_Reseau_v15[[#This Row],[Cell_ID]],_26_03_2026_Registre_Maintenance_v1[ID_Antenne],_26_03_2026_Registre_Maintenance_v1[Equipementier],"pas trouvé")</f>
        <v>Ericsson</v>
      </c>
      <c r="K314" t="str">
        <f>_xlfn.XLOOKUP(_26_03_2026_Log_Reseau_v15[[#This Row],[province RDC]],_26_03_2026_Client_Churn_v1[Province_Client],_26_03_2026_Client_Churn_v1[ID_Client],"non trouvé")</f>
        <v>CLI-01837</v>
      </c>
      <c r="L314">
        <f>_xlfn.XLOOKUP(_26_03_2026_Log_Reseau_v15[[#This Row],[province RDC]],_26_03_2026_Client_Churn_v1[Province_Client],_26_03_2026_Client_Churn_v1[Anciennete_Mois],"non trouvé")</f>
        <v>97</v>
      </c>
      <c r="M314" t="str">
        <f>_xlfn.XLOOKUP(_26_03_2026_Log_Reseau_v15[[#This Row],[province RDC]],_26_03_2026_Client_Churn_v1[Province_Client],_26_03_2026_Client_Churn_v1[Type_Forfait],"non trouvé")</f>
        <v>Pro Monde</v>
      </c>
      <c r="N314">
        <f>_xlfn.XLOOKUP(_26_03_2026_Log_Reseau_v15[[#This Row],[province RDC]],_26_03_2026_Client_Churn_v1[Province_Client],_26_03_2026_Client_Churn_v1[Duree_Cumulee_Panne_Min],"non trouvé")</f>
        <v>319</v>
      </c>
      <c r="O314">
        <f>_xlfn.XLOOKUP(_26_03_2026_Log_Reseau_v15[[#This Row],[province RDC]],_26_03_2026_Client_Churn_v1[Province_Client],_26_03_2026_Client_Churn_v1[Facture_Mensuelle],"non trouvé")</f>
        <v>31.25</v>
      </c>
      <c r="P314">
        <f>_xlfn.XLOOKUP(_26_03_2026_Log_Reseau_v15[[#This Row],[province RDC]],_26_03_2026_Client_Churn_v1[Province_Client],_26_03_2026_Client_Churn_v1[Plaintes_Service_Client],"non trouvé")</f>
        <v>1</v>
      </c>
    </row>
    <row r="315" spans="1:16" x14ac:dyDescent="0.25">
      <c r="A315" s="1">
        <v>45207</v>
      </c>
      <c r="B315" s="2">
        <v>0.13333333333333333</v>
      </c>
      <c r="C315" t="s">
        <v>1000</v>
      </c>
      <c r="D315">
        <v>66</v>
      </c>
      <c r="E315" t="s">
        <v>808</v>
      </c>
      <c r="F315" t="str">
        <f>_xlfn.XLOOKUP(_26_03_2026_Log_Reseau_v15[[#This Row],[Cell_ID]],_26_03_2026_Registre_Maintenance_v1[ID_Antenne],_26_03_2026_Registre_Maintenance_v1[zone],"pas trouvé")</f>
        <v>Kasai-Oriental</v>
      </c>
      <c r="G315">
        <f>_xlfn.XLOOKUP(_26_03_2026_Log_Reseau_v15[[#This Row],[Cell_ID]],_26_03_2026_Registre_Maintenance_v1[ID_Antenne],_26_03_2026_Registre_Maintenance_v1[Latitude],"non trouvé")</f>
        <v>-5.4073029999999997</v>
      </c>
      <c r="H315">
        <f>_xlfn.XLOOKUP(_26_03_2026_Log_Reseau_v15[[#This Row],[Cell_ID]],_26_03_2026_Registre_Maintenance_v1[ID_Antenne],_26_03_2026_Registre_Maintenance_v1[Longitude],"pas trouvé")</f>
        <v>29.762294000000001</v>
      </c>
      <c r="I315" t="str">
        <f>_xlfn.XLOOKUP(_26_03_2026_Log_Reseau_v15[[#This Row],[Cell_ID]],_26_03_2026_Registre_Maintenance_v1[ID_Antenne],_26_03_2026_Registre_Maintenance_v1[Technologie],"non trouvé")</f>
        <v>3G</v>
      </c>
      <c r="J315" t="str">
        <f>_xlfn.XLOOKUP(_26_03_2026_Log_Reseau_v15[[#This Row],[Cell_ID]],_26_03_2026_Registre_Maintenance_v1[ID_Antenne],_26_03_2026_Registre_Maintenance_v1[Equipementier],"pas trouvé")</f>
        <v>Ericsson</v>
      </c>
      <c r="K315" t="str">
        <f>_xlfn.XLOOKUP(_26_03_2026_Log_Reseau_v15[[#This Row],[province RDC]],_26_03_2026_Client_Churn_v1[Province_Client],_26_03_2026_Client_Churn_v1[ID_Client],"non trouvé")</f>
        <v>CLI-01837</v>
      </c>
      <c r="L315">
        <f>_xlfn.XLOOKUP(_26_03_2026_Log_Reseau_v15[[#This Row],[province RDC]],_26_03_2026_Client_Churn_v1[Province_Client],_26_03_2026_Client_Churn_v1[Anciennete_Mois],"non trouvé")</f>
        <v>97</v>
      </c>
      <c r="M315" t="str">
        <f>_xlfn.XLOOKUP(_26_03_2026_Log_Reseau_v15[[#This Row],[province RDC]],_26_03_2026_Client_Churn_v1[Province_Client],_26_03_2026_Client_Churn_v1[Type_Forfait],"non trouvé")</f>
        <v>Pro Monde</v>
      </c>
      <c r="N315">
        <f>_xlfn.XLOOKUP(_26_03_2026_Log_Reseau_v15[[#This Row],[province RDC]],_26_03_2026_Client_Churn_v1[Province_Client],_26_03_2026_Client_Churn_v1[Duree_Cumulee_Panne_Min],"non trouvé")</f>
        <v>319</v>
      </c>
      <c r="O315">
        <f>_xlfn.XLOOKUP(_26_03_2026_Log_Reseau_v15[[#This Row],[province RDC]],_26_03_2026_Client_Churn_v1[Province_Client],_26_03_2026_Client_Churn_v1[Facture_Mensuelle],"non trouvé")</f>
        <v>31.25</v>
      </c>
      <c r="P315">
        <f>_xlfn.XLOOKUP(_26_03_2026_Log_Reseau_v15[[#This Row],[province RDC]],_26_03_2026_Client_Churn_v1[Province_Client],_26_03_2026_Client_Churn_v1[Plaintes_Service_Client],"non trouvé")</f>
        <v>1</v>
      </c>
    </row>
    <row r="316" spans="1:16" hidden="1" x14ac:dyDescent="0.25">
      <c r="A316" s="1">
        <v>45211</v>
      </c>
      <c r="B316" s="2">
        <v>0.71180555555555558</v>
      </c>
      <c r="C316" t="s">
        <v>1001</v>
      </c>
      <c r="D316">
        <v>82</v>
      </c>
      <c r="E316" t="s">
        <v>808</v>
      </c>
      <c r="F316" t="str">
        <f>_xlfn.XLOOKUP(_26_03_2026_Log_Reseau_v15[[#This Row],[Cell_ID]],_26_03_2026_Registre_Maintenance_v1[ID_Antenne],_26_03_2026_Registre_Maintenance_v1[zone],"pas trouvé")</f>
        <v>pas trouvé</v>
      </c>
      <c r="G316" t="str">
        <f>_xlfn.XLOOKUP(_26_03_2026_Log_Reseau_v15[[#This Row],[Cell_ID]],_26_03_2026_Registre_Maintenance_v1[ID_Antenne],_26_03_2026_Registre_Maintenance_v1[Latitude],"non trouvé")</f>
        <v>non trouvé</v>
      </c>
      <c r="H316" t="str">
        <f>_xlfn.XLOOKUP(_26_03_2026_Log_Reseau_v15[[#This Row],[Cell_ID]],_26_03_2026_Registre_Maintenance_v1[ID_Antenne],_26_03_2026_Registre_Maintenance_v1[Longitude],"pas trouvé")</f>
        <v>pas trouvé</v>
      </c>
      <c r="I316" t="str">
        <f>_xlfn.XLOOKUP(_26_03_2026_Log_Reseau_v15[[#This Row],[Cell_ID]],_26_03_2026_Registre_Maintenance_v1[ID_Antenne],_26_03_2026_Registre_Maintenance_v1[Technologie],"non trouvé")</f>
        <v>non trouvé</v>
      </c>
      <c r="J316" t="str">
        <f>_xlfn.XLOOKUP(_26_03_2026_Log_Reseau_v15[[#This Row],[Cell_ID]],_26_03_2026_Registre_Maintenance_v1[ID_Antenne],_26_03_2026_Registre_Maintenance_v1[Equipementier],"pas trouvé")</f>
        <v>pas trouvé</v>
      </c>
      <c r="K316" t="str">
        <f>_xlfn.XLOOKUP(_26_03_2026_Log_Reseau_v15[[#This Row],[province RDC]],_26_03_2026_Client_Churn_v1[Province_Client],_26_03_2026_Client_Churn_v1[ID_Client],"non trouvé")</f>
        <v>non trouvé</v>
      </c>
      <c r="L316" t="str">
        <f>_xlfn.XLOOKUP(_26_03_2026_Log_Reseau_v15[[#This Row],[province RDC]],_26_03_2026_Client_Churn_v1[Province_Client],_26_03_2026_Client_Churn_v1[Anciennete_Mois],"non trouvé")</f>
        <v>non trouvé</v>
      </c>
      <c r="M316" t="str">
        <f>_xlfn.XLOOKUP(_26_03_2026_Log_Reseau_v15[[#This Row],[province RDC]],_26_03_2026_Client_Churn_v1[Province_Client],_26_03_2026_Client_Churn_v1[Type_Forfait],"non trouvé")</f>
        <v>non trouvé</v>
      </c>
      <c r="N316" t="str">
        <f>_xlfn.XLOOKUP(_26_03_2026_Log_Reseau_v15[[#This Row],[province RDC]],_26_03_2026_Client_Churn_v1[Province_Client],_26_03_2026_Client_Churn_v1[Duree_Cumulee_Panne_Min],"non trouvé")</f>
        <v>non trouvé</v>
      </c>
      <c r="O316" t="str">
        <f>_xlfn.XLOOKUP(_26_03_2026_Log_Reseau_v15[[#This Row],[province RDC]],_26_03_2026_Client_Churn_v1[Province_Client],_26_03_2026_Client_Churn_v1[Facture_Mensuelle],"non trouvé")</f>
        <v>non trouvé</v>
      </c>
      <c r="P316" t="str">
        <f>_xlfn.XLOOKUP(_26_03_2026_Log_Reseau_v15[[#This Row],[province RDC]],_26_03_2026_Client_Churn_v1[Province_Client],_26_03_2026_Client_Churn_v1[Plaintes_Service_Client],"non trouvé")</f>
        <v>non trouvé</v>
      </c>
    </row>
    <row r="317" spans="1:16" hidden="1" x14ac:dyDescent="0.25">
      <c r="A317" s="1">
        <v>45202</v>
      </c>
      <c r="B317" s="2">
        <v>0.72847222222222219</v>
      </c>
      <c r="C317" t="s">
        <v>1001</v>
      </c>
      <c r="D317">
        <v>18</v>
      </c>
      <c r="E317" t="s">
        <v>807</v>
      </c>
      <c r="F317" t="str">
        <f>_xlfn.XLOOKUP(_26_03_2026_Log_Reseau_v15[[#This Row],[Cell_ID]],_26_03_2026_Registre_Maintenance_v1[ID_Antenne],_26_03_2026_Registre_Maintenance_v1[zone],"pas trouvé")</f>
        <v>pas trouvé</v>
      </c>
      <c r="G317" t="str">
        <f>_xlfn.XLOOKUP(_26_03_2026_Log_Reseau_v15[[#This Row],[Cell_ID]],_26_03_2026_Registre_Maintenance_v1[ID_Antenne],_26_03_2026_Registre_Maintenance_v1[Latitude],"non trouvé")</f>
        <v>non trouvé</v>
      </c>
      <c r="H317" t="str">
        <f>_xlfn.XLOOKUP(_26_03_2026_Log_Reseau_v15[[#This Row],[Cell_ID]],_26_03_2026_Registre_Maintenance_v1[ID_Antenne],_26_03_2026_Registre_Maintenance_v1[Longitude],"pas trouvé")</f>
        <v>pas trouvé</v>
      </c>
      <c r="I317" t="str">
        <f>_xlfn.XLOOKUP(_26_03_2026_Log_Reseau_v15[[#This Row],[Cell_ID]],_26_03_2026_Registre_Maintenance_v1[ID_Antenne],_26_03_2026_Registre_Maintenance_v1[Technologie],"non trouvé")</f>
        <v>non trouvé</v>
      </c>
      <c r="J317" t="str">
        <f>_xlfn.XLOOKUP(_26_03_2026_Log_Reseau_v15[[#This Row],[Cell_ID]],_26_03_2026_Registre_Maintenance_v1[ID_Antenne],_26_03_2026_Registre_Maintenance_v1[Equipementier],"pas trouvé")</f>
        <v>pas trouvé</v>
      </c>
      <c r="K317" t="str">
        <f>_xlfn.XLOOKUP(_26_03_2026_Log_Reseau_v15[[#This Row],[province RDC]],_26_03_2026_Client_Churn_v1[Province_Client],_26_03_2026_Client_Churn_v1[ID_Client],"non trouvé")</f>
        <v>non trouvé</v>
      </c>
      <c r="L317" t="str">
        <f>_xlfn.XLOOKUP(_26_03_2026_Log_Reseau_v15[[#This Row],[province RDC]],_26_03_2026_Client_Churn_v1[Province_Client],_26_03_2026_Client_Churn_v1[Anciennete_Mois],"non trouvé")</f>
        <v>non trouvé</v>
      </c>
      <c r="M317" t="str">
        <f>_xlfn.XLOOKUP(_26_03_2026_Log_Reseau_v15[[#This Row],[province RDC]],_26_03_2026_Client_Churn_v1[Province_Client],_26_03_2026_Client_Churn_v1[Type_Forfait],"non trouvé")</f>
        <v>non trouvé</v>
      </c>
      <c r="N317" t="str">
        <f>_xlfn.XLOOKUP(_26_03_2026_Log_Reseau_v15[[#This Row],[province RDC]],_26_03_2026_Client_Churn_v1[Province_Client],_26_03_2026_Client_Churn_v1[Duree_Cumulee_Panne_Min],"non trouvé")</f>
        <v>non trouvé</v>
      </c>
      <c r="O317" t="str">
        <f>_xlfn.XLOOKUP(_26_03_2026_Log_Reseau_v15[[#This Row],[province RDC]],_26_03_2026_Client_Churn_v1[Province_Client],_26_03_2026_Client_Churn_v1[Facture_Mensuelle],"non trouvé")</f>
        <v>non trouvé</v>
      </c>
      <c r="P317" t="str">
        <f>_xlfn.XLOOKUP(_26_03_2026_Log_Reseau_v15[[#This Row],[province RDC]],_26_03_2026_Client_Churn_v1[Province_Client],_26_03_2026_Client_Churn_v1[Plaintes_Service_Client],"non trouvé")</f>
        <v>non trouvé</v>
      </c>
    </row>
    <row r="318" spans="1:16" x14ac:dyDescent="0.25">
      <c r="A318" s="1">
        <v>45203</v>
      </c>
      <c r="B318" s="2">
        <v>0.75069444444444444</v>
      </c>
      <c r="C318" t="s">
        <v>1002</v>
      </c>
      <c r="D318">
        <v>64</v>
      </c>
      <c r="E318" t="s">
        <v>812</v>
      </c>
      <c r="F318" t="str">
        <f>_xlfn.XLOOKUP(_26_03_2026_Log_Reseau_v15[[#This Row],[Cell_ID]],_26_03_2026_Registre_Maintenance_v1[ID_Antenne],_26_03_2026_Registre_Maintenance_v1[zone],"pas trouvé")</f>
        <v>Maniema</v>
      </c>
      <c r="G318">
        <f>_xlfn.XLOOKUP(_26_03_2026_Log_Reseau_v15[[#This Row],[Cell_ID]],_26_03_2026_Registre_Maintenance_v1[ID_Antenne],_26_03_2026_Registre_Maintenance_v1[Latitude],"non trouvé")</f>
        <v>-4.6818410000000004</v>
      </c>
      <c r="H318">
        <f>_xlfn.XLOOKUP(_26_03_2026_Log_Reseau_v15[[#This Row],[Cell_ID]],_26_03_2026_Registre_Maintenance_v1[ID_Antenne],_26_03_2026_Registre_Maintenance_v1[Longitude],"pas trouvé")</f>
        <v>17.541618</v>
      </c>
      <c r="I318" t="str">
        <f>_xlfn.XLOOKUP(_26_03_2026_Log_Reseau_v15[[#This Row],[Cell_ID]],_26_03_2026_Registre_Maintenance_v1[ID_Antenne],_26_03_2026_Registre_Maintenance_v1[Technologie],"non trouvé")</f>
        <v>4G</v>
      </c>
      <c r="J318" t="str">
        <f>_xlfn.XLOOKUP(_26_03_2026_Log_Reseau_v15[[#This Row],[Cell_ID]],_26_03_2026_Registre_Maintenance_v1[ID_Antenne],_26_03_2026_Registre_Maintenance_v1[Equipementier],"pas trouvé")</f>
        <v>Ericsson</v>
      </c>
      <c r="K318" t="str">
        <f>_xlfn.XLOOKUP(_26_03_2026_Log_Reseau_v15[[#This Row],[province RDC]],_26_03_2026_Client_Churn_v1[Province_Client],_26_03_2026_Client_Churn_v1[ID_Client],"non trouvé")</f>
        <v>CLI-00185</v>
      </c>
      <c r="L318">
        <f>_xlfn.XLOOKUP(_26_03_2026_Log_Reseau_v15[[#This Row],[province RDC]],_26_03_2026_Client_Churn_v1[Province_Client],_26_03_2026_Client_Churn_v1[Anciennete_Mois],"non trouvé")</f>
        <v>81</v>
      </c>
      <c r="M318" t="str">
        <f>_xlfn.XLOOKUP(_26_03_2026_Log_Reseau_v15[[#This Row],[province RDC]],_26_03_2026_Client_Churn_v1[Province_Client],_26_03_2026_Client_Churn_v1[Type_Forfait],"non trouvé")</f>
        <v>Pro Monde</v>
      </c>
      <c r="N318">
        <f>_xlfn.XLOOKUP(_26_03_2026_Log_Reseau_v15[[#This Row],[province RDC]],_26_03_2026_Client_Churn_v1[Province_Client],_26_03_2026_Client_Churn_v1[Duree_Cumulee_Panne_Min],"non trouvé")</f>
        <v>154</v>
      </c>
      <c r="O318">
        <f>_xlfn.XLOOKUP(_26_03_2026_Log_Reseau_v15[[#This Row],[province RDC]],_26_03_2026_Client_Churn_v1[Province_Client],_26_03_2026_Client_Churn_v1[Facture_Mensuelle],"non trouvé")</f>
        <v>19.47</v>
      </c>
      <c r="P318">
        <f>_xlfn.XLOOKUP(_26_03_2026_Log_Reseau_v15[[#This Row],[province RDC]],_26_03_2026_Client_Churn_v1[Province_Client],_26_03_2026_Client_Churn_v1[Plaintes_Service_Client],"non trouvé")</f>
        <v>3</v>
      </c>
    </row>
    <row r="319" spans="1:16" x14ac:dyDescent="0.25">
      <c r="A319" s="1">
        <v>45224</v>
      </c>
      <c r="B319" s="2">
        <v>0.2013888888888889</v>
      </c>
      <c r="C319" t="s">
        <v>1002</v>
      </c>
      <c r="D319">
        <v>43</v>
      </c>
      <c r="E319" t="s">
        <v>812</v>
      </c>
      <c r="F319" t="str">
        <f>_xlfn.XLOOKUP(_26_03_2026_Log_Reseau_v15[[#This Row],[Cell_ID]],_26_03_2026_Registre_Maintenance_v1[ID_Antenne],_26_03_2026_Registre_Maintenance_v1[zone],"pas trouvé")</f>
        <v>Maniema</v>
      </c>
      <c r="G319">
        <f>_xlfn.XLOOKUP(_26_03_2026_Log_Reseau_v15[[#This Row],[Cell_ID]],_26_03_2026_Registre_Maintenance_v1[ID_Antenne],_26_03_2026_Registre_Maintenance_v1[Latitude],"non trouvé")</f>
        <v>-4.6818410000000004</v>
      </c>
      <c r="H319">
        <f>_xlfn.XLOOKUP(_26_03_2026_Log_Reseau_v15[[#This Row],[Cell_ID]],_26_03_2026_Registre_Maintenance_v1[ID_Antenne],_26_03_2026_Registre_Maintenance_v1[Longitude],"pas trouvé")</f>
        <v>17.541618</v>
      </c>
      <c r="I319" t="str">
        <f>_xlfn.XLOOKUP(_26_03_2026_Log_Reseau_v15[[#This Row],[Cell_ID]],_26_03_2026_Registre_Maintenance_v1[ID_Antenne],_26_03_2026_Registre_Maintenance_v1[Technologie],"non trouvé")</f>
        <v>4G</v>
      </c>
      <c r="J319" t="str">
        <f>_xlfn.XLOOKUP(_26_03_2026_Log_Reseau_v15[[#This Row],[Cell_ID]],_26_03_2026_Registre_Maintenance_v1[ID_Antenne],_26_03_2026_Registre_Maintenance_v1[Equipementier],"pas trouvé")</f>
        <v>Ericsson</v>
      </c>
      <c r="K319" t="str">
        <f>_xlfn.XLOOKUP(_26_03_2026_Log_Reseau_v15[[#This Row],[province RDC]],_26_03_2026_Client_Churn_v1[Province_Client],_26_03_2026_Client_Churn_v1[ID_Client],"non trouvé")</f>
        <v>CLI-00185</v>
      </c>
      <c r="L319">
        <f>_xlfn.XLOOKUP(_26_03_2026_Log_Reseau_v15[[#This Row],[province RDC]],_26_03_2026_Client_Churn_v1[Province_Client],_26_03_2026_Client_Churn_v1[Anciennete_Mois],"non trouvé")</f>
        <v>81</v>
      </c>
      <c r="M319" t="str">
        <f>_xlfn.XLOOKUP(_26_03_2026_Log_Reseau_v15[[#This Row],[province RDC]],_26_03_2026_Client_Churn_v1[Province_Client],_26_03_2026_Client_Churn_v1[Type_Forfait],"non trouvé")</f>
        <v>Pro Monde</v>
      </c>
      <c r="N319">
        <f>_xlfn.XLOOKUP(_26_03_2026_Log_Reseau_v15[[#This Row],[province RDC]],_26_03_2026_Client_Churn_v1[Province_Client],_26_03_2026_Client_Churn_v1[Duree_Cumulee_Panne_Min],"non trouvé")</f>
        <v>154</v>
      </c>
      <c r="O319">
        <f>_xlfn.XLOOKUP(_26_03_2026_Log_Reseau_v15[[#This Row],[province RDC]],_26_03_2026_Client_Churn_v1[Province_Client],_26_03_2026_Client_Churn_v1[Facture_Mensuelle],"non trouvé")</f>
        <v>19.47</v>
      </c>
      <c r="P319">
        <f>_xlfn.XLOOKUP(_26_03_2026_Log_Reseau_v15[[#This Row],[province RDC]],_26_03_2026_Client_Churn_v1[Province_Client],_26_03_2026_Client_Churn_v1[Plaintes_Service_Client],"non trouvé")</f>
        <v>3</v>
      </c>
    </row>
    <row r="320" spans="1:16" hidden="1" x14ac:dyDescent="0.25">
      <c r="A320" s="1">
        <v>45203</v>
      </c>
      <c r="B320" s="2">
        <v>0.22777777777777777</v>
      </c>
      <c r="C320" t="s">
        <v>1003</v>
      </c>
      <c r="D320">
        <v>61</v>
      </c>
      <c r="E320" t="s">
        <v>808</v>
      </c>
      <c r="F320" t="str">
        <f>_xlfn.XLOOKUP(_26_03_2026_Log_Reseau_v15[[#This Row],[Cell_ID]],_26_03_2026_Registre_Maintenance_v1[ID_Antenne],_26_03_2026_Registre_Maintenance_v1[zone],"pas trouvé")</f>
        <v>pas trouvé</v>
      </c>
      <c r="G320" t="str">
        <f>_xlfn.XLOOKUP(_26_03_2026_Log_Reseau_v15[[#This Row],[Cell_ID]],_26_03_2026_Registre_Maintenance_v1[ID_Antenne],_26_03_2026_Registre_Maintenance_v1[Latitude],"non trouvé")</f>
        <v>non trouvé</v>
      </c>
      <c r="H320" t="str">
        <f>_xlfn.XLOOKUP(_26_03_2026_Log_Reseau_v15[[#This Row],[Cell_ID]],_26_03_2026_Registre_Maintenance_v1[ID_Antenne],_26_03_2026_Registre_Maintenance_v1[Longitude],"pas trouvé")</f>
        <v>pas trouvé</v>
      </c>
      <c r="I320" t="str">
        <f>_xlfn.XLOOKUP(_26_03_2026_Log_Reseau_v15[[#This Row],[Cell_ID]],_26_03_2026_Registre_Maintenance_v1[ID_Antenne],_26_03_2026_Registre_Maintenance_v1[Technologie],"non trouvé")</f>
        <v>non trouvé</v>
      </c>
      <c r="J320" t="str">
        <f>_xlfn.XLOOKUP(_26_03_2026_Log_Reseau_v15[[#This Row],[Cell_ID]],_26_03_2026_Registre_Maintenance_v1[ID_Antenne],_26_03_2026_Registre_Maintenance_v1[Equipementier],"pas trouvé")</f>
        <v>pas trouvé</v>
      </c>
      <c r="K320" t="str">
        <f>_xlfn.XLOOKUP(_26_03_2026_Log_Reseau_v15[[#This Row],[province RDC]],_26_03_2026_Client_Churn_v1[Province_Client],_26_03_2026_Client_Churn_v1[ID_Client],"non trouvé")</f>
        <v>non trouvé</v>
      </c>
      <c r="L320" t="str">
        <f>_xlfn.XLOOKUP(_26_03_2026_Log_Reseau_v15[[#This Row],[province RDC]],_26_03_2026_Client_Churn_v1[Province_Client],_26_03_2026_Client_Churn_v1[Anciennete_Mois],"non trouvé")</f>
        <v>non trouvé</v>
      </c>
      <c r="M320" t="str">
        <f>_xlfn.XLOOKUP(_26_03_2026_Log_Reseau_v15[[#This Row],[province RDC]],_26_03_2026_Client_Churn_v1[Province_Client],_26_03_2026_Client_Churn_v1[Type_Forfait],"non trouvé")</f>
        <v>non trouvé</v>
      </c>
      <c r="N320" t="str">
        <f>_xlfn.XLOOKUP(_26_03_2026_Log_Reseau_v15[[#This Row],[province RDC]],_26_03_2026_Client_Churn_v1[Province_Client],_26_03_2026_Client_Churn_v1[Duree_Cumulee_Panne_Min],"non trouvé")</f>
        <v>non trouvé</v>
      </c>
      <c r="O320" t="str">
        <f>_xlfn.XLOOKUP(_26_03_2026_Log_Reseau_v15[[#This Row],[province RDC]],_26_03_2026_Client_Churn_v1[Province_Client],_26_03_2026_Client_Churn_v1[Facture_Mensuelle],"non trouvé")</f>
        <v>non trouvé</v>
      </c>
      <c r="P320" t="str">
        <f>_xlfn.XLOOKUP(_26_03_2026_Log_Reseau_v15[[#This Row],[province RDC]],_26_03_2026_Client_Churn_v1[Province_Client],_26_03_2026_Client_Churn_v1[Plaintes_Service_Client],"non trouvé")</f>
        <v>non trouvé</v>
      </c>
    </row>
    <row r="321" spans="1:16" hidden="1" x14ac:dyDescent="0.25">
      <c r="A321" s="1">
        <v>45202</v>
      </c>
      <c r="B321" s="2">
        <v>0.31944444444444442</v>
      </c>
      <c r="C321" t="s">
        <v>1003</v>
      </c>
      <c r="D321">
        <v>115</v>
      </c>
      <c r="E321" t="s">
        <v>808</v>
      </c>
      <c r="F321" t="str">
        <f>_xlfn.XLOOKUP(_26_03_2026_Log_Reseau_v15[[#This Row],[Cell_ID]],_26_03_2026_Registre_Maintenance_v1[ID_Antenne],_26_03_2026_Registre_Maintenance_v1[zone],"pas trouvé")</f>
        <v>pas trouvé</v>
      </c>
      <c r="G321" t="str">
        <f>_xlfn.XLOOKUP(_26_03_2026_Log_Reseau_v15[[#This Row],[Cell_ID]],_26_03_2026_Registre_Maintenance_v1[ID_Antenne],_26_03_2026_Registre_Maintenance_v1[Latitude],"non trouvé")</f>
        <v>non trouvé</v>
      </c>
      <c r="H321" t="str">
        <f>_xlfn.XLOOKUP(_26_03_2026_Log_Reseau_v15[[#This Row],[Cell_ID]],_26_03_2026_Registre_Maintenance_v1[ID_Antenne],_26_03_2026_Registre_Maintenance_v1[Longitude],"pas trouvé")</f>
        <v>pas trouvé</v>
      </c>
      <c r="I321" t="str">
        <f>_xlfn.XLOOKUP(_26_03_2026_Log_Reseau_v15[[#This Row],[Cell_ID]],_26_03_2026_Registre_Maintenance_v1[ID_Antenne],_26_03_2026_Registre_Maintenance_v1[Technologie],"non trouvé")</f>
        <v>non trouvé</v>
      </c>
      <c r="J321" t="str">
        <f>_xlfn.XLOOKUP(_26_03_2026_Log_Reseau_v15[[#This Row],[Cell_ID]],_26_03_2026_Registre_Maintenance_v1[ID_Antenne],_26_03_2026_Registre_Maintenance_v1[Equipementier],"pas trouvé")</f>
        <v>pas trouvé</v>
      </c>
      <c r="K321" t="str">
        <f>_xlfn.XLOOKUP(_26_03_2026_Log_Reseau_v15[[#This Row],[province RDC]],_26_03_2026_Client_Churn_v1[Province_Client],_26_03_2026_Client_Churn_v1[ID_Client],"non trouvé")</f>
        <v>non trouvé</v>
      </c>
      <c r="L321" t="str">
        <f>_xlfn.XLOOKUP(_26_03_2026_Log_Reseau_v15[[#This Row],[province RDC]],_26_03_2026_Client_Churn_v1[Province_Client],_26_03_2026_Client_Churn_v1[Anciennete_Mois],"non trouvé")</f>
        <v>non trouvé</v>
      </c>
      <c r="M321" t="str">
        <f>_xlfn.XLOOKUP(_26_03_2026_Log_Reseau_v15[[#This Row],[province RDC]],_26_03_2026_Client_Churn_v1[Province_Client],_26_03_2026_Client_Churn_v1[Type_Forfait],"non trouvé")</f>
        <v>non trouvé</v>
      </c>
      <c r="N321" t="str">
        <f>_xlfn.XLOOKUP(_26_03_2026_Log_Reseau_v15[[#This Row],[province RDC]],_26_03_2026_Client_Churn_v1[Province_Client],_26_03_2026_Client_Churn_v1[Duree_Cumulee_Panne_Min],"non trouvé")</f>
        <v>non trouvé</v>
      </c>
      <c r="O321" t="str">
        <f>_xlfn.XLOOKUP(_26_03_2026_Log_Reseau_v15[[#This Row],[province RDC]],_26_03_2026_Client_Churn_v1[Province_Client],_26_03_2026_Client_Churn_v1[Facture_Mensuelle],"non trouvé")</f>
        <v>non trouvé</v>
      </c>
      <c r="P321" t="str">
        <f>_xlfn.XLOOKUP(_26_03_2026_Log_Reseau_v15[[#This Row],[province RDC]],_26_03_2026_Client_Churn_v1[Province_Client],_26_03_2026_Client_Churn_v1[Plaintes_Service_Client],"non trouvé")</f>
        <v>non trouvé</v>
      </c>
    </row>
    <row r="322" spans="1:16" hidden="1" x14ac:dyDescent="0.25">
      <c r="A322" s="1">
        <v>45214</v>
      </c>
      <c r="B322" s="2">
        <v>0.7993055555555556</v>
      </c>
      <c r="C322" t="s">
        <v>1004</v>
      </c>
      <c r="D322">
        <v>67</v>
      </c>
      <c r="E322" t="s">
        <v>807</v>
      </c>
      <c r="F322" t="str">
        <f>_xlfn.XLOOKUP(_26_03_2026_Log_Reseau_v15[[#This Row],[Cell_ID]],_26_03_2026_Registre_Maintenance_v1[ID_Antenne],_26_03_2026_Registre_Maintenance_v1[zone],"pas trouvé")</f>
        <v>pas trouvé</v>
      </c>
      <c r="G322" t="str">
        <f>_xlfn.XLOOKUP(_26_03_2026_Log_Reseau_v15[[#This Row],[Cell_ID]],_26_03_2026_Registre_Maintenance_v1[ID_Antenne],_26_03_2026_Registre_Maintenance_v1[Latitude],"non trouvé")</f>
        <v>non trouvé</v>
      </c>
      <c r="H322" t="str">
        <f>_xlfn.XLOOKUP(_26_03_2026_Log_Reseau_v15[[#This Row],[Cell_ID]],_26_03_2026_Registre_Maintenance_v1[ID_Antenne],_26_03_2026_Registre_Maintenance_v1[Longitude],"pas trouvé")</f>
        <v>pas trouvé</v>
      </c>
      <c r="I322" t="str">
        <f>_xlfn.XLOOKUP(_26_03_2026_Log_Reseau_v15[[#This Row],[Cell_ID]],_26_03_2026_Registre_Maintenance_v1[ID_Antenne],_26_03_2026_Registre_Maintenance_v1[Technologie],"non trouvé")</f>
        <v>non trouvé</v>
      </c>
      <c r="J322" t="str">
        <f>_xlfn.XLOOKUP(_26_03_2026_Log_Reseau_v15[[#This Row],[Cell_ID]],_26_03_2026_Registre_Maintenance_v1[ID_Antenne],_26_03_2026_Registre_Maintenance_v1[Equipementier],"pas trouvé")</f>
        <v>pas trouvé</v>
      </c>
      <c r="K322" t="str">
        <f>_xlfn.XLOOKUP(_26_03_2026_Log_Reseau_v15[[#This Row],[province RDC]],_26_03_2026_Client_Churn_v1[Province_Client],_26_03_2026_Client_Churn_v1[ID_Client],"non trouvé")</f>
        <v>non trouvé</v>
      </c>
      <c r="L322" t="str">
        <f>_xlfn.XLOOKUP(_26_03_2026_Log_Reseau_v15[[#This Row],[province RDC]],_26_03_2026_Client_Churn_v1[Province_Client],_26_03_2026_Client_Churn_v1[Anciennete_Mois],"non trouvé")</f>
        <v>non trouvé</v>
      </c>
      <c r="M322" t="str">
        <f>_xlfn.XLOOKUP(_26_03_2026_Log_Reseau_v15[[#This Row],[province RDC]],_26_03_2026_Client_Churn_v1[Province_Client],_26_03_2026_Client_Churn_v1[Type_Forfait],"non trouvé")</f>
        <v>non trouvé</v>
      </c>
      <c r="N322" t="str">
        <f>_xlfn.XLOOKUP(_26_03_2026_Log_Reseau_v15[[#This Row],[province RDC]],_26_03_2026_Client_Churn_v1[Province_Client],_26_03_2026_Client_Churn_v1[Duree_Cumulee_Panne_Min],"non trouvé")</f>
        <v>non trouvé</v>
      </c>
      <c r="O322" t="str">
        <f>_xlfn.XLOOKUP(_26_03_2026_Log_Reseau_v15[[#This Row],[province RDC]],_26_03_2026_Client_Churn_v1[Province_Client],_26_03_2026_Client_Churn_v1[Facture_Mensuelle],"non trouvé")</f>
        <v>non trouvé</v>
      </c>
      <c r="P322" t="str">
        <f>_xlfn.XLOOKUP(_26_03_2026_Log_Reseau_v15[[#This Row],[province RDC]],_26_03_2026_Client_Churn_v1[Province_Client],_26_03_2026_Client_Churn_v1[Plaintes_Service_Client],"non trouvé")</f>
        <v>non trouvé</v>
      </c>
    </row>
    <row r="323" spans="1:16" hidden="1" x14ac:dyDescent="0.25">
      <c r="A323" s="1">
        <v>45210</v>
      </c>
      <c r="B323" s="2">
        <v>0.12847222222222221</v>
      </c>
      <c r="C323" t="s">
        <v>1005</v>
      </c>
      <c r="D323">
        <v>115</v>
      </c>
      <c r="E323" t="s">
        <v>807</v>
      </c>
      <c r="F323" t="str">
        <f>_xlfn.XLOOKUP(_26_03_2026_Log_Reseau_v15[[#This Row],[Cell_ID]],_26_03_2026_Registre_Maintenance_v1[ID_Antenne],_26_03_2026_Registre_Maintenance_v1[zone],"pas trouvé")</f>
        <v>pas trouvé</v>
      </c>
      <c r="G323" t="str">
        <f>_xlfn.XLOOKUP(_26_03_2026_Log_Reseau_v15[[#This Row],[Cell_ID]],_26_03_2026_Registre_Maintenance_v1[ID_Antenne],_26_03_2026_Registre_Maintenance_v1[Latitude],"non trouvé")</f>
        <v>non trouvé</v>
      </c>
      <c r="H323" t="str">
        <f>_xlfn.XLOOKUP(_26_03_2026_Log_Reseau_v15[[#This Row],[Cell_ID]],_26_03_2026_Registre_Maintenance_v1[ID_Antenne],_26_03_2026_Registre_Maintenance_v1[Longitude],"pas trouvé")</f>
        <v>pas trouvé</v>
      </c>
      <c r="I323" t="str">
        <f>_xlfn.XLOOKUP(_26_03_2026_Log_Reseau_v15[[#This Row],[Cell_ID]],_26_03_2026_Registre_Maintenance_v1[ID_Antenne],_26_03_2026_Registre_Maintenance_v1[Technologie],"non trouvé")</f>
        <v>non trouvé</v>
      </c>
      <c r="J323" t="str">
        <f>_xlfn.XLOOKUP(_26_03_2026_Log_Reseau_v15[[#This Row],[Cell_ID]],_26_03_2026_Registre_Maintenance_v1[ID_Antenne],_26_03_2026_Registre_Maintenance_v1[Equipementier],"pas trouvé")</f>
        <v>pas trouvé</v>
      </c>
      <c r="K323" t="str">
        <f>_xlfn.XLOOKUP(_26_03_2026_Log_Reseau_v15[[#This Row],[province RDC]],_26_03_2026_Client_Churn_v1[Province_Client],_26_03_2026_Client_Churn_v1[ID_Client],"non trouvé")</f>
        <v>non trouvé</v>
      </c>
      <c r="L323" t="str">
        <f>_xlfn.XLOOKUP(_26_03_2026_Log_Reseau_v15[[#This Row],[province RDC]],_26_03_2026_Client_Churn_v1[Province_Client],_26_03_2026_Client_Churn_v1[Anciennete_Mois],"non trouvé")</f>
        <v>non trouvé</v>
      </c>
      <c r="M323" t="str">
        <f>_xlfn.XLOOKUP(_26_03_2026_Log_Reseau_v15[[#This Row],[province RDC]],_26_03_2026_Client_Churn_v1[Province_Client],_26_03_2026_Client_Churn_v1[Type_Forfait],"non trouvé")</f>
        <v>non trouvé</v>
      </c>
      <c r="N323" t="str">
        <f>_xlfn.XLOOKUP(_26_03_2026_Log_Reseau_v15[[#This Row],[province RDC]],_26_03_2026_Client_Churn_v1[Province_Client],_26_03_2026_Client_Churn_v1[Duree_Cumulee_Panne_Min],"non trouvé")</f>
        <v>non trouvé</v>
      </c>
      <c r="O323" t="str">
        <f>_xlfn.XLOOKUP(_26_03_2026_Log_Reseau_v15[[#This Row],[province RDC]],_26_03_2026_Client_Churn_v1[Province_Client],_26_03_2026_Client_Churn_v1[Facture_Mensuelle],"non trouvé")</f>
        <v>non trouvé</v>
      </c>
      <c r="P323" t="str">
        <f>_xlfn.XLOOKUP(_26_03_2026_Log_Reseau_v15[[#This Row],[province RDC]],_26_03_2026_Client_Churn_v1[Province_Client],_26_03_2026_Client_Churn_v1[Plaintes_Service_Client],"non trouvé")</f>
        <v>non trouvé</v>
      </c>
    </row>
    <row r="324" spans="1:16" hidden="1" x14ac:dyDescent="0.25">
      <c r="A324" s="1">
        <v>45219</v>
      </c>
      <c r="B324" s="2">
        <v>0.30138888888888887</v>
      </c>
      <c r="C324" t="s">
        <v>1005</v>
      </c>
      <c r="D324">
        <v>65</v>
      </c>
      <c r="E324" t="s">
        <v>807</v>
      </c>
      <c r="F324" t="str">
        <f>_xlfn.XLOOKUP(_26_03_2026_Log_Reseau_v15[[#This Row],[Cell_ID]],_26_03_2026_Registre_Maintenance_v1[ID_Antenne],_26_03_2026_Registre_Maintenance_v1[zone],"pas trouvé")</f>
        <v>pas trouvé</v>
      </c>
      <c r="G324" t="str">
        <f>_xlfn.XLOOKUP(_26_03_2026_Log_Reseau_v15[[#This Row],[Cell_ID]],_26_03_2026_Registre_Maintenance_v1[ID_Antenne],_26_03_2026_Registre_Maintenance_v1[Latitude],"non trouvé")</f>
        <v>non trouvé</v>
      </c>
      <c r="H324" t="str">
        <f>_xlfn.XLOOKUP(_26_03_2026_Log_Reseau_v15[[#This Row],[Cell_ID]],_26_03_2026_Registre_Maintenance_v1[ID_Antenne],_26_03_2026_Registre_Maintenance_v1[Longitude],"pas trouvé")</f>
        <v>pas trouvé</v>
      </c>
      <c r="I324" t="str">
        <f>_xlfn.XLOOKUP(_26_03_2026_Log_Reseau_v15[[#This Row],[Cell_ID]],_26_03_2026_Registre_Maintenance_v1[ID_Antenne],_26_03_2026_Registre_Maintenance_v1[Technologie],"non trouvé")</f>
        <v>non trouvé</v>
      </c>
      <c r="J324" t="str">
        <f>_xlfn.XLOOKUP(_26_03_2026_Log_Reseau_v15[[#This Row],[Cell_ID]],_26_03_2026_Registre_Maintenance_v1[ID_Antenne],_26_03_2026_Registre_Maintenance_v1[Equipementier],"pas trouvé")</f>
        <v>pas trouvé</v>
      </c>
      <c r="K324" t="str">
        <f>_xlfn.XLOOKUP(_26_03_2026_Log_Reseau_v15[[#This Row],[province RDC]],_26_03_2026_Client_Churn_v1[Province_Client],_26_03_2026_Client_Churn_v1[ID_Client],"non trouvé")</f>
        <v>non trouvé</v>
      </c>
      <c r="L324" t="str">
        <f>_xlfn.XLOOKUP(_26_03_2026_Log_Reseau_v15[[#This Row],[province RDC]],_26_03_2026_Client_Churn_v1[Province_Client],_26_03_2026_Client_Churn_v1[Anciennete_Mois],"non trouvé")</f>
        <v>non trouvé</v>
      </c>
      <c r="M324" t="str">
        <f>_xlfn.XLOOKUP(_26_03_2026_Log_Reseau_v15[[#This Row],[province RDC]],_26_03_2026_Client_Churn_v1[Province_Client],_26_03_2026_Client_Churn_v1[Type_Forfait],"non trouvé")</f>
        <v>non trouvé</v>
      </c>
      <c r="N324" t="str">
        <f>_xlfn.XLOOKUP(_26_03_2026_Log_Reseau_v15[[#This Row],[province RDC]],_26_03_2026_Client_Churn_v1[Province_Client],_26_03_2026_Client_Churn_v1[Duree_Cumulee_Panne_Min],"non trouvé")</f>
        <v>non trouvé</v>
      </c>
      <c r="O324" t="str">
        <f>_xlfn.XLOOKUP(_26_03_2026_Log_Reseau_v15[[#This Row],[province RDC]],_26_03_2026_Client_Churn_v1[Province_Client],_26_03_2026_Client_Churn_v1[Facture_Mensuelle],"non trouvé")</f>
        <v>non trouvé</v>
      </c>
      <c r="P324" t="str">
        <f>_xlfn.XLOOKUP(_26_03_2026_Log_Reseau_v15[[#This Row],[province RDC]],_26_03_2026_Client_Churn_v1[Province_Client],_26_03_2026_Client_Churn_v1[Plaintes_Service_Client],"non trouvé")</f>
        <v>non trouvé</v>
      </c>
    </row>
    <row r="325" spans="1:16" hidden="1" x14ac:dyDescent="0.25">
      <c r="A325" s="1">
        <v>45200</v>
      </c>
      <c r="B325" s="2">
        <v>0.30763888888888891</v>
      </c>
      <c r="C325" t="s">
        <v>1005</v>
      </c>
      <c r="D325">
        <v>114</v>
      </c>
      <c r="E325" t="s">
        <v>808</v>
      </c>
      <c r="F325" t="str">
        <f>_xlfn.XLOOKUP(_26_03_2026_Log_Reseau_v15[[#This Row],[Cell_ID]],_26_03_2026_Registre_Maintenance_v1[ID_Antenne],_26_03_2026_Registre_Maintenance_v1[zone],"pas trouvé")</f>
        <v>pas trouvé</v>
      </c>
      <c r="G325" t="str">
        <f>_xlfn.XLOOKUP(_26_03_2026_Log_Reseau_v15[[#This Row],[Cell_ID]],_26_03_2026_Registre_Maintenance_v1[ID_Antenne],_26_03_2026_Registre_Maintenance_v1[Latitude],"non trouvé")</f>
        <v>non trouvé</v>
      </c>
      <c r="H325" t="str">
        <f>_xlfn.XLOOKUP(_26_03_2026_Log_Reseau_v15[[#This Row],[Cell_ID]],_26_03_2026_Registre_Maintenance_v1[ID_Antenne],_26_03_2026_Registre_Maintenance_v1[Longitude],"pas trouvé")</f>
        <v>pas trouvé</v>
      </c>
      <c r="I325" t="str">
        <f>_xlfn.XLOOKUP(_26_03_2026_Log_Reseau_v15[[#This Row],[Cell_ID]],_26_03_2026_Registre_Maintenance_v1[ID_Antenne],_26_03_2026_Registre_Maintenance_v1[Technologie],"non trouvé")</f>
        <v>non trouvé</v>
      </c>
      <c r="J325" t="str">
        <f>_xlfn.XLOOKUP(_26_03_2026_Log_Reseau_v15[[#This Row],[Cell_ID]],_26_03_2026_Registre_Maintenance_v1[ID_Antenne],_26_03_2026_Registre_Maintenance_v1[Equipementier],"pas trouvé")</f>
        <v>pas trouvé</v>
      </c>
      <c r="K325" t="str">
        <f>_xlfn.XLOOKUP(_26_03_2026_Log_Reseau_v15[[#This Row],[province RDC]],_26_03_2026_Client_Churn_v1[Province_Client],_26_03_2026_Client_Churn_v1[ID_Client],"non trouvé")</f>
        <v>non trouvé</v>
      </c>
      <c r="L325" t="str">
        <f>_xlfn.XLOOKUP(_26_03_2026_Log_Reseau_v15[[#This Row],[province RDC]],_26_03_2026_Client_Churn_v1[Province_Client],_26_03_2026_Client_Churn_v1[Anciennete_Mois],"non trouvé")</f>
        <v>non trouvé</v>
      </c>
      <c r="M325" t="str">
        <f>_xlfn.XLOOKUP(_26_03_2026_Log_Reseau_v15[[#This Row],[province RDC]],_26_03_2026_Client_Churn_v1[Province_Client],_26_03_2026_Client_Churn_v1[Type_Forfait],"non trouvé")</f>
        <v>non trouvé</v>
      </c>
      <c r="N325" t="str">
        <f>_xlfn.XLOOKUP(_26_03_2026_Log_Reseau_v15[[#This Row],[province RDC]],_26_03_2026_Client_Churn_v1[Province_Client],_26_03_2026_Client_Churn_v1[Duree_Cumulee_Panne_Min],"non trouvé")</f>
        <v>non trouvé</v>
      </c>
      <c r="O325" t="str">
        <f>_xlfn.XLOOKUP(_26_03_2026_Log_Reseau_v15[[#This Row],[province RDC]],_26_03_2026_Client_Churn_v1[Province_Client],_26_03_2026_Client_Churn_v1[Facture_Mensuelle],"non trouvé")</f>
        <v>non trouvé</v>
      </c>
      <c r="P325" t="str">
        <f>_xlfn.XLOOKUP(_26_03_2026_Log_Reseau_v15[[#This Row],[province RDC]],_26_03_2026_Client_Churn_v1[Province_Client],_26_03_2026_Client_Churn_v1[Plaintes_Service_Client],"non trouvé")</f>
        <v>non trouvé</v>
      </c>
    </row>
    <row r="326" spans="1:16" hidden="1" x14ac:dyDescent="0.25">
      <c r="A326" s="1">
        <v>45220</v>
      </c>
      <c r="B326" s="2">
        <v>9.166666666666666E-2</v>
      </c>
      <c r="C326" t="s">
        <v>1005</v>
      </c>
      <c r="D326">
        <v>87</v>
      </c>
      <c r="E326" t="s">
        <v>808</v>
      </c>
      <c r="F326" t="str">
        <f>_xlfn.XLOOKUP(_26_03_2026_Log_Reseau_v15[[#This Row],[Cell_ID]],_26_03_2026_Registre_Maintenance_v1[ID_Antenne],_26_03_2026_Registre_Maintenance_v1[zone],"pas trouvé")</f>
        <v>pas trouvé</v>
      </c>
      <c r="G326" t="str">
        <f>_xlfn.XLOOKUP(_26_03_2026_Log_Reseau_v15[[#This Row],[Cell_ID]],_26_03_2026_Registre_Maintenance_v1[ID_Antenne],_26_03_2026_Registre_Maintenance_v1[Latitude],"non trouvé")</f>
        <v>non trouvé</v>
      </c>
      <c r="H326" t="str">
        <f>_xlfn.XLOOKUP(_26_03_2026_Log_Reseau_v15[[#This Row],[Cell_ID]],_26_03_2026_Registre_Maintenance_v1[ID_Antenne],_26_03_2026_Registre_Maintenance_v1[Longitude],"pas trouvé")</f>
        <v>pas trouvé</v>
      </c>
      <c r="I326" t="str">
        <f>_xlfn.XLOOKUP(_26_03_2026_Log_Reseau_v15[[#This Row],[Cell_ID]],_26_03_2026_Registre_Maintenance_v1[ID_Antenne],_26_03_2026_Registre_Maintenance_v1[Technologie],"non trouvé")</f>
        <v>non trouvé</v>
      </c>
      <c r="J326" t="str">
        <f>_xlfn.XLOOKUP(_26_03_2026_Log_Reseau_v15[[#This Row],[Cell_ID]],_26_03_2026_Registre_Maintenance_v1[ID_Antenne],_26_03_2026_Registre_Maintenance_v1[Equipementier],"pas trouvé")</f>
        <v>pas trouvé</v>
      </c>
      <c r="K326" t="str">
        <f>_xlfn.XLOOKUP(_26_03_2026_Log_Reseau_v15[[#This Row],[province RDC]],_26_03_2026_Client_Churn_v1[Province_Client],_26_03_2026_Client_Churn_v1[ID_Client],"non trouvé")</f>
        <v>non trouvé</v>
      </c>
      <c r="L326" t="str">
        <f>_xlfn.XLOOKUP(_26_03_2026_Log_Reseau_v15[[#This Row],[province RDC]],_26_03_2026_Client_Churn_v1[Province_Client],_26_03_2026_Client_Churn_v1[Anciennete_Mois],"non trouvé")</f>
        <v>non trouvé</v>
      </c>
      <c r="M326" t="str">
        <f>_xlfn.XLOOKUP(_26_03_2026_Log_Reseau_v15[[#This Row],[province RDC]],_26_03_2026_Client_Churn_v1[Province_Client],_26_03_2026_Client_Churn_v1[Type_Forfait],"non trouvé")</f>
        <v>non trouvé</v>
      </c>
      <c r="N326" t="str">
        <f>_xlfn.XLOOKUP(_26_03_2026_Log_Reseau_v15[[#This Row],[province RDC]],_26_03_2026_Client_Churn_v1[Province_Client],_26_03_2026_Client_Churn_v1[Duree_Cumulee_Panne_Min],"non trouvé")</f>
        <v>non trouvé</v>
      </c>
      <c r="O326" t="str">
        <f>_xlfn.XLOOKUP(_26_03_2026_Log_Reseau_v15[[#This Row],[province RDC]],_26_03_2026_Client_Churn_v1[Province_Client],_26_03_2026_Client_Churn_v1[Facture_Mensuelle],"non trouvé")</f>
        <v>non trouvé</v>
      </c>
      <c r="P326" t="str">
        <f>_xlfn.XLOOKUP(_26_03_2026_Log_Reseau_v15[[#This Row],[province RDC]],_26_03_2026_Client_Churn_v1[Province_Client],_26_03_2026_Client_Churn_v1[Plaintes_Service_Client],"non trouvé")</f>
        <v>non trouvé</v>
      </c>
    </row>
    <row r="327" spans="1:16" hidden="1" x14ac:dyDescent="0.25">
      <c r="A327" s="1">
        <v>45202</v>
      </c>
      <c r="B327" s="2">
        <v>0.44305555555555554</v>
      </c>
      <c r="C327" t="s">
        <v>1006</v>
      </c>
      <c r="D327">
        <v>52</v>
      </c>
      <c r="E327" t="s">
        <v>808</v>
      </c>
      <c r="F327" t="str">
        <f>_xlfn.XLOOKUP(_26_03_2026_Log_Reseau_v15[[#This Row],[Cell_ID]],_26_03_2026_Registre_Maintenance_v1[ID_Antenne],_26_03_2026_Registre_Maintenance_v1[zone],"pas trouvé")</f>
        <v>pas trouvé</v>
      </c>
      <c r="G327" t="str">
        <f>_xlfn.XLOOKUP(_26_03_2026_Log_Reseau_v15[[#This Row],[Cell_ID]],_26_03_2026_Registre_Maintenance_v1[ID_Antenne],_26_03_2026_Registre_Maintenance_v1[Latitude],"non trouvé")</f>
        <v>non trouvé</v>
      </c>
      <c r="H327" t="str">
        <f>_xlfn.XLOOKUP(_26_03_2026_Log_Reseau_v15[[#This Row],[Cell_ID]],_26_03_2026_Registre_Maintenance_v1[ID_Antenne],_26_03_2026_Registre_Maintenance_v1[Longitude],"pas trouvé")</f>
        <v>pas trouvé</v>
      </c>
      <c r="I327" t="str">
        <f>_xlfn.XLOOKUP(_26_03_2026_Log_Reseau_v15[[#This Row],[Cell_ID]],_26_03_2026_Registre_Maintenance_v1[ID_Antenne],_26_03_2026_Registre_Maintenance_v1[Technologie],"non trouvé")</f>
        <v>non trouvé</v>
      </c>
      <c r="J327" t="str">
        <f>_xlfn.XLOOKUP(_26_03_2026_Log_Reseau_v15[[#This Row],[Cell_ID]],_26_03_2026_Registre_Maintenance_v1[ID_Antenne],_26_03_2026_Registre_Maintenance_v1[Equipementier],"pas trouvé")</f>
        <v>pas trouvé</v>
      </c>
      <c r="K327" t="str">
        <f>_xlfn.XLOOKUP(_26_03_2026_Log_Reseau_v15[[#This Row],[province RDC]],_26_03_2026_Client_Churn_v1[Province_Client],_26_03_2026_Client_Churn_v1[ID_Client],"non trouvé")</f>
        <v>non trouvé</v>
      </c>
      <c r="L327" t="str">
        <f>_xlfn.XLOOKUP(_26_03_2026_Log_Reseau_v15[[#This Row],[province RDC]],_26_03_2026_Client_Churn_v1[Province_Client],_26_03_2026_Client_Churn_v1[Anciennete_Mois],"non trouvé")</f>
        <v>non trouvé</v>
      </c>
      <c r="M327" t="str">
        <f>_xlfn.XLOOKUP(_26_03_2026_Log_Reseau_v15[[#This Row],[province RDC]],_26_03_2026_Client_Churn_v1[Province_Client],_26_03_2026_Client_Churn_v1[Type_Forfait],"non trouvé")</f>
        <v>non trouvé</v>
      </c>
      <c r="N327" t="str">
        <f>_xlfn.XLOOKUP(_26_03_2026_Log_Reseau_v15[[#This Row],[province RDC]],_26_03_2026_Client_Churn_v1[Province_Client],_26_03_2026_Client_Churn_v1[Duree_Cumulee_Panne_Min],"non trouvé")</f>
        <v>non trouvé</v>
      </c>
      <c r="O327" t="str">
        <f>_xlfn.XLOOKUP(_26_03_2026_Log_Reseau_v15[[#This Row],[province RDC]],_26_03_2026_Client_Churn_v1[Province_Client],_26_03_2026_Client_Churn_v1[Facture_Mensuelle],"non trouvé")</f>
        <v>non trouvé</v>
      </c>
      <c r="P327" t="str">
        <f>_xlfn.XLOOKUP(_26_03_2026_Log_Reseau_v15[[#This Row],[province RDC]],_26_03_2026_Client_Churn_v1[Province_Client],_26_03_2026_Client_Churn_v1[Plaintes_Service_Client],"non trouvé")</f>
        <v>non trouvé</v>
      </c>
    </row>
    <row r="328" spans="1:16" hidden="1" x14ac:dyDescent="0.25">
      <c r="A328" s="1">
        <v>45207</v>
      </c>
      <c r="B328" s="2">
        <v>0.52500000000000002</v>
      </c>
      <c r="C328" t="s">
        <v>1007</v>
      </c>
      <c r="D328">
        <v>83</v>
      </c>
      <c r="E328" t="s">
        <v>807</v>
      </c>
      <c r="F328" t="str">
        <f>_xlfn.XLOOKUP(_26_03_2026_Log_Reseau_v15[[#This Row],[Cell_ID]],_26_03_2026_Registre_Maintenance_v1[ID_Antenne],_26_03_2026_Registre_Maintenance_v1[zone],"pas trouvé")</f>
        <v>pas trouvé</v>
      </c>
      <c r="G328" t="str">
        <f>_xlfn.XLOOKUP(_26_03_2026_Log_Reseau_v15[[#This Row],[Cell_ID]],_26_03_2026_Registre_Maintenance_v1[ID_Antenne],_26_03_2026_Registre_Maintenance_v1[Latitude],"non trouvé")</f>
        <v>non trouvé</v>
      </c>
      <c r="H328" t="str">
        <f>_xlfn.XLOOKUP(_26_03_2026_Log_Reseau_v15[[#This Row],[Cell_ID]],_26_03_2026_Registre_Maintenance_v1[ID_Antenne],_26_03_2026_Registre_Maintenance_v1[Longitude],"pas trouvé")</f>
        <v>pas trouvé</v>
      </c>
      <c r="I328" t="str">
        <f>_xlfn.XLOOKUP(_26_03_2026_Log_Reseau_v15[[#This Row],[Cell_ID]],_26_03_2026_Registre_Maintenance_v1[ID_Antenne],_26_03_2026_Registre_Maintenance_v1[Technologie],"non trouvé")</f>
        <v>non trouvé</v>
      </c>
      <c r="J328" t="str">
        <f>_xlfn.XLOOKUP(_26_03_2026_Log_Reseau_v15[[#This Row],[Cell_ID]],_26_03_2026_Registre_Maintenance_v1[ID_Antenne],_26_03_2026_Registre_Maintenance_v1[Equipementier],"pas trouvé")</f>
        <v>pas trouvé</v>
      </c>
      <c r="K328" t="str">
        <f>_xlfn.XLOOKUP(_26_03_2026_Log_Reseau_v15[[#This Row],[province RDC]],_26_03_2026_Client_Churn_v1[Province_Client],_26_03_2026_Client_Churn_v1[ID_Client],"non trouvé")</f>
        <v>non trouvé</v>
      </c>
      <c r="L328" t="str">
        <f>_xlfn.XLOOKUP(_26_03_2026_Log_Reseau_v15[[#This Row],[province RDC]],_26_03_2026_Client_Churn_v1[Province_Client],_26_03_2026_Client_Churn_v1[Anciennete_Mois],"non trouvé")</f>
        <v>non trouvé</v>
      </c>
      <c r="M328" t="str">
        <f>_xlfn.XLOOKUP(_26_03_2026_Log_Reseau_v15[[#This Row],[province RDC]],_26_03_2026_Client_Churn_v1[Province_Client],_26_03_2026_Client_Churn_v1[Type_Forfait],"non trouvé")</f>
        <v>non trouvé</v>
      </c>
      <c r="N328" t="str">
        <f>_xlfn.XLOOKUP(_26_03_2026_Log_Reseau_v15[[#This Row],[province RDC]],_26_03_2026_Client_Churn_v1[Province_Client],_26_03_2026_Client_Churn_v1[Duree_Cumulee_Panne_Min],"non trouvé")</f>
        <v>non trouvé</v>
      </c>
      <c r="O328" t="str">
        <f>_xlfn.XLOOKUP(_26_03_2026_Log_Reseau_v15[[#This Row],[province RDC]],_26_03_2026_Client_Churn_v1[Province_Client],_26_03_2026_Client_Churn_v1[Facture_Mensuelle],"non trouvé")</f>
        <v>non trouvé</v>
      </c>
      <c r="P328" t="str">
        <f>_xlfn.XLOOKUP(_26_03_2026_Log_Reseau_v15[[#This Row],[province RDC]],_26_03_2026_Client_Churn_v1[Province_Client],_26_03_2026_Client_Churn_v1[Plaintes_Service_Client],"non trouvé")</f>
        <v>non trouvé</v>
      </c>
    </row>
    <row r="329" spans="1:16" hidden="1" x14ac:dyDescent="0.25">
      <c r="A329" s="1">
        <v>45230</v>
      </c>
      <c r="B329" s="2">
        <v>0.57777777777777772</v>
      </c>
      <c r="C329" t="s">
        <v>1008</v>
      </c>
      <c r="D329">
        <v>97</v>
      </c>
      <c r="E329" t="s">
        <v>807</v>
      </c>
      <c r="F329" t="str">
        <f>_xlfn.XLOOKUP(_26_03_2026_Log_Reseau_v15[[#This Row],[Cell_ID]],_26_03_2026_Registre_Maintenance_v1[ID_Antenne],_26_03_2026_Registre_Maintenance_v1[zone],"pas trouvé")</f>
        <v>pas trouvé</v>
      </c>
      <c r="G329" t="str">
        <f>_xlfn.XLOOKUP(_26_03_2026_Log_Reseau_v15[[#This Row],[Cell_ID]],_26_03_2026_Registre_Maintenance_v1[ID_Antenne],_26_03_2026_Registre_Maintenance_v1[Latitude],"non trouvé")</f>
        <v>non trouvé</v>
      </c>
      <c r="H329" t="str">
        <f>_xlfn.XLOOKUP(_26_03_2026_Log_Reseau_v15[[#This Row],[Cell_ID]],_26_03_2026_Registre_Maintenance_v1[ID_Antenne],_26_03_2026_Registre_Maintenance_v1[Longitude],"pas trouvé")</f>
        <v>pas trouvé</v>
      </c>
      <c r="I329" t="str">
        <f>_xlfn.XLOOKUP(_26_03_2026_Log_Reseau_v15[[#This Row],[Cell_ID]],_26_03_2026_Registre_Maintenance_v1[ID_Antenne],_26_03_2026_Registre_Maintenance_v1[Technologie],"non trouvé")</f>
        <v>non trouvé</v>
      </c>
      <c r="J329" t="str">
        <f>_xlfn.XLOOKUP(_26_03_2026_Log_Reseau_v15[[#This Row],[Cell_ID]],_26_03_2026_Registre_Maintenance_v1[ID_Antenne],_26_03_2026_Registre_Maintenance_v1[Equipementier],"pas trouvé")</f>
        <v>pas trouvé</v>
      </c>
      <c r="K329" t="str">
        <f>_xlfn.XLOOKUP(_26_03_2026_Log_Reseau_v15[[#This Row],[province RDC]],_26_03_2026_Client_Churn_v1[Province_Client],_26_03_2026_Client_Churn_v1[ID_Client],"non trouvé")</f>
        <v>non trouvé</v>
      </c>
      <c r="L329" t="str">
        <f>_xlfn.XLOOKUP(_26_03_2026_Log_Reseau_v15[[#This Row],[province RDC]],_26_03_2026_Client_Churn_v1[Province_Client],_26_03_2026_Client_Churn_v1[Anciennete_Mois],"non trouvé")</f>
        <v>non trouvé</v>
      </c>
      <c r="M329" t="str">
        <f>_xlfn.XLOOKUP(_26_03_2026_Log_Reseau_v15[[#This Row],[province RDC]],_26_03_2026_Client_Churn_v1[Province_Client],_26_03_2026_Client_Churn_v1[Type_Forfait],"non trouvé")</f>
        <v>non trouvé</v>
      </c>
      <c r="N329" t="str">
        <f>_xlfn.XLOOKUP(_26_03_2026_Log_Reseau_v15[[#This Row],[province RDC]],_26_03_2026_Client_Churn_v1[Province_Client],_26_03_2026_Client_Churn_v1[Duree_Cumulee_Panne_Min],"non trouvé")</f>
        <v>non trouvé</v>
      </c>
      <c r="O329" t="str">
        <f>_xlfn.XLOOKUP(_26_03_2026_Log_Reseau_v15[[#This Row],[province RDC]],_26_03_2026_Client_Churn_v1[Province_Client],_26_03_2026_Client_Churn_v1[Facture_Mensuelle],"non trouvé")</f>
        <v>non trouvé</v>
      </c>
      <c r="P329" t="str">
        <f>_xlfn.XLOOKUP(_26_03_2026_Log_Reseau_v15[[#This Row],[province RDC]],_26_03_2026_Client_Churn_v1[Province_Client],_26_03_2026_Client_Churn_v1[Plaintes_Service_Client],"non trouvé")</f>
        <v>non trouvé</v>
      </c>
    </row>
    <row r="330" spans="1:16" hidden="1" x14ac:dyDescent="0.25">
      <c r="A330" s="1">
        <v>45200</v>
      </c>
      <c r="B330" s="2">
        <v>0.59513888888888888</v>
      </c>
      <c r="C330" t="s">
        <v>1008</v>
      </c>
      <c r="D330">
        <v>69</v>
      </c>
      <c r="E330" t="s">
        <v>812</v>
      </c>
      <c r="F330" t="str">
        <f>_xlfn.XLOOKUP(_26_03_2026_Log_Reseau_v15[[#This Row],[Cell_ID]],_26_03_2026_Registre_Maintenance_v1[ID_Antenne],_26_03_2026_Registre_Maintenance_v1[zone],"pas trouvé")</f>
        <v>pas trouvé</v>
      </c>
      <c r="G330" t="str">
        <f>_xlfn.XLOOKUP(_26_03_2026_Log_Reseau_v15[[#This Row],[Cell_ID]],_26_03_2026_Registre_Maintenance_v1[ID_Antenne],_26_03_2026_Registre_Maintenance_v1[Latitude],"non trouvé")</f>
        <v>non trouvé</v>
      </c>
      <c r="H330" t="str">
        <f>_xlfn.XLOOKUP(_26_03_2026_Log_Reseau_v15[[#This Row],[Cell_ID]],_26_03_2026_Registre_Maintenance_v1[ID_Antenne],_26_03_2026_Registre_Maintenance_v1[Longitude],"pas trouvé")</f>
        <v>pas trouvé</v>
      </c>
      <c r="I330" t="str">
        <f>_xlfn.XLOOKUP(_26_03_2026_Log_Reseau_v15[[#This Row],[Cell_ID]],_26_03_2026_Registre_Maintenance_v1[ID_Antenne],_26_03_2026_Registre_Maintenance_v1[Technologie],"non trouvé")</f>
        <v>non trouvé</v>
      </c>
      <c r="J330" t="str">
        <f>_xlfn.XLOOKUP(_26_03_2026_Log_Reseau_v15[[#This Row],[Cell_ID]],_26_03_2026_Registre_Maintenance_v1[ID_Antenne],_26_03_2026_Registre_Maintenance_v1[Equipementier],"pas trouvé")</f>
        <v>pas trouvé</v>
      </c>
      <c r="K330" t="str">
        <f>_xlfn.XLOOKUP(_26_03_2026_Log_Reseau_v15[[#This Row],[province RDC]],_26_03_2026_Client_Churn_v1[Province_Client],_26_03_2026_Client_Churn_v1[ID_Client],"non trouvé")</f>
        <v>non trouvé</v>
      </c>
      <c r="L330" t="str">
        <f>_xlfn.XLOOKUP(_26_03_2026_Log_Reseau_v15[[#This Row],[province RDC]],_26_03_2026_Client_Churn_v1[Province_Client],_26_03_2026_Client_Churn_v1[Anciennete_Mois],"non trouvé")</f>
        <v>non trouvé</v>
      </c>
      <c r="M330" t="str">
        <f>_xlfn.XLOOKUP(_26_03_2026_Log_Reseau_v15[[#This Row],[province RDC]],_26_03_2026_Client_Churn_v1[Province_Client],_26_03_2026_Client_Churn_v1[Type_Forfait],"non trouvé")</f>
        <v>non trouvé</v>
      </c>
      <c r="N330" t="str">
        <f>_xlfn.XLOOKUP(_26_03_2026_Log_Reseau_v15[[#This Row],[province RDC]],_26_03_2026_Client_Churn_v1[Province_Client],_26_03_2026_Client_Churn_v1[Duree_Cumulee_Panne_Min],"non trouvé")</f>
        <v>non trouvé</v>
      </c>
      <c r="O330" t="str">
        <f>_xlfn.XLOOKUP(_26_03_2026_Log_Reseau_v15[[#This Row],[province RDC]],_26_03_2026_Client_Churn_v1[Province_Client],_26_03_2026_Client_Churn_v1[Facture_Mensuelle],"non trouvé")</f>
        <v>non trouvé</v>
      </c>
      <c r="P330" t="str">
        <f>_xlfn.XLOOKUP(_26_03_2026_Log_Reseau_v15[[#This Row],[province RDC]],_26_03_2026_Client_Churn_v1[Province_Client],_26_03_2026_Client_Churn_v1[Plaintes_Service_Client],"non trouvé")</f>
        <v>non trouvé</v>
      </c>
    </row>
    <row r="331" spans="1:16" hidden="1" x14ac:dyDescent="0.25">
      <c r="A331" s="1">
        <v>45202</v>
      </c>
      <c r="B331" s="2">
        <v>0.46944444444444444</v>
      </c>
      <c r="C331" t="s">
        <v>1009</v>
      </c>
      <c r="D331">
        <v>78</v>
      </c>
      <c r="E331" t="s">
        <v>807</v>
      </c>
      <c r="F331" t="str">
        <f>_xlfn.XLOOKUP(_26_03_2026_Log_Reseau_v15[[#This Row],[Cell_ID]],_26_03_2026_Registre_Maintenance_v1[ID_Antenne],_26_03_2026_Registre_Maintenance_v1[zone],"pas trouvé")</f>
        <v>pas trouvé</v>
      </c>
      <c r="G331" t="str">
        <f>_xlfn.XLOOKUP(_26_03_2026_Log_Reseau_v15[[#This Row],[Cell_ID]],_26_03_2026_Registre_Maintenance_v1[ID_Antenne],_26_03_2026_Registre_Maintenance_v1[Latitude],"non trouvé")</f>
        <v>non trouvé</v>
      </c>
      <c r="H331" t="str">
        <f>_xlfn.XLOOKUP(_26_03_2026_Log_Reseau_v15[[#This Row],[Cell_ID]],_26_03_2026_Registre_Maintenance_v1[ID_Antenne],_26_03_2026_Registre_Maintenance_v1[Longitude],"pas trouvé")</f>
        <v>pas trouvé</v>
      </c>
      <c r="I331" t="str">
        <f>_xlfn.XLOOKUP(_26_03_2026_Log_Reseau_v15[[#This Row],[Cell_ID]],_26_03_2026_Registre_Maintenance_v1[ID_Antenne],_26_03_2026_Registre_Maintenance_v1[Technologie],"non trouvé")</f>
        <v>non trouvé</v>
      </c>
      <c r="J331" t="str">
        <f>_xlfn.XLOOKUP(_26_03_2026_Log_Reseau_v15[[#This Row],[Cell_ID]],_26_03_2026_Registre_Maintenance_v1[ID_Antenne],_26_03_2026_Registre_Maintenance_v1[Equipementier],"pas trouvé")</f>
        <v>pas trouvé</v>
      </c>
      <c r="K331" t="str">
        <f>_xlfn.XLOOKUP(_26_03_2026_Log_Reseau_v15[[#This Row],[province RDC]],_26_03_2026_Client_Churn_v1[Province_Client],_26_03_2026_Client_Churn_v1[ID_Client],"non trouvé")</f>
        <v>non trouvé</v>
      </c>
      <c r="L331" t="str">
        <f>_xlfn.XLOOKUP(_26_03_2026_Log_Reseau_v15[[#This Row],[province RDC]],_26_03_2026_Client_Churn_v1[Province_Client],_26_03_2026_Client_Churn_v1[Anciennete_Mois],"non trouvé")</f>
        <v>non trouvé</v>
      </c>
      <c r="M331" t="str">
        <f>_xlfn.XLOOKUP(_26_03_2026_Log_Reseau_v15[[#This Row],[province RDC]],_26_03_2026_Client_Churn_v1[Province_Client],_26_03_2026_Client_Churn_v1[Type_Forfait],"non trouvé")</f>
        <v>non trouvé</v>
      </c>
      <c r="N331" t="str">
        <f>_xlfn.XLOOKUP(_26_03_2026_Log_Reseau_v15[[#This Row],[province RDC]],_26_03_2026_Client_Churn_v1[Province_Client],_26_03_2026_Client_Churn_v1[Duree_Cumulee_Panne_Min],"non trouvé")</f>
        <v>non trouvé</v>
      </c>
      <c r="O331" t="str">
        <f>_xlfn.XLOOKUP(_26_03_2026_Log_Reseau_v15[[#This Row],[province RDC]],_26_03_2026_Client_Churn_v1[Province_Client],_26_03_2026_Client_Churn_v1[Facture_Mensuelle],"non trouvé")</f>
        <v>non trouvé</v>
      </c>
      <c r="P331" t="str">
        <f>_xlfn.XLOOKUP(_26_03_2026_Log_Reseau_v15[[#This Row],[province RDC]],_26_03_2026_Client_Churn_v1[Province_Client],_26_03_2026_Client_Churn_v1[Plaintes_Service_Client],"non trouvé")</f>
        <v>non trouvé</v>
      </c>
    </row>
    <row r="332" spans="1:16" hidden="1" x14ac:dyDescent="0.25">
      <c r="A332" s="1">
        <v>45213</v>
      </c>
      <c r="B332" s="2">
        <v>0.77083333333333337</v>
      </c>
      <c r="C332" t="s">
        <v>1010</v>
      </c>
      <c r="D332">
        <v>11</v>
      </c>
      <c r="E332" t="s">
        <v>812</v>
      </c>
      <c r="F332" t="str">
        <f>_xlfn.XLOOKUP(_26_03_2026_Log_Reseau_v15[[#This Row],[Cell_ID]],_26_03_2026_Registre_Maintenance_v1[ID_Antenne],_26_03_2026_Registre_Maintenance_v1[zone],"pas trouvé")</f>
        <v>pas trouvé</v>
      </c>
      <c r="G332" t="str">
        <f>_xlfn.XLOOKUP(_26_03_2026_Log_Reseau_v15[[#This Row],[Cell_ID]],_26_03_2026_Registre_Maintenance_v1[ID_Antenne],_26_03_2026_Registre_Maintenance_v1[Latitude],"non trouvé")</f>
        <v>non trouvé</v>
      </c>
      <c r="H332" t="str">
        <f>_xlfn.XLOOKUP(_26_03_2026_Log_Reseau_v15[[#This Row],[Cell_ID]],_26_03_2026_Registre_Maintenance_v1[ID_Antenne],_26_03_2026_Registre_Maintenance_v1[Longitude],"pas trouvé")</f>
        <v>pas trouvé</v>
      </c>
      <c r="I332" t="str">
        <f>_xlfn.XLOOKUP(_26_03_2026_Log_Reseau_v15[[#This Row],[Cell_ID]],_26_03_2026_Registre_Maintenance_v1[ID_Antenne],_26_03_2026_Registre_Maintenance_v1[Technologie],"non trouvé")</f>
        <v>non trouvé</v>
      </c>
      <c r="J332" t="str">
        <f>_xlfn.XLOOKUP(_26_03_2026_Log_Reseau_v15[[#This Row],[Cell_ID]],_26_03_2026_Registre_Maintenance_v1[ID_Antenne],_26_03_2026_Registre_Maintenance_v1[Equipementier],"pas trouvé")</f>
        <v>pas trouvé</v>
      </c>
      <c r="K332" t="str">
        <f>_xlfn.XLOOKUP(_26_03_2026_Log_Reseau_v15[[#This Row],[province RDC]],_26_03_2026_Client_Churn_v1[Province_Client],_26_03_2026_Client_Churn_v1[ID_Client],"non trouvé")</f>
        <v>non trouvé</v>
      </c>
      <c r="L332" t="str">
        <f>_xlfn.XLOOKUP(_26_03_2026_Log_Reseau_v15[[#This Row],[province RDC]],_26_03_2026_Client_Churn_v1[Province_Client],_26_03_2026_Client_Churn_v1[Anciennete_Mois],"non trouvé")</f>
        <v>non trouvé</v>
      </c>
      <c r="M332" t="str">
        <f>_xlfn.XLOOKUP(_26_03_2026_Log_Reseau_v15[[#This Row],[province RDC]],_26_03_2026_Client_Churn_v1[Province_Client],_26_03_2026_Client_Churn_v1[Type_Forfait],"non trouvé")</f>
        <v>non trouvé</v>
      </c>
      <c r="N332" t="str">
        <f>_xlfn.XLOOKUP(_26_03_2026_Log_Reseau_v15[[#This Row],[province RDC]],_26_03_2026_Client_Churn_v1[Province_Client],_26_03_2026_Client_Churn_v1[Duree_Cumulee_Panne_Min],"non trouvé")</f>
        <v>non trouvé</v>
      </c>
      <c r="O332" t="str">
        <f>_xlfn.XLOOKUP(_26_03_2026_Log_Reseau_v15[[#This Row],[province RDC]],_26_03_2026_Client_Churn_v1[Province_Client],_26_03_2026_Client_Churn_v1[Facture_Mensuelle],"non trouvé")</f>
        <v>non trouvé</v>
      </c>
      <c r="P332" t="str">
        <f>_xlfn.XLOOKUP(_26_03_2026_Log_Reseau_v15[[#This Row],[province RDC]],_26_03_2026_Client_Churn_v1[Province_Client],_26_03_2026_Client_Churn_v1[Plaintes_Service_Client],"non trouvé")</f>
        <v>non trouvé</v>
      </c>
    </row>
    <row r="333" spans="1:16" hidden="1" x14ac:dyDescent="0.25">
      <c r="A333" s="1">
        <v>45226</v>
      </c>
      <c r="B333" s="2">
        <v>0.84375</v>
      </c>
      <c r="C333" t="s">
        <v>1011</v>
      </c>
      <c r="D333">
        <v>48</v>
      </c>
      <c r="E333" t="s">
        <v>807</v>
      </c>
      <c r="F333" t="str">
        <f>_xlfn.XLOOKUP(_26_03_2026_Log_Reseau_v15[[#This Row],[Cell_ID]],_26_03_2026_Registre_Maintenance_v1[ID_Antenne],_26_03_2026_Registre_Maintenance_v1[zone],"pas trouvé")</f>
        <v>pas trouvé</v>
      </c>
      <c r="G333" t="str">
        <f>_xlfn.XLOOKUP(_26_03_2026_Log_Reseau_v15[[#This Row],[Cell_ID]],_26_03_2026_Registre_Maintenance_v1[ID_Antenne],_26_03_2026_Registre_Maintenance_v1[Latitude],"non trouvé")</f>
        <v>non trouvé</v>
      </c>
      <c r="H333" t="str">
        <f>_xlfn.XLOOKUP(_26_03_2026_Log_Reseau_v15[[#This Row],[Cell_ID]],_26_03_2026_Registre_Maintenance_v1[ID_Antenne],_26_03_2026_Registre_Maintenance_v1[Longitude],"pas trouvé")</f>
        <v>pas trouvé</v>
      </c>
      <c r="I333" t="str">
        <f>_xlfn.XLOOKUP(_26_03_2026_Log_Reseau_v15[[#This Row],[Cell_ID]],_26_03_2026_Registre_Maintenance_v1[ID_Antenne],_26_03_2026_Registre_Maintenance_v1[Technologie],"non trouvé")</f>
        <v>non trouvé</v>
      </c>
      <c r="J333" t="str">
        <f>_xlfn.XLOOKUP(_26_03_2026_Log_Reseau_v15[[#This Row],[Cell_ID]],_26_03_2026_Registre_Maintenance_v1[ID_Antenne],_26_03_2026_Registre_Maintenance_v1[Equipementier],"pas trouvé")</f>
        <v>pas trouvé</v>
      </c>
      <c r="K333" t="str">
        <f>_xlfn.XLOOKUP(_26_03_2026_Log_Reseau_v15[[#This Row],[province RDC]],_26_03_2026_Client_Churn_v1[Province_Client],_26_03_2026_Client_Churn_v1[ID_Client],"non trouvé")</f>
        <v>non trouvé</v>
      </c>
      <c r="L333" t="str">
        <f>_xlfn.XLOOKUP(_26_03_2026_Log_Reseau_v15[[#This Row],[province RDC]],_26_03_2026_Client_Churn_v1[Province_Client],_26_03_2026_Client_Churn_v1[Anciennete_Mois],"non trouvé")</f>
        <v>non trouvé</v>
      </c>
      <c r="M333" t="str">
        <f>_xlfn.XLOOKUP(_26_03_2026_Log_Reseau_v15[[#This Row],[province RDC]],_26_03_2026_Client_Churn_v1[Province_Client],_26_03_2026_Client_Churn_v1[Type_Forfait],"non trouvé")</f>
        <v>non trouvé</v>
      </c>
      <c r="N333" t="str">
        <f>_xlfn.XLOOKUP(_26_03_2026_Log_Reseau_v15[[#This Row],[province RDC]],_26_03_2026_Client_Churn_v1[Province_Client],_26_03_2026_Client_Churn_v1[Duree_Cumulee_Panne_Min],"non trouvé")</f>
        <v>non trouvé</v>
      </c>
      <c r="O333" t="str">
        <f>_xlfn.XLOOKUP(_26_03_2026_Log_Reseau_v15[[#This Row],[province RDC]],_26_03_2026_Client_Churn_v1[Province_Client],_26_03_2026_Client_Churn_v1[Facture_Mensuelle],"non trouvé")</f>
        <v>non trouvé</v>
      </c>
      <c r="P333" t="str">
        <f>_xlfn.XLOOKUP(_26_03_2026_Log_Reseau_v15[[#This Row],[province RDC]],_26_03_2026_Client_Churn_v1[Province_Client],_26_03_2026_Client_Churn_v1[Plaintes_Service_Client],"non trouvé")</f>
        <v>non trouvé</v>
      </c>
    </row>
    <row r="334" spans="1:16" x14ac:dyDescent="0.25">
      <c r="A334" s="1">
        <v>45202</v>
      </c>
      <c r="B334" s="2">
        <v>0.2902777777777778</v>
      </c>
      <c r="C334" t="s">
        <v>1012</v>
      </c>
      <c r="D334">
        <v>103</v>
      </c>
      <c r="E334" t="s">
        <v>808</v>
      </c>
      <c r="F334" t="str">
        <f>_xlfn.XLOOKUP(_26_03_2026_Log_Reseau_v15[[#This Row],[Cell_ID]],_26_03_2026_Registre_Maintenance_v1[ID_Antenne],_26_03_2026_Registre_Maintenance_v1[zone],"pas trouvé")</f>
        <v>Equateur</v>
      </c>
      <c r="G334">
        <f>_xlfn.XLOOKUP(_26_03_2026_Log_Reseau_v15[[#This Row],[Cell_ID]],_26_03_2026_Registre_Maintenance_v1[ID_Antenne],_26_03_2026_Registre_Maintenance_v1[Latitude],"non trouvé")</f>
        <v>4.9250049999999996</v>
      </c>
      <c r="H334">
        <f>_xlfn.XLOOKUP(_26_03_2026_Log_Reseau_v15[[#This Row],[Cell_ID]],_26_03_2026_Registre_Maintenance_v1[ID_Antenne],_26_03_2026_Registre_Maintenance_v1[Longitude],"pas trouvé")</f>
        <v>19.887931999999999</v>
      </c>
      <c r="I334" t="str">
        <f>_xlfn.XLOOKUP(_26_03_2026_Log_Reseau_v15[[#This Row],[Cell_ID]],_26_03_2026_Registre_Maintenance_v1[ID_Antenne],_26_03_2026_Registre_Maintenance_v1[Technologie],"non trouvé")</f>
        <v>4G</v>
      </c>
      <c r="J334" t="str">
        <f>_xlfn.XLOOKUP(_26_03_2026_Log_Reseau_v15[[#This Row],[Cell_ID]],_26_03_2026_Registre_Maintenance_v1[ID_Antenne],_26_03_2026_Registre_Maintenance_v1[Equipementier],"pas trouvé")</f>
        <v>Huawei</v>
      </c>
      <c r="K334" t="str">
        <f>_xlfn.XLOOKUP(_26_03_2026_Log_Reseau_v15[[#This Row],[province RDC]],_26_03_2026_Client_Churn_v1[Province_Client],_26_03_2026_Client_Churn_v1[ID_Client],"non trouvé")</f>
        <v>CLI-00643</v>
      </c>
      <c r="L334">
        <f>_xlfn.XLOOKUP(_26_03_2026_Log_Reseau_v15[[#This Row],[province RDC]],_26_03_2026_Client_Churn_v1[Province_Client],_26_03_2026_Client_Churn_v1[Anciennete_Mois],"non trouvé")</f>
        <v>14</v>
      </c>
      <c r="M334" t="str">
        <f>_xlfn.XLOOKUP(_26_03_2026_Log_Reseau_v15[[#This Row],[province RDC]],_26_03_2026_Client_Churn_v1[Province_Client],_26_03_2026_Client_Churn_v1[Type_Forfait],"non trouvé")</f>
        <v>Pro Monde</v>
      </c>
      <c r="N334">
        <f>_xlfn.XLOOKUP(_26_03_2026_Log_Reseau_v15[[#This Row],[province RDC]],_26_03_2026_Client_Churn_v1[Province_Client],_26_03_2026_Client_Churn_v1[Duree_Cumulee_Panne_Min],"non trouvé")</f>
        <v>316</v>
      </c>
      <c r="O334">
        <f>_xlfn.XLOOKUP(_26_03_2026_Log_Reseau_v15[[#This Row],[province RDC]],_26_03_2026_Client_Churn_v1[Province_Client],_26_03_2026_Client_Churn_v1[Facture_Mensuelle],"non trouvé")</f>
        <v>62.34</v>
      </c>
      <c r="P334">
        <f>_xlfn.XLOOKUP(_26_03_2026_Log_Reseau_v15[[#This Row],[province RDC]],_26_03_2026_Client_Churn_v1[Province_Client],_26_03_2026_Client_Churn_v1[Plaintes_Service_Client],"non trouvé")</f>
        <v>4</v>
      </c>
    </row>
    <row r="335" spans="1:16" hidden="1" x14ac:dyDescent="0.25">
      <c r="A335" s="1">
        <v>45214</v>
      </c>
      <c r="B335" s="2">
        <v>0.81666666666666665</v>
      </c>
      <c r="C335" t="s">
        <v>1013</v>
      </c>
      <c r="D335">
        <v>92</v>
      </c>
      <c r="E335" t="s">
        <v>812</v>
      </c>
      <c r="F335" t="str">
        <f>_xlfn.XLOOKUP(_26_03_2026_Log_Reseau_v15[[#This Row],[Cell_ID]],_26_03_2026_Registre_Maintenance_v1[ID_Antenne],_26_03_2026_Registre_Maintenance_v1[zone],"pas trouvé")</f>
        <v>pas trouvé</v>
      </c>
      <c r="G335" t="str">
        <f>_xlfn.XLOOKUP(_26_03_2026_Log_Reseau_v15[[#This Row],[Cell_ID]],_26_03_2026_Registre_Maintenance_v1[ID_Antenne],_26_03_2026_Registre_Maintenance_v1[Latitude],"non trouvé")</f>
        <v>non trouvé</v>
      </c>
      <c r="H335" t="str">
        <f>_xlfn.XLOOKUP(_26_03_2026_Log_Reseau_v15[[#This Row],[Cell_ID]],_26_03_2026_Registre_Maintenance_v1[ID_Antenne],_26_03_2026_Registre_Maintenance_v1[Longitude],"pas trouvé")</f>
        <v>pas trouvé</v>
      </c>
      <c r="I335" t="str">
        <f>_xlfn.XLOOKUP(_26_03_2026_Log_Reseau_v15[[#This Row],[Cell_ID]],_26_03_2026_Registre_Maintenance_v1[ID_Antenne],_26_03_2026_Registre_Maintenance_v1[Technologie],"non trouvé")</f>
        <v>non trouvé</v>
      </c>
      <c r="J335" t="str">
        <f>_xlfn.XLOOKUP(_26_03_2026_Log_Reseau_v15[[#This Row],[Cell_ID]],_26_03_2026_Registre_Maintenance_v1[ID_Antenne],_26_03_2026_Registre_Maintenance_v1[Equipementier],"pas trouvé")</f>
        <v>pas trouvé</v>
      </c>
      <c r="K335" t="str">
        <f>_xlfn.XLOOKUP(_26_03_2026_Log_Reseau_v15[[#This Row],[province RDC]],_26_03_2026_Client_Churn_v1[Province_Client],_26_03_2026_Client_Churn_v1[ID_Client],"non trouvé")</f>
        <v>non trouvé</v>
      </c>
      <c r="L335" t="str">
        <f>_xlfn.XLOOKUP(_26_03_2026_Log_Reseau_v15[[#This Row],[province RDC]],_26_03_2026_Client_Churn_v1[Province_Client],_26_03_2026_Client_Churn_v1[Anciennete_Mois],"non trouvé")</f>
        <v>non trouvé</v>
      </c>
      <c r="M335" t="str">
        <f>_xlfn.XLOOKUP(_26_03_2026_Log_Reseau_v15[[#This Row],[province RDC]],_26_03_2026_Client_Churn_v1[Province_Client],_26_03_2026_Client_Churn_v1[Type_Forfait],"non trouvé")</f>
        <v>non trouvé</v>
      </c>
      <c r="N335" t="str">
        <f>_xlfn.XLOOKUP(_26_03_2026_Log_Reseau_v15[[#This Row],[province RDC]],_26_03_2026_Client_Churn_v1[Province_Client],_26_03_2026_Client_Churn_v1[Duree_Cumulee_Panne_Min],"non trouvé")</f>
        <v>non trouvé</v>
      </c>
      <c r="O335" t="str">
        <f>_xlfn.XLOOKUP(_26_03_2026_Log_Reseau_v15[[#This Row],[province RDC]],_26_03_2026_Client_Churn_v1[Province_Client],_26_03_2026_Client_Churn_v1[Facture_Mensuelle],"non trouvé")</f>
        <v>non trouvé</v>
      </c>
      <c r="P335" t="str">
        <f>_xlfn.XLOOKUP(_26_03_2026_Log_Reseau_v15[[#This Row],[province RDC]],_26_03_2026_Client_Churn_v1[Province_Client],_26_03_2026_Client_Churn_v1[Plaintes_Service_Client],"non trouvé")</f>
        <v>non trouvé</v>
      </c>
    </row>
    <row r="336" spans="1:16" hidden="1" x14ac:dyDescent="0.25">
      <c r="A336" s="1">
        <v>45209</v>
      </c>
      <c r="B336" s="2">
        <v>0.81527777777777777</v>
      </c>
      <c r="C336" t="s">
        <v>1013</v>
      </c>
      <c r="D336">
        <v>115</v>
      </c>
      <c r="E336" t="s">
        <v>812</v>
      </c>
      <c r="F336" t="str">
        <f>_xlfn.XLOOKUP(_26_03_2026_Log_Reseau_v15[[#This Row],[Cell_ID]],_26_03_2026_Registre_Maintenance_v1[ID_Antenne],_26_03_2026_Registre_Maintenance_v1[zone],"pas trouvé")</f>
        <v>pas trouvé</v>
      </c>
      <c r="G336" t="str">
        <f>_xlfn.XLOOKUP(_26_03_2026_Log_Reseau_v15[[#This Row],[Cell_ID]],_26_03_2026_Registre_Maintenance_v1[ID_Antenne],_26_03_2026_Registre_Maintenance_v1[Latitude],"non trouvé")</f>
        <v>non trouvé</v>
      </c>
      <c r="H336" t="str">
        <f>_xlfn.XLOOKUP(_26_03_2026_Log_Reseau_v15[[#This Row],[Cell_ID]],_26_03_2026_Registre_Maintenance_v1[ID_Antenne],_26_03_2026_Registre_Maintenance_v1[Longitude],"pas trouvé")</f>
        <v>pas trouvé</v>
      </c>
      <c r="I336" t="str">
        <f>_xlfn.XLOOKUP(_26_03_2026_Log_Reseau_v15[[#This Row],[Cell_ID]],_26_03_2026_Registre_Maintenance_v1[ID_Antenne],_26_03_2026_Registre_Maintenance_v1[Technologie],"non trouvé")</f>
        <v>non trouvé</v>
      </c>
      <c r="J336" t="str">
        <f>_xlfn.XLOOKUP(_26_03_2026_Log_Reseau_v15[[#This Row],[Cell_ID]],_26_03_2026_Registre_Maintenance_v1[ID_Antenne],_26_03_2026_Registre_Maintenance_v1[Equipementier],"pas trouvé")</f>
        <v>pas trouvé</v>
      </c>
      <c r="K336" t="str">
        <f>_xlfn.XLOOKUP(_26_03_2026_Log_Reseau_v15[[#This Row],[province RDC]],_26_03_2026_Client_Churn_v1[Province_Client],_26_03_2026_Client_Churn_v1[ID_Client],"non trouvé")</f>
        <v>non trouvé</v>
      </c>
      <c r="L336" t="str">
        <f>_xlfn.XLOOKUP(_26_03_2026_Log_Reseau_v15[[#This Row],[province RDC]],_26_03_2026_Client_Churn_v1[Province_Client],_26_03_2026_Client_Churn_v1[Anciennete_Mois],"non trouvé")</f>
        <v>non trouvé</v>
      </c>
      <c r="M336" t="str">
        <f>_xlfn.XLOOKUP(_26_03_2026_Log_Reseau_v15[[#This Row],[province RDC]],_26_03_2026_Client_Churn_v1[Province_Client],_26_03_2026_Client_Churn_v1[Type_Forfait],"non trouvé")</f>
        <v>non trouvé</v>
      </c>
      <c r="N336" t="str">
        <f>_xlfn.XLOOKUP(_26_03_2026_Log_Reseau_v15[[#This Row],[province RDC]],_26_03_2026_Client_Churn_v1[Province_Client],_26_03_2026_Client_Churn_v1[Duree_Cumulee_Panne_Min],"non trouvé")</f>
        <v>non trouvé</v>
      </c>
      <c r="O336" t="str">
        <f>_xlfn.XLOOKUP(_26_03_2026_Log_Reseau_v15[[#This Row],[province RDC]],_26_03_2026_Client_Churn_v1[Province_Client],_26_03_2026_Client_Churn_v1[Facture_Mensuelle],"non trouvé")</f>
        <v>non trouvé</v>
      </c>
      <c r="P336" t="str">
        <f>_xlfn.XLOOKUP(_26_03_2026_Log_Reseau_v15[[#This Row],[province RDC]],_26_03_2026_Client_Churn_v1[Province_Client],_26_03_2026_Client_Churn_v1[Plaintes_Service_Client],"non trouvé")</f>
        <v>non trouvé</v>
      </c>
    </row>
    <row r="337" spans="1:16" hidden="1" x14ac:dyDescent="0.25">
      <c r="A337" s="1">
        <v>45207</v>
      </c>
      <c r="B337" s="2">
        <v>0.84583333333333333</v>
      </c>
      <c r="C337" t="s">
        <v>1014</v>
      </c>
      <c r="D337">
        <v>12</v>
      </c>
      <c r="E337" t="s">
        <v>812</v>
      </c>
      <c r="F337" t="str">
        <f>_xlfn.XLOOKUP(_26_03_2026_Log_Reseau_v15[[#This Row],[Cell_ID]],_26_03_2026_Registre_Maintenance_v1[ID_Antenne],_26_03_2026_Registre_Maintenance_v1[zone],"pas trouvé")</f>
        <v>pas trouvé</v>
      </c>
      <c r="G337" t="str">
        <f>_xlfn.XLOOKUP(_26_03_2026_Log_Reseau_v15[[#This Row],[Cell_ID]],_26_03_2026_Registre_Maintenance_v1[ID_Antenne],_26_03_2026_Registre_Maintenance_v1[Latitude],"non trouvé")</f>
        <v>non trouvé</v>
      </c>
      <c r="H337" t="str">
        <f>_xlfn.XLOOKUP(_26_03_2026_Log_Reseau_v15[[#This Row],[Cell_ID]],_26_03_2026_Registre_Maintenance_v1[ID_Antenne],_26_03_2026_Registre_Maintenance_v1[Longitude],"pas trouvé")</f>
        <v>pas trouvé</v>
      </c>
      <c r="I337" t="str">
        <f>_xlfn.XLOOKUP(_26_03_2026_Log_Reseau_v15[[#This Row],[Cell_ID]],_26_03_2026_Registre_Maintenance_v1[ID_Antenne],_26_03_2026_Registre_Maintenance_v1[Technologie],"non trouvé")</f>
        <v>non trouvé</v>
      </c>
      <c r="J337" t="str">
        <f>_xlfn.XLOOKUP(_26_03_2026_Log_Reseau_v15[[#This Row],[Cell_ID]],_26_03_2026_Registre_Maintenance_v1[ID_Antenne],_26_03_2026_Registre_Maintenance_v1[Equipementier],"pas trouvé")</f>
        <v>pas trouvé</v>
      </c>
      <c r="K337" t="str">
        <f>_xlfn.XLOOKUP(_26_03_2026_Log_Reseau_v15[[#This Row],[province RDC]],_26_03_2026_Client_Churn_v1[Province_Client],_26_03_2026_Client_Churn_v1[ID_Client],"non trouvé")</f>
        <v>non trouvé</v>
      </c>
      <c r="L337" t="str">
        <f>_xlfn.XLOOKUP(_26_03_2026_Log_Reseau_v15[[#This Row],[province RDC]],_26_03_2026_Client_Churn_v1[Province_Client],_26_03_2026_Client_Churn_v1[Anciennete_Mois],"non trouvé")</f>
        <v>non trouvé</v>
      </c>
      <c r="M337" t="str">
        <f>_xlfn.XLOOKUP(_26_03_2026_Log_Reseau_v15[[#This Row],[province RDC]],_26_03_2026_Client_Churn_v1[Province_Client],_26_03_2026_Client_Churn_v1[Type_Forfait],"non trouvé")</f>
        <v>non trouvé</v>
      </c>
      <c r="N337" t="str">
        <f>_xlfn.XLOOKUP(_26_03_2026_Log_Reseau_v15[[#This Row],[province RDC]],_26_03_2026_Client_Churn_v1[Province_Client],_26_03_2026_Client_Churn_v1[Duree_Cumulee_Panne_Min],"non trouvé")</f>
        <v>non trouvé</v>
      </c>
      <c r="O337" t="str">
        <f>_xlfn.XLOOKUP(_26_03_2026_Log_Reseau_v15[[#This Row],[province RDC]],_26_03_2026_Client_Churn_v1[Province_Client],_26_03_2026_Client_Churn_v1[Facture_Mensuelle],"non trouvé")</f>
        <v>non trouvé</v>
      </c>
      <c r="P337" t="str">
        <f>_xlfn.XLOOKUP(_26_03_2026_Log_Reseau_v15[[#This Row],[province RDC]],_26_03_2026_Client_Churn_v1[Province_Client],_26_03_2026_Client_Churn_v1[Plaintes_Service_Client],"non trouvé")</f>
        <v>non trouvé</v>
      </c>
    </row>
    <row r="338" spans="1:16" hidden="1" x14ac:dyDescent="0.25">
      <c r="A338" s="1">
        <v>45223</v>
      </c>
      <c r="B338" s="2">
        <v>0.18472222222222223</v>
      </c>
      <c r="C338" t="s">
        <v>1014</v>
      </c>
      <c r="D338">
        <v>42</v>
      </c>
      <c r="E338" t="s">
        <v>808</v>
      </c>
      <c r="F338" t="str">
        <f>_xlfn.XLOOKUP(_26_03_2026_Log_Reseau_v15[[#This Row],[Cell_ID]],_26_03_2026_Registre_Maintenance_v1[ID_Antenne],_26_03_2026_Registre_Maintenance_v1[zone],"pas trouvé")</f>
        <v>pas trouvé</v>
      </c>
      <c r="G338" t="str">
        <f>_xlfn.XLOOKUP(_26_03_2026_Log_Reseau_v15[[#This Row],[Cell_ID]],_26_03_2026_Registre_Maintenance_v1[ID_Antenne],_26_03_2026_Registre_Maintenance_v1[Latitude],"non trouvé")</f>
        <v>non trouvé</v>
      </c>
      <c r="H338" t="str">
        <f>_xlfn.XLOOKUP(_26_03_2026_Log_Reseau_v15[[#This Row],[Cell_ID]],_26_03_2026_Registre_Maintenance_v1[ID_Antenne],_26_03_2026_Registre_Maintenance_v1[Longitude],"pas trouvé")</f>
        <v>pas trouvé</v>
      </c>
      <c r="I338" t="str">
        <f>_xlfn.XLOOKUP(_26_03_2026_Log_Reseau_v15[[#This Row],[Cell_ID]],_26_03_2026_Registre_Maintenance_v1[ID_Antenne],_26_03_2026_Registre_Maintenance_v1[Technologie],"non trouvé")</f>
        <v>non trouvé</v>
      </c>
      <c r="J338" t="str">
        <f>_xlfn.XLOOKUP(_26_03_2026_Log_Reseau_v15[[#This Row],[Cell_ID]],_26_03_2026_Registre_Maintenance_v1[ID_Antenne],_26_03_2026_Registre_Maintenance_v1[Equipementier],"pas trouvé")</f>
        <v>pas trouvé</v>
      </c>
      <c r="K338" t="str">
        <f>_xlfn.XLOOKUP(_26_03_2026_Log_Reseau_v15[[#This Row],[province RDC]],_26_03_2026_Client_Churn_v1[Province_Client],_26_03_2026_Client_Churn_v1[ID_Client],"non trouvé")</f>
        <v>non trouvé</v>
      </c>
      <c r="L338" t="str">
        <f>_xlfn.XLOOKUP(_26_03_2026_Log_Reseau_v15[[#This Row],[province RDC]],_26_03_2026_Client_Churn_v1[Province_Client],_26_03_2026_Client_Churn_v1[Anciennete_Mois],"non trouvé")</f>
        <v>non trouvé</v>
      </c>
      <c r="M338" t="str">
        <f>_xlfn.XLOOKUP(_26_03_2026_Log_Reseau_v15[[#This Row],[province RDC]],_26_03_2026_Client_Churn_v1[Province_Client],_26_03_2026_Client_Churn_v1[Type_Forfait],"non trouvé")</f>
        <v>non trouvé</v>
      </c>
      <c r="N338" t="str">
        <f>_xlfn.XLOOKUP(_26_03_2026_Log_Reseau_v15[[#This Row],[province RDC]],_26_03_2026_Client_Churn_v1[Province_Client],_26_03_2026_Client_Churn_v1[Duree_Cumulee_Panne_Min],"non trouvé")</f>
        <v>non trouvé</v>
      </c>
      <c r="O338" t="str">
        <f>_xlfn.XLOOKUP(_26_03_2026_Log_Reseau_v15[[#This Row],[province RDC]],_26_03_2026_Client_Churn_v1[Province_Client],_26_03_2026_Client_Churn_v1[Facture_Mensuelle],"non trouvé")</f>
        <v>non trouvé</v>
      </c>
      <c r="P338" t="str">
        <f>_xlfn.XLOOKUP(_26_03_2026_Log_Reseau_v15[[#This Row],[province RDC]],_26_03_2026_Client_Churn_v1[Province_Client],_26_03_2026_Client_Churn_v1[Plaintes_Service_Client],"non trouvé")</f>
        <v>non trouvé</v>
      </c>
    </row>
    <row r="339" spans="1:16" hidden="1" x14ac:dyDescent="0.25">
      <c r="A339" s="1">
        <v>45214</v>
      </c>
      <c r="B339" s="2">
        <v>0.89375000000000004</v>
      </c>
      <c r="C339" t="s">
        <v>1015</v>
      </c>
      <c r="D339">
        <v>60</v>
      </c>
      <c r="E339" t="s">
        <v>808</v>
      </c>
      <c r="F339" t="str">
        <f>_xlfn.XLOOKUP(_26_03_2026_Log_Reseau_v15[[#This Row],[Cell_ID]],_26_03_2026_Registre_Maintenance_v1[ID_Antenne],_26_03_2026_Registre_Maintenance_v1[zone],"pas trouvé")</f>
        <v>pas trouvé</v>
      </c>
      <c r="G339" t="str">
        <f>_xlfn.XLOOKUP(_26_03_2026_Log_Reseau_v15[[#This Row],[Cell_ID]],_26_03_2026_Registre_Maintenance_v1[ID_Antenne],_26_03_2026_Registre_Maintenance_v1[Latitude],"non trouvé")</f>
        <v>non trouvé</v>
      </c>
      <c r="H339" t="str">
        <f>_xlfn.XLOOKUP(_26_03_2026_Log_Reseau_v15[[#This Row],[Cell_ID]],_26_03_2026_Registre_Maintenance_v1[ID_Antenne],_26_03_2026_Registre_Maintenance_v1[Longitude],"pas trouvé")</f>
        <v>pas trouvé</v>
      </c>
      <c r="I339" t="str">
        <f>_xlfn.XLOOKUP(_26_03_2026_Log_Reseau_v15[[#This Row],[Cell_ID]],_26_03_2026_Registre_Maintenance_v1[ID_Antenne],_26_03_2026_Registre_Maintenance_v1[Technologie],"non trouvé")</f>
        <v>non trouvé</v>
      </c>
      <c r="J339" t="str">
        <f>_xlfn.XLOOKUP(_26_03_2026_Log_Reseau_v15[[#This Row],[Cell_ID]],_26_03_2026_Registre_Maintenance_v1[ID_Antenne],_26_03_2026_Registre_Maintenance_v1[Equipementier],"pas trouvé")</f>
        <v>pas trouvé</v>
      </c>
      <c r="K339" t="str">
        <f>_xlfn.XLOOKUP(_26_03_2026_Log_Reseau_v15[[#This Row],[province RDC]],_26_03_2026_Client_Churn_v1[Province_Client],_26_03_2026_Client_Churn_v1[ID_Client],"non trouvé")</f>
        <v>non trouvé</v>
      </c>
      <c r="L339" t="str">
        <f>_xlfn.XLOOKUP(_26_03_2026_Log_Reseau_v15[[#This Row],[province RDC]],_26_03_2026_Client_Churn_v1[Province_Client],_26_03_2026_Client_Churn_v1[Anciennete_Mois],"non trouvé")</f>
        <v>non trouvé</v>
      </c>
      <c r="M339" t="str">
        <f>_xlfn.XLOOKUP(_26_03_2026_Log_Reseau_v15[[#This Row],[province RDC]],_26_03_2026_Client_Churn_v1[Province_Client],_26_03_2026_Client_Churn_v1[Type_Forfait],"non trouvé")</f>
        <v>non trouvé</v>
      </c>
      <c r="N339" t="str">
        <f>_xlfn.XLOOKUP(_26_03_2026_Log_Reseau_v15[[#This Row],[province RDC]],_26_03_2026_Client_Churn_v1[Province_Client],_26_03_2026_Client_Churn_v1[Duree_Cumulee_Panne_Min],"non trouvé")</f>
        <v>non trouvé</v>
      </c>
      <c r="O339" t="str">
        <f>_xlfn.XLOOKUP(_26_03_2026_Log_Reseau_v15[[#This Row],[province RDC]],_26_03_2026_Client_Churn_v1[Province_Client],_26_03_2026_Client_Churn_v1[Facture_Mensuelle],"non trouvé")</f>
        <v>non trouvé</v>
      </c>
      <c r="P339" t="str">
        <f>_xlfn.XLOOKUP(_26_03_2026_Log_Reseau_v15[[#This Row],[province RDC]],_26_03_2026_Client_Churn_v1[Province_Client],_26_03_2026_Client_Churn_v1[Plaintes_Service_Client],"non trouvé")</f>
        <v>non trouvé</v>
      </c>
    </row>
    <row r="340" spans="1:16" hidden="1" x14ac:dyDescent="0.25">
      <c r="A340" s="1">
        <v>45230</v>
      </c>
      <c r="B340" s="2">
        <v>0.18541666666666667</v>
      </c>
      <c r="C340" t="s">
        <v>1016</v>
      </c>
      <c r="D340">
        <v>31</v>
      </c>
      <c r="E340" t="s">
        <v>808</v>
      </c>
      <c r="F340" t="str">
        <f>_xlfn.XLOOKUP(_26_03_2026_Log_Reseau_v15[[#This Row],[Cell_ID]],_26_03_2026_Registre_Maintenance_v1[ID_Antenne],_26_03_2026_Registre_Maintenance_v1[zone],"pas trouvé")</f>
        <v>pas trouvé</v>
      </c>
      <c r="G340" t="str">
        <f>_xlfn.XLOOKUP(_26_03_2026_Log_Reseau_v15[[#This Row],[Cell_ID]],_26_03_2026_Registre_Maintenance_v1[ID_Antenne],_26_03_2026_Registre_Maintenance_v1[Latitude],"non trouvé")</f>
        <v>non trouvé</v>
      </c>
      <c r="H340" t="str">
        <f>_xlfn.XLOOKUP(_26_03_2026_Log_Reseau_v15[[#This Row],[Cell_ID]],_26_03_2026_Registre_Maintenance_v1[ID_Antenne],_26_03_2026_Registre_Maintenance_v1[Longitude],"pas trouvé")</f>
        <v>pas trouvé</v>
      </c>
      <c r="I340" t="str">
        <f>_xlfn.XLOOKUP(_26_03_2026_Log_Reseau_v15[[#This Row],[Cell_ID]],_26_03_2026_Registre_Maintenance_v1[ID_Antenne],_26_03_2026_Registre_Maintenance_v1[Technologie],"non trouvé")</f>
        <v>non trouvé</v>
      </c>
      <c r="J340" t="str">
        <f>_xlfn.XLOOKUP(_26_03_2026_Log_Reseau_v15[[#This Row],[Cell_ID]],_26_03_2026_Registre_Maintenance_v1[ID_Antenne],_26_03_2026_Registre_Maintenance_v1[Equipementier],"pas trouvé")</f>
        <v>pas trouvé</v>
      </c>
      <c r="K340" t="str">
        <f>_xlfn.XLOOKUP(_26_03_2026_Log_Reseau_v15[[#This Row],[province RDC]],_26_03_2026_Client_Churn_v1[Province_Client],_26_03_2026_Client_Churn_v1[ID_Client],"non trouvé")</f>
        <v>non trouvé</v>
      </c>
      <c r="L340" t="str">
        <f>_xlfn.XLOOKUP(_26_03_2026_Log_Reseau_v15[[#This Row],[province RDC]],_26_03_2026_Client_Churn_v1[Province_Client],_26_03_2026_Client_Churn_v1[Anciennete_Mois],"non trouvé")</f>
        <v>non trouvé</v>
      </c>
      <c r="M340" t="str">
        <f>_xlfn.XLOOKUP(_26_03_2026_Log_Reseau_v15[[#This Row],[province RDC]],_26_03_2026_Client_Churn_v1[Province_Client],_26_03_2026_Client_Churn_v1[Type_Forfait],"non trouvé")</f>
        <v>non trouvé</v>
      </c>
      <c r="N340" t="str">
        <f>_xlfn.XLOOKUP(_26_03_2026_Log_Reseau_v15[[#This Row],[province RDC]],_26_03_2026_Client_Churn_v1[Province_Client],_26_03_2026_Client_Churn_v1[Duree_Cumulee_Panne_Min],"non trouvé")</f>
        <v>non trouvé</v>
      </c>
      <c r="O340" t="str">
        <f>_xlfn.XLOOKUP(_26_03_2026_Log_Reseau_v15[[#This Row],[province RDC]],_26_03_2026_Client_Churn_v1[Province_Client],_26_03_2026_Client_Churn_v1[Facture_Mensuelle],"non trouvé")</f>
        <v>non trouvé</v>
      </c>
      <c r="P340" t="str">
        <f>_xlfn.XLOOKUP(_26_03_2026_Log_Reseau_v15[[#This Row],[province RDC]],_26_03_2026_Client_Churn_v1[Province_Client],_26_03_2026_Client_Churn_v1[Plaintes_Service_Client],"non trouvé")</f>
        <v>non trouvé</v>
      </c>
    </row>
    <row r="341" spans="1:16" hidden="1" x14ac:dyDescent="0.25">
      <c r="A341" s="1">
        <v>45218</v>
      </c>
      <c r="B341" s="2">
        <v>0.3347222222222222</v>
      </c>
      <c r="C341" t="s">
        <v>1017</v>
      </c>
      <c r="D341">
        <v>85</v>
      </c>
      <c r="E341" t="s">
        <v>812</v>
      </c>
      <c r="F341" t="str">
        <f>_xlfn.XLOOKUP(_26_03_2026_Log_Reseau_v15[[#This Row],[Cell_ID]],_26_03_2026_Registre_Maintenance_v1[ID_Antenne],_26_03_2026_Registre_Maintenance_v1[zone],"pas trouvé")</f>
        <v>pas trouvé</v>
      </c>
      <c r="G341" t="str">
        <f>_xlfn.XLOOKUP(_26_03_2026_Log_Reseau_v15[[#This Row],[Cell_ID]],_26_03_2026_Registre_Maintenance_v1[ID_Antenne],_26_03_2026_Registre_Maintenance_v1[Latitude],"non trouvé")</f>
        <v>non trouvé</v>
      </c>
      <c r="H341" t="str">
        <f>_xlfn.XLOOKUP(_26_03_2026_Log_Reseau_v15[[#This Row],[Cell_ID]],_26_03_2026_Registre_Maintenance_v1[ID_Antenne],_26_03_2026_Registre_Maintenance_v1[Longitude],"pas trouvé")</f>
        <v>pas trouvé</v>
      </c>
      <c r="I341" t="str">
        <f>_xlfn.XLOOKUP(_26_03_2026_Log_Reseau_v15[[#This Row],[Cell_ID]],_26_03_2026_Registre_Maintenance_v1[ID_Antenne],_26_03_2026_Registre_Maintenance_v1[Technologie],"non trouvé")</f>
        <v>non trouvé</v>
      </c>
      <c r="J341" t="str">
        <f>_xlfn.XLOOKUP(_26_03_2026_Log_Reseau_v15[[#This Row],[Cell_ID]],_26_03_2026_Registre_Maintenance_v1[ID_Antenne],_26_03_2026_Registre_Maintenance_v1[Equipementier],"pas trouvé")</f>
        <v>pas trouvé</v>
      </c>
      <c r="K341" t="str">
        <f>_xlfn.XLOOKUP(_26_03_2026_Log_Reseau_v15[[#This Row],[province RDC]],_26_03_2026_Client_Churn_v1[Province_Client],_26_03_2026_Client_Churn_v1[ID_Client],"non trouvé")</f>
        <v>non trouvé</v>
      </c>
      <c r="L341" t="str">
        <f>_xlfn.XLOOKUP(_26_03_2026_Log_Reseau_v15[[#This Row],[province RDC]],_26_03_2026_Client_Churn_v1[Province_Client],_26_03_2026_Client_Churn_v1[Anciennete_Mois],"non trouvé")</f>
        <v>non trouvé</v>
      </c>
      <c r="M341" t="str">
        <f>_xlfn.XLOOKUP(_26_03_2026_Log_Reseau_v15[[#This Row],[province RDC]],_26_03_2026_Client_Churn_v1[Province_Client],_26_03_2026_Client_Churn_v1[Type_Forfait],"non trouvé")</f>
        <v>non trouvé</v>
      </c>
      <c r="N341" t="str">
        <f>_xlfn.XLOOKUP(_26_03_2026_Log_Reseau_v15[[#This Row],[province RDC]],_26_03_2026_Client_Churn_v1[Province_Client],_26_03_2026_Client_Churn_v1[Duree_Cumulee_Panne_Min],"non trouvé")</f>
        <v>non trouvé</v>
      </c>
      <c r="O341" t="str">
        <f>_xlfn.XLOOKUP(_26_03_2026_Log_Reseau_v15[[#This Row],[province RDC]],_26_03_2026_Client_Churn_v1[Province_Client],_26_03_2026_Client_Churn_v1[Facture_Mensuelle],"non trouvé")</f>
        <v>non trouvé</v>
      </c>
      <c r="P341" t="str">
        <f>_xlfn.XLOOKUP(_26_03_2026_Log_Reseau_v15[[#This Row],[province RDC]],_26_03_2026_Client_Churn_v1[Province_Client],_26_03_2026_Client_Churn_v1[Plaintes_Service_Client],"non trouvé")</f>
        <v>non trouvé</v>
      </c>
    </row>
    <row r="342" spans="1:16" hidden="1" x14ac:dyDescent="0.25">
      <c r="A342" s="1">
        <v>45225</v>
      </c>
      <c r="B342" s="2">
        <v>0.12916666666666668</v>
      </c>
      <c r="C342" t="s">
        <v>1017</v>
      </c>
      <c r="D342">
        <v>36</v>
      </c>
      <c r="E342" t="s">
        <v>812</v>
      </c>
      <c r="F342" t="str">
        <f>_xlfn.XLOOKUP(_26_03_2026_Log_Reseau_v15[[#This Row],[Cell_ID]],_26_03_2026_Registre_Maintenance_v1[ID_Antenne],_26_03_2026_Registre_Maintenance_v1[zone],"pas trouvé")</f>
        <v>pas trouvé</v>
      </c>
      <c r="G342" t="str">
        <f>_xlfn.XLOOKUP(_26_03_2026_Log_Reseau_v15[[#This Row],[Cell_ID]],_26_03_2026_Registre_Maintenance_v1[ID_Antenne],_26_03_2026_Registre_Maintenance_v1[Latitude],"non trouvé")</f>
        <v>non trouvé</v>
      </c>
      <c r="H342" t="str">
        <f>_xlfn.XLOOKUP(_26_03_2026_Log_Reseau_v15[[#This Row],[Cell_ID]],_26_03_2026_Registre_Maintenance_v1[ID_Antenne],_26_03_2026_Registre_Maintenance_v1[Longitude],"pas trouvé")</f>
        <v>pas trouvé</v>
      </c>
      <c r="I342" t="str">
        <f>_xlfn.XLOOKUP(_26_03_2026_Log_Reseau_v15[[#This Row],[Cell_ID]],_26_03_2026_Registre_Maintenance_v1[ID_Antenne],_26_03_2026_Registre_Maintenance_v1[Technologie],"non trouvé")</f>
        <v>non trouvé</v>
      </c>
      <c r="J342" t="str">
        <f>_xlfn.XLOOKUP(_26_03_2026_Log_Reseau_v15[[#This Row],[Cell_ID]],_26_03_2026_Registre_Maintenance_v1[ID_Antenne],_26_03_2026_Registre_Maintenance_v1[Equipementier],"pas trouvé")</f>
        <v>pas trouvé</v>
      </c>
      <c r="K342" t="str">
        <f>_xlfn.XLOOKUP(_26_03_2026_Log_Reseau_v15[[#This Row],[province RDC]],_26_03_2026_Client_Churn_v1[Province_Client],_26_03_2026_Client_Churn_v1[ID_Client],"non trouvé")</f>
        <v>non trouvé</v>
      </c>
      <c r="L342" t="str">
        <f>_xlfn.XLOOKUP(_26_03_2026_Log_Reseau_v15[[#This Row],[province RDC]],_26_03_2026_Client_Churn_v1[Province_Client],_26_03_2026_Client_Churn_v1[Anciennete_Mois],"non trouvé")</f>
        <v>non trouvé</v>
      </c>
      <c r="M342" t="str">
        <f>_xlfn.XLOOKUP(_26_03_2026_Log_Reseau_v15[[#This Row],[province RDC]],_26_03_2026_Client_Churn_v1[Province_Client],_26_03_2026_Client_Churn_v1[Type_Forfait],"non trouvé")</f>
        <v>non trouvé</v>
      </c>
      <c r="N342" t="str">
        <f>_xlfn.XLOOKUP(_26_03_2026_Log_Reseau_v15[[#This Row],[province RDC]],_26_03_2026_Client_Churn_v1[Province_Client],_26_03_2026_Client_Churn_v1[Duree_Cumulee_Panne_Min],"non trouvé")</f>
        <v>non trouvé</v>
      </c>
      <c r="O342" t="str">
        <f>_xlfn.XLOOKUP(_26_03_2026_Log_Reseau_v15[[#This Row],[province RDC]],_26_03_2026_Client_Churn_v1[Province_Client],_26_03_2026_Client_Churn_v1[Facture_Mensuelle],"non trouvé")</f>
        <v>non trouvé</v>
      </c>
      <c r="P342" t="str">
        <f>_xlfn.XLOOKUP(_26_03_2026_Log_Reseau_v15[[#This Row],[province RDC]],_26_03_2026_Client_Churn_v1[Province_Client],_26_03_2026_Client_Churn_v1[Plaintes_Service_Client],"non trouvé")</f>
        <v>non trouvé</v>
      </c>
    </row>
    <row r="343" spans="1:16" hidden="1" x14ac:dyDescent="0.25">
      <c r="A343" s="1">
        <v>45230</v>
      </c>
      <c r="B343" s="2">
        <v>0.53749999999999998</v>
      </c>
      <c r="C343" t="s">
        <v>1018</v>
      </c>
      <c r="D343">
        <v>33</v>
      </c>
      <c r="E343" t="s">
        <v>808</v>
      </c>
      <c r="F343" t="str">
        <f>_xlfn.XLOOKUP(_26_03_2026_Log_Reseau_v15[[#This Row],[Cell_ID]],_26_03_2026_Registre_Maintenance_v1[ID_Antenne],_26_03_2026_Registre_Maintenance_v1[zone],"pas trouvé")</f>
        <v>pas trouvé</v>
      </c>
      <c r="G343" t="str">
        <f>_xlfn.XLOOKUP(_26_03_2026_Log_Reseau_v15[[#This Row],[Cell_ID]],_26_03_2026_Registre_Maintenance_v1[ID_Antenne],_26_03_2026_Registre_Maintenance_v1[Latitude],"non trouvé")</f>
        <v>non trouvé</v>
      </c>
      <c r="H343" t="str">
        <f>_xlfn.XLOOKUP(_26_03_2026_Log_Reseau_v15[[#This Row],[Cell_ID]],_26_03_2026_Registre_Maintenance_v1[ID_Antenne],_26_03_2026_Registre_Maintenance_v1[Longitude],"pas trouvé")</f>
        <v>pas trouvé</v>
      </c>
      <c r="I343" t="str">
        <f>_xlfn.XLOOKUP(_26_03_2026_Log_Reseau_v15[[#This Row],[Cell_ID]],_26_03_2026_Registre_Maintenance_v1[ID_Antenne],_26_03_2026_Registre_Maintenance_v1[Technologie],"non trouvé")</f>
        <v>non trouvé</v>
      </c>
      <c r="J343" t="str">
        <f>_xlfn.XLOOKUP(_26_03_2026_Log_Reseau_v15[[#This Row],[Cell_ID]],_26_03_2026_Registre_Maintenance_v1[ID_Antenne],_26_03_2026_Registre_Maintenance_v1[Equipementier],"pas trouvé")</f>
        <v>pas trouvé</v>
      </c>
      <c r="K343" t="str">
        <f>_xlfn.XLOOKUP(_26_03_2026_Log_Reseau_v15[[#This Row],[province RDC]],_26_03_2026_Client_Churn_v1[Province_Client],_26_03_2026_Client_Churn_v1[ID_Client],"non trouvé")</f>
        <v>non trouvé</v>
      </c>
      <c r="L343" t="str">
        <f>_xlfn.XLOOKUP(_26_03_2026_Log_Reseau_v15[[#This Row],[province RDC]],_26_03_2026_Client_Churn_v1[Province_Client],_26_03_2026_Client_Churn_v1[Anciennete_Mois],"non trouvé")</f>
        <v>non trouvé</v>
      </c>
      <c r="M343" t="str">
        <f>_xlfn.XLOOKUP(_26_03_2026_Log_Reseau_v15[[#This Row],[province RDC]],_26_03_2026_Client_Churn_v1[Province_Client],_26_03_2026_Client_Churn_v1[Type_Forfait],"non trouvé")</f>
        <v>non trouvé</v>
      </c>
      <c r="N343" t="str">
        <f>_xlfn.XLOOKUP(_26_03_2026_Log_Reseau_v15[[#This Row],[province RDC]],_26_03_2026_Client_Churn_v1[Province_Client],_26_03_2026_Client_Churn_v1[Duree_Cumulee_Panne_Min],"non trouvé")</f>
        <v>non trouvé</v>
      </c>
      <c r="O343" t="str">
        <f>_xlfn.XLOOKUP(_26_03_2026_Log_Reseau_v15[[#This Row],[province RDC]],_26_03_2026_Client_Churn_v1[Province_Client],_26_03_2026_Client_Churn_v1[Facture_Mensuelle],"non trouvé")</f>
        <v>non trouvé</v>
      </c>
      <c r="P343" t="str">
        <f>_xlfn.XLOOKUP(_26_03_2026_Log_Reseau_v15[[#This Row],[province RDC]],_26_03_2026_Client_Churn_v1[Province_Client],_26_03_2026_Client_Churn_v1[Plaintes_Service_Client],"non trouvé")</f>
        <v>non trouvé</v>
      </c>
    </row>
    <row r="344" spans="1:16" hidden="1" x14ac:dyDescent="0.25">
      <c r="A344" s="1">
        <v>45225</v>
      </c>
      <c r="B344" s="2">
        <v>0.3840277777777778</v>
      </c>
      <c r="C344" t="s">
        <v>1018</v>
      </c>
      <c r="D344">
        <v>42</v>
      </c>
      <c r="E344" t="s">
        <v>807</v>
      </c>
      <c r="F344" t="str">
        <f>_xlfn.XLOOKUP(_26_03_2026_Log_Reseau_v15[[#This Row],[Cell_ID]],_26_03_2026_Registre_Maintenance_v1[ID_Antenne],_26_03_2026_Registre_Maintenance_v1[zone],"pas trouvé")</f>
        <v>pas trouvé</v>
      </c>
      <c r="G344" t="str">
        <f>_xlfn.XLOOKUP(_26_03_2026_Log_Reseau_v15[[#This Row],[Cell_ID]],_26_03_2026_Registre_Maintenance_v1[ID_Antenne],_26_03_2026_Registre_Maintenance_v1[Latitude],"non trouvé")</f>
        <v>non trouvé</v>
      </c>
      <c r="H344" t="str">
        <f>_xlfn.XLOOKUP(_26_03_2026_Log_Reseau_v15[[#This Row],[Cell_ID]],_26_03_2026_Registre_Maintenance_v1[ID_Antenne],_26_03_2026_Registre_Maintenance_v1[Longitude],"pas trouvé")</f>
        <v>pas trouvé</v>
      </c>
      <c r="I344" t="str">
        <f>_xlfn.XLOOKUP(_26_03_2026_Log_Reseau_v15[[#This Row],[Cell_ID]],_26_03_2026_Registre_Maintenance_v1[ID_Antenne],_26_03_2026_Registre_Maintenance_v1[Technologie],"non trouvé")</f>
        <v>non trouvé</v>
      </c>
      <c r="J344" t="str">
        <f>_xlfn.XLOOKUP(_26_03_2026_Log_Reseau_v15[[#This Row],[Cell_ID]],_26_03_2026_Registre_Maintenance_v1[ID_Antenne],_26_03_2026_Registre_Maintenance_v1[Equipementier],"pas trouvé")</f>
        <v>pas trouvé</v>
      </c>
      <c r="K344" t="str">
        <f>_xlfn.XLOOKUP(_26_03_2026_Log_Reseau_v15[[#This Row],[province RDC]],_26_03_2026_Client_Churn_v1[Province_Client],_26_03_2026_Client_Churn_v1[ID_Client],"non trouvé")</f>
        <v>non trouvé</v>
      </c>
      <c r="L344" t="str">
        <f>_xlfn.XLOOKUP(_26_03_2026_Log_Reseau_v15[[#This Row],[province RDC]],_26_03_2026_Client_Churn_v1[Province_Client],_26_03_2026_Client_Churn_v1[Anciennete_Mois],"non trouvé")</f>
        <v>non trouvé</v>
      </c>
      <c r="M344" t="str">
        <f>_xlfn.XLOOKUP(_26_03_2026_Log_Reseau_v15[[#This Row],[province RDC]],_26_03_2026_Client_Churn_v1[Province_Client],_26_03_2026_Client_Churn_v1[Type_Forfait],"non trouvé")</f>
        <v>non trouvé</v>
      </c>
      <c r="N344" t="str">
        <f>_xlfn.XLOOKUP(_26_03_2026_Log_Reseau_v15[[#This Row],[province RDC]],_26_03_2026_Client_Churn_v1[Province_Client],_26_03_2026_Client_Churn_v1[Duree_Cumulee_Panne_Min],"non trouvé")</f>
        <v>non trouvé</v>
      </c>
      <c r="O344" t="str">
        <f>_xlfn.XLOOKUP(_26_03_2026_Log_Reseau_v15[[#This Row],[province RDC]],_26_03_2026_Client_Churn_v1[Province_Client],_26_03_2026_Client_Churn_v1[Facture_Mensuelle],"non trouvé")</f>
        <v>non trouvé</v>
      </c>
      <c r="P344" t="str">
        <f>_xlfn.XLOOKUP(_26_03_2026_Log_Reseau_v15[[#This Row],[province RDC]],_26_03_2026_Client_Churn_v1[Province_Client],_26_03_2026_Client_Churn_v1[Plaintes_Service_Client],"non trouvé")</f>
        <v>non trouvé</v>
      </c>
    </row>
    <row r="345" spans="1:16" hidden="1" x14ac:dyDescent="0.25">
      <c r="A345" s="1">
        <v>45216</v>
      </c>
      <c r="B345" s="2">
        <v>0.51388888888888884</v>
      </c>
      <c r="C345" t="s">
        <v>1019</v>
      </c>
      <c r="D345">
        <v>73</v>
      </c>
      <c r="E345" t="s">
        <v>808</v>
      </c>
      <c r="F345" t="str">
        <f>_xlfn.XLOOKUP(_26_03_2026_Log_Reseau_v15[[#This Row],[Cell_ID]],_26_03_2026_Registre_Maintenance_v1[ID_Antenne],_26_03_2026_Registre_Maintenance_v1[zone],"pas trouvé")</f>
        <v>pas trouvé</v>
      </c>
      <c r="G345" t="str">
        <f>_xlfn.XLOOKUP(_26_03_2026_Log_Reseau_v15[[#This Row],[Cell_ID]],_26_03_2026_Registre_Maintenance_v1[ID_Antenne],_26_03_2026_Registre_Maintenance_v1[Latitude],"non trouvé")</f>
        <v>non trouvé</v>
      </c>
      <c r="H345" t="str">
        <f>_xlfn.XLOOKUP(_26_03_2026_Log_Reseau_v15[[#This Row],[Cell_ID]],_26_03_2026_Registre_Maintenance_v1[ID_Antenne],_26_03_2026_Registre_Maintenance_v1[Longitude],"pas trouvé")</f>
        <v>pas trouvé</v>
      </c>
      <c r="I345" t="str">
        <f>_xlfn.XLOOKUP(_26_03_2026_Log_Reseau_v15[[#This Row],[Cell_ID]],_26_03_2026_Registre_Maintenance_v1[ID_Antenne],_26_03_2026_Registre_Maintenance_v1[Technologie],"non trouvé")</f>
        <v>non trouvé</v>
      </c>
      <c r="J345" t="str">
        <f>_xlfn.XLOOKUP(_26_03_2026_Log_Reseau_v15[[#This Row],[Cell_ID]],_26_03_2026_Registre_Maintenance_v1[ID_Antenne],_26_03_2026_Registre_Maintenance_v1[Equipementier],"pas trouvé")</f>
        <v>pas trouvé</v>
      </c>
      <c r="K345" t="str">
        <f>_xlfn.XLOOKUP(_26_03_2026_Log_Reseau_v15[[#This Row],[province RDC]],_26_03_2026_Client_Churn_v1[Province_Client],_26_03_2026_Client_Churn_v1[ID_Client],"non trouvé")</f>
        <v>non trouvé</v>
      </c>
      <c r="L345" t="str">
        <f>_xlfn.XLOOKUP(_26_03_2026_Log_Reseau_v15[[#This Row],[province RDC]],_26_03_2026_Client_Churn_v1[Province_Client],_26_03_2026_Client_Churn_v1[Anciennete_Mois],"non trouvé")</f>
        <v>non trouvé</v>
      </c>
      <c r="M345" t="str">
        <f>_xlfn.XLOOKUP(_26_03_2026_Log_Reseau_v15[[#This Row],[province RDC]],_26_03_2026_Client_Churn_v1[Province_Client],_26_03_2026_Client_Churn_v1[Type_Forfait],"non trouvé")</f>
        <v>non trouvé</v>
      </c>
      <c r="N345" t="str">
        <f>_xlfn.XLOOKUP(_26_03_2026_Log_Reseau_v15[[#This Row],[province RDC]],_26_03_2026_Client_Churn_v1[Province_Client],_26_03_2026_Client_Churn_v1[Duree_Cumulee_Panne_Min],"non trouvé")</f>
        <v>non trouvé</v>
      </c>
      <c r="O345" t="str">
        <f>_xlfn.XLOOKUP(_26_03_2026_Log_Reseau_v15[[#This Row],[province RDC]],_26_03_2026_Client_Churn_v1[Province_Client],_26_03_2026_Client_Churn_v1[Facture_Mensuelle],"non trouvé")</f>
        <v>non trouvé</v>
      </c>
      <c r="P345" t="str">
        <f>_xlfn.XLOOKUP(_26_03_2026_Log_Reseau_v15[[#This Row],[province RDC]],_26_03_2026_Client_Churn_v1[Province_Client],_26_03_2026_Client_Churn_v1[Plaintes_Service_Client],"non trouvé")</f>
        <v>non trouvé</v>
      </c>
    </row>
    <row r="346" spans="1:16" hidden="1" x14ac:dyDescent="0.25">
      <c r="A346" s="1">
        <v>45222</v>
      </c>
      <c r="B346" s="2">
        <v>0.46736111111111112</v>
      </c>
      <c r="C346" t="s">
        <v>1020</v>
      </c>
      <c r="D346">
        <v>104</v>
      </c>
      <c r="E346" t="s">
        <v>812</v>
      </c>
      <c r="F346" t="str">
        <f>_xlfn.XLOOKUP(_26_03_2026_Log_Reseau_v15[[#This Row],[Cell_ID]],_26_03_2026_Registre_Maintenance_v1[ID_Antenne],_26_03_2026_Registre_Maintenance_v1[zone],"pas trouvé")</f>
        <v>pas trouvé</v>
      </c>
      <c r="G346" t="str">
        <f>_xlfn.XLOOKUP(_26_03_2026_Log_Reseau_v15[[#This Row],[Cell_ID]],_26_03_2026_Registre_Maintenance_v1[ID_Antenne],_26_03_2026_Registre_Maintenance_v1[Latitude],"non trouvé")</f>
        <v>non trouvé</v>
      </c>
      <c r="H346" t="str">
        <f>_xlfn.XLOOKUP(_26_03_2026_Log_Reseau_v15[[#This Row],[Cell_ID]],_26_03_2026_Registre_Maintenance_v1[ID_Antenne],_26_03_2026_Registre_Maintenance_v1[Longitude],"pas trouvé")</f>
        <v>pas trouvé</v>
      </c>
      <c r="I346" t="str">
        <f>_xlfn.XLOOKUP(_26_03_2026_Log_Reseau_v15[[#This Row],[Cell_ID]],_26_03_2026_Registre_Maintenance_v1[ID_Antenne],_26_03_2026_Registre_Maintenance_v1[Technologie],"non trouvé")</f>
        <v>non trouvé</v>
      </c>
      <c r="J346" t="str">
        <f>_xlfn.XLOOKUP(_26_03_2026_Log_Reseau_v15[[#This Row],[Cell_ID]],_26_03_2026_Registre_Maintenance_v1[ID_Antenne],_26_03_2026_Registre_Maintenance_v1[Equipementier],"pas trouvé")</f>
        <v>pas trouvé</v>
      </c>
      <c r="K346" t="str">
        <f>_xlfn.XLOOKUP(_26_03_2026_Log_Reseau_v15[[#This Row],[province RDC]],_26_03_2026_Client_Churn_v1[Province_Client],_26_03_2026_Client_Churn_v1[ID_Client],"non trouvé")</f>
        <v>non trouvé</v>
      </c>
      <c r="L346" t="str">
        <f>_xlfn.XLOOKUP(_26_03_2026_Log_Reseau_v15[[#This Row],[province RDC]],_26_03_2026_Client_Churn_v1[Province_Client],_26_03_2026_Client_Churn_v1[Anciennete_Mois],"non trouvé")</f>
        <v>non trouvé</v>
      </c>
      <c r="M346" t="str">
        <f>_xlfn.XLOOKUP(_26_03_2026_Log_Reseau_v15[[#This Row],[province RDC]],_26_03_2026_Client_Churn_v1[Province_Client],_26_03_2026_Client_Churn_v1[Type_Forfait],"non trouvé")</f>
        <v>non trouvé</v>
      </c>
      <c r="N346" t="str">
        <f>_xlfn.XLOOKUP(_26_03_2026_Log_Reseau_v15[[#This Row],[province RDC]],_26_03_2026_Client_Churn_v1[Province_Client],_26_03_2026_Client_Churn_v1[Duree_Cumulee_Panne_Min],"non trouvé")</f>
        <v>non trouvé</v>
      </c>
      <c r="O346" t="str">
        <f>_xlfn.XLOOKUP(_26_03_2026_Log_Reseau_v15[[#This Row],[province RDC]],_26_03_2026_Client_Churn_v1[Province_Client],_26_03_2026_Client_Churn_v1[Facture_Mensuelle],"non trouvé")</f>
        <v>non trouvé</v>
      </c>
      <c r="P346" t="str">
        <f>_xlfn.XLOOKUP(_26_03_2026_Log_Reseau_v15[[#This Row],[province RDC]],_26_03_2026_Client_Churn_v1[Province_Client],_26_03_2026_Client_Churn_v1[Plaintes_Service_Client],"non trouvé")</f>
        <v>non trouvé</v>
      </c>
    </row>
    <row r="347" spans="1:16" hidden="1" x14ac:dyDescent="0.25">
      <c r="A347" s="1">
        <v>45221</v>
      </c>
      <c r="B347" s="2">
        <v>0.49861111111111112</v>
      </c>
      <c r="C347" t="s">
        <v>1021</v>
      </c>
      <c r="D347">
        <v>116</v>
      </c>
      <c r="E347" t="s">
        <v>808</v>
      </c>
      <c r="F347" t="str">
        <f>_xlfn.XLOOKUP(_26_03_2026_Log_Reseau_v15[[#This Row],[Cell_ID]],_26_03_2026_Registre_Maintenance_v1[ID_Antenne],_26_03_2026_Registre_Maintenance_v1[zone],"pas trouvé")</f>
        <v>pas trouvé</v>
      </c>
      <c r="G347" t="str">
        <f>_xlfn.XLOOKUP(_26_03_2026_Log_Reseau_v15[[#This Row],[Cell_ID]],_26_03_2026_Registre_Maintenance_v1[ID_Antenne],_26_03_2026_Registre_Maintenance_v1[Latitude],"non trouvé")</f>
        <v>non trouvé</v>
      </c>
      <c r="H347" t="str">
        <f>_xlfn.XLOOKUP(_26_03_2026_Log_Reseau_v15[[#This Row],[Cell_ID]],_26_03_2026_Registre_Maintenance_v1[ID_Antenne],_26_03_2026_Registre_Maintenance_v1[Longitude],"pas trouvé")</f>
        <v>pas trouvé</v>
      </c>
      <c r="I347" t="str">
        <f>_xlfn.XLOOKUP(_26_03_2026_Log_Reseau_v15[[#This Row],[Cell_ID]],_26_03_2026_Registre_Maintenance_v1[ID_Antenne],_26_03_2026_Registre_Maintenance_v1[Technologie],"non trouvé")</f>
        <v>non trouvé</v>
      </c>
      <c r="J347" t="str">
        <f>_xlfn.XLOOKUP(_26_03_2026_Log_Reseau_v15[[#This Row],[Cell_ID]],_26_03_2026_Registre_Maintenance_v1[ID_Antenne],_26_03_2026_Registre_Maintenance_v1[Equipementier],"pas trouvé")</f>
        <v>pas trouvé</v>
      </c>
      <c r="K347" t="str">
        <f>_xlfn.XLOOKUP(_26_03_2026_Log_Reseau_v15[[#This Row],[province RDC]],_26_03_2026_Client_Churn_v1[Province_Client],_26_03_2026_Client_Churn_v1[ID_Client],"non trouvé")</f>
        <v>non trouvé</v>
      </c>
      <c r="L347" t="str">
        <f>_xlfn.XLOOKUP(_26_03_2026_Log_Reseau_v15[[#This Row],[province RDC]],_26_03_2026_Client_Churn_v1[Province_Client],_26_03_2026_Client_Churn_v1[Anciennete_Mois],"non trouvé")</f>
        <v>non trouvé</v>
      </c>
      <c r="M347" t="str">
        <f>_xlfn.XLOOKUP(_26_03_2026_Log_Reseau_v15[[#This Row],[province RDC]],_26_03_2026_Client_Churn_v1[Province_Client],_26_03_2026_Client_Churn_v1[Type_Forfait],"non trouvé")</f>
        <v>non trouvé</v>
      </c>
      <c r="N347" t="str">
        <f>_xlfn.XLOOKUP(_26_03_2026_Log_Reseau_v15[[#This Row],[province RDC]],_26_03_2026_Client_Churn_v1[Province_Client],_26_03_2026_Client_Churn_v1[Duree_Cumulee_Panne_Min],"non trouvé")</f>
        <v>non trouvé</v>
      </c>
      <c r="O347" t="str">
        <f>_xlfn.XLOOKUP(_26_03_2026_Log_Reseau_v15[[#This Row],[province RDC]],_26_03_2026_Client_Churn_v1[Province_Client],_26_03_2026_Client_Churn_v1[Facture_Mensuelle],"non trouvé")</f>
        <v>non trouvé</v>
      </c>
      <c r="P347" t="str">
        <f>_xlfn.XLOOKUP(_26_03_2026_Log_Reseau_v15[[#This Row],[province RDC]],_26_03_2026_Client_Churn_v1[Province_Client],_26_03_2026_Client_Churn_v1[Plaintes_Service_Client],"non trouvé")</f>
        <v>non trouvé</v>
      </c>
    </row>
    <row r="348" spans="1:16" x14ac:dyDescent="0.25">
      <c r="A348" s="1">
        <v>45221</v>
      </c>
      <c r="B348" s="2">
        <v>0.83611111111111114</v>
      </c>
      <c r="C348" t="s">
        <v>1022</v>
      </c>
      <c r="D348">
        <v>6</v>
      </c>
      <c r="E348" t="s">
        <v>812</v>
      </c>
      <c r="F348" t="str">
        <f>_xlfn.XLOOKUP(_26_03_2026_Log_Reseau_v15[[#This Row],[Cell_ID]],_26_03_2026_Registre_Maintenance_v1[ID_Antenne],_26_03_2026_Registre_Maintenance_v1[zone],"pas trouvé")</f>
        <v>Kasai</v>
      </c>
      <c r="G348">
        <f>_xlfn.XLOOKUP(_26_03_2026_Log_Reseau_v15[[#This Row],[Cell_ID]],_26_03_2026_Registre_Maintenance_v1[ID_Antenne],_26_03_2026_Registre_Maintenance_v1[Latitude],"non trouvé")</f>
        <v>-4.9789079999999997</v>
      </c>
      <c r="H348">
        <f>_xlfn.XLOOKUP(_26_03_2026_Log_Reseau_v15[[#This Row],[Cell_ID]],_26_03_2026_Registre_Maintenance_v1[ID_Antenne],_26_03_2026_Registre_Maintenance_v1[Longitude],"pas trouvé")</f>
        <v>28.506295000000001</v>
      </c>
      <c r="I348" t="str">
        <f>_xlfn.XLOOKUP(_26_03_2026_Log_Reseau_v15[[#This Row],[Cell_ID]],_26_03_2026_Registre_Maintenance_v1[ID_Antenne],_26_03_2026_Registre_Maintenance_v1[Technologie],"non trouvé")</f>
        <v>4G</v>
      </c>
      <c r="J348" t="str">
        <f>_xlfn.XLOOKUP(_26_03_2026_Log_Reseau_v15[[#This Row],[Cell_ID]],_26_03_2026_Registre_Maintenance_v1[ID_Antenne],_26_03_2026_Registre_Maintenance_v1[Equipementier],"pas trouvé")</f>
        <v>Huawei</v>
      </c>
      <c r="K348" t="str">
        <f>_xlfn.XLOOKUP(_26_03_2026_Log_Reseau_v15[[#This Row],[province RDC]],_26_03_2026_Client_Churn_v1[Province_Client],_26_03_2026_Client_Churn_v1[ID_Client],"non trouvé")</f>
        <v>CLI-00559</v>
      </c>
      <c r="L348">
        <f>_xlfn.XLOOKUP(_26_03_2026_Log_Reseau_v15[[#This Row],[province RDC]],_26_03_2026_Client_Churn_v1[Province_Client],_26_03_2026_Client_Churn_v1[Anciennete_Mois],"non trouvé")</f>
        <v>99</v>
      </c>
      <c r="M348" t="str">
        <f>_xlfn.XLOOKUP(_26_03_2026_Log_Reseau_v15[[#This Row],[province RDC]],_26_03_2026_Client_Churn_v1[Province_Client],_26_03_2026_Client_Churn_v1[Type_Forfait],"non trouvé")</f>
        <v>Bloqué 5Go</v>
      </c>
      <c r="N348">
        <f>_xlfn.XLOOKUP(_26_03_2026_Log_Reseau_v15[[#This Row],[province RDC]],_26_03_2026_Client_Churn_v1[Province_Client],_26_03_2026_Client_Churn_v1[Duree_Cumulee_Panne_Min],"non trouvé")</f>
        <v>369</v>
      </c>
      <c r="O348">
        <f>_xlfn.XLOOKUP(_26_03_2026_Log_Reseau_v15[[#This Row],[province RDC]],_26_03_2026_Client_Churn_v1[Province_Client],_26_03_2026_Client_Churn_v1[Facture_Mensuelle],"non trouvé")</f>
        <v>67.209999999999994</v>
      </c>
      <c r="P348">
        <f>_xlfn.XLOOKUP(_26_03_2026_Log_Reseau_v15[[#This Row],[province RDC]],_26_03_2026_Client_Churn_v1[Province_Client],_26_03_2026_Client_Churn_v1[Plaintes_Service_Client],"non trouvé")</f>
        <v>3</v>
      </c>
    </row>
    <row r="349" spans="1:16" x14ac:dyDescent="0.25">
      <c r="A349" s="1">
        <v>45205</v>
      </c>
      <c r="B349" s="2">
        <v>5.2777777777777778E-2</v>
      </c>
      <c r="C349" t="s">
        <v>1022</v>
      </c>
      <c r="D349">
        <v>102</v>
      </c>
      <c r="E349" t="s">
        <v>808</v>
      </c>
      <c r="F349" t="str">
        <f>_xlfn.XLOOKUP(_26_03_2026_Log_Reseau_v15[[#This Row],[Cell_ID]],_26_03_2026_Registre_Maintenance_v1[ID_Antenne],_26_03_2026_Registre_Maintenance_v1[zone],"pas trouvé")</f>
        <v>Kasai</v>
      </c>
      <c r="G349">
        <f>_xlfn.XLOOKUP(_26_03_2026_Log_Reseau_v15[[#This Row],[Cell_ID]],_26_03_2026_Registre_Maintenance_v1[ID_Antenne],_26_03_2026_Registre_Maintenance_v1[Latitude],"non trouvé")</f>
        <v>-4.9789079999999997</v>
      </c>
      <c r="H349">
        <f>_xlfn.XLOOKUP(_26_03_2026_Log_Reseau_v15[[#This Row],[Cell_ID]],_26_03_2026_Registre_Maintenance_v1[ID_Antenne],_26_03_2026_Registre_Maintenance_v1[Longitude],"pas trouvé")</f>
        <v>28.506295000000001</v>
      </c>
      <c r="I349" t="str">
        <f>_xlfn.XLOOKUP(_26_03_2026_Log_Reseau_v15[[#This Row],[Cell_ID]],_26_03_2026_Registre_Maintenance_v1[ID_Antenne],_26_03_2026_Registre_Maintenance_v1[Technologie],"non trouvé")</f>
        <v>4G</v>
      </c>
      <c r="J349" t="str">
        <f>_xlfn.XLOOKUP(_26_03_2026_Log_Reseau_v15[[#This Row],[Cell_ID]],_26_03_2026_Registre_Maintenance_v1[ID_Antenne],_26_03_2026_Registre_Maintenance_v1[Equipementier],"pas trouvé")</f>
        <v>Huawei</v>
      </c>
      <c r="K349" t="str">
        <f>_xlfn.XLOOKUP(_26_03_2026_Log_Reseau_v15[[#This Row],[province RDC]],_26_03_2026_Client_Churn_v1[Province_Client],_26_03_2026_Client_Churn_v1[ID_Client],"non trouvé")</f>
        <v>CLI-00559</v>
      </c>
      <c r="L349">
        <f>_xlfn.XLOOKUP(_26_03_2026_Log_Reseau_v15[[#This Row],[province RDC]],_26_03_2026_Client_Churn_v1[Province_Client],_26_03_2026_Client_Churn_v1[Anciennete_Mois],"non trouvé")</f>
        <v>99</v>
      </c>
      <c r="M349" t="str">
        <f>_xlfn.XLOOKUP(_26_03_2026_Log_Reseau_v15[[#This Row],[province RDC]],_26_03_2026_Client_Churn_v1[Province_Client],_26_03_2026_Client_Churn_v1[Type_Forfait],"non trouvé")</f>
        <v>Bloqué 5Go</v>
      </c>
      <c r="N349">
        <f>_xlfn.XLOOKUP(_26_03_2026_Log_Reseau_v15[[#This Row],[province RDC]],_26_03_2026_Client_Churn_v1[Province_Client],_26_03_2026_Client_Churn_v1[Duree_Cumulee_Panne_Min],"non trouvé")</f>
        <v>369</v>
      </c>
      <c r="O349">
        <f>_xlfn.XLOOKUP(_26_03_2026_Log_Reseau_v15[[#This Row],[province RDC]],_26_03_2026_Client_Churn_v1[Province_Client],_26_03_2026_Client_Churn_v1[Facture_Mensuelle],"non trouvé")</f>
        <v>67.209999999999994</v>
      </c>
      <c r="P349">
        <f>_xlfn.XLOOKUP(_26_03_2026_Log_Reseau_v15[[#This Row],[province RDC]],_26_03_2026_Client_Churn_v1[Province_Client],_26_03_2026_Client_Churn_v1[Plaintes_Service_Client],"non trouvé")</f>
        <v>3</v>
      </c>
    </row>
    <row r="350" spans="1:16" hidden="1" x14ac:dyDescent="0.25">
      <c r="A350" s="1">
        <v>45227</v>
      </c>
      <c r="B350" s="2">
        <v>0.7055555555555556</v>
      </c>
      <c r="C350" t="s">
        <v>1023</v>
      </c>
      <c r="D350">
        <v>108</v>
      </c>
      <c r="E350" t="s">
        <v>808</v>
      </c>
      <c r="F350" t="str">
        <f>_xlfn.XLOOKUP(_26_03_2026_Log_Reseau_v15[[#This Row],[Cell_ID]],_26_03_2026_Registre_Maintenance_v1[ID_Antenne],_26_03_2026_Registre_Maintenance_v1[zone],"pas trouvé")</f>
        <v>pas trouvé</v>
      </c>
      <c r="G350" t="str">
        <f>_xlfn.XLOOKUP(_26_03_2026_Log_Reseau_v15[[#This Row],[Cell_ID]],_26_03_2026_Registre_Maintenance_v1[ID_Antenne],_26_03_2026_Registre_Maintenance_v1[Latitude],"non trouvé")</f>
        <v>non trouvé</v>
      </c>
      <c r="H350" t="str">
        <f>_xlfn.XLOOKUP(_26_03_2026_Log_Reseau_v15[[#This Row],[Cell_ID]],_26_03_2026_Registre_Maintenance_v1[ID_Antenne],_26_03_2026_Registre_Maintenance_v1[Longitude],"pas trouvé")</f>
        <v>pas trouvé</v>
      </c>
      <c r="I350" t="str">
        <f>_xlfn.XLOOKUP(_26_03_2026_Log_Reseau_v15[[#This Row],[Cell_ID]],_26_03_2026_Registre_Maintenance_v1[ID_Antenne],_26_03_2026_Registre_Maintenance_v1[Technologie],"non trouvé")</f>
        <v>non trouvé</v>
      </c>
      <c r="J350" t="str">
        <f>_xlfn.XLOOKUP(_26_03_2026_Log_Reseau_v15[[#This Row],[Cell_ID]],_26_03_2026_Registre_Maintenance_v1[ID_Antenne],_26_03_2026_Registre_Maintenance_v1[Equipementier],"pas trouvé")</f>
        <v>pas trouvé</v>
      </c>
      <c r="K350" t="str">
        <f>_xlfn.XLOOKUP(_26_03_2026_Log_Reseau_v15[[#This Row],[province RDC]],_26_03_2026_Client_Churn_v1[Province_Client],_26_03_2026_Client_Churn_v1[ID_Client],"non trouvé")</f>
        <v>non trouvé</v>
      </c>
      <c r="L350" t="str">
        <f>_xlfn.XLOOKUP(_26_03_2026_Log_Reseau_v15[[#This Row],[province RDC]],_26_03_2026_Client_Churn_v1[Province_Client],_26_03_2026_Client_Churn_v1[Anciennete_Mois],"non trouvé")</f>
        <v>non trouvé</v>
      </c>
      <c r="M350" t="str">
        <f>_xlfn.XLOOKUP(_26_03_2026_Log_Reseau_v15[[#This Row],[province RDC]],_26_03_2026_Client_Churn_v1[Province_Client],_26_03_2026_Client_Churn_v1[Type_Forfait],"non trouvé")</f>
        <v>non trouvé</v>
      </c>
      <c r="N350" t="str">
        <f>_xlfn.XLOOKUP(_26_03_2026_Log_Reseau_v15[[#This Row],[province RDC]],_26_03_2026_Client_Churn_v1[Province_Client],_26_03_2026_Client_Churn_v1[Duree_Cumulee_Panne_Min],"non trouvé")</f>
        <v>non trouvé</v>
      </c>
      <c r="O350" t="str">
        <f>_xlfn.XLOOKUP(_26_03_2026_Log_Reseau_v15[[#This Row],[province RDC]],_26_03_2026_Client_Churn_v1[Province_Client],_26_03_2026_Client_Churn_v1[Facture_Mensuelle],"non trouvé")</f>
        <v>non trouvé</v>
      </c>
      <c r="P350" t="str">
        <f>_xlfn.XLOOKUP(_26_03_2026_Log_Reseau_v15[[#This Row],[province RDC]],_26_03_2026_Client_Churn_v1[Province_Client],_26_03_2026_Client_Churn_v1[Plaintes_Service_Client],"non trouvé")</f>
        <v>non trouvé</v>
      </c>
    </row>
    <row r="351" spans="1:16" hidden="1" x14ac:dyDescent="0.25">
      <c r="A351" s="1">
        <v>45227</v>
      </c>
      <c r="B351" s="2">
        <v>0.72430555555555554</v>
      </c>
      <c r="C351" t="s">
        <v>1023</v>
      </c>
      <c r="D351">
        <v>20</v>
      </c>
      <c r="E351" t="s">
        <v>807</v>
      </c>
      <c r="F351" t="str">
        <f>_xlfn.XLOOKUP(_26_03_2026_Log_Reseau_v15[[#This Row],[Cell_ID]],_26_03_2026_Registre_Maintenance_v1[ID_Antenne],_26_03_2026_Registre_Maintenance_v1[zone],"pas trouvé")</f>
        <v>pas trouvé</v>
      </c>
      <c r="G351" t="str">
        <f>_xlfn.XLOOKUP(_26_03_2026_Log_Reseau_v15[[#This Row],[Cell_ID]],_26_03_2026_Registre_Maintenance_v1[ID_Antenne],_26_03_2026_Registre_Maintenance_v1[Latitude],"non trouvé")</f>
        <v>non trouvé</v>
      </c>
      <c r="H351" t="str">
        <f>_xlfn.XLOOKUP(_26_03_2026_Log_Reseau_v15[[#This Row],[Cell_ID]],_26_03_2026_Registre_Maintenance_v1[ID_Antenne],_26_03_2026_Registre_Maintenance_v1[Longitude],"pas trouvé")</f>
        <v>pas trouvé</v>
      </c>
      <c r="I351" t="str">
        <f>_xlfn.XLOOKUP(_26_03_2026_Log_Reseau_v15[[#This Row],[Cell_ID]],_26_03_2026_Registre_Maintenance_v1[ID_Antenne],_26_03_2026_Registre_Maintenance_v1[Technologie],"non trouvé")</f>
        <v>non trouvé</v>
      </c>
      <c r="J351" t="str">
        <f>_xlfn.XLOOKUP(_26_03_2026_Log_Reseau_v15[[#This Row],[Cell_ID]],_26_03_2026_Registre_Maintenance_v1[ID_Antenne],_26_03_2026_Registre_Maintenance_v1[Equipementier],"pas trouvé")</f>
        <v>pas trouvé</v>
      </c>
      <c r="K351" t="str">
        <f>_xlfn.XLOOKUP(_26_03_2026_Log_Reseau_v15[[#This Row],[province RDC]],_26_03_2026_Client_Churn_v1[Province_Client],_26_03_2026_Client_Churn_v1[ID_Client],"non trouvé")</f>
        <v>non trouvé</v>
      </c>
      <c r="L351" t="str">
        <f>_xlfn.XLOOKUP(_26_03_2026_Log_Reseau_v15[[#This Row],[province RDC]],_26_03_2026_Client_Churn_v1[Province_Client],_26_03_2026_Client_Churn_v1[Anciennete_Mois],"non trouvé")</f>
        <v>non trouvé</v>
      </c>
      <c r="M351" t="str">
        <f>_xlfn.XLOOKUP(_26_03_2026_Log_Reseau_v15[[#This Row],[province RDC]],_26_03_2026_Client_Churn_v1[Province_Client],_26_03_2026_Client_Churn_v1[Type_Forfait],"non trouvé")</f>
        <v>non trouvé</v>
      </c>
      <c r="N351" t="str">
        <f>_xlfn.XLOOKUP(_26_03_2026_Log_Reseau_v15[[#This Row],[province RDC]],_26_03_2026_Client_Churn_v1[Province_Client],_26_03_2026_Client_Churn_v1[Duree_Cumulee_Panne_Min],"non trouvé")</f>
        <v>non trouvé</v>
      </c>
      <c r="O351" t="str">
        <f>_xlfn.XLOOKUP(_26_03_2026_Log_Reseau_v15[[#This Row],[province RDC]],_26_03_2026_Client_Churn_v1[Province_Client],_26_03_2026_Client_Churn_v1[Facture_Mensuelle],"non trouvé")</f>
        <v>non trouvé</v>
      </c>
      <c r="P351" t="str">
        <f>_xlfn.XLOOKUP(_26_03_2026_Log_Reseau_v15[[#This Row],[province RDC]],_26_03_2026_Client_Churn_v1[Province_Client],_26_03_2026_Client_Churn_v1[Plaintes_Service_Client],"non trouvé")</f>
        <v>non trouvé</v>
      </c>
    </row>
    <row r="352" spans="1:16" hidden="1" x14ac:dyDescent="0.25">
      <c r="A352" s="1">
        <v>45204</v>
      </c>
      <c r="B352" s="2">
        <v>0.75902777777777775</v>
      </c>
      <c r="C352" t="s">
        <v>1023</v>
      </c>
      <c r="D352">
        <v>105</v>
      </c>
      <c r="E352" t="s">
        <v>812</v>
      </c>
      <c r="F352" t="str">
        <f>_xlfn.XLOOKUP(_26_03_2026_Log_Reseau_v15[[#This Row],[Cell_ID]],_26_03_2026_Registre_Maintenance_v1[ID_Antenne],_26_03_2026_Registre_Maintenance_v1[zone],"pas trouvé")</f>
        <v>pas trouvé</v>
      </c>
      <c r="G352" t="str">
        <f>_xlfn.XLOOKUP(_26_03_2026_Log_Reseau_v15[[#This Row],[Cell_ID]],_26_03_2026_Registre_Maintenance_v1[ID_Antenne],_26_03_2026_Registre_Maintenance_v1[Latitude],"non trouvé")</f>
        <v>non trouvé</v>
      </c>
      <c r="H352" t="str">
        <f>_xlfn.XLOOKUP(_26_03_2026_Log_Reseau_v15[[#This Row],[Cell_ID]],_26_03_2026_Registre_Maintenance_v1[ID_Antenne],_26_03_2026_Registre_Maintenance_v1[Longitude],"pas trouvé")</f>
        <v>pas trouvé</v>
      </c>
      <c r="I352" t="str">
        <f>_xlfn.XLOOKUP(_26_03_2026_Log_Reseau_v15[[#This Row],[Cell_ID]],_26_03_2026_Registre_Maintenance_v1[ID_Antenne],_26_03_2026_Registre_Maintenance_v1[Technologie],"non trouvé")</f>
        <v>non trouvé</v>
      </c>
      <c r="J352" t="str">
        <f>_xlfn.XLOOKUP(_26_03_2026_Log_Reseau_v15[[#This Row],[Cell_ID]],_26_03_2026_Registre_Maintenance_v1[ID_Antenne],_26_03_2026_Registre_Maintenance_v1[Equipementier],"pas trouvé")</f>
        <v>pas trouvé</v>
      </c>
      <c r="K352" t="str">
        <f>_xlfn.XLOOKUP(_26_03_2026_Log_Reseau_v15[[#This Row],[province RDC]],_26_03_2026_Client_Churn_v1[Province_Client],_26_03_2026_Client_Churn_v1[ID_Client],"non trouvé")</f>
        <v>non trouvé</v>
      </c>
      <c r="L352" t="str">
        <f>_xlfn.XLOOKUP(_26_03_2026_Log_Reseau_v15[[#This Row],[province RDC]],_26_03_2026_Client_Churn_v1[Province_Client],_26_03_2026_Client_Churn_v1[Anciennete_Mois],"non trouvé")</f>
        <v>non trouvé</v>
      </c>
      <c r="M352" t="str">
        <f>_xlfn.XLOOKUP(_26_03_2026_Log_Reseau_v15[[#This Row],[province RDC]],_26_03_2026_Client_Churn_v1[Province_Client],_26_03_2026_Client_Churn_v1[Type_Forfait],"non trouvé")</f>
        <v>non trouvé</v>
      </c>
      <c r="N352" t="str">
        <f>_xlfn.XLOOKUP(_26_03_2026_Log_Reseau_v15[[#This Row],[province RDC]],_26_03_2026_Client_Churn_v1[Province_Client],_26_03_2026_Client_Churn_v1[Duree_Cumulee_Panne_Min],"non trouvé")</f>
        <v>non trouvé</v>
      </c>
      <c r="O352" t="str">
        <f>_xlfn.XLOOKUP(_26_03_2026_Log_Reseau_v15[[#This Row],[province RDC]],_26_03_2026_Client_Churn_v1[Province_Client],_26_03_2026_Client_Churn_v1[Facture_Mensuelle],"non trouvé")</f>
        <v>non trouvé</v>
      </c>
      <c r="P352" t="str">
        <f>_xlfn.XLOOKUP(_26_03_2026_Log_Reseau_v15[[#This Row],[province RDC]],_26_03_2026_Client_Churn_v1[Province_Client],_26_03_2026_Client_Churn_v1[Plaintes_Service_Client],"non trouvé")</f>
        <v>non trouvé</v>
      </c>
    </row>
    <row r="353" spans="1:16" hidden="1" x14ac:dyDescent="0.25">
      <c r="A353" s="1">
        <v>45224</v>
      </c>
      <c r="B353" s="2">
        <v>0.96388888888888891</v>
      </c>
      <c r="C353" t="s">
        <v>1024</v>
      </c>
      <c r="D353">
        <v>83</v>
      </c>
      <c r="E353" t="s">
        <v>808</v>
      </c>
      <c r="F353" t="str">
        <f>_xlfn.XLOOKUP(_26_03_2026_Log_Reseau_v15[[#This Row],[Cell_ID]],_26_03_2026_Registre_Maintenance_v1[ID_Antenne],_26_03_2026_Registre_Maintenance_v1[zone],"pas trouvé")</f>
        <v>pas trouvé</v>
      </c>
      <c r="G353" t="str">
        <f>_xlfn.XLOOKUP(_26_03_2026_Log_Reseau_v15[[#This Row],[Cell_ID]],_26_03_2026_Registre_Maintenance_v1[ID_Antenne],_26_03_2026_Registre_Maintenance_v1[Latitude],"non trouvé")</f>
        <v>non trouvé</v>
      </c>
      <c r="H353" t="str">
        <f>_xlfn.XLOOKUP(_26_03_2026_Log_Reseau_v15[[#This Row],[Cell_ID]],_26_03_2026_Registre_Maintenance_v1[ID_Antenne],_26_03_2026_Registre_Maintenance_v1[Longitude],"pas trouvé")</f>
        <v>pas trouvé</v>
      </c>
      <c r="I353" t="str">
        <f>_xlfn.XLOOKUP(_26_03_2026_Log_Reseau_v15[[#This Row],[Cell_ID]],_26_03_2026_Registre_Maintenance_v1[ID_Antenne],_26_03_2026_Registre_Maintenance_v1[Technologie],"non trouvé")</f>
        <v>non trouvé</v>
      </c>
      <c r="J353" t="str">
        <f>_xlfn.XLOOKUP(_26_03_2026_Log_Reseau_v15[[#This Row],[Cell_ID]],_26_03_2026_Registre_Maintenance_v1[ID_Antenne],_26_03_2026_Registre_Maintenance_v1[Equipementier],"pas trouvé")</f>
        <v>pas trouvé</v>
      </c>
      <c r="K353" t="str">
        <f>_xlfn.XLOOKUP(_26_03_2026_Log_Reseau_v15[[#This Row],[province RDC]],_26_03_2026_Client_Churn_v1[Province_Client],_26_03_2026_Client_Churn_v1[ID_Client],"non trouvé")</f>
        <v>non trouvé</v>
      </c>
      <c r="L353" t="str">
        <f>_xlfn.XLOOKUP(_26_03_2026_Log_Reseau_v15[[#This Row],[province RDC]],_26_03_2026_Client_Churn_v1[Province_Client],_26_03_2026_Client_Churn_v1[Anciennete_Mois],"non trouvé")</f>
        <v>non trouvé</v>
      </c>
      <c r="M353" t="str">
        <f>_xlfn.XLOOKUP(_26_03_2026_Log_Reseau_v15[[#This Row],[province RDC]],_26_03_2026_Client_Churn_v1[Province_Client],_26_03_2026_Client_Churn_v1[Type_Forfait],"non trouvé")</f>
        <v>non trouvé</v>
      </c>
      <c r="N353" t="str">
        <f>_xlfn.XLOOKUP(_26_03_2026_Log_Reseau_v15[[#This Row],[province RDC]],_26_03_2026_Client_Churn_v1[Province_Client],_26_03_2026_Client_Churn_v1[Duree_Cumulee_Panne_Min],"non trouvé")</f>
        <v>non trouvé</v>
      </c>
      <c r="O353" t="str">
        <f>_xlfn.XLOOKUP(_26_03_2026_Log_Reseau_v15[[#This Row],[province RDC]],_26_03_2026_Client_Churn_v1[Province_Client],_26_03_2026_Client_Churn_v1[Facture_Mensuelle],"non trouvé")</f>
        <v>non trouvé</v>
      </c>
      <c r="P353" t="str">
        <f>_xlfn.XLOOKUP(_26_03_2026_Log_Reseau_v15[[#This Row],[province RDC]],_26_03_2026_Client_Churn_v1[Province_Client],_26_03_2026_Client_Churn_v1[Plaintes_Service_Client],"non trouvé")</f>
        <v>non trouvé</v>
      </c>
    </row>
    <row r="354" spans="1:16" hidden="1" x14ac:dyDescent="0.25">
      <c r="A354" s="1">
        <v>45221</v>
      </c>
      <c r="B354" s="2">
        <v>0.38472222222222224</v>
      </c>
      <c r="C354" t="s">
        <v>1025</v>
      </c>
      <c r="D354">
        <v>92</v>
      </c>
      <c r="E354" t="s">
        <v>808</v>
      </c>
      <c r="F354" t="str">
        <f>_xlfn.XLOOKUP(_26_03_2026_Log_Reseau_v15[[#This Row],[Cell_ID]],_26_03_2026_Registre_Maintenance_v1[ID_Antenne],_26_03_2026_Registre_Maintenance_v1[zone],"pas trouvé")</f>
        <v>pas trouvé</v>
      </c>
      <c r="G354" t="str">
        <f>_xlfn.XLOOKUP(_26_03_2026_Log_Reseau_v15[[#This Row],[Cell_ID]],_26_03_2026_Registre_Maintenance_v1[ID_Antenne],_26_03_2026_Registre_Maintenance_v1[Latitude],"non trouvé")</f>
        <v>non trouvé</v>
      </c>
      <c r="H354" t="str">
        <f>_xlfn.XLOOKUP(_26_03_2026_Log_Reseau_v15[[#This Row],[Cell_ID]],_26_03_2026_Registre_Maintenance_v1[ID_Antenne],_26_03_2026_Registre_Maintenance_v1[Longitude],"pas trouvé")</f>
        <v>pas trouvé</v>
      </c>
      <c r="I354" t="str">
        <f>_xlfn.XLOOKUP(_26_03_2026_Log_Reseau_v15[[#This Row],[Cell_ID]],_26_03_2026_Registre_Maintenance_v1[ID_Antenne],_26_03_2026_Registre_Maintenance_v1[Technologie],"non trouvé")</f>
        <v>non trouvé</v>
      </c>
      <c r="J354" t="str">
        <f>_xlfn.XLOOKUP(_26_03_2026_Log_Reseau_v15[[#This Row],[Cell_ID]],_26_03_2026_Registre_Maintenance_v1[ID_Antenne],_26_03_2026_Registre_Maintenance_v1[Equipementier],"pas trouvé")</f>
        <v>pas trouvé</v>
      </c>
      <c r="K354" t="str">
        <f>_xlfn.XLOOKUP(_26_03_2026_Log_Reseau_v15[[#This Row],[province RDC]],_26_03_2026_Client_Churn_v1[Province_Client],_26_03_2026_Client_Churn_v1[ID_Client],"non trouvé")</f>
        <v>non trouvé</v>
      </c>
      <c r="L354" t="str">
        <f>_xlfn.XLOOKUP(_26_03_2026_Log_Reseau_v15[[#This Row],[province RDC]],_26_03_2026_Client_Churn_v1[Province_Client],_26_03_2026_Client_Churn_v1[Anciennete_Mois],"non trouvé")</f>
        <v>non trouvé</v>
      </c>
      <c r="M354" t="str">
        <f>_xlfn.XLOOKUP(_26_03_2026_Log_Reseau_v15[[#This Row],[province RDC]],_26_03_2026_Client_Churn_v1[Province_Client],_26_03_2026_Client_Churn_v1[Type_Forfait],"non trouvé")</f>
        <v>non trouvé</v>
      </c>
      <c r="N354" t="str">
        <f>_xlfn.XLOOKUP(_26_03_2026_Log_Reseau_v15[[#This Row],[province RDC]],_26_03_2026_Client_Churn_v1[Province_Client],_26_03_2026_Client_Churn_v1[Duree_Cumulee_Panne_Min],"non trouvé")</f>
        <v>non trouvé</v>
      </c>
      <c r="O354" t="str">
        <f>_xlfn.XLOOKUP(_26_03_2026_Log_Reseau_v15[[#This Row],[province RDC]],_26_03_2026_Client_Churn_v1[Province_Client],_26_03_2026_Client_Churn_v1[Facture_Mensuelle],"non trouvé")</f>
        <v>non trouvé</v>
      </c>
      <c r="P354" t="str">
        <f>_xlfn.XLOOKUP(_26_03_2026_Log_Reseau_v15[[#This Row],[province RDC]],_26_03_2026_Client_Churn_v1[Province_Client],_26_03_2026_Client_Churn_v1[Plaintes_Service_Client],"non trouvé")</f>
        <v>non trouvé</v>
      </c>
    </row>
    <row r="355" spans="1:16" hidden="1" x14ac:dyDescent="0.25">
      <c r="A355" s="1">
        <v>45214</v>
      </c>
      <c r="B355" s="2">
        <v>0.61319444444444449</v>
      </c>
      <c r="C355" t="s">
        <v>1026</v>
      </c>
      <c r="D355">
        <v>61</v>
      </c>
      <c r="E355" t="s">
        <v>812</v>
      </c>
      <c r="F355" t="str">
        <f>_xlfn.XLOOKUP(_26_03_2026_Log_Reseau_v15[[#This Row],[Cell_ID]],_26_03_2026_Registre_Maintenance_v1[ID_Antenne],_26_03_2026_Registre_Maintenance_v1[zone],"pas trouvé")</f>
        <v>pas trouvé</v>
      </c>
      <c r="G355" t="str">
        <f>_xlfn.XLOOKUP(_26_03_2026_Log_Reseau_v15[[#This Row],[Cell_ID]],_26_03_2026_Registre_Maintenance_v1[ID_Antenne],_26_03_2026_Registre_Maintenance_v1[Latitude],"non trouvé")</f>
        <v>non trouvé</v>
      </c>
      <c r="H355" t="str">
        <f>_xlfn.XLOOKUP(_26_03_2026_Log_Reseau_v15[[#This Row],[Cell_ID]],_26_03_2026_Registre_Maintenance_v1[ID_Antenne],_26_03_2026_Registre_Maintenance_v1[Longitude],"pas trouvé")</f>
        <v>pas trouvé</v>
      </c>
      <c r="I355" t="str">
        <f>_xlfn.XLOOKUP(_26_03_2026_Log_Reseau_v15[[#This Row],[Cell_ID]],_26_03_2026_Registre_Maintenance_v1[ID_Antenne],_26_03_2026_Registre_Maintenance_v1[Technologie],"non trouvé")</f>
        <v>non trouvé</v>
      </c>
      <c r="J355" t="str">
        <f>_xlfn.XLOOKUP(_26_03_2026_Log_Reseau_v15[[#This Row],[Cell_ID]],_26_03_2026_Registre_Maintenance_v1[ID_Antenne],_26_03_2026_Registre_Maintenance_v1[Equipementier],"pas trouvé")</f>
        <v>pas trouvé</v>
      </c>
      <c r="K355" t="str">
        <f>_xlfn.XLOOKUP(_26_03_2026_Log_Reseau_v15[[#This Row],[province RDC]],_26_03_2026_Client_Churn_v1[Province_Client],_26_03_2026_Client_Churn_v1[ID_Client],"non trouvé")</f>
        <v>non trouvé</v>
      </c>
      <c r="L355" t="str">
        <f>_xlfn.XLOOKUP(_26_03_2026_Log_Reseau_v15[[#This Row],[province RDC]],_26_03_2026_Client_Churn_v1[Province_Client],_26_03_2026_Client_Churn_v1[Anciennete_Mois],"non trouvé")</f>
        <v>non trouvé</v>
      </c>
      <c r="M355" t="str">
        <f>_xlfn.XLOOKUP(_26_03_2026_Log_Reseau_v15[[#This Row],[province RDC]],_26_03_2026_Client_Churn_v1[Province_Client],_26_03_2026_Client_Churn_v1[Type_Forfait],"non trouvé")</f>
        <v>non trouvé</v>
      </c>
      <c r="N355" t="str">
        <f>_xlfn.XLOOKUP(_26_03_2026_Log_Reseau_v15[[#This Row],[province RDC]],_26_03_2026_Client_Churn_v1[Province_Client],_26_03_2026_Client_Churn_v1[Duree_Cumulee_Panne_Min],"non trouvé")</f>
        <v>non trouvé</v>
      </c>
      <c r="O355" t="str">
        <f>_xlfn.XLOOKUP(_26_03_2026_Log_Reseau_v15[[#This Row],[province RDC]],_26_03_2026_Client_Churn_v1[Province_Client],_26_03_2026_Client_Churn_v1[Facture_Mensuelle],"non trouvé")</f>
        <v>non trouvé</v>
      </c>
      <c r="P355" t="str">
        <f>_xlfn.XLOOKUP(_26_03_2026_Log_Reseau_v15[[#This Row],[province RDC]],_26_03_2026_Client_Churn_v1[Province_Client],_26_03_2026_Client_Churn_v1[Plaintes_Service_Client],"non trouvé")</f>
        <v>non trouvé</v>
      </c>
    </row>
    <row r="356" spans="1:16" x14ac:dyDescent="0.25">
      <c r="A356" s="1">
        <v>45219</v>
      </c>
      <c r="B356" s="2">
        <v>9.583333333333334E-2</v>
      </c>
      <c r="C356" t="s">
        <v>1027</v>
      </c>
      <c r="D356">
        <v>113</v>
      </c>
      <c r="E356" t="s">
        <v>812</v>
      </c>
      <c r="F356" t="str">
        <f>_xlfn.XLOOKUP(_26_03_2026_Log_Reseau_v15[[#This Row],[Cell_ID]],_26_03_2026_Registre_Maintenance_v1[ID_Antenne],_26_03_2026_Registre_Maintenance_v1[zone],"pas trouvé")</f>
        <v>Bas-Uele</v>
      </c>
      <c r="G356">
        <f>_xlfn.XLOOKUP(_26_03_2026_Log_Reseau_v15[[#This Row],[Cell_ID]],_26_03_2026_Registre_Maintenance_v1[ID_Antenne],_26_03_2026_Registre_Maintenance_v1[Latitude],"non trouvé")</f>
        <v>-3.6945459999999999</v>
      </c>
      <c r="H356">
        <f>_xlfn.XLOOKUP(_26_03_2026_Log_Reseau_v15[[#This Row],[Cell_ID]],_26_03_2026_Registre_Maintenance_v1[ID_Antenne],_26_03_2026_Registre_Maintenance_v1[Longitude],"pas trouvé")</f>
        <v>16.809108999999999</v>
      </c>
      <c r="I356" t="str">
        <f>_xlfn.XLOOKUP(_26_03_2026_Log_Reseau_v15[[#This Row],[Cell_ID]],_26_03_2026_Registre_Maintenance_v1[ID_Antenne],_26_03_2026_Registre_Maintenance_v1[Technologie],"non trouvé")</f>
        <v>5G</v>
      </c>
      <c r="J356" t="str">
        <f>_xlfn.XLOOKUP(_26_03_2026_Log_Reseau_v15[[#This Row],[Cell_ID]],_26_03_2026_Registre_Maintenance_v1[ID_Antenne],_26_03_2026_Registre_Maintenance_v1[Equipementier],"pas trouvé")</f>
        <v>ZTE</v>
      </c>
      <c r="K356" t="str">
        <f>_xlfn.XLOOKUP(_26_03_2026_Log_Reseau_v15[[#This Row],[province RDC]],_26_03_2026_Client_Churn_v1[Province_Client],_26_03_2026_Client_Churn_v1[ID_Client],"non trouvé")</f>
        <v>CLI-00414</v>
      </c>
      <c r="L356">
        <f>_xlfn.XLOOKUP(_26_03_2026_Log_Reseau_v15[[#This Row],[province RDC]],_26_03_2026_Client_Churn_v1[Province_Client],_26_03_2026_Client_Churn_v1[Anciennete_Mois],"non trouvé")</f>
        <v>99</v>
      </c>
      <c r="M356" t="str">
        <f>_xlfn.XLOOKUP(_26_03_2026_Log_Reseau_v15[[#This Row],[province RDC]],_26_03_2026_Client_Churn_v1[Province_Client],_26_03_2026_Client_Churn_v1[Type_Forfait],"non trouvé")</f>
        <v>Premium 5G 150Go</v>
      </c>
      <c r="N356">
        <f>_xlfn.XLOOKUP(_26_03_2026_Log_Reseau_v15[[#This Row],[province RDC]],_26_03_2026_Client_Churn_v1[Province_Client],_26_03_2026_Client_Churn_v1[Duree_Cumulee_Panne_Min],"non trouvé")</f>
        <v>447</v>
      </c>
      <c r="O356">
        <f>_xlfn.XLOOKUP(_26_03_2026_Log_Reseau_v15[[#This Row],[province RDC]],_26_03_2026_Client_Churn_v1[Province_Client],_26_03_2026_Client_Churn_v1[Facture_Mensuelle],"non trouvé")</f>
        <v>38.1</v>
      </c>
      <c r="P356">
        <f>_xlfn.XLOOKUP(_26_03_2026_Log_Reseau_v15[[#This Row],[province RDC]],_26_03_2026_Client_Churn_v1[Province_Client],_26_03_2026_Client_Churn_v1[Plaintes_Service_Client],"non trouvé")</f>
        <v>3</v>
      </c>
    </row>
    <row r="357" spans="1:16" x14ac:dyDescent="0.25">
      <c r="A357" s="1">
        <v>45214</v>
      </c>
      <c r="B357" s="2">
        <v>0.17222222222222222</v>
      </c>
      <c r="C357" t="s">
        <v>1027</v>
      </c>
      <c r="D357">
        <v>6</v>
      </c>
      <c r="E357" t="s">
        <v>807</v>
      </c>
      <c r="F357" t="str">
        <f>_xlfn.XLOOKUP(_26_03_2026_Log_Reseau_v15[[#This Row],[Cell_ID]],_26_03_2026_Registre_Maintenance_v1[ID_Antenne],_26_03_2026_Registre_Maintenance_v1[zone],"pas trouvé")</f>
        <v>Bas-Uele</v>
      </c>
      <c r="G357">
        <f>_xlfn.XLOOKUP(_26_03_2026_Log_Reseau_v15[[#This Row],[Cell_ID]],_26_03_2026_Registre_Maintenance_v1[ID_Antenne],_26_03_2026_Registre_Maintenance_v1[Latitude],"non trouvé")</f>
        <v>-3.6945459999999999</v>
      </c>
      <c r="H357">
        <f>_xlfn.XLOOKUP(_26_03_2026_Log_Reseau_v15[[#This Row],[Cell_ID]],_26_03_2026_Registre_Maintenance_v1[ID_Antenne],_26_03_2026_Registre_Maintenance_v1[Longitude],"pas trouvé")</f>
        <v>16.809108999999999</v>
      </c>
      <c r="I357" t="str">
        <f>_xlfn.XLOOKUP(_26_03_2026_Log_Reseau_v15[[#This Row],[Cell_ID]],_26_03_2026_Registre_Maintenance_v1[ID_Antenne],_26_03_2026_Registre_Maintenance_v1[Technologie],"non trouvé")</f>
        <v>5G</v>
      </c>
      <c r="J357" t="str">
        <f>_xlfn.XLOOKUP(_26_03_2026_Log_Reseau_v15[[#This Row],[Cell_ID]],_26_03_2026_Registre_Maintenance_v1[ID_Antenne],_26_03_2026_Registre_Maintenance_v1[Equipementier],"pas trouvé")</f>
        <v>ZTE</v>
      </c>
      <c r="K357" t="str">
        <f>_xlfn.XLOOKUP(_26_03_2026_Log_Reseau_v15[[#This Row],[province RDC]],_26_03_2026_Client_Churn_v1[Province_Client],_26_03_2026_Client_Churn_v1[ID_Client],"non trouvé")</f>
        <v>CLI-00414</v>
      </c>
      <c r="L357">
        <f>_xlfn.XLOOKUP(_26_03_2026_Log_Reseau_v15[[#This Row],[province RDC]],_26_03_2026_Client_Churn_v1[Province_Client],_26_03_2026_Client_Churn_v1[Anciennete_Mois],"non trouvé")</f>
        <v>99</v>
      </c>
      <c r="M357" t="str">
        <f>_xlfn.XLOOKUP(_26_03_2026_Log_Reseau_v15[[#This Row],[province RDC]],_26_03_2026_Client_Churn_v1[Province_Client],_26_03_2026_Client_Churn_v1[Type_Forfait],"non trouvé")</f>
        <v>Premium 5G 150Go</v>
      </c>
      <c r="N357">
        <f>_xlfn.XLOOKUP(_26_03_2026_Log_Reseau_v15[[#This Row],[province RDC]],_26_03_2026_Client_Churn_v1[Province_Client],_26_03_2026_Client_Churn_v1[Duree_Cumulee_Panne_Min],"non trouvé")</f>
        <v>447</v>
      </c>
      <c r="O357">
        <f>_xlfn.XLOOKUP(_26_03_2026_Log_Reseau_v15[[#This Row],[province RDC]],_26_03_2026_Client_Churn_v1[Province_Client],_26_03_2026_Client_Churn_v1[Facture_Mensuelle],"non trouvé")</f>
        <v>38.1</v>
      </c>
      <c r="P357">
        <f>_xlfn.XLOOKUP(_26_03_2026_Log_Reseau_v15[[#This Row],[province RDC]],_26_03_2026_Client_Churn_v1[Province_Client],_26_03_2026_Client_Churn_v1[Plaintes_Service_Client],"non trouvé")</f>
        <v>3</v>
      </c>
    </row>
    <row r="358" spans="1:16" x14ac:dyDescent="0.25">
      <c r="A358" s="1">
        <v>45228</v>
      </c>
      <c r="B358" s="2">
        <v>0.61458333333333337</v>
      </c>
      <c r="C358" t="s">
        <v>1027</v>
      </c>
      <c r="D358">
        <v>48</v>
      </c>
      <c r="E358" t="s">
        <v>808</v>
      </c>
      <c r="F358" t="str">
        <f>_xlfn.XLOOKUP(_26_03_2026_Log_Reseau_v15[[#This Row],[Cell_ID]],_26_03_2026_Registre_Maintenance_v1[ID_Antenne],_26_03_2026_Registre_Maintenance_v1[zone],"pas trouvé")</f>
        <v>Bas-Uele</v>
      </c>
      <c r="G358">
        <f>_xlfn.XLOOKUP(_26_03_2026_Log_Reseau_v15[[#This Row],[Cell_ID]],_26_03_2026_Registre_Maintenance_v1[ID_Antenne],_26_03_2026_Registre_Maintenance_v1[Latitude],"non trouvé")</f>
        <v>-3.6945459999999999</v>
      </c>
      <c r="H358">
        <f>_xlfn.XLOOKUP(_26_03_2026_Log_Reseau_v15[[#This Row],[Cell_ID]],_26_03_2026_Registre_Maintenance_v1[ID_Antenne],_26_03_2026_Registre_Maintenance_v1[Longitude],"pas trouvé")</f>
        <v>16.809108999999999</v>
      </c>
      <c r="I358" t="str">
        <f>_xlfn.XLOOKUP(_26_03_2026_Log_Reseau_v15[[#This Row],[Cell_ID]],_26_03_2026_Registre_Maintenance_v1[ID_Antenne],_26_03_2026_Registre_Maintenance_v1[Technologie],"non trouvé")</f>
        <v>5G</v>
      </c>
      <c r="J358" t="str">
        <f>_xlfn.XLOOKUP(_26_03_2026_Log_Reseau_v15[[#This Row],[Cell_ID]],_26_03_2026_Registre_Maintenance_v1[ID_Antenne],_26_03_2026_Registre_Maintenance_v1[Equipementier],"pas trouvé")</f>
        <v>ZTE</v>
      </c>
      <c r="K358" t="str">
        <f>_xlfn.XLOOKUP(_26_03_2026_Log_Reseau_v15[[#This Row],[province RDC]],_26_03_2026_Client_Churn_v1[Province_Client],_26_03_2026_Client_Churn_v1[ID_Client],"non trouvé")</f>
        <v>CLI-00414</v>
      </c>
      <c r="L358">
        <f>_xlfn.XLOOKUP(_26_03_2026_Log_Reseau_v15[[#This Row],[province RDC]],_26_03_2026_Client_Churn_v1[Province_Client],_26_03_2026_Client_Churn_v1[Anciennete_Mois],"non trouvé")</f>
        <v>99</v>
      </c>
      <c r="M358" t="str">
        <f>_xlfn.XLOOKUP(_26_03_2026_Log_Reseau_v15[[#This Row],[province RDC]],_26_03_2026_Client_Churn_v1[Province_Client],_26_03_2026_Client_Churn_v1[Type_Forfait],"non trouvé")</f>
        <v>Premium 5G 150Go</v>
      </c>
      <c r="N358">
        <f>_xlfn.XLOOKUP(_26_03_2026_Log_Reseau_v15[[#This Row],[province RDC]],_26_03_2026_Client_Churn_v1[Province_Client],_26_03_2026_Client_Churn_v1[Duree_Cumulee_Panne_Min],"non trouvé")</f>
        <v>447</v>
      </c>
      <c r="O358">
        <f>_xlfn.XLOOKUP(_26_03_2026_Log_Reseau_v15[[#This Row],[province RDC]],_26_03_2026_Client_Churn_v1[Province_Client],_26_03_2026_Client_Churn_v1[Facture_Mensuelle],"non trouvé")</f>
        <v>38.1</v>
      </c>
      <c r="P358">
        <f>_xlfn.XLOOKUP(_26_03_2026_Log_Reseau_v15[[#This Row],[province RDC]],_26_03_2026_Client_Churn_v1[Province_Client],_26_03_2026_Client_Churn_v1[Plaintes_Service_Client],"non trouvé")</f>
        <v>3</v>
      </c>
    </row>
    <row r="359" spans="1:16" x14ac:dyDescent="0.25">
      <c r="A359" s="1">
        <v>45222</v>
      </c>
      <c r="B359" s="2">
        <v>0.7631944444444444</v>
      </c>
      <c r="C359" t="s">
        <v>1027</v>
      </c>
      <c r="D359">
        <v>91</v>
      </c>
      <c r="E359" t="s">
        <v>812</v>
      </c>
      <c r="F359" t="str">
        <f>_xlfn.XLOOKUP(_26_03_2026_Log_Reseau_v15[[#This Row],[Cell_ID]],_26_03_2026_Registre_Maintenance_v1[ID_Antenne],_26_03_2026_Registre_Maintenance_v1[zone],"pas trouvé")</f>
        <v>Bas-Uele</v>
      </c>
      <c r="G359">
        <f>_xlfn.XLOOKUP(_26_03_2026_Log_Reseau_v15[[#This Row],[Cell_ID]],_26_03_2026_Registre_Maintenance_v1[ID_Antenne],_26_03_2026_Registre_Maintenance_v1[Latitude],"non trouvé")</f>
        <v>-3.6945459999999999</v>
      </c>
      <c r="H359">
        <f>_xlfn.XLOOKUP(_26_03_2026_Log_Reseau_v15[[#This Row],[Cell_ID]],_26_03_2026_Registre_Maintenance_v1[ID_Antenne],_26_03_2026_Registre_Maintenance_v1[Longitude],"pas trouvé")</f>
        <v>16.809108999999999</v>
      </c>
      <c r="I359" t="str">
        <f>_xlfn.XLOOKUP(_26_03_2026_Log_Reseau_v15[[#This Row],[Cell_ID]],_26_03_2026_Registre_Maintenance_v1[ID_Antenne],_26_03_2026_Registre_Maintenance_v1[Technologie],"non trouvé")</f>
        <v>5G</v>
      </c>
      <c r="J359" t="str">
        <f>_xlfn.XLOOKUP(_26_03_2026_Log_Reseau_v15[[#This Row],[Cell_ID]],_26_03_2026_Registre_Maintenance_v1[ID_Antenne],_26_03_2026_Registre_Maintenance_v1[Equipementier],"pas trouvé")</f>
        <v>ZTE</v>
      </c>
      <c r="K359" t="str">
        <f>_xlfn.XLOOKUP(_26_03_2026_Log_Reseau_v15[[#This Row],[province RDC]],_26_03_2026_Client_Churn_v1[Province_Client],_26_03_2026_Client_Churn_v1[ID_Client],"non trouvé")</f>
        <v>CLI-00414</v>
      </c>
      <c r="L359">
        <f>_xlfn.XLOOKUP(_26_03_2026_Log_Reseau_v15[[#This Row],[province RDC]],_26_03_2026_Client_Churn_v1[Province_Client],_26_03_2026_Client_Churn_v1[Anciennete_Mois],"non trouvé")</f>
        <v>99</v>
      </c>
      <c r="M359" t="str">
        <f>_xlfn.XLOOKUP(_26_03_2026_Log_Reseau_v15[[#This Row],[province RDC]],_26_03_2026_Client_Churn_v1[Province_Client],_26_03_2026_Client_Churn_v1[Type_Forfait],"non trouvé")</f>
        <v>Premium 5G 150Go</v>
      </c>
      <c r="N359">
        <f>_xlfn.XLOOKUP(_26_03_2026_Log_Reseau_v15[[#This Row],[province RDC]],_26_03_2026_Client_Churn_v1[Province_Client],_26_03_2026_Client_Churn_v1[Duree_Cumulee_Panne_Min],"non trouvé")</f>
        <v>447</v>
      </c>
      <c r="O359">
        <f>_xlfn.XLOOKUP(_26_03_2026_Log_Reseau_v15[[#This Row],[province RDC]],_26_03_2026_Client_Churn_v1[Province_Client],_26_03_2026_Client_Churn_v1[Facture_Mensuelle],"non trouvé")</f>
        <v>38.1</v>
      </c>
      <c r="P359">
        <f>_xlfn.XLOOKUP(_26_03_2026_Log_Reseau_v15[[#This Row],[province RDC]],_26_03_2026_Client_Churn_v1[Province_Client],_26_03_2026_Client_Churn_v1[Plaintes_Service_Client],"non trouvé")</f>
        <v>3</v>
      </c>
    </row>
    <row r="360" spans="1:16" hidden="1" x14ac:dyDescent="0.25">
      <c r="A360" s="1">
        <v>45203</v>
      </c>
      <c r="B360" s="2">
        <v>0.5708333333333333</v>
      </c>
      <c r="C360" t="s">
        <v>1028</v>
      </c>
      <c r="D360">
        <v>68</v>
      </c>
      <c r="E360" t="s">
        <v>812</v>
      </c>
      <c r="F360" t="str">
        <f>_xlfn.XLOOKUP(_26_03_2026_Log_Reseau_v15[[#This Row],[Cell_ID]],_26_03_2026_Registre_Maintenance_v1[ID_Antenne],_26_03_2026_Registre_Maintenance_v1[zone],"pas trouvé")</f>
        <v>pas trouvé</v>
      </c>
      <c r="G360" t="str">
        <f>_xlfn.XLOOKUP(_26_03_2026_Log_Reseau_v15[[#This Row],[Cell_ID]],_26_03_2026_Registre_Maintenance_v1[ID_Antenne],_26_03_2026_Registre_Maintenance_v1[Latitude],"non trouvé")</f>
        <v>non trouvé</v>
      </c>
      <c r="H360" t="str">
        <f>_xlfn.XLOOKUP(_26_03_2026_Log_Reseau_v15[[#This Row],[Cell_ID]],_26_03_2026_Registre_Maintenance_v1[ID_Antenne],_26_03_2026_Registre_Maintenance_v1[Longitude],"pas trouvé")</f>
        <v>pas trouvé</v>
      </c>
      <c r="I360" t="str">
        <f>_xlfn.XLOOKUP(_26_03_2026_Log_Reseau_v15[[#This Row],[Cell_ID]],_26_03_2026_Registre_Maintenance_v1[ID_Antenne],_26_03_2026_Registre_Maintenance_v1[Technologie],"non trouvé")</f>
        <v>non trouvé</v>
      </c>
      <c r="J360" t="str">
        <f>_xlfn.XLOOKUP(_26_03_2026_Log_Reseau_v15[[#This Row],[Cell_ID]],_26_03_2026_Registre_Maintenance_v1[ID_Antenne],_26_03_2026_Registre_Maintenance_v1[Equipementier],"pas trouvé")</f>
        <v>pas trouvé</v>
      </c>
      <c r="K360" t="str">
        <f>_xlfn.XLOOKUP(_26_03_2026_Log_Reseau_v15[[#This Row],[province RDC]],_26_03_2026_Client_Churn_v1[Province_Client],_26_03_2026_Client_Churn_v1[ID_Client],"non trouvé")</f>
        <v>non trouvé</v>
      </c>
      <c r="L360" t="str">
        <f>_xlfn.XLOOKUP(_26_03_2026_Log_Reseau_v15[[#This Row],[province RDC]],_26_03_2026_Client_Churn_v1[Province_Client],_26_03_2026_Client_Churn_v1[Anciennete_Mois],"non trouvé")</f>
        <v>non trouvé</v>
      </c>
      <c r="M360" t="str">
        <f>_xlfn.XLOOKUP(_26_03_2026_Log_Reseau_v15[[#This Row],[province RDC]],_26_03_2026_Client_Churn_v1[Province_Client],_26_03_2026_Client_Churn_v1[Type_Forfait],"non trouvé")</f>
        <v>non trouvé</v>
      </c>
      <c r="N360" t="str">
        <f>_xlfn.XLOOKUP(_26_03_2026_Log_Reseau_v15[[#This Row],[province RDC]],_26_03_2026_Client_Churn_v1[Province_Client],_26_03_2026_Client_Churn_v1[Duree_Cumulee_Panne_Min],"non trouvé")</f>
        <v>non trouvé</v>
      </c>
      <c r="O360" t="str">
        <f>_xlfn.XLOOKUP(_26_03_2026_Log_Reseau_v15[[#This Row],[province RDC]],_26_03_2026_Client_Churn_v1[Province_Client],_26_03_2026_Client_Churn_v1[Facture_Mensuelle],"non trouvé")</f>
        <v>non trouvé</v>
      </c>
      <c r="P360" t="str">
        <f>_xlfn.XLOOKUP(_26_03_2026_Log_Reseau_v15[[#This Row],[province RDC]],_26_03_2026_Client_Churn_v1[Province_Client],_26_03_2026_Client_Churn_v1[Plaintes_Service_Client],"non trouvé")</f>
        <v>non trouvé</v>
      </c>
    </row>
    <row r="361" spans="1:16" hidden="1" x14ac:dyDescent="0.25">
      <c r="A361" s="1">
        <v>45211</v>
      </c>
      <c r="B361" s="2">
        <v>0.54652777777777772</v>
      </c>
      <c r="C361" t="s">
        <v>1029</v>
      </c>
      <c r="D361">
        <v>115</v>
      </c>
      <c r="E361" t="s">
        <v>807</v>
      </c>
      <c r="F361" t="str">
        <f>_xlfn.XLOOKUP(_26_03_2026_Log_Reseau_v15[[#This Row],[Cell_ID]],_26_03_2026_Registre_Maintenance_v1[ID_Antenne],_26_03_2026_Registre_Maintenance_v1[zone],"pas trouvé")</f>
        <v>pas trouvé</v>
      </c>
      <c r="G361" t="str">
        <f>_xlfn.XLOOKUP(_26_03_2026_Log_Reseau_v15[[#This Row],[Cell_ID]],_26_03_2026_Registre_Maintenance_v1[ID_Antenne],_26_03_2026_Registre_Maintenance_v1[Latitude],"non trouvé")</f>
        <v>non trouvé</v>
      </c>
      <c r="H361" t="str">
        <f>_xlfn.XLOOKUP(_26_03_2026_Log_Reseau_v15[[#This Row],[Cell_ID]],_26_03_2026_Registre_Maintenance_v1[ID_Antenne],_26_03_2026_Registre_Maintenance_v1[Longitude],"pas trouvé")</f>
        <v>pas trouvé</v>
      </c>
      <c r="I361" t="str">
        <f>_xlfn.XLOOKUP(_26_03_2026_Log_Reseau_v15[[#This Row],[Cell_ID]],_26_03_2026_Registre_Maintenance_v1[ID_Antenne],_26_03_2026_Registre_Maintenance_v1[Technologie],"non trouvé")</f>
        <v>non trouvé</v>
      </c>
      <c r="J361" t="str">
        <f>_xlfn.XLOOKUP(_26_03_2026_Log_Reseau_v15[[#This Row],[Cell_ID]],_26_03_2026_Registre_Maintenance_v1[ID_Antenne],_26_03_2026_Registre_Maintenance_v1[Equipementier],"pas trouvé")</f>
        <v>pas trouvé</v>
      </c>
      <c r="K361" t="str">
        <f>_xlfn.XLOOKUP(_26_03_2026_Log_Reseau_v15[[#This Row],[province RDC]],_26_03_2026_Client_Churn_v1[Province_Client],_26_03_2026_Client_Churn_v1[ID_Client],"non trouvé")</f>
        <v>non trouvé</v>
      </c>
      <c r="L361" t="str">
        <f>_xlfn.XLOOKUP(_26_03_2026_Log_Reseau_v15[[#This Row],[province RDC]],_26_03_2026_Client_Churn_v1[Province_Client],_26_03_2026_Client_Churn_v1[Anciennete_Mois],"non trouvé")</f>
        <v>non trouvé</v>
      </c>
      <c r="M361" t="str">
        <f>_xlfn.XLOOKUP(_26_03_2026_Log_Reseau_v15[[#This Row],[province RDC]],_26_03_2026_Client_Churn_v1[Province_Client],_26_03_2026_Client_Churn_v1[Type_Forfait],"non trouvé")</f>
        <v>non trouvé</v>
      </c>
      <c r="N361" t="str">
        <f>_xlfn.XLOOKUP(_26_03_2026_Log_Reseau_v15[[#This Row],[province RDC]],_26_03_2026_Client_Churn_v1[Province_Client],_26_03_2026_Client_Churn_v1[Duree_Cumulee_Panne_Min],"non trouvé")</f>
        <v>non trouvé</v>
      </c>
      <c r="O361" t="str">
        <f>_xlfn.XLOOKUP(_26_03_2026_Log_Reseau_v15[[#This Row],[province RDC]],_26_03_2026_Client_Churn_v1[Province_Client],_26_03_2026_Client_Churn_v1[Facture_Mensuelle],"non trouvé")</f>
        <v>non trouvé</v>
      </c>
      <c r="P361" t="str">
        <f>_xlfn.XLOOKUP(_26_03_2026_Log_Reseau_v15[[#This Row],[province RDC]],_26_03_2026_Client_Churn_v1[Province_Client],_26_03_2026_Client_Churn_v1[Plaintes_Service_Client],"non trouvé")</f>
        <v>non trouvé</v>
      </c>
    </row>
    <row r="362" spans="1:16" hidden="1" x14ac:dyDescent="0.25">
      <c r="A362" s="1">
        <v>45229</v>
      </c>
      <c r="B362" s="2">
        <v>0.2986111111111111</v>
      </c>
      <c r="C362" t="s">
        <v>1029</v>
      </c>
      <c r="D362">
        <v>74</v>
      </c>
      <c r="E362" t="s">
        <v>812</v>
      </c>
      <c r="F362" t="str">
        <f>_xlfn.XLOOKUP(_26_03_2026_Log_Reseau_v15[[#This Row],[Cell_ID]],_26_03_2026_Registre_Maintenance_v1[ID_Antenne],_26_03_2026_Registre_Maintenance_v1[zone],"pas trouvé")</f>
        <v>pas trouvé</v>
      </c>
      <c r="G362" t="str">
        <f>_xlfn.XLOOKUP(_26_03_2026_Log_Reseau_v15[[#This Row],[Cell_ID]],_26_03_2026_Registre_Maintenance_v1[ID_Antenne],_26_03_2026_Registre_Maintenance_v1[Latitude],"non trouvé")</f>
        <v>non trouvé</v>
      </c>
      <c r="H362" t="str">
        <f>_xlfn.XLOOKUP(_26_03_2026_Log_Reseau_v15[[#This Row],[Cell_ID]],_26_03_2026_Registre_Maintenance_v1[ID_Antenne],_26_03_2026_Registre_Maintenance_v1[Longitude],"pas trouvé")</f>
        <v>pas trouvé</v>
      </c>
      <c r="I362" t="str">
        <f>_xlfn.XLOOKUP(_26_03_2026_Log_Reseau_v15[[#This Row],[Cell_ID]],_26_03_2026_Registre_Maintenance_v1[ID_Antenne],_26_03_2026_Registre_Maintenance_v1[Technologie],"non trouvé")</f>
        <v>non trouvé</v>
      </c>
      <c r="J362" t="str">
        <f>_xlfn.XLOOKUP(_26_03_2026_Log_Reseau_v15[[#This Row],[Cell_ID]],_26_03_2026_Registre_Maintenance_v1[ID_Antenne],_26_03_2026_Registre_Maintenance_v1[Equipementier],"pas trouvé")</f>
        <v>pas trouvé</v>
      </c>
      <c r="K362" t="str">
        <f>_xlfn.XLOOKUP(_26_03_2026_Log_Reseau_v15[[#This Row],[province RDC]],_26_03_2026_Client_Churn_v1[Province_Client],_26_03_2026_Client_Churn_v1[ID_Client],"non trouvé")</f>
        <v>non trouvé</v>
      </c>
      <c r="L362" t="str">
        <f>_xlfn.XLOOKUP(_26_03_2026_Log_Reseau_v15[[#This Row],[province RDC]],_26_03_2026_Client_Churn_v1[Province_Client],_26_03_2026_Client_Churn_v1[Anciennete_Mois],"non trouvé")</f>
        <v>non trouvé</v>
      </c>
      <c r="M362" t="str">
        <f>_xlfn.XLOOKUP(_26_03_2026_Log_Reseau_v15[[#This Row],[province RDC]],_26_03_2026_Client_Churn_v1[Province_Client],_26_03_2026_Client_Churn_v1[Type_Forfait],"non trouvé")</f>
        <v>non trouvé</v>
      </c>
      <c r="N362" t="str">
        <f>_xlfn.XLOOKUP(_26_03_2026_Log_Reseau_v15[[#This Row],[province RDC]],_26_03_2026_Client_Churn_v1[Province_Client],_26_03_2026_Client_Churn_v1[Duree_Cumulee_Panne_Min],"non trouvé")</f>
        <v>non trouvé</v>
      </c>
      <c r="O362" t="str">
        <f>_xlfn.XLOOKUP(_26_03_2026_Log_Reseau_v15[[#This Row],[province RDC]],_26_03_2026_Client_Churn_v1[Province_Client],_26_03_2026_Client_Churn_v1[Facture_Mensuelle],"non trouvé")</f>
        <v>non trouvé</v>
      </c>
      <c r="P362" t="str">
        <f>_xlfn.XLOOKUP(_26_03_2026_Log_Reseau_v15[[#This Row],[province RDC]],_26_03_2026_Client_Churn_v1[Province_Client],_26_03_2026_Client_Churn_v1[Plaintes_Service_Client],"non trouvé")</f>
        <v>non trouvé</v>
      </c>
    </row>
    <row r="363" spans="1:16" hidden="1" x14ac:dyDescent="0.25">
      <c r="A363" s="1">
        <v>45225</v>
      </c>
      <c r="B363" s="2">
        <v>0.21111111111111111</v>
      </c>
      <c r="C363" t="s">
        <v>1030</v>
      </c>
      <c r="D363">
        <v>33</v>
      </c>
      <c r="E363" t="s">
        <v>808</v>
      </c>
      <c r="F363" t="str">
        <f>_xlfn.XLOOKUP(_26_03_2026_Log_Reseau_v15[[#This Row],[Cell_ID]],_26_03_2026_Registre_Maintenance_v1[ID_Antenne],_26_03_2026_Registre_Maintenance_v1[zone],"pas trouvé")</f>
        <v>pas trouvé</v>
      </c>
      <c r="G363" t="str">
        <f>_xlfn.XLOOKUP(_26_03_2026_Log_Reseau_v15[[#This Row],[Cell_ID]],_26_03_2026_Registre_Maintenance_v1[ID_Antenne],_26_03_2026_Registre_Maintenance_v1[Latitude],"non trouvé")</f>
        <v>non trouvé</v>
      </c>
      <c r="H363" t="str">
        <f>_xlfn.XLOOKUP(_26_03_2026_Log_Reseau_v15[[#This Row],[Cell_ID]],_26_03_2026_Registre_Maintenance_v1[ID_Antenne],_26_03_2026_Registre_Maintenance_v1[Longitude],"pas trouvé")</f>
        <v>pas trouvé</v>
      </c>
      <c r="I363" t="str">
        <f>_xlfn.XLOOKUP(_26_03_2026_Log_Reseau_v15[[#This Row],[Cell_ID]],_26_03_2026_Registre_Maintenance_v1[ID_Antenne],_26_03_2026_Registre_Maintenance_v1[Technologie],"non trouvé")</f>
        <v>non trouvé</v>
      </c>
      <c r="J363" t="str">
        <f>_xlfn.XLOOKUP(_26_03_2026_Log_Reseau_v15[[#This Row],[Cell_ID]],_26_03_2026_Registre_Maintenance_v1[ID_Antenne],_26_03_2026_Registre_Maintenance_v1[Equipementier],"pas trouvé")</f>
        <v>pas trouvé</v>
      </c>
      <c r="K363" t="str">
        <f>_xlfn.XLOOKUP(_26_03_2026_Log_Reseau_v15[[#This Row],[province RDC]],_26_03_2026_Client_Churn_v1[Province_Client],_26_03_2026_Client_Churn_v1[ID_Client],"non trouvé")</f>
        <v>non trouvé</v>
      </c>
      <c r="L363" t="str">
        <f>_xlfn.XLOOKUP(_26_03_2026_Log_Reseau_v15[[#This Row],[province RDC]],_26_03_2026_Client_Churn_v1[Province_Client],_26_03_2026_Client_Churn_v1[Anciennete_Mois],"non trouvé")</f>
        <v>non trouvé</v>
      </c>
      <c r="M363" t="str">
        <f>_xlfn.XLOOKUP(_26_03_2026_Log_Reseau_v15[[#This Row],[province RDC]],_26_03_2026_Client_Churn_v1[Province_Client],_26_03_2026_Client_Churn_v1[Type_Forfait],"non trouvé")</f>
        <v>non trouvé</v>
      </c>
      <c r="N363" t="str">
        <f>_xlfn.XLOOKUP(_26_03_2026_Log_Reseau_v15[[#This Row],[province RDC]],_26_03_2026_Client_Churn_v1[Province_Client],_26_03_2026_Client_Churn_v1[Duree_Cumulee_Panne_Min],"non trouvé")</f>
        <v>non trouvé</v>
      </c>
      <c r="O363" t="str">
        <f>_xlfn.XLOOKUP(_26_03_2026_Log_Reseau_v15[[#This Row],[province RDC]],_26_03_2026_Client_Churn_v1[Province_Client],_26_03_2026_Client_Churn_v1[Facture_Mensuelle],"non trouvé")</f>
        <v>non trouvé</v>
      </c>
      <c r="P363" t="str">
        <f>_xlfn.XLOOKUP(_26_03_2026_Log_Reseau_v15[[#This Row],[province RDC]],_26_03_2026_Client_Churn_v1[Province_Client],_26_03_2026_Client_Churn_v1[Plaintes_Service_Client],"non trouvé")</f>
        <v>non trouvé</v>
      </c>
    </row>
    <row r="364" spans="1:16" x14ac:dyDescent="0.25">
      <c r="A364" s="1">
        <v>45213</v>
      </c>
      <c r="B364" s="2">
        <v>0.34236111111111112</v>
      </c>
      <c r="C364" t="s">
        <v>1031</v>
      </c>
      <c r="D364">
        <v>63</v>
      </c>
      <c r="E364" t="s">
        <v>808</v>
      </c>
      <c r="F364" t="str">
        <f>_xlfn.XLOOKUP(_26_03_2026_Log_Reseau_v15[[#This Row],[Cell_ID]],_26_03_2026_Registre_Maintenance_v1[ID_Antenne],_26_03_2026_Registre_Maintenance_v1[zone],"pas trouvé")</f>
        <v>Sud-Kivu</v>
      </c>
      <c r="G364">
        <f>_xlfn.XLOOKUP(_26_03_2026_Log_Reseau_v15[[#This Row],[Cell_ID]],_26_03_2026_Registre_Maintenance_v1[ID_Antenne],_26_03_2026_Registre_Maintenance_v1[Latitude],"non trouvé")</f>
        <v>0.31740800000000002</v>
      </c>
      <c r="H364">
        <f>_xlfn.XLOOKUP(_26_03_2026_Log_Reseau_v15[[#This Row],[Cell_ID]],_26_03_2026_Registre_Maintenance_v1[ID_Antenne],_26_03_2026_Registre_Maintenance_v1[Longitude],"pas trouvé")</f>
        <v>27.197666999999999</v>
      </c>
      <c r="I364" t="str">
        <f>_xlfn.XLOOKUP(_26_03_2026_Log_Reseau_v15[[#This Row],[Cell_ID]],_26_03_2026_Registre_Maintenance_v1[ID_Antenne],_26_03_2026_Registre_Maintenance_v1[Technologie],"non trouvé")</f>
        <v>5G</v>
      </c>
      <c r="J364" t="str">
        <f>_xlfn.XLOOKUP(_26_03_2026_Log_Reseau_v15[[#This Row],[Cell_ID]],_26_03_2026_Registre_Maintenance_v1[ID_Antenne],_26_03_2026_Registre_Maintenance_v1[Equipementier],"pas trouvé")</f>
        <v>Nokia</v>
      </c>
      <c r="K364" t="str">
        <f>_xlfn.XLOOKUP(_26_03_2026_Log_Reseau_v15[[#This Row],[province RDC]],_26_03_2026_Client_Churn_v1[Province_Client],_26_03_2026_Client_Churn_v1[ID_Client],"non trouvé")</f>
        <v>CLI-01855</v>
      </c>
      <c r="L364">
        <f>_xlfn.XLOOKUP(_26_03_2026_Log_Reseau_v15[[#This Row],[province RDC]],_26_03_2026_Client_Churn_v1[Province_Client],_26_03_2026_Client_Churn_v1[Anciennete_Mois],"non trouvé")</f>
        <v>101</v>
      </c>
      <c r="M364" t="str">
        <f>_xlfn.XLOOKUP(_26_03_2026_Log_Reseau_v15[[#This Row],[province RDC]],_26_03_2026_Client_Churn_v1[Province_Client],_26_03_2026_Client_Churn_v1[Type_Forfait],"non trouvé")</f>
        <v>Illimité 50Go</v>
      </c>
      <c r="N364">
        <f>_xlfn.XLOOKUP(_26_03_2026_Log_Reseau_v15[[#This Row],[province RDC]],_26_03_2026_Client_Churn_v1[Province_Client],_26_03_2026_Client_Churn_v1[Duree_Cumulee_Panne_Min],"non trouvé")</f>
        <v>358</v>
      </c>
      <c r="O364">
        <f>_xlfn.XLOOKUP(_26_03_2026_Log_Reseau_v15[[#This Row],[province RDC]],_26_03_2026_Client_Churn_v1[Province_Client],_26_03_2026_Client_Churn_v1[Facture_Mensuelle],"non trouvé")</f>
        <v>29.24</v>
      </c>
      <c r="P364">
        <f>_xlfn.XLOOKUP(_26_03_2026_Log_Reseau_v15[[#This Row],[province RDC]],_26_03_2026_Client_Churn_v1[Province_Client],_26_03_2026_Client_Churn_v1[Plaintes_Service_Client],"non trouvé")</f>
        <v>3</v>
      </c>
    </row>
    <row r="365" spans="1:16" hidden="1" x14ac:dyDescent="0.25">
      <c r="A365" s="1">
        <v>45202</v>
      </c>
      <c r="B365" s="2">
        <v>0.36180555555555555</v>
      </c>
      <c r="C365" t="s">
        <v>1032</v>
      </c>
      <c r="D365">
        <v>15</v>
      </c>
      <c r="E365" t="s">
        <v>808</v>
      </c>
      <c r="F365" t="str">
        <f>_xlfn.XLOOKUP(_26_03_2026_Log_Reseau_v15[[#This Row],[Cell_ID]],_26_03_2026_Registre_Maintenance_v1[ID_Antenne],_26_03_2026_Registre_Maintenance_v1[zone],"pas trouvé")</f>
        <v>pas trouvé</v>
      </c>
      <c r="G365" t="str">
        <f>_xlfn.XLOOKUP(_26_03_2026_Log_Reseau_v15[[#This Row],[Cell_ID]],_26_03_2026_Registre_Maintenance_v1[ID_Antenne],_26_03_2026_Registre_Maintenance_v1[Latitude],"non trouvé")</f>
        <v>non trouvé</v>
      </c>
      <c r="H365" t="str">
        <f>_xlfn.XLOOKUP(_26_03_2026_Log_Reseau_v15[[#This Row],[Cell_ID]],_26_03_2026_Registre_Maintenance_v1[ID_Antenne],_26_03_2026_Registre_Maintenance_v1[Longitude],"pas trouvé")</f>
        <v>pas trouvé</v>
      </c>
      <c r="I365" t="str">
        <f>_xlfn.XLOOKUP(_26_03_2026_Log_Reseau_v15[[#This Row],[Cell_ID]],_26_03_2026_Registre_Maintenance_v1[ID_Antenne],_26_03_2026_Registre_Maintenance_v1[Technologie],"non trouvé")</f>
        <v>non trouvé</v>
      </c>
      <c r="J365" t="str">
        <f>_xlfn.XLOOKUP(_26_03_2026_Log_Reseau_v15[[#This Row],[Cell_ID]],_26_03_2026_Registre_Maintenance_v1[ID_Antenne],_26_03_2026_Registre_Maintenance_v1[Equipementier],"pas trouvé")</f>
        <v>pas trouvé</v>
      </c>
      <c r="K365" t="str">
        <f>_xlfn.XLOOKUP(_26_03_2026_Log_Reseau_v15[[#This Row],[province RDC]],_26_03_2026_Client_Churn_v1[Province_Client],_26_03_2026_Client_Churn_v1[ID_Client],"non trouvé")</f>
        <v>non trouvé</v>
      </c>
      <c r="L365" t="str">
        <f>_xlfn.XLOOKUP(_26_03_2026_Log_Reseau_v15[[#This Row],[province RDC]],_26_03_2026_Client_Churn_v1[Province_Client],_26_03_2026_Client_Churn_v1[Anciennete_Mois],"non trouvé")</f>
        <v>non trouvé</v>
      </c>
      <c r="M365" t="str">
        <f>_xlfn.XLOOKUP(_26_03_2026_Log_Reseau_v15[[#This Row],[province RDC]],_26_03_2026_Client_Churn_v1[Province_Client],_26_03_2026_Client_Churn_v1[Type_Forfait],"non trouvé")</f>
        <v>non trouvé</v>
      </c>
      <c r="N365" t="str">
        <f>_xlfn.XLOOKUP(_26_03_2026_Log_Reseau_v15[[#This Row],[province RDC]],_26_03_2026_Client_Churn_v1[Province_Client],_26_03_2026_Client_Churn_v1[Duree_Cumulee_Panne_Min],"non trouvé")</f>
        <v>non trouvé</v>
      </c>
      <c r="O365" t="str">
        <f>_xlfn.XLOOKUP(_26_03_2026_Log_Reseau_v15[[#This Row],[province RDC]],_26_03_2026_Client_Churn_v1[Province_Client],_26_03_2026_Client_Churn_v1[Facture_Mensuelle],"non trouvé")</f>
        <v>non trouvé</v>
      </c>
      <c r="P365" t="str">
        <f>_xlfn.XLOOKUP(_26_03_2026_Log_Reseau_v15[[#This Row],[province RDC]],_26_03_2026_Client_Churn_v1[Province_Client],_26_03_2026_Client_Churn_v1[Plaintes_Service_Client],"non trouvé")</f>
        <v>non trouvé</v>
      </c>
    </row>
    <row r="366" spans="1:16" x14ac:dyDescent="0.25">
      <c r="A366" s="1">
        <v>45220</v>
      </c>
      <c r="B366" s="2">
        <v>0.41666666666666669</v>
      </c>
      <c r="C366" t="s">
        <v>1033</v>
      </c>
      <c r="D366">
        <v>32</v>
      </c>
      <c r="E366" t="s">
        <v>808</v>
      </c>
      <c r="F366" t="str">
        <f>_xlfn.XLOOKUP(_26_03_2026_Log_Reseau_v15[[#This Row],[Cell_ID]],_26_03_2026_Registre_Maintenance_v1[ID_Antenne],_26_03_2026_Registre_Maintenance_v1[zone],"pas trouvé")</f>
        <v>Kinshasa</v>
      </c>
      <c r="G366">
        <f>_xlfn.XLOOKUP(_26_03_2026_Log_Reseau_v15[[#This Row],[Cell_ID]],_26_03_2026_Registre_Maintenance_v1[ID_Antenne],_26_03_2026_Registre_Maintenance_v1[Latitude],"non trouvé")</f>
        <v>-11.991020000000001</v>
      </c>
      <c r="H366">
        <f>_xlfn.XLOOKUP(_26_03_2026_Log_Reseau_v15[[#This Row],[Cell_ID]],_26_03_2026_Registre_Maintenance_v1[ID_Antenne],_26_03_2026_Registre_Maintenance_v1[Longitude],"pas trouvé")</f>
        <v>22.514747</v>
      </c>
      <c r="I366" t="str">
        <f>_xlfn.XLOOKUP(_26_03_2026_Log_Reseau_v15[[#This Row],[Cell_ID]],_26_03_2026_Registre_Maintenance_v1[ID_Antenne],_26_03_2026_Registre_Maintenance_v1[Technologie],"non trouvé")</f>
        <v>5G</v>
      </c>
      <c r="J366" t="str">
        <f>_xlfn.XLOOKUP(_26_03_2026_Log_Reseau_v15[[#This Row],[Cell_ID]],_26_03_2026_Registre_Maintenance_v1[ID_Antenne],_26_03_2026_Registre_Maintenance_v1[Equipementier],"pas trouvé")</f>
        <v>ZTE</v>
      </c>
      <c r="K366" t="str">
        <f>_xlfn.XLOOKUP(_26_03_2026_Log_Reseau_v15[[#This Row],[province RDC]],_26_03_2026_Client_Churn_v1[Province_Client],_26_03_2026_Client_Churn_v1[ID_Client],"non trouvé")</f>
        <v>CLI-00611</v>
      </c>
      <c r="L366">
        <f>_xlfn.XLOOKUP(_26_03_2026_Log_Reseau_v15[[#This Row],[province RDC]],_26_03_2026_Client_Churn_v1[Province_Client],_26_03_2026_Client_Churn_v1[Anciennete_Mois],"non trouvé")</f>
        <v>79</v>
      </c>
      <c r="M366" t="str">
        <f>_xlfn.XLOOKUP(_26_03_2026_Log_Reseau_v15[[#This Row],[province RDC]],_26_03_2026_Client_Churn_v1[Province_Client],_26_03_2026_Client_Churn_v1[Type_Forfait],"non trouvé")</f>
        <v>Premium 5G 150Go</v>
      </c>
      <c r="N366">
        <f>_xlfn.XLOOKUP(_26_03_2026_Log_Reseau_v15[[#This Row],[province RDC]],_26_03_2026_Client_Churn_v1[Province_Client],_26_03_2026_Client_Churn_v1[Duree_Cumulee_Panne_Min],"non trouvé")</f>
        <v>226</v>
      </c>
      <c r="O366">
        <f>_xlfn.XLOOKUP(_26_03_2026_Log_Reseau_v15[[#This Row],[province RDC]],_26_03_2026_Client_Churn_v1[Province_Client],_26_03_2026_Client_Churn_v1[Facture_Mensuelle],"non trouvé")</f>
        <v>94.38</v>
      </c>
      <c r="P366">
        <f>_xlfn.XLOOKUP(_26_03_2026_Log_Reseau_v15[[#This Row],[province RDC]],_26_03_2026_Client_Churn_v1[Province_Client],_26_03_2026_Client_Churn_v1[Plaintes_Service_Client],"non trouvé")</f>
        <v>3</v>
      </c>
    </row>
    <row r="367" spans="1:16" x14ac:dyDescent="0.25">
      <c r="A367" s="1">
        <v>45210</v>
      </c>
      <c r="B367" s="2">
        <v>0.96111111111111114</v>
      </c>
      <c r="C367" t="s">
        <v>1033</v>
      </c>
      <c r="D367">
        <v>66</v>
      </c>
      <c r="E367" t="s">
        <v>807</v>
      </c>
      <c r="F367" t="str">
        <f>_xlfn.XLOOKUP(_26_03_2026_Log_Reseau_v15[[#This Row],[Cell_ID]],_26_03_2026_Registre_Maintenance_v1[ID_Antenne],_26_03_2026_Registre_Maintenance_v1[zone],"pas trouvé")</f>
        <v>Kinshasa</v>
      </c>
      <c r="G367">
        <f>_xlfn.XLOOKUP(_26_03_2026_Log_Reseau_v15[[#This Row],[Cell_ID]],_26_03_2026_Registre_Maintenance_v1[ID_Antenne],_26_03_2026_Registre_Maintenance_v1[Latitude],"non trouvé")</f>
        <v>-11.991020000000001</v>
      </c>
      <c r="H367">
        <f>_xlfn.XLOOKUP(_26_03_2026_Log_Reseau_v15[[#This Row],[Cell_ID]],_26_03_2026_Registre_Maintenance_v1[ID_Antenne],_26_03_2026_Registre_Maintenance_v1[Longitude],"pas trouvé")</f>
        <v>22.514747</v>
      </c>
      <c r="I367" t="str">
        <f>_xlfn.XLOOKUP(_26_03_2026_Log_Reseau_v15[[#This Row],[Cell_ID]],_26_03_2026_Registre_Maintenance_v1[ID_Antenne],_26_03_2026_Registre_Maintenance_v1[Technologie],"non trouvé")</f>
        <v>5G</v>
      </c>
      <c r="J367" t="str">
        <f>_xlfn.XLOOKUP(_26_03_2026_Log_Reseau_v15[[#This Row],[Cell_ID]],_26_03_2026_Registre_Maintenance_v1[ID_Antenne],_26_03_2026_Registre_Maintenance_v1[Equipementier],"pas trouvé")</f>
        <v>ZTE</v>
      </c>
      <c r="K367" t="str">
        <f>_xlfn.XLOOKUP(_26_03_2026_Log_Reseau_v15[[#This Row],[province RDC]],_26_03_2026_Client_Churn_v1[Province_Client],_26_03_2026_Client_Churn_v1[ID_Client],"non trouvé")</f>
        <v>CLI-00611</v>
      </c>
      <c r="L367">
        <f>_xlfn.XLOOKUP(_26_03_2026_Log_Reseau_v15[[#This Row],[province RDC]],_26_03_2026_Client_Churn_v1[Province_Client],_26_03_2026_Client_Churn_v1[Anciennete_Mois],"non trouvé")</f>
        <v>79</v>
      </c>
      <c r="M367" t="str">
        <f>_xlfn.XLOOKUP(_26_03_2026_Log_Reseau_v15[[#This Row],[province RDC]],_26_03_2026_Client_Churn_v1[Province_Client],_26_03_2026_Client_Churn_v1[Type_Forfait],"non trouvé")</f>
        <v>Premium 5G 150Go</v>
      </c>
      <c r="N367">
        <f>_xlfn.XLOOKUP(_26_03_2026_Log_Reseau_v15[[#This Row],[province RDC]],_26_03_2026_Client_Churn_v1[Province_Client],_26_03_2026_Client_Churn_v1[Duree_Cumulee_Panne_Min],"non trouvé")</f>
        <v>226</v>
      </c>
      <c r="O367">
        <f>_xlfn.XLOOKUP(_26_03_2026_Log_Reseau_v15[[#This Row],[province RDC]],_26_03_2026_Client_Churn_v1[Province_Client],_26_03_2026_Client_Churn_v1[Facture_Mensuelle],"non trouvé")</f>
        <v>94.38</v>
      </c>
      <c r="P367">
        <f>_xlfn.XLOOKUP(_26_03_2026_Log_Reseau_v15[[#This Row],[province RDC]],_26_03_2026_Client_Churn_v1[Province_Client],_26_03_2026_Client_Churn_v1[Plaintes_Service_Client],"non trouvé")</f>
        <v>3</v>
      </c>
    </row>
    <row r="368" spans="1:16" hidden="1" x14ac:dyDescent="0.25">
      <c r="A368" s="1">
        <v>45226</v>
      </c>
      <c r="B368" s="2">
        <v>0.74791666666666667</v>
      </c>
      <c r="C368" t="s">
        <v>1034</v>
      </c>
      <c r="D368">
        <v>52</v>
      </c>
      <c r="E368" t="s">
        <v>808</v>
      </c>
      <c r="F368" t="str">
        <f>_xlfn.XLOOKUP(_26_03_2026_Log_Reseau_v15[[#This Row],[Cell_ID]],_26_03_2026_Registre_Maintenance_v1[ID_Antenne],_26_03_2026_Registre_Maintenance_v1[zone],"pas trouvé")</f>
        <v>pas trouvé</v>
      </c>
      <c r="G368" t="str">
        <f>_xlfn.XLOOKUP(_26_03_2026_Log_Reseau_v15[[#This Row],[Cell_ID]],_26_03_2026_Registre_Maintenance_v1[ID_Antenne],_26_03_2026_Registre_Maintenance_v1[Latitude],"non trouvé")</f>
        <v>non trouvé</v>
      </c>
      <c r="H368" t="str">
        <f>_xlfn.XLOOKUP(_26_03_2026_Log_Reseau_v15[[#This Row],[Cell_ID]],_26_03_2026_Registre_Maintenance_v1[ID_Antenne],_26_03_2026_Registre_Maintenance_v1[Longitude],"pas trouvé")</f>
        <v>pas trouvé</v>
      </c>
      <c r="I368" t="str">
        <f>_xlfn.XLOOKUP(_26_03_2026_Log_Reseau_v15[[#This Row],[Cell_ID]],_26_03_2026_Registre_Maintenance_v1[ID_Antenne],_26_03_2026_Registre_Maintenance_v1[Technologie],"non trouvé")</f>
        <v>non trouvé</v>
      </c>
      <c r="J368" t="str">
        <f>_xlfn.XLOOKUP(_26_03_2026_Log_Reseau_v15[[#This Row],[Cell_ID]],_26_03_2026_Registre_Maintenance_v1[ID_Antenne],_26_03_2026_Registre_Maintenance_v1[Equipementier],"pas trouvé")</f>
        <v>pas trouvé</v>
      </c>
      <c r="K368" t="str">
        <f>_xlfn.XLOOKUP(_26_03_2026_Log_Reseau_v15[[#This Row],[province RDC]],_26_03_2026_Client_Churn_v1[Province_Client],_26_03_2026_Client_Churn_v1[ID_Client],"non trouvé")</f>
        <v>non trouvé</v>
      </c>
      <c r="L368" t="str">
        <f>_xlfn.XLOOKUP(_26_03_2026_Log_Reseau_v15[[#This Row],[province RDC]],_26_03_2026_Client_Churn_v1[Province_Client],_26_03_2026_Client_Churn_v1[Anciennete_Mois],"non trouvé")</f>
        <v>non trouvé</v>
      </c>
      <c r="M368" t="str">
        <f>_xlfn.XLOOKUP(_26_03_2026_Log_Reseau_v15[[#This Row],[province RDC]],_26_03_2026_Client_Churn_v1[Province_Client],_26_03_2026_Client_Churn_v1[Type_Forfait],"non trouvé")</f>
        <v>non trouvé</v>
      </c>
      <c r="N368" t="str">
        <f>_xlfn.XLOOKUP(_26_03_2026_Log_Reseau_v15[[#This Row],[province RDC]],_26_03_2026_Client_Churn_v1[Province_Client],_26_03_2026_Client_Churn_v1[Duree_Cumulee_Panne_Min],"non trouvé")</f>
        <v>non trouvé</v>
      </c>
      <c r="O368" t="str">
        <f>_xlfn.XLOOKUP(_26_03_2026_Log_Reseau_v15[[#This Row],[province RDC]],_26_03_2026_Client_Churn_v1[Province_Client],_26_03_2026_Client_Churn_v1[Facture_Mensuelle],"non trouvé")</f>
        <v>non trouvé</v>
      </c>
      <c r="P368" t="str">
        <f>_xlfn.XLOOKUP(_26_03_2026_Log_Reseau_v15[[#This Row],[province RDC]],_26_03_2026_Client_Churn_v1[Province_Client],_26_03_2026_Client_Churn_v1[Plaintes_Service_Client],"non trouvé")</f>
        <v>non trouvé</v>
      </c>
    </row>
    <row r="369" spans="1:16" x14ac:dyDescent="0.25">
      <c r="A369" s="1">
        <v>45215</v>
      </c>
      <c r="B369" s="2">
        <v>0.45763888888888887</v>
      </c>
      <c r="C369" t="s">
        <v>1035</v>
      </c>
      <c r="D369">
        <v>100</v>
      </c>
      <c r="E369" t="s">
        <v>807</v>
      </c>
      <c r="F369" t="str">
        <f>_xlfn.XLOOKUP(_26_03_2026_Log_Reseau_v15[[#This Row],[Cell_ID]],_26_03_2026_Registre_Maintenance_v1[ID_Antenne],_26_03_2026_Registre_Maintenance_v1[zone],"pas trouvé")</f>
        <v>Tanganyika</v>
      </c>
      <c r="G369">
        <f>_xlfn.XLOOKUP(_26_03_2026_Log_Reseau_v15[[#This Row],[Cell_ID]],_26_03_2026_Registre_Maintenance_v1[ID_Antenne],_26_03_2026_Registre_Maintenance_v1[Latitude],"non trouvé")</f>
        <v>-11.793894</v>
      </c>
      <c r="H369">
        <f>_xlfn.XLOOKUP(_26_03_2026_Log_Reseau_v15[[#This Row],[Cell_ID]],_26_03_2026_Registre_Maintenance_v1[ID_Antenne],_26_03_2026_Registre_Maintenance_v1[Longitude],"pas trouvé")</f>
        <v>20.433340999999999</v>
      </c>
      <c r="I369" t="str">
        <f>_xlfn.XLOOKUP(_26_03_2026_Log_Reseau_v15[[#This Row],[Cell_ID]],_26_03_2026_Registre_Maintenance_v1[ID_Antenne],_26_03_2026_Registre_Maintenance_v1[Technologie],"non trouvé")</f>
        <v>5G</v>
      </c>
      <c r="J369" t="str">
        <f>_xlfn.XLOOKUP(_26_03_2026_Log_Reseau_v15[[#This Row],[Cell_ID]],_26_03_2026_Registre_Maintenance_v1[ID_Antenne],_26_03_2026_Registre_Maintenance_v1[Equipementier],"pas trouvé")</f>
        <v>Nokia</v>
      </c>
      <c r="K369" t="str">
        <f>_xlfn.XLOOKUP(_26_03_2026_Log_Reseau_v15[[#This Row],[province RDC]],_26_03_2026_Client_Churn_v1[Province_Client],_26_03_2026_Client_Churn_v1[ID_Client],"non trouvé")</f>
        <v>CLI-01618</v>
      </c>
      <c r="L369">
        <f>_xlfn.XLOOKUP(_26_03_2026_Log_Reseau_v15[[#This Row],[province RDC]],_26_03_2026_Client_Churn_v1[Province_Client],_26_03_2026_Client_Churn_v1[Anciennete_Mois],"non trouvé")</f>
        <v>115</v>
      </c>
      <c r="M369" t="str">
        <f>_xlfn.XLOOKUP(_26_03_2026_Log_Reseau_v15[[#This Row],[province RDC]],_26_03_2026_Client_Churn_v1[Province_Client],_26_03_2026_Client_Churn_v1[Type_Forfait],"non trouvé")</f>
        <v>Bloqué 5Go</v>
      </c>
      <c r="N369">
        <f>_xlfn.XLOOKUP(_26_03_2026_Log_Reseau_v15[[#This Row],[province RDC]],_26_03_2026_Client_Churn_v1[Province_Client],_26_03_2026_Client_Churn_v1[Duree_Cumulee_Panne_Min],"non trouvé")</f>
        <v>176</v>
      </c>
      <c r="O369">
        <f>_xlfn.XLOOKUP(_26_03_2026_Log_Reseau_v15[[#This Row],[province RDC]],_26_03_2026_Client_Churn_v1[Province_Client],_26_03_2026_Client_Churn_v1[Facture_Mensuelle],"non trouvé")</f>
        <v>33.28</v>
      </c>
      <c r="P369">
        <f>_xlfn.XLOOKUP(_26_03_2026_Log_Reseau_v15[[#This Row],[province RDC]],_26_03_2026_Client_Churn_v1[Province_Client],_26_03_2026_Client_Churn_v1[Plaintes_Service_Client],"non trouvé")</f>
        <v>4</v>
      </c>
    </row>
    <row r="370" spans="1:16" x14ac:dyDescent="0.25">
      <c r="A370" s="1">
        <v>45203</v>
      </c>
      <c r="B370" s="2">
        <v>0.30486111111111114</v>
      </c>
      <c r="C370" t="s">
        <v>1035</v>
      </c>
      <c r="D370">
        <v>106</v>
      </c>
      <c r="E370" t="s">
        <v>808</v>
      </c>
      <c r="F370" t="str">
        <f>_xlfn.XLOOKUP(_26_03_2026_Log_Reseau_v15[[#This Row],[Cell_ID]],_26_03_2026_Registre_Maintenance_v1[ID_Antenne],_26_03_2026_Registre_Maintenance_v1[zone],"pas trouvé")</f>
        <v>Tanganyika</v>
      </c>
      <c r="G370">
        <f>_xlfn.XLOOKUP(_26_03_2026_Log_Reseau_v15[[#This Row],[Cell_ID]],_26_03_2026_Registre_Maintenance_v1[ID_Antenne],_26_03_2026_Registre_Maintenance_v1[Latitude],"non trouvé")</f>
        <v>-11.793894</v>
      </c>
      <c r="H370">
        <f>_xlfn.XLOOKUP(_26_03_2026_Log_Reseau_v15[[#This Row],[Cell_ID]],_26_03_2026_Registre_Maintenance_v1[ID_Antenne],_26_03_2026_Registre_Maintenance_v1[Longitude],"pas trouvé")</f>
        <v>20.433340999999999</v>
      </c>
      <c r="I370" t="str">
        <f>_xlfn.XLOOKUP(_26_03_2026_Log_Reseau_v15[[#This Row],[Cell_ID]],_26_03_2026_Registre_Maintenance_v1[ID_Antenne],_26_03_2026_Registre_Maintenance_v1[Technologie],"non trouvé")</f>
        <v>5G</v>
      </c>
      <c r="J370" t="str">
        <f>_xlfn.XLOOKUP(_26_03_2026_Log_Reseau_v15[[#This Row],[Cell_ID]],_26_03_2026_Registre_Maintenance_v1[ID_Antenne],_26_03_2026_Registre_Maintenance_v1[Equipementier],"pas trouvé")</f>
        <v>Nokia</v>
      </c>
      <c r="K370" t="str">
        <f>_xlfn.XLOOKUP(_26_03_2026_Log_Reseau_v15[[#This Row],[province RDC]],_26_03_2026_Client_Churn_v1[Province_Client],_26_03_2026_Client_Churn_v1[ID_Client],"non trouvé")</f>
        <v>CLI-01618</v>
      </c>
      <c r="L370">
        <f>_xlfn.XLOOKUP(_26_03_2026_Log_Reseau_v15[[#This Row],[province RDC]],_26_03_2026_Client_Churn_v1[Province_Client],_26_03_2026_Client_Churn_v1[Anciennete_Mois],"non trouvé")</f>
        <v>115</v>
      </c>
      <c r="M370" t="str">
        <f>_xlfn.XLOOKUP(_26_03_2026_Log_Reseau_v15[[#This Row],[province RDC]],_26_03_2026_Client_Churn_v1[Province_Client],_26_03_2026_Client_Churn_v1[Type_Forfait],"non trouvé")</f>
        <v>Bloqué 5Go</v>
      </c>
      <c r="N370">
        <f>_xlfn.XLOOKUP(_26_03_2026_Log_Reseau_v15[[#This Row],[province RDC]],_26_03_2026_Client_Churn_v1[Province_Client],_26_03_2026_Client_Churn_v1[Duree_Cumulee_Panne_Min],"non trouvé")</f>
        <v>176</v>
      </c>
      <c r="O370">
        <f>_xlfn.XLOOKUP(_26_03_2026_Log_Reseau_v15[[#This Row],[province RDC]],_26_03_2026_Client_Churn_v1[Province_Client],_26_03_2026_Client_Churn_v1[Facture_Mensuelle],"non trouvé")</f>
        <v>33.28</v>
      </c>
      <c r="P370">
        <f>_xlfn.XLOOKUP(_26_03_2026_Log_Reseau_v15[[#This Row],[province RDC]],_26_03_2026_Client_Churn_v1[Province_Client],_26_03_2026_Client_Churn_v1[Plaintes_Service_Client],"non trouvé")</f>
        <v>4</v>
      </c>
    </row>
    <row r="371" spans="1:16" hidden="1" x14ac:dyDescent="0.25">
      <c r="A371" s="1">
        <v>45201</v>
      </c>
      <c r="B371" s="2">
        <v>0.30972222222222223</v>
      </c>
      <c r="C371" t="s">
        <v>1036</v>
      </c>
      <c r="D371">
        <v>56</v>
      </c>
      <c r="E371" t="s">
        <v>812</v>
      </c>
      <c r="F371" t="str">
        <f>_xlfn.XLOOKUP(_26_03_2026_Log_Reseau_v15[[#This Row],[Cell_ID]],_26_03_2026_Registre_Maintenance_v1[ID_Antenne],_26_03_2026_Registre_Maintenance_v1[zone],"pas trouvé")</f>
        <v>pas trouvé</v>
      </c>
      <c r="G371" t="str">
        <f>_xlfn.XLOOKUP(_26_03_2026_Log_Reseau_v15[[#This Row],[Cell_ID]],_26_03_2026_Registre_Maintenance_v1[ID_Antenne],_26_03_2026_Registre_Maintenance_v1[Latitude],"non trouvé")</f>
        <v>non trouvé</v>
      </c>
      <c r="H371" t="str">
        <f>_xlfn.XLOOKUP(_26_03_2026_Log_Reseau_v15[[#This Row],[Cell_ID]],_26_03_2026_Registre_Maintenance_v1[ID_Antenne],_26_03_2026_Registre_Maintenance_v1[Longitude],"pas trouvé")</f>
        <v>pas trouvé</v>
      </c>
      <c r="I371" t="str">
        <f>_xlfn.XLOOKUP(_26_03_2026_Log_Reseau_v15[[#This Row],[Cell_ID]],_26_03_2026_Registre_Maintenance_v1[ID_Antenne],_26_03_2026_Registre_Maintenance_v1[Technologie],"non trouvé")</f>
        <v>non trouvé</v>
      </c>
      <c r="J371" t="str">
        <f>_xlfn.XLOOKUP(_26_03_2026_Log_Reseau_v15[[#This Row],[Cell_ID]],_26_03_2026_Registre_Maintenance_v1[ID_Antenne],_26_03_2026_Registre_Maintenance_v1[Equipementier],"pas trouvé")</f>
        <v>pas trouvé</v>
      </c>
      <c r="K371" t="str">
        <f>_xlfn.XLOOKUP(_26_03_2026_Log_Reseau_v15[[#This Row],[province RDC]],_26_03_2026_Client_Churn_v1[Province_Client],_26_03_2026_Client_Churn_v1[ID_Client],"non trouvé")</f>
        <v>non trouvé</v>
      </c>
      <c r="L371" t="str">
        <f>_xlfn.XLOOKUP(_26_03_2026_Log_Reseau_v15[[#This Row],[province RDC]],_26_03_2026_Client_Churn_v1[Province_Client],_26_03_2026_Client_Churn_v1[Anciennete_Mois],"non trouvé")</f>
        <v>non trouvé</v>
      </c>
      <c r="M371" t="str">
        <f>_xlfn.XLOOKUP(_26_03_2026_Log_Reseau_v15[[#This Row],[province RDC]],_26_03_2026_Client_Churn_v1[Province_Client],_26_03_2026_Client_Churn_v1[Type_Forfait],"non trouvé")</f>
        <v>non trouvé</v>
      </c>
      <c r="N371" t="str">
        <f>_xlfn.XLOOKUP(_26_03_2026_Log_Reseau_v15[[#This Row],[province RDC]],_26_03_2026_Client_Churn_v1[Province_Client],_26_03_2026_Client_Churn_v1[Duree_Cumulee_Panne_Min],"non trouvé")</f>
        <v>non trouvé</v>
      </c>
      <c r="O371" t="str">
        <f>_xlfn.XLOOKUP(_26_03_2026_Log_Reseau_v15[[#This Row],[province RDC]],_26_03_2026_Client_Churn_v1[Province_Client],_26_03_2026_Client_Churn_v1[Facture_Mensuelle],"non trouvé")</f>
        <v>non trouvé</v>
      </c>
      <c r="P371" t="str">
        <f>_xlfn.XLOOKUP(_26_03_2026_Log_Reseau_v15[[#This Row],[province RDC]],_26_03_2026_Client_Churn_v1[Province_Client],_26_03_2026_Client_Churn_v1[Plaintes_Service_Client],"non trouvé")</f>
        <v>non trouvé</v>
      </c>
    </row>
    <row r="372" spans="1:16" hidden="1" x14ac:dyDescent="0.25">
      <c r="A372" s="1">
        <v>45208</v>
      </c>
      <c r="B372" s="2">
        <v>8.4027777777777785E-2</v>
      </c>
      <c r="C372" t="s">
        <v>1037</v>
      </c>
      <c r="D372">
        <v>50</v>
      </c>
      <c r="E372" t="s">
        <v>808</v>
      </c>
      <c r="F372" t="str">
        <f>_xlfn.XLOOKUP(_26_03_2026_Log_Reseau_v15[[#This Row],[Cell_ID]],_26_03_2026_Registre_Maintenance_v1[ID_Antenne],_26_03_2026_Registre_Maintenance_v1[zone],"pas trouvé")</f>
        <v>pas trouvé</v>
      </c>
      <c r="G372" t="str">
        <f>_xlfn.XLOOKUP(_26_03_2026_Log_Reseau_v15[[#This Row],[Cell_ID]],_26_03_2026_Registre_Maintenance_v1[ID_Antenne],_26_03_2026_Registre_Maintenance_v1[Latitude],"non trouvé")</f>
        <v>non trouvé</v>
      </c>
      <c r="H372" t="str">
        <f>_xlfn.XLOOKUP(_26_03_2026_Log_Reseau_v15[[#This Row],[Cell_ID]],_26_03_2026_Registre_Maintenance_v1[ID_Antenne],_26_03_2026_Registre_Maintenance_v1[Longitude],"pas trouvé")</f>
        <v>pas trouvé</v>
      </c>
      <c r="I372" t="str">
        <f>_xlfn.XLOOKUP(_26_03_2026_Log_Reseau_v15[[#This Row],[Cell_ID]],_26_03_2026_Registre_Maintenance_v1[ID_Antenne],_26_03_2026_Registre_Maintenance_v1[Technologie],"non trouvé")</f>
        <v>non trouvé</v>
      </c>
      <c r="J372" t="str">
        <f>_xlfn.XLOOKUP(_26_03_2026_Log_Reseau_v15[[#This Row],[Cell_ID]],_26_03_2026_Registre_Maintenance_v1[ID_Antenne],_26_03_2026_Registre_Maintenance_v1[Equipementier],"pas trouvé")</f>
        <v>pas trouvé</v>
      </c>
      <c r="K372" t="str">
        <f>_xlfn.XLOOKUP(_26_03_2026_Log_Reseau_v15[[#This Row],[province RDC]],_26_03_2026_Client_Churn_v1[Province_Client],_26_03_2026_Client_Churn_v1[ID_Client],"non trouvé")</f>
        <v>non trouvé</v>
      </c>
      <c r="L372" t="str">
        <f>_xlfn.XLOOKUP(_26_03_2026_Log_Reseau_v15[[#This Row],[province RDC]],_26_03_2026_Client_Churn_v1[Province_Client],_26_03_2026_Client_Churn_v1[Anciennete_Mois],"non trouvé")</f>
        <v>non trouvé</v>
      </c>
      <c r="M372" t="str">
        <f>_xlfn.XLOOKUP(_26_03_2026_Log_Reseau_v15[[#This Row],[province RDC]],_26_03_2026_Client_Churn_v1[Province_Client],_26_03_2026_Client_Churn_v1[Type_Forfait],"non trouvé")</f>
        <v>non trouvé</v>
      </c>
      <c r="N372" t="str">
        <f>_xlfn.XLOOKUP(_26_03_2026_Log_Reseau_v15[[#This Row],[province RDC]],_26_03_2026_Client_Churn_v1[Province_Client],_26_03_2026_Client_Churn_v1[Duree_Cumulee_Panne_Min],"non trouvé")</f>
        <v>non trouvé</v>
      </c>
      <c r="O372" t="str">
        <f>_xlfn.XLOOKUP(_26_03_2026_Log_Reseau_v15[[#This Row],[province RDC]],_26_03_2026_Client_Churn_v1[Province_Client],_26_03_2026_Client_Churn_v1[Facture_Mensuelle],"non trouvé")</f>
        <v>non trouvé</v>
      </c>
      <c r="P372" t="str">
        <f>_xlfn.XLOOKUP(_26_03_2026_Log_Reseau_v15[[#This Row],[province RDC]],_26_03_2026_Client_Churn_v1[Province_Client],_26_03_2026_Client_Churn_v1[Plaintes_Service_Client],"non trouvé")</f>
        <v>non trouvé</v>
      </c>
    </row>
    <row r="373" spans="1:16" x14ac:dyDescent="0.25">
      <c r="A373" s="1">
        <v>45222</v>
      </c>
      <c r="B373" s="2">
        <v>0.17916666666666667</v>
      </c>
      <c r="C373" t="s">
        <v>1038</v>
      </c>
      <c r="D373">
        <v>28</v>
      </c>
      <c r="E373" t="s">
        <v>808</v>
      </c>
      <c r="F373" t="str">
        <f>_xlfn.XLOOKUP(_26_03_2026_Log_Reseau_v15[[#This Row],[Cell_ID]],_26_03_2026_Registre_Maintenance_v1[ID_Antenne],_26_03_2026_Registre_Maintenance_v1[zone],"pas trouvé")</f>
        <v>Kinshasa</v>
      </c>
      <c r="G373">
        <f>_xlfn.XLOOKUP(_26_03_2026_Log_Reseau_v15[[#This Row],[Cell_ID]],_26_03_2026_Registre_Maintenance_v1[ID_Antenne],_26_03_2026_Registre_Maintenance_v1[Latitude],"non trouvé")</f>
        <v>-0.90854400000000002</v>
      </c>
      <c r="H373">
        <f>_xlfn.XLOOKUP(_26_03_2026_Log_Reseau_v15[[#This Row],[Cell_ID]],_26_03_2026_Registre_Maintenance_v1[ID_Antenne],_26_03_2026_Registre_Maintenance_v1[Longitude],"pas trouvé")</f>
        <v>17.154896999999998</v>
      </c>
      <c r="I373" t="str">
        <f>_xlfn.XLOOKUP(_26_03_2026_Log_Reseau_v15[[#This Row],[Cell_ID]],_26_03_2026_Registre_Maintenance_v1[ID_Antenne],_26_03_2026_Registre_Maintenance_v1[Technologie],"non trouvé")</f>
        <v>3G</v>
      </c>
      <c r="J373" t="str">
        <f>_xlfn.XLOOKUP(_26_03_2026_Log_Reseau_v15[[#This Row],[Cell_ID]],_26_03_2026_Registre_Maintenance_v1[ID_Antenne],_26_03_2026_Registre_Maintenance_v1[Equipementier],"pas trouvé")</f>
        <v>Huawei</v>
      </c>
      <c r="K373" t="str">
        <f>_xlfn.XLOOKUP(_26_03_2026_Log_Reseau_v15[[#This Row],[province RDC]],_26_03_2026_Client_Churn_v1[Province_Client],_26_03_2026_Client_Churn_v1[ID_Client],"non trouvé")</f>
        <v>CLI-00611</v>
      </c>
      <c r="L373">
        <f>_xlfn.XLOOKUP(_26_03_2026_Log_Reseau_v15[[#This Row],[province RDC]],_26_03_2026_Client_Churn_v1[Province_Client],_26_03_2026_Client_Churn_v1[Anciennete_Mois],"non trouvé")</f>
        <v>79</v>
      </c>
      <c r="M373" t="str">
        <f>_xlfn.XLOOKUP(_26_03_2026_Log_Reseau_v15[[#This Row],[province RDC]],_26_03_2026_Client_Churn_v1[Province_Client],_26_03_2026_Client_Churn_v1[Type_Forfait],"non trouvé")</f>
        <v>Premium 5G 150Go</v>
      </c>
      <c r="N373">
        <f>_xlfn.XLOOKUP(_26_03_2026_Log_Reseau_v15[[#This Row],[province RDC]],_26_03_2026_Client_Churn_v1[Province_Client],_26_03_2026_Client_Churn_v1[Duree_Cumulee_Panne_Min],"non trouvé")</f>
        <v>226</v>
      </c>
      <c r="O373">
        <f>_xlfn.XLOOKUP(_26_03_2026_Log_Reseau_v15[[#This Row],[province RDC]],_26_03_2026_Client_Churn_v1[Province_Client],_26_03_2026_Client_Churn_v1[Facture_Mensuelle],"non trouvé")</f>
        <v>94.38</v>
      </c>
      <c r="P373">
        <f>_xlfn.XLOOKUP(_26_03_2026_Log_Reseau_v15[[#This Row],[province RDC]],_26_03_2026_Client_Churn_v1[Province_Client],_26_03_2026_Client_Churn_v1[Plaintes_Service_Client],"non trouvé")</f>
        <v>3</v>
      </c>
    </row>
    <row r="374" spans="1:16" x14ac:dyDescent="0.25">
      <c r="A374" s="1">
        <v>45214</v>
      </c>
      <c r="B374" s="2">
        <v>0.7368055555555556</v>
      </c>
      <c r="C374" t="s">
        <v>1039</v>
      </c>
      <c r="D374">
        <v>34</v>
      </c>
      <c r="E374" t="s">
        <v>812</v>
      </c>
      <c r="F374" t="str">
        <f>_xlfn.XLOOKUP(_26_03_2026_Log_Reseau_v15[[#This Row],[Cell_ID]],_26_03_2026_Registre_Maintenance_v1[ID_Antenne],_26_03_2026_Registre_Maintenance_v1[zone],"pas trouvé")</f>
        <v>Kwilu</v>
      </c>
      <c r="G374">
        <f>_xlfn.XLOOKUP(_26_03_2026_Log_Reseau_v15[[#This Row],[Cell_ID]],_26_03_2026_Registre_Maintenance_v1[ID_Antenne],_26_03_2026_Registre_Maintenance_v1[Latitude],"non trouvé")</f>
        <v>5.3608999999999997E-2</v>
      </c>
      <c r="H374">
        <f>_xlfn.XLOOKUP(_26_03_2026_Log_Reseau_v15[[#This Row],[Cell_ID]],_26_03_2026_Registre_Maintenance_v1[ID_Antenne],_26_03_2026_Registre_Maintenance_v1[Longitude],"pas trouvé")</f>
        <v>28.346852999999999</v>
      </c>
      <c r="I374" t="str">
        <f>_xlfn.XLOOKUP(_26_03_2026_Log_Reseau_v15[[#This Row],[Cell_ID]],_26_03_2026_Registre_Maintenance_v1[ID_Antenne],_26_03_2026_Registre_Maintenance_v1[Technologie],"non trouvé")</f>
        <v>3G</v>
      </c>
      <c r="J374" t="str">
        <f>_xlfn.XLOOKUP(_26_03_2026_Log_Reseau_v15[[#This Row],[Cell_ID]],_26_03_2026_Registre_Maintenance_v1[ID_Antenne],_26_03_2026_Registre_Maintenance_v1[Equipementier],"pas trouvé")</f>
        <v>ZTE</v>
      </c>
      <c r="K374" t="str">
        <f>_xlfn.XLOOKUP(_26_03_2026_Log_Reseau_v15[[#This Row],[province RDC]],_26_03_2026_Client_Churn_v1[Province_Client],_26_03_2026_Client_Churn_v1[ID_Client],"non trouvé")</f>
        <v>CLI-00996</v>
      </c>
      <c r="L374">
        <f>_xlfn.XLOOKUP(_26_03_2026_Log_Reseau_v15[[#This Row],[province RDC]],_26_03_2026_Client_Churn_v1[Province_Client],_26_03_2026_Client_Churn_v1[Anciennete_Mois],"non trouvé")</f>
        <v>119</v>
      </c>
      <c r="M374" t="str">
        <f>_xlfn.XLOOKUP(_26_03_2026_Log_Reseau_v15[[#This Row],[province RDC]],_26_03_2026_Client_Churn_v1[Province_Client],_26_03_2026_Client_Churn_v1[Type_Forfait],"non trouvé")</f>
        <v>Illimité 50Go</v>
      </c>
      <c r="N374">
        <f>_xlfn.XLOOKUP(_26_03_2026_Log_Reseau_v15[[#This Row],[province RDC]],_26_03_2026_Client_Churn_v1[Province_Client],_26_03_2026_Client_Churn_v1[Duree_Cumulee_Panne_Min],"non trouvé")</f>
        <v>228</v>
      </c>
      <c r="O374">
        <f>_xlfn.XLOOKUP(_26_03_2026_Log_Reseau_v15[[#This Row],[province RDC]],_26_03_2026_Client_Churn_v1[Province_Client],_26_03_2026_Client_Churn_v1[Facture_Mensuelle],"non trouvé")</f>
        <v>94.72</v>
      </c>
      <c r="P374">
        <f>_xlfn.XLOOKUP(_26_03_2026_Log_Reseau_v15[[#This Row],[province RDC]],_26_03_2026_Client_Churn_v1[Province_Client],_26_03_2026_Client_Churn_v1[Plaintes_Service_Client],"non trouvé")</f>
        <v>3</v>
      </c>
    </row>
    <row r="375" spans="1:16" hidden="1" x14ac:dyDescent="0.25">
      <c r="A375" s="1">
        <v>45224</v>
      </c>
      <c r="B375" s="2">
        <v>0.6</v>
      </c>
      <c r="C375" t="s">
        <v>1040</v>
      </c>
      <c r="D375">
        <v>70</v>
      </c>
      <c r="E375" t="s">
        <v>812</v>
      </c>
      <c r="F375" t="str">
        <f>_xlfn.XLOOKUP(_26_03_2026_Log_Reseau_v15[[#This Row],[Cell_ID]],_26_03_2026_Registre_Maintenance_v1[ID_Antenne],_26_03_2026_Registre_Maintenance_v1[zone],"pas trouvé")</f>
        <v>pas trouvé</v>
      </c>
      <c r="G375" t="str">
        <f>_xlfn.XLOOKUP(_26_03_2026_Log_Reseau_v15[[#This Row],[Cell_ID]],_26_03_2026_Registre_Maintenance_v1[ID_Antenne],_26_03_2026_Registre_Maintenance_v1[Latitude],"non trouvé")</f>
        <v>non trouvé</v>
      </c>
      <c r="H375" t="str">
        <f>_xlfn.XLOOKUP(_26_03_2026_Log_Reseau_v15[[#This Row],[Cell_ID]],_26_03_2026_Registre_Maintenance_v1[ID_Antenne],_26_03_2026_Registre_Maintenance_v1[Longitude],"pas trouvé")</f>
        <v>pas trouvé</v>
      </c>
      <c r="I375" t="str">
        <f>_xlfn.XLOOKUP(_26_03_2026_Log_Reseau_v15[[#This Row],[Cell_ID]],_26_03_2026_Registre_Maintenance_v1[ID_Antenne],_26_03_2026_Registre_Maintenance_v1[Technologie],"non trouvé")</f>
        <v>non trouvé</v>
      </c>
      <c r="J375" t="str">
        <f>_xlfn.XLOOKUP(_26_03_2026_Log_Reseau_v15[[#This Row],[Cell_ID]],_26_03_2026_Registre_Maintenance_v1[ID_Antenne],_26_03_2026_Registre_Maintenance_v1[Equipementier],"pas trouvé")</f>
        <v>pas trouvé</v>
      </c>
      <c r="K375" t="str">
        <f>_xlfn.XLOOKUP(_26_03_2026_Log_Reseau_v15[[#This Row],[province RDC]],_26_03_2026_Client_Churn_v1[Province_Client],_26_03_2026_Client_Churn_v1[ID_Client],"non trouvé")</f>
        <v>non trouvé</v>
      </c>
      <c r="L375" t="str">
        <f>_xlfn.XLOOKUP(_26_03_2026_Log_Reseau_v15[[#This Row],[province RDC]],_26_03_2026_Client_Churn_v1[Province_Client],_26_03_2026_Client_Churn_v1[Anciennete_Mois],"non trouvé")</f>
        <v>non trouvé</v>
      </c>
      <c r="M375" t="str">
        <f>_xlfn.XLOOKUP(_26_03_2026_Log_Reseau_v15[[#This Row],[province RDC]],_26_03_2026_Client_Churn_v1[Province_Client],_26_03_2026_Client_Churn_v1[Type_Forfait],"non trouvé")</f>
        <v>non trouvé</v>
      </c>
      <c r="N375" t="str">
        <f>_xlfn.XLOOKUP(_26_03_2026_Log_Reseau_v15[[#This Row],[province RDC]],_26_03_2026_Client_Churn_v1[Province_Client],_26_03_2026_Client_Churn_v1[Duree_Cumulee_Panne_Min],"non trouvé")</f>
        <v>non trouvé</v>
      </c>
      <c r="O375" t="str">
        <f>_xlfn.XLOOKUP(_26_03_2026_Log_Reseau_v15[[#This Row],[province RDC]],_26_03_2026_Client_Churn_v1[Province_Client],_26_03_2026_Client_Churn_v1[Facture_Mensuelle],"non trouvé")</f>
        <v>non trouvé</v>
      </c>
      <c r="P375" t="str">
        <f>_xlfn.XLOOKUP(_26_03_2026_Log_Reseau_v15[[#This Row],[province RDC]],_26_03_2026_Client_Churn_v1[Province_Client],_26_03_2026_Client_Churn_v1[Plaintes_Service_Client],"non trouvé")</f>
        <v>non trouvé</v>
      </c>
    </row>
    <row r="376" spans="1:16" hidden="1" x14ac:dyDescent="0.25">
      <c r="A376" s="1">
        <v>45206</v>
      </c>
      <c r="B376" s="2">
        <v>0.36666666666666664</v>
      </c>
      <c r="C376" t="s">
        <v>1041</v>
      </c>
      <c r="D376">
        <v>30</v>
      </c>
      <c r="E376" t="s">
        <v>812</v>
      </c>
      <c r="F376" t="str">
        <f>_xlfn.XLOOKUP(_26_03_2026_Log_Reseau_v15[[#This Row],[Cell_ID]],_26_03_2026_Registre_Maintenance_v1[ID_Antenne],_26_03_2026_Registre_Maintenance_v1[zone],"pas trouvé")</f>
        <v>pas trouvé</v>
      </c>
      <c r="G376" t="str">
        <f>_xlfn.XLOOKUP(_26_03_2026_Log_Reseau_v15[[#This Row],[Cell_ID]],_26_03_2026_Registre_Maintenance_v1[ID_Antenne],_26_03_2026_Registre_Maintenance_v1[Latitude],"non trouvé")</f>
        <v>non trouvé</v>
      </c>
      <c r="H376" t="str">
        <f>_xlfn.XLOOKUP(_26_03_2026_Log_Reseau_v15[[#This Row],[Cell_ID]],_26_03_2026_Registre_Maintenance_v1[ID_Antenne],_26_03_2026_Registre_Maintenance_v1[Longitude],"pas trouvé")</f>
        <v>pas trouvé</v>
      </c>
      <c r="I376" t="str">
        <f>_xlfn.XLOOKUP(_26_03_2026_Log_Reseau_v15[[#This Row],[Cell_ID]],_26_03_2026_Registre_Maintenance_v1[ID_Antenne],_26_03_2026_Registre_Maintenance_v1[Technologie],"non trouvé")</f>
        <v>non trouvé</v>
      </c>
      <c r="J376" t="str">
        <f>_xlfn.XLOOKUP(_26_03_2026_Log_Reseau_v15[[#This Row],[Cell_ID]],_26_03_2026_Registre_Maintenance_v1[ID_Antenne],_26_03_2026_Registre_Maintenance_v1[Equipementier],"pas trouvé")</f>
        <v>pas trouvé</v>
      </c>
      <c r="K376" t="str">
        <f>_xlfn.XLOOKUP(_26_03_2026_Log_Reseau_v15[[#This Row],[province RDC]],_26_03_2026_Client_Churn_v1[Province_Client],_26_03_2026_Client_Churn_v1[ID_Client],"non trouvé")</f>
        <v>non trouvé</v>
      </c>
      <c r="L376" t="str">
        <f>_xlfn.XLOOKUP(_26_03_2026_Log_Reseau_v15[[#This Row],[province RDC]],_26_03_2026_Client_Churn_v1[Province_Client],_26_03_2026_Client_Churn_v1[Anciennete_Mois],"non trouvé")</f>
        <v>non trouvé</v>
      </c>
      <c r="M376" t="str">
        <f>_xlfn.XLOOKUP(_26_03_2026_Log_Reseau_v15[[#This Row],[province RDC]],_26_03_2026_Client_Churn_v1[Province_Client],_26_03_2026_Client_Churn_v1[Type_Forfait],"non trouvé")</f>
        <v>non trouvé</v>
      </c>
      <c r="N376" t="str">
        <f>_xlfn.XLOOKUP(_26_03_2026_Log_Reseau_v15[[#This Row],[province RDC]],_26_03_2026_Client_Churn_v1[Province_Client],_26_03_2026_Client_Churn_v1[Duree_Cumulee_Panne_Min],"non trouvé")</f>
        <v>non trouvé</v>
      </c>
      <c r="O376" t="str">
        <f>_xlfn.XLOOKUP(_26_03_2026_Log_Reseau_v15[[#This Row],[province RDC]],_26_03_2026_Client_Churn_v1[Province_Client],_26_03_2026_Client_Churn_v1[Facture_Mensuelle],"non trouvé")</f>
        <v>non trouvé</v>
      </c>
      <c r="P376" t="str">
        <f>_xlfn.XLOOKUP(_26_03_2026_Log_Reseau_v15[[#This Row],[province RDC]],_26_03_2026_Client_Churn_v1[Province_Client],_26_03_2026_Client_Churn_v1[Plaintes_Service_Client],"non trouvé")</f>
        <v>non trouvé</v>
      </c>
    </row>
    <row r="377" spans="1:16" x14ac:dyDescent="0.25">
      <c r="A377" s="1">
        <v>45225</v>
      </c>
      <c r="B377" s="2">
        <v>0.17152777777777778</v>
      </c>
      <c r="C377" t="s">
        <v>1042</v>
      </c>
      <c r="D377">
        <v>104</v>
      </c>
      <c r="E377" t="s">
        <v>808</v>
      </c>
      <c r="F377" t="str">
        <f>_xlfn.XLOOKUP(_26_03_2026_Log_Reseau_v15[[#This Row],[Cell_ID]],_26_03_2026_Registre_Maintenance_v1[ID_Antenne],_26_03_2026_Registre_Maintenance_v1[zone],"pas trouvé")</f>
        <v>Kongo-Central</v>
      </c>
      <c r="G377">
        <f>_xlfn.XLOOKUP(_26_03_2026_Log_Reseau_v15[[#This Row],[Cell_ID]],_26_03_2026_Registre_Maintenance_v1[ID_Antenne],_26_03_2026_Registre_Maintenance_v1[Latitude],"non trouvé")</f>
        <v>1.2463919999999999</v>
      </c>
      <c r="H377">
        <f>_xlfn.XLOOKUP(_26_03_2026_Log_Reseau_v15[[#This Row],[Cell_ID]],_26_03_2026_Registre_Maintenance_v1[ID_Antenne],_26_03_2026_Registre_Maintenance_v1[Longitude],"pas trouvé")</f>
        <v>13.266916999999999</v>
      </c>
      <c r="I377" t="str">
        <f>_xlfn.XLOOKUP(_26_03_2026_Log_Reseau_v15[[#This Row],[Cell_ID]],_26_03_2026_Registre_Maintenance_v1[ID_Antenne],_26_03_2026_Registre_Maintenance_v1[Technologie],"non trouvé")</f>
        <v>5G</v>
      </c>
      <c r="J377" t="str">
        <f>_xlfn.XLOOKUP(_26_03_2026_Log_Reseau_v15[[#This Row],[Cell_ID]],_26_03_2026_Registre_Maintenance_v1[ID_Antenne],_26_03_2026_Registre_Maintenance_v1[Equipementier],"pas trouvé")</f>
        <v>Huawei</v>
      </c>
      <c r="K377" t="str">
        <f>_xlfn.XLOOKUP(_26_03_2026_Log_Reseau_v15[[#This Row],[province RDC]],_26_03_2026_Client_Churn_v1[Province_Client],_26_03_2026_Client_Churn_v1[ID_Client],"non trouvé")</f>
        <v>CLI-01233</v>
      </c>
      <c r="L377">
        <f>_xlfn.XLOOKUP(_26_03_2026_Log_Reseau_v15[[#This Row],[province RDC]],_26_03_2026_Client_Churn_v1[Province_Client],_26_03_2026_Client_Churn_v1[Anciennete_Mois],"non trouvé")</f>
        <v>101</v>
      </c>
      <c r="M377" t="str">
        <f>_xlfn.XLOOKUP(_26_03_2026_Log_Reseau_v15[[#This Row],[province RDC]],_26_03_2026_Client_Churn_v1[Province_Client],_26_03_2026_Client_Churn_v1[Type_Forfait],"non trouvé")</f>
        <v>Pro Monde</v>
      </c>
      <c r="N377">
        <f>_xlfn.XLOOKUP(_26_03_2026_Log_Reseau_v15[[#This Row],[province RDC]],_26_03_2026_Client_Churn_v1[Province_Client],_26_03_2026_Client_Churn_v1[Duree_Cumulee_Panne_Min],"non trouvé")</f>
        <v>333</v>
      </c>
      <c r="O377">
        <f>_xlfn.XLOOKUP(_26_03_2026_Log_Reseau_v15[[#This Row],[province RDC]],_26_03_2026_Client_Churn_v1[Province_Client],_26_03_2026_Client_Churn_v1[Facture_Mensuelle],"non trouvé")</f>
        <v>74.319999999999993</v>
      </c>
      <c r="P377">
        <f>_xlfn.XLOOKUP(_26_03_2026_Log_Reseau_v15[[#This Row],[province RDC]],_26_03_2026_Client_Churn_v1[Province_Client],_26_03_2026_Client_Churn_v1[Plaintes_Service_Client],"non trouvé")</f>
        <v>1</v>
      </c>
    </row>
    <row r="378" spans="1:16" x14ac:dyDescent="0.25">
      <c r="A378" s="1">
        <v>45215</v>
      </c>
      <c r="B378" s="2">
        <v>9.3055555555555558E-2</v>
      </c>
      <c r="C378" t="s">
        <v>1043</v>
      </c>
      <c r="D378">
        <v>87</v>
      </c>
      <c r="E378" t="s">
        <v>807</v>
      </c>
      <c r="F378" t="str">
        <f>_xlfn.XLOOKUP(_26_03_2026_Log_Reseau_v15[[#This Row],[Cell_ID]],_26_03_2026_Registre_Maintenance_v1[ID_Antenne],_26_03_2026_Registre_Maintenance_v1[zone],"pas trouvé")</f>
        <v>Mongala</v>
      </c>
      <c r="G378">
        <f>_xlfn.XLOOKUP(_26_03_2026_Log_Reseau_v15[[#This Row],[Cell_ID]],_26_03_2026_Registre_Maintenance_v1[ID_Antenne],_26_03_2026_Registre_Maintenance_v1[Latitude],"non trouvé")</f>
        <v>-7.6951369999999999</v>
      </c>
      <c r="H378">
        <f>_xlfn.XLOOKUP(_26_03_2026_Log_Reseau_v15[[#This Row],[Cell_ID]],_26_03_2026_Registre_Maintenance_v1[ID_Antenne],_26_03_2026_Registre_Maintenance_v1[Longitude],"pas trouvé")</f>
        <v>13.346605</v>
      </c>
      <c r="I378" t="str">
        <f>_xlfn.XLOOKUP(_26_03_2026_Log_Reseau_v15[[#This Row],[Cell_ID]],_26_03_2026_Registre_Maintenance_v1[ID_Antenne],_26_03_2026_Registre_Maintenance_v1[Technologie],"non trouvé")</f>
        <v>4G</v>
      </c>
      <c r="J378" t="str">
        <f>_xlfn.XLOOKUP(_26_03_2026_Log_Reseau_v15[[#This Row],[Cell_ID]],_26_03_2026_Registre_Maintenance_v1[ID_Antenne],_26_03_2026_Registre_Maintenance_v1[Equipementier],"pas trouvé")</f>
        <v>Ericsson</v>
      </c>
      <c r="K378" t="str">
        <f>_xlfn.XLOOKUP(_26_03_2026_Log_Reseau_v15[[#This Row],[province RDC]],_26_03_2026_Client_Churn_v1[Province_Client],_26_03_2026_Client_Churn_v1[ID_Client],"non trouvé")</f>
        <v>CLI-00865</v>
      </c>
      <c r="L378">
        <f>_xlfn.XLOOKUP(_26_03_2026_Log_Reseau_v15[[#This Row],[province RDC]],_26_03_2026_Client_Churn_v1[Province_Client],_26_03_2026_Client_Churn_v1[Anciennete_Mois],"non trouvé")</f>
        <v>34</v>
      </c>
      <c r="M378" t="str">
        <f>_xlfn.XLOOKUP(_26_03_2026_Log_Reseau_v15[[#This Row],[province RDC]],_26_03_2026_Client_Churn_v1[Province_Client],_26_03_2026_Client_Churn_v1[Type_Forfait],"non trouvé")</f>
        <v>Pro Monde</v>
      </c>
      <c r="N378">
        <f>_xlfn.XLOOKUP(_26_03_2026_Log_Reseau_v15[[#This Row],[province RDC]],_26_03_2026_Client_Churn_v1[Province_Client],_26_03_2026_Client_Churn_v1[Duree_Cumulee_Panne_Min],"non trouvé")</f>
        <v>453</v>
      </c>
      <c r="O378">
        <f>_xlfn.XLOOKUP(_26_03_2026_Log_Reseau_v15[[#This Row],[province RDC]],_26_03_2026_Client_Churn_v1[Province_Client],_26_03_2026_Client_Churn_v1[Facture_Mensuelle],"non trouvé")</f>
        <v>56.84</v>
      </c>
      <c r="P378">
        <f>_xlfn.XLOOKUP(_26_03_2026_Log_Reseau_v15[[#This Row],[province RDC]],_26_03_2026_Client_Churn_v1[Province_Client],_26_03_2026_Client_Churn_v1[Plaintes_Service_Client],"non trouvé")</f>
        <v>0</v>
      </c>
    </row>
    <row r="379" spans="1:16" x14ac:dyDescent="0.25">
      <c r="A379" s="1">
        <v>45210</v>
      </c>
      <c r="B379" s="2">
        <v>0.45833333333333331</v>
      </c>
      <c r="C379" t="s">
        <v>1044</v>
      </c>
      <c r="D379">
        <v>95</v>
      </c>
      <c r="E379" t="s">
        <v>808</v>
      </c>
      <c r="F379" t="str">
        <f>_xlfn.XLOOKUP(_26_03_2026_Log_Reseau_v15[[#This Row],[Cell_ID]],_26_03_2026_Registre_Maintenance_v1[ID_Antenne],_26_03_2026_Registre_Maintenance_v1[zone],"pas trouvé")</f>
        <v>Haut-Lomami</v>
      </c>
      <c r="G379">
        <f>_xlfn.XLOOKUP(_26_03_2026_Log_Reseau_v15[[#This Row],[Cell_ID]],_26_03_2026_Registre_Maintenance_v1[ID_Antenne],_26_03_2026_Registre_Maintenance_v1[Latitude],"non trouvé")</f>
        <v>-12.112682</v>
      </c>
      <c r="H379">
        <f>_xlfn.XLOOKUP(_26_03_2026_Log_Reseau_v15[[#This Row],[Cell_ID]],_26_03_2026_Registre_Maintenance_v1[ID_Antenne],_26_03_2026_Registre_Maintenance_v1[Longitude],"pas trouvé")</f>
        <v>19.972052000000001</v>
      </c>
      <c r="I379" t="str">
        <f>_xlfn.XLOOKUP(_26_03_2026_Log_Reseau_v15[[#This Row],[Cell_ID]],_26_03_2026_Registre_Maintenance_v1[ID_Antenne],_26_03_2026_Registre_Maintenance_v1[Technologie],"non trouvé")</f>
        <v>4G</v>
      </c>
      <c r="J379" t="str">
        <f>_xlfn.XLOOKUP(_26_03_2026_Log_Reseau_v15[[#This Row],[Cell_ID]],_26_03_2026_Registre_Maintenance_v1[ID_Antenne],_26_03_2026_Registre_Maintenance_v1[Equipementier],"pas trouvé")</f>
        <v>Huawei</v>
      </c>
      <c r="K379" t="str">
        <f>_xlfn.XLOOKUP(_26_03_2026_Log_Reseau_v15[[#This Row],[province RDC]],_26_03_2026_Client_Churn_v1[Province_Client],_26_03_2026_Client_Churn_v1[ID_Client],"non trouvé")</f>
        <v>CLI-01325</v>
      </c>
      <c r="L379">
        <f>_xlfn.XLOOKUP(_26_03_2026_Log_Reseau_v15[[#This Row],[province RDC]],_26_03_2026_Client_Churn_v1[Province_Client],_26_03_2026_Client_Churn_v1[Anciennete_Mois],"non trouvé")</f>
        <v>44</v>
      </c>
      <c r="M379" t="str">
        <f>_xlfn.XLOOKUP(_26_03_2026_Log_Reseau_v15[[#This Row],[province RDC]],_26_03_2026_Client_Churn_v1[Province_Client],_26_03_2026_Client_Churn_v1[Type_Forfait],"non trouvé")</f>
        <v>Bloqué 5Go</v>
      </c>
      <c r="N379">
        <f>_xlfn.XLOOKUP(_26_03_2026_Log_Reseau_v15[[#This Row],[province RDC]],_26_03_2026_Client_Churn_v1[Province_Client],_26_03_2026_Client_Churn_v1[Duree_Cumulee_Panne_Min],"non trouvé")</f>
        <v>348</v>
      </c>
      <c r="O379">
        <f>_xlfn.XLOOKUP(_26_03_2026_Log_Reseau_v15[[#This Row],[province RDC]],_26_03_2026_Client_Churn_v1[Province_Client],_26_03_2026_Client_Churn_v1[Facture_Mensuelle],"non trouvé")</f>
        <v>58.67</v>
      </c>
      <c r="P379">
        <f>_xlfn.XLOOKUP(_26_03_2026_Log_Reseau_v15[[#This Row],[province RDC]],_26_03_2026_Client_Churn_v1[Province_Client],_26_03_2026_Client_Churn_v1[Plaintes_Service_Client],"non trouvé")</f>
        <v>0</v>
      </c>
    </row>
    <row r="380" spans="1:16" x14ac:dyDescent="0.25">
      <c r="A380" s="1">
        <v>45202</v>
      </c>
      <c r="B380" s="2">
        <v>0.21875</v>
      </c>
      <c r="C380" t="s">
        <v>1044</v>
      </c>
      <c r="D380">
        <v>86</v>
      </c>
      <c r="E380" t="s">
        <v>812</v>
      </c>
      <c r="F380" t="str">
        <f>_xlfn.XLOOKUP(_26_03_2026_Log_Reseau_v15[[#This Row],[Cell_ID]],_26_03_2026_Registre_Maintenance_v1[ID_Antenne],_26_03_2026_Registre_Maintenance_v1[zone],"pas trouvé")</f>
        <v>Haut-Lomami</v>
      </c>
      <c r="G380">
        <f>_xlfn.XLOOKUP(_26_03_2026_Log_Reseau_v15[[#This Row],[Cell_ID]],_26_03_2026_Registre_Maintenance_v1[ID_Antenne],_26_03_2026_Registre_Maintenance_v1[Latitude],"non trouvé")</f>
        <v>-12.112682</v>
      </c>
      <c r="H380">
        <f>_xlfn.XLOOKUP(_26_03_2026_Log_Reseau_v15[[#This Row],[Cell_ID]],_26_03_2026_Registre_Maintenance_v1[ID_Antenne],_26_03_2026_Registre_Maintenance_v1[Longitude],"pas trouvé")</f>
        <v>19.972052000000001</v>
      </c>
      <c r="I380" t="str">
        <f>_xlfn.XLOOKUP(_26_03_2026_Log_Reseau_v15[[#This Row],[Cell_ID]],_26_03_2026_Registre_Maintenance_v1[ID_Antenne],_26_03_2026_Registre_Maintenance_v1[Technologie],"non trouvé")</f>
        <v>4G</v>
      </c>
      <c r="J380" t="str">
        <f>_xlfn.XLOOKUP(_26_03_2026_Log_Reseau_v15[[#This Row],[Cell_ID]],_26_03_2026_Registre_Maintenance_v1[ID_Antenne],_26_03_2026_Registre_Maintenance_v1[Equipementier],"pas trouvé")</f>
        <v>Huawei</v>
      </c>
      <c r="K380" t="str">
        <f>_xlfn.XLOOKUP(_26_03_2026_Log_Reseau_v15[[#This Row],[province RDC]],_26_03_2026_Client_Churn_v1[Province_Client],_26_03_2026_Client_Churn_v1[ID_Client],"non trouvé")</f>
        <v>CLI-01325</v>
      </c>
      <c r="L380">
        <f>_xlfn.XLOOKUP(_26_03_2026_Log_Reseau_v15[[#This Row],[province RDC]],_26_03_2026_Client_Churn_v1[Province_Client],_26_03_2026_Client_Churn_v1[Anciennete_Mois],"non trouvé")</f>
        <v>44</v>
      </c>
      <c r="M380" t="str">
        <f>_xlfn.XLOOKUP(_26_03_2026_Log_Reseau_v15[[#This Row],[province RDC]],_26_03_2026_Client_Churn_v1[Province_Client],_26_03_2026_Client_Churn_v1[Type_Forfait],"non trouvé")</f>
        <v>Bloqué 5Go</v>
      </c>
      <c r="N380">
        <f>_xlfn.XLOOKUP(_26_03_2026_Log_Reseau_v15[[#This Row],[province RDC]],_26_03_2026_Client_Churn_v1[Province_Client],_26_03_2026_Client_Churn_v1[Duree_Cumulee_Panne_Min],"non trouvé")</f>
        <v>348</v>
      </c>
      <c r="O380">
        <f>_xlfn.XLOOKUP(_26_03_2026_Log_Reseau_v15[[#This Row],[province RDC]],_26_03_2026_Client_Churn_v1[Province_Client],_26_03_2026_Client_Churn_v1[Facture_Mensuelle],"non trouvé")</f>
        <v>58.67</v>
      </c>
      <c r="P380">
        <f>_xlfn.XLOOKUP(_26_03_2026_Log_Reseau_v15[[#This Row],[province RDC]],_26_03_2026_Client_Churn_v1[Province_Client],_26_03_2026_Client_Churn_v1[Plaintes_Service_Client],"non trouvé")</f>
        <v>0</v>
      </c>
    </row>
    <row r="381" spans="1:16" hidden="1" x14ac:dyDescent="0.25">
      <c r="A381" s="1">
        <v>45217</v>
      </c>
      <c r="B381" s="2">
        <v>0.3215277777777778</v>
      </c>
      <c r="C381" t="s">
        <v>1045</v>
      </c>
      <c r="D381">
        <v>118</v>
      </c>
      <c r="E381" t="s">
        <v>808</v>
      </c>
      <c r="F381" t="str">
        <f>_xlfn.XLOOKUP(_26_03_2026_Log_Reseau_v15[[#This Row],[Cell_ID]],_26_03_2026_Registre_Maintenance_v1[ID_Antenne],_26_03_2026_Registre_Maintenance_v1[zone],"pas trouvé")</f>
        <v>pas trouvé</v>
      </c>
      <c r="G381" t="str">
        <f>_xlfn.XLOOKUP(_26_03_2026_Log_Reseau_v15[[#This Row],[Cell_ID]],_26_03_2026_Registre_Maintenance_v1[ID_Antenne],_26_03_2026_Registre_Maintenance_v1[Latitude],"non trouvé")</f>
        <v>non trouvé</v>
      </c>
      <c r="H381" t="str">
        <f>_xlfn.XLOOKUP(_26_03_2026_Log_Reseau_v15[[#This Row],[Cell_ID]],_26_03_2026_Registre_Maintenance_v1[ID_Antenne],_26_03_2026_Registre_Maintenance_v1[Longitude],"pas trouvé")</f>
        <v>pas trouvé</v>
      </c>
      <c r="I381" t="str">
        <f>_xlfn.XLOOKUP(_26_03_2026_Log_Reseau_v15[[#This Row],[Cell_ID]],_26_03_2026_Registre_Maintenance_v1[ID_Antenne],_26_03_2026_Registre_Maintenance_v1[Technologie],"non trouvé")</f>
        <v>non trouvé</v>
      </c>
      <c r="J381" t="str">
        <f>_xlfn.XLOOKUP(_26_03_2026_Log_Reseau_v15[[#This Row],[Cell_ID]],_26_03_2026_Registre_Maintenance_v1[ID_Antenne],_26_03_2026_Registre_Maintenance_v1[Equipementier],"pas trouvé")</f>
        <v>pas trouvé</v>
      </c>
      <c r="K381" t="str">
        <f>_xlfn.XLOOKUP(_26_03_2026_Log_Reseau_v15[[#This Row],[province RDC]],_26_03_2026_Client_Churn_v1[Province_Client],_26_03_2026_Client_Churn_v1[ID_Client],"non trouvé")</f>
        <v>non trouvé</v>
      </c>
      <c r="L381" t="str">
        <f>_xlfn.XLOOKUP(_26_03_2026_Log_Reseau_v15[[#This Row],[province RDC]],_26_03_2026_Client_Churn_v1[Province_Client],_26_03_2026_Client_Churn_v1[Anciennete_Mois],"non trouvé")</f>
        <v>non trouvé</v>
      </c>
      <c r="M381" t="str">
        <f>_xlfn.XLOOKUP(_26_03_2026_Log_Reseau_v15[[#This Row],[province RDC]],_26_03_2026_Client_Churn_v1[Province_Client],_26_03_2026_Client_Churn_v1[Type_Forfait],"non trouvé")</f>
        <v>non trouvé</v>
      </c>
      <c r="N381" t="str">
        <f>_xlfn.XLOOKUP(_26_03_2026_Log_Reseau_v15[[#This Row],[province RDC]],_26_03_2026_Client_Churn_v1[Province_Client],_26_03_2026_Client_Churn_v1[Duree_Cumulee_Panne_Min],"non trouvé")</f>
        <v>non trouvé</v>
      </c>
      <c r="O381" t="str">
        <f>_xlfn.XLOOKUP(_26_03_2026_Log_Reseau_v15[[#This Row],[province RDC]],_26_03_2026_Client_Churn_v1[Province_Client],_26_03_2026_Client_Churn_v1[Facture_Mensuelle],"non trouvé")</f>
        <v>non trouvé</v>
      </c>
      <c r="P381" t="str">
        <f>_xlfn.XLOOKUP(_26_03_2026_Log_Reseau_v15[[#This Row],[province RDC]],_26_03_2026_Client_Churn_v1[Province_Client],_26_03_2026_Client_Churn_v1[Plaintes_Service_Client],"non trouvé")</f>
        <v>non trouvé</v>
      </c>
    </row>
    <row r="382" spans="1:16" x14ac:dyDescent="0.25">
      <c r="A382" s="1">
        <v>45210</v>
      </c>
      <c r="B382" s="2">
        <v>3.125E-2</v>
      </c>
      <c r="C382" t="s">
        <v>1046</v>
      </c>
      <c r="D382">
        <v>63</v>
      </c>
      <c r="E382" t="s">
        <v>812</v>
      </c>
      <c r="F382" t="str">
        <f>_xlfn.XLOOKUP(_26_03_2026_Log_Reseau_v15[[#This Row],[Cell_ID]],_26_03_2026_Registre_Maintenance_v1[ID_Antenne],_26_03_2026_Registre_Maintenance_v1[zone],"pas trouvé")</f>
        <v>Kwango</v>
      </c>
      <c r="G382">
        <f>_xlfn.XLOOKUP(_26_03_2026_Log_Reseau_v15[[#This Row],[Cell_ID]],_26_03_2026_Registre_Maintenance_v1[ID_Antenne],_26_03_2026_Registre_Maintenance_v1[Latitude],"non trouvé")</f>
        <v>-9.0798120000000004</v>
      </c>
      <c r="H382">
        <f>_xlfn.XLOOKUP(_26_03_2026_Log_Reseau_v15[[#This Row],[Cell_ID]],_26_03_2026_Registre_Maintenance_v1[ID_Antenne],_26_03_2026_Registre_Maintenance_v1[Longitude],"pas trouvé")</f>
        <v>14.945484</v>
      </c>
      <c r="I382" t="str">
        <f>_xlfn.XLOOKUP(_26_03_2026_Log_Reseau_v15[[#This Row],[Cell_ID]],_26_03_2026_Registre_Maintenance_v1[ID_Antenne],_26_03_2026_Registre_Maintenance_v1[Technologie],"non trouvé")</f>
        <v>5G</v>
      </c>
      <c r="J382" t="str">
        <f>_xlfn.XLOOKUP(_26_03_2026_Log_Reseau_v15[[#This Row],[Cell_ID]],_26_03_2026_Registre_Maintenance_v1[ID_Antenne],_26_03_2026_Registre_Maintenance_v1[Equipementier],"pas trouvé")</f>
        <v>Ericsson</v>
      </c>
      <c r="K382" t="str">
        <f>_xlfn.XLOOKUP(_26_03_2026_Log_Reseau_v15[[#This Row],[province RDC]],_26_03_2026_Client_Churn_v1[Province_Client],_26_03_2026_Client_Churn_v1[ID_Client],"non trouvé")</f>
        <v>CLI-00569</v>
      </c>
      <c r="L382">
        <f>_xlfn.XLOOKUP(_26_03_2026_Log_Reseau_v15[[#This Row],[province RDC]],_26_03_2026_Client_Churn_v1[Province_Client],_26_03_2026_Client_Churn_v1[Anciennete_Mois],"non trouvé")</f>
        <v>110</v>
      </c>
      <c r="M382" t="str">
        <f>_xlfn.XLOOKUP(_26_03_2026_Log_Reseau_v15[[#This Row],[province RDC]],_26_03_2026_Client_Churn_v1[Province_Client],_26_03_2026_Client_Churn_v1[Type_Forfait],"non trouvé")</f>
        <v>Pro Monde</v>
      </c>
      <c r="N382">
        <f>_xlfn.XLOOKUP(_26_03_2026_Log_Reseau_v15[[#This Row],[province RDC]],_26_03_2026_Client_Churn_v1[Province_Client],_26_03_2026_Client_Churn_v1[Duree_Cumulee_Panne_Min],"non trouvé")</f>
        <v>423</v>
      </c>
      <c r="O382">
        <f>_xlfn.XLOOKUP(_26_03_2026_Log_Reseau_v15[[#This Row],[province RDC]],_26_03_2026_Client_Churn_v1[Province_Client],_26_03_2026_Client_Churn_v1[Facture_Mensuelle],"non trouvé")</f>
        <v>37.35</v>
      </c>
      <c r="P382">
        <f>_xlfn.XLOOKUP(_26_03_2026_Log_Reseau_v15[[#This Row],[province RDC]],_26_03_2026_Client_Churn_v1[Province_Client],_26_03_2026_Client_Churn_v1[Plaintes_Service_Client],"non trouvé")</f>
        <v>4</v>
      </c>
    </row>
    <row r="383" spans="1:16" x14ac:dyDescent="0.25">
      <c r="A383" s="1">
        <v>45207</v>
      </c>
      <c r="B383" s="2">
        <v>0.98750000000000004</v>
      </c>
      <c r="C383" t="s">
        <v>1046</v>
      </c>
      <c r="D383">
        <v>15</v>
      </c>
      <c r="E383" t="s">
        <v>808</v>
      </c>
      <c r="F383" t="str">
        <f>_xlfn.XLOOKUP(_26_03_2026_Log_Reseau_v15[[#This Row],[Cell_ID]],_26_03_2026_Registre_Maintenance_v1[ID_Antenne],_26_03_2026_Registre_Maintenance_v1[zone],"pas trouvé")</f>
        <v>Kwango</v>
      </c>
      <c r="G383">
        <f>_xlfn.XLOOKUP(_26_03_2026_Log_Reseau_v15[[#This Row],[Cell_ID]],_26_03_2026_Registre_Maintenance_v1[ID_Antenne],_26_03_2026_Registre_Maintenance_v1[Latitude],"non trouvé")</f>
        <v>-9.0798120000000004</v>
      </c>
      <c r="H383">
        <f>_xlfn.XLOOKUP(_26_03_2026_Log_Reseau_v15[[#This Row],[Cell_ID]],_26_03_2026_Registre_Maintenance_v1[ID_Antenne],_26_03_2026_Registre_Maintenance_v1[Longitude],"pas trouvé")</f>
        <v>14.945484</v>
      </c>
      <c r="I383" t="str">
        <f>_xlfn.XLOOKUP(_26_03_2026_Log_Reseau_v15[[#This Row],[Cell_ID]],_26_03_2026_Registre_Maintenance_v1[ID_Antenne],_26_03_2026_Registre_Maintenance_v1[Technologie],"non trouvé")</f>
        <v>5G</v>
      </c>
      <c r="J383" t="str">
        <f>_xlfn.XLOOKUP(_26_03_2026_Log_Reseau_v15[[#This Row],[Cell_ID]],_26_03_2026_Registre_Maintenance_v1[ID_Antenne],_26_03_2026_Registre_Maintenance_v1[Equipementier],"pas trouvé")</f>
        <v>Ericsson</v>
      </c>
      <c r="K383" t="str">
        <f>_xlfn.XLOOKUP(_26_03_2026_Log_Reseau_v15[[#This Row],[province RDC]],_26_03_2026_Client_Churn_v1[Province_Client],_26_03_2026_Client_Churn_v1[ID_Client],"non trouvé")</f>
        <v>CLI-00569</v>
      </c>
      <c r="L383">
        <f>_xlfn.XLOOKUP(_26_03_2026_Log_Reseau_v15[[#This Row],[province RDC]],_26_03_2026_Client_Churn_v1[Province_Client],_26_03_2026_Client_Churn_v1[Anciennete_Mois],"non trouvé")</f>
        <v>110</v>
      </c>
      <c r="M383" t="str">
        <f>_xlfn.XLOOKUP(_26_03_2026_Log_Reseau_v15[[#This Row],[province RDC]],_26_03_2026_Client_Churn_v1[Province_Client],_26_03_2026_Client_Churn_v1[Type_Forfait],"non trouvé")</f>
        <v>Pro Monde</v>
      </c>
      <c r="N383">
        <f>_xlfn.XLOOKUP(_26_03_2026_Log_Reseau_v15[[#This Row],[province RDC]],_26_03_2026_Client_Churn_v1[Province_Client],_26_03_2026_Client_Churn_v1[Duree_Cumulee_Panne_Min],"non trouvé")</f>
        <v>423</v>
      </c>
      <c r="O383">
        <f>_xlfn.XLOOKUP(_26_03_2026_Log_Reseau_v15[[#This Row],[province RDC]],_26_03_2026_Client_Churn_v1[Province_Client],_26_03_2026_Client_Churn_v1[Facture_Mensuelle],"non trouvé")</f>
        <v>37.35</v>
      </c>
      <c r="P383">
        <f>_xlfn.XLOOKUP(_26_03_2026_Log_Reseau_v15[[#This Row],[province RDC]],_26_03_2026_Client_Churn_v1[Province_Client],_26_03_2026_Client_Churn_v1[Plaintes_Service_Client],"non trouvé")</f>
        <v>4</v>
      </c>
    </row>
    <row r="384" spans="1:16" hidden="1" x14ac:dyDescent="0.25">
      <c r="A384" s="1">
        <v>45224</v>
      </c>
      <c r="B384" s="2">
        <v>0.81805555555555554</v>
      </c>
      <c r="C384" t="s">
        <v>1047</v>
      </c>
      <c r="D384">
        <v>5</v>
      </c>
      <c r="E384" t="s">
        <v>812</v>
      </c>
      <c r="F384" t="str">
        <f>_xlfn.XLOOKUP(_26_03_2026_Log_Reseau_v15[[#This Row],[Cell_ID]],_26_03_2026_Registre_Maintenance_v1[ID_Antenne],_26_03_2026_Registre_Maintenance_v1[zone],"pas trouvé")</f>
        <v>pas trouvé</v>
      </c>
      <c r="G384" t="str">
        <f>_xlfn.XLOOKUP(_26_03_2026_Log_Reseau_v15[[#This Row],[Cell_ID]],_26_03_2026_Registre_Maintenance_v1[ID_Antenne],_26_03_2026_Registre_Maintenance_v1[Latitude],"non trouvé")</f>
        <v>non trouvé</v>
      </c>
      <c r="H384" t="str">
        <f>_xlfn.XLOOKUP(_26_03_2026_Log_Reseau_v15[[#This Row],[Cell_ID]],_26_03_2026_Registre_Maintenance_v1[ID_Antenne],_26_03_2026_Registre_Maintenance_v1[Longitude],"pas trouvé")</f>
        <v>pas trouvé</v>
      </c>
      <c r="I384" t="str">
        <f>_xlfn.XLOOKUP(_26_03_2026_Log_Reseau_v15[[#This Row],[Cell_ID]],_26_03_2026_Registre_Maintenance_v1[ID_Antenne],_26_03_2026_Registre_Maintenance_v1[Technologie],"non trouvé")</f>
        <v>non trouvé</v>
      </c>
      <c r="J384" t="str">
        <f>_xlfn.XLOOKUP(_26_03_2026_Log_Reseau_v15[[#This Row],[Cell_ID]],_26_03_2026_Registre_Maintenance_v1[ID_Antenne],_26_03_2026_Registre_Maintenance_v1[Equipementier],"pas trouvé")</f>
        <v>pas trouvé</v>
      </c>
      <c r="K384" t="str">
        <f>_xlfn.XLOOKUP(_26_03_2026_Log_Reseau_v15[[#This Row],[province RDC]],_26_03_2026_Client_Churn_v1[Province_Client],_26_03_2026_Client_Churn_v1[ID_Client],"non trouvé")</f>
        <v>non trouvé</v>
      </c>
      <c r="L384" t="str">
        <f>_xlfn.XLOOKUP(_26_03_2026_Log_Reseau_v15[[#This Row],[province RDC]],_26_03_2026_Client_Churn_v1[Province_Client],_26_03_2026_Client_Churn_v1[Anciennete_Mois],"non trouvé")</f>
        <v>non trouvé</v>
      </c>
      <c r="M384" t="str">
        <f>_xlfn.XLOOKUP(_26_03_2026_Log_Reseau_v15[[#This Row],[province RDC]],_26_03_2026_Client_Churn_v1[Province_Client],_26_03_2026_Client_Churn_v1[Type_Forfait],"non trouvé")</f>
        <v>non trouvé</v>
      </c>
      <c r="N384" t="str">
        <f>_xlfn.XLOOKUP(_26_03_2026_Log_Reseau_v15[[#This Row],[province RDC]],_26_03_2026_Client_Churn_v1[Province_Client],_26_03_2026_Client_Churn_v1[Duree_Cumulee_Panne_Min],"non trouvé")</f>
        <v>non trouvé</v>
      </c>
      <c r="O384" t="str">
        <f>_xlfn.XLOOKUP(_26_03_2026_Log_Reseau_v15[[#This Row],[province RDC]],_26_03_2026_Client_Churn_v1[Province_Client],_26_03_2026_Client_Churn_v1[Facture_Mensuelle],"non trouvé")</f>
        <v>non trouvé</v>
      </c>
      <c r="P384" t="str">
        <f>_xlfn.XLOOKUP(_26_03_2026_Log_Reseau_v15[[#This Row],[province RDC]],_26_03_2026_Client_Churn_v1[Province_Client],_26_03_2026_Client_Churn_v1[Plaintes_Service_Client],"non trouvé")</f>
        <v>non trouvé</v>
      </c>
    </row>
    <row r="385" spans="1:16" hidden="1" x14ac:dyDescent="0.25">
      <c r="A385" s="1">
        <v>45202</v>
      </c>
      <c r="B385" s="2">
        <v>0.45416666666666666</v>
      </c>
      <c r="C385" t="s">
        <v>1047</v>
      </c>
      <c r="D385">
        <v>89</v>
      </c>
      <c r="E385" t="s">
        <v>812</v>
      </c>
      <c r="F385" t="str">
        <f>_xlfn.XLOOKUP(_26_03_2026_Log_Reseau_v15[[#This Row],[Cell_ID]],_26_03_2026_Registre_Maintenance_v1[ID_Antenne],_26_03_2026_Registre_Maintenance_v1[zone],"pas trouvé")</f>
        <v>pas trouvé</v>
      </c>
      <c r="G385" t="str">
        <f>_xlfn.XLOOKUP(_26_03_2026_Log_Reseau_v15[[#This Row],[Cell_ID]],_26_03_2026_Registre_Maintenance_v1[ID_Antenne],_26_03_2026_Registre_Maintenance_v1[Latitude],"non trouvé")</f>
        <v>non trouvé</v>
      </c>
      <c r="H385" t="str">
        <f>_xlfn.XLOOKUP(_26_03_2026_Log_Reseau_v15[[#This Row],[Cell_ID]],_26_03_2026_Registre_Maintenance_v1[ID_Antenne],_26_03_2026_Registre_Maintenance_v1[Longitude],"pas trouvé")</f>
        <v>pas trouvé</v>
      </c>
      <c r="I385" t="str">
        <f>_xlfn.XLOOKUP(_26_03_2026_Log_Reseau_v15[[#This Row],[Cell_ID]],_26_03_2026_Registre_Maintenance_v1[ID_Antenne],_26_03_2026_Registre_Maintenance_v1[Technologie],"non trouvé")</f>
        <v>non trouvé</v>
      </c>
      <c r="J385" t="str">
        <f>_xlfn.XLOOKUP(_26_03_2026_Log_Reseau_v15[[#This Row],[Cell_ID]],_26_03_2026_Registre_Maintenance_v1[ID_Antenne],_26_03_2026_Registre_Maintenance_v1[Equipementier],"pas trouvé")</f>
        <v>pas trouvé</v>
      </c>
      <c r="K385" t="str">
        <f>_xlfn.XLOOKUP(_26_03_2026_Log_Reseau_v15[[#This Row],[province RDC]],_26_03_2026_Client_Churn_v1[Province_Client],_26_03_2026_Client_Churn_v1[ID_Client],"non trouvé")</f>
        <v>non trouvé</v>
      </c>
      <c r="L385" t="str">
        <f>_xlfn.XLOOKUP(_26_03_2026_Log_Reseau_v15[[#This Row],[province RDC]],_26_03_2026_Client_Churn_v1[Province_Client],_26_03_2026_Client_Churn_v1[Anciennete_Mois],"non trouvé")</f>
        <v>non trouvé</v>
      </c>
      <c r="M385" t="str">
        <f>_xlfn.XLOOKUP(_26_03_2026_Log_Reseau_v15[[#This Row],[province RDC]],_26_03_2026_Client_Churn_v1[Province_Client],_26_03_2026_Client_Churn_v1[Type_Forfait],"non trouvé")</f>
        <v>non trouvé</v>
      </c>
      <c r="N385" t="str">
        <f>_xlfn.XLOOKUP(_26_03_2026_Log_Reseau_v15[[#This Row],[province RDC]],_26_03_2026_Client_Churn_v1[Province_Client],_26_03_2026_Client_Churn_v1[Duree_Cumulee_Panne_Min],"non trouvé")</f>
        <v>non trouvé</v>
      </c>
      <c r="O385" t="str">
        <f>_xlfn.XLOOKUP(_26_03_2026_Log_Reseau_v15[[#This Row],[province RDC]],_26_03_2026_Client_Churn_v1[Province_Client],_26_03_2026_Client_Churn_v1[Facture_Mensuelle],"non trouvé")</f>
        <v>non trouvé</v>
      </c>
      <c r="P385" t="str">
        <f>_xlfn.XLOOKUP(_26_03_2026_Log_Reseau_v15[[#This Row],[province RDC]],_26_03_2026_Client_Churn_v1[Province_Client],_26_03_2026_Client_Churn_v1[Plaintes_Service_Client],"non trouvé")</f>
        <v>non trouvé</v>
      </c>
    </row>
    <row r="386" spans="1:16" x14ac:dyDescent="0.25">
      <c r="A386" s="1">
        <v>45225</v>
      </c>
      <c r="B386" s="2">
        <v>0.21527777777777779</v>
      </c>
      <c r="C386" t="s">
        <v>1048</v>
      </c>
      <c r="D386">
        <v>41</v>
      </c>
      <c r="E386" t="s">
        <v>812</v>
      </c>
      <c r="F386" t="str">
        <f>_xlfn.XLOOKUP(_26_03_2026_Log_Reseau_v15[[#This Row],[Cell_ID]],_26_03_2026_Registre_Maintenance_v1[ID_Antenne],_26_03_2026_Registre_Maintenance_v1[zone],"pas trouvé")</f>
        <v>Mai-Ndombe</v>
      </c>
      <c r="G386">
        <f>_xlfn.XLOOKUP(_26_03_2026_Log_Reseau_v15[[#This Row],[Cell_ID]],_26_03_2026_Registre_Maintenance_v1[ID_Antenne],_26_03_2026_Registre_Maintenance_v1[Latitude],"non trouvé")</f>
        <v>-4.9552579999999997</v>
      </c>
      <c r="H386">
        <f>_xlfn.XLOOKUP(_26_03_2026_Log_Reseau_v15[[#This Row],[Cell_ID]],_26_03_2026_Registre_Maintenance_v1[ID_Antenne],_26_03_2026_Registre_Maintenance_v1[Longitude],"pas trouvé")</f>
        <v>22.008103999999999</v>
      </c>
      <c r="I386" t="str">
        <f>_xlfn.XLOOKUP(_26_03_2026_Log_Reseau_v15[[#This Row],[Cell_ID]],_26_03_2026_Registre_Maintenance_v1[ID_Antenne],_26_03_2026_Registre_Maintenance_v1[Technologie],"non trouvé")</f>
        <v>4G</v>
      </c>
      <c r="J386" t="str">
        <f>_xlfn.XLOOKUP(_26_03_2026_Log_Reseau_v15[[#This Row],[Cell_ID]],_26_03_2026_Registre_Maintenance_v1[ID_Antenne],_26_03_2026_Registre_Maintenance_v1[Equipementier],"pas trouvé")</f>
        <v>Huawei</v>
      </c>
      <c r="K386" t="str">
        <f>_xlfn.XLOOKUP(_26_03_2026_Log_Reseau_v15[[#This Row],[province RDC]],_26_03_2026_Client_Churn_v1[Province_Client],_26_03_2026_Client_Churn_v1[ID_Client],"non trouvé")</f>
        <v>CLI-00361</v>
      </c>
      <c r="L386">
        <f>_xlfn.XLOOKUP(_26_03_2026_Log_Reseau_v15[[#This Row],[province RDC]],_26_03_2026_Client_Churn_v1[Province_Client],_26_03_2026_Client_Churn_v1[Anciennete_Mois],"non trouvé")</f>
        <v>66</v>
      </c>
      <c r="M386" t="str">
        <f>_xlfn.XLOOKUP(_26_03_2026_Log_Reseau_v15[[#This Row],[province RDC]],_26_03_2026_Client_Churn_v1[Province_Client],_26_03_2026_Client_Churn_v1[Type_Forfait],"non trouvé")</f>
        <v>Illimité 50Go</v>
      </c>
      <c r="N386">
        <f>_xlfn.XLOOKUP(_26_03_2026_Log_Reseau_v15[[#This Row],[province RDC]],_26_03_2026_Client_Churn_v1[Province_Client],_26_03_2026_Client_Churn_v1[Duree_Cumulee_Panne_Min],"non trouvé")</f>
        <v>270</v>
      </c>
      <c r="O386">
        <f>_xlfn.XLOOKUP(_26_03_2026_Log_Reseau_v15[[#This Row],[province RDC]],_26_03_2026_Client_Churn_v1[Province_Client],_26_03_2026_Client_Churn_v1[Facture_Mensuelle],"non trouvé")</f>
        <v>75.88</v>
      </c>
      <c r="P386">
        <f>_xlfn.XLOOKUP(_26_03_2026_Log_Reseau_v15[[#This Row],[province RDC]],_26_03_2026_Client_Churn_v1[Province_Client],_26_03_2026_Client_Churn_v1[Plaintes_Service_Client],"non trouvé")</f>
        <v>3</v>
      </c>
    </row>
    <row r="387" spans="1:16" hidden="1" x14ac:dyDescent="0.25">
      <c r="A387" s="1">
        <v>45225</v>
      </c>
      <c r="B387" s="2">
        <v>0.52777777777777779</v>
      </c>
      <c r="C387" t="s">
        <v>1049</v>
      </c>
      <c r="D387">
        <v>6</v>
      </c>
      <c r="E387" t="s">
        <v>808</v>
      </c>
      <c r="F387" t="str">
        <f>_xlfn.XLOOKUP(_26_03_2026_Log_Reseau_v15[[#This Row],[Cell_ID]],_26_03_2026_Registre_Maintenance_v1[ID_Antenne],_26_03_2026_Registre_Maintenance_v1[zone],"pas trouvé")</f>
        <v>pas trouvé</v>
      </c>
      <c r="G387" t="str">
        <f>_xlfn.XLOOKUP(_26_03_2026_Log_Reseau_v15[[#This Row],[Cell_ID]],_26_03_2026_Registre_Maintenance_v1[ID_Antenne],_26_03_2026_Registre_Maintenance_v1[Latitude],"non trouvé")</f>
        <v>non trouvé</v>
      </c>
      <c r="H387" t="str">
        <f>_xlfn.XLOOKUP(_26_03_2026_Log_Reseau_v15[[#This Row],[Cell_ID]],_26_03_2026_Registre_Maintenance_v1[ID_Antenne],_26_03_2026_Registre_Maintenance_v1[Longitude],"pas trouvé")</f>
        <v>pas trouvé</v>
      </c>
      <c r="I387" t="str">
        <f>_xlfn.XLOOKUP(_26_03_2026_Log_Reseau_v15[[#This Row],[Cell_ID]],_26_03_2026_Registre_Maintenance_v1[ID_Antenne],_26_03_2026_Registre_Maintenance_v1[Technologie],"non trouvé")</f>
        <v>non trouvé</v>
      </c>
      <c r="J387" t="str">
        <f>_xlfn.XLOOKUP(_26_03_2026_Log_Reseau_v15[[#This Row],[Cell_ID]],_26_03_2026_Registre_Maintenance_v1[ID_Antenne],_26_03_2026_Registre_Maintenance_v1[Equipementier],"pas trouvé")</f>
        <v>pas trouvé</v>
      </c>
      <c r="K387" t="str">
        <f>_xlfn.XLOOKUP(_26_03_2026_Log_Reseau_v15[[#This Row],[province RDC]],_26_03_2026_Client_Churn_v1[Province_Client],_26_03_2026_Client_Churn_v1[ID_Client],"non trouvé")</f>
        <v>non trouvé</v>
      </c>
      <c r="L387" t="str">
        <f>_xlfn.XLOOKUP(_26_03_2026_Log_Reseau_v15[[#This Row],[province RDC]],_26_03_2026_Client_Churn_v1[Province_Client],_26_03_2026_Client_Churn_v1[Anciennete_Mois],"non trouvé")</f>
        <v>non trouvé</v>
      </c>
      <c r="M387" t="str">
        <f>_xlfn.XLOOKUP(_26_03_2026_Log_Reseau_v15[[#This Row],[province RDC]],_26_03_2026_Client_Churn_v1[Province_Client],_26_03_2026_Client_Churn_v1[Type_Forfait],"non trouvé")</f>
        <v>non trouvé</v>
      </c>
      <c r="N387" t="str">
        <f>_xlfn.XLOOKUP(_26_03_2026_Log_Reseau_v15[[#This Row],[province RDC]],_26_03_2026_Client_Churn_v1[Province_Client],_26_03_2026_Client_Churn_v1[Duree_Cumulee_Panne_Min],"non trouvé")</f>
        <v>non trouvé</v>
      </c>
      <c r="O387" t="str">
        <f>_xlfn.XLOOKUP(_26_03_2026_Log_Reseau_v15[[#This Row],[province RDC]],_26_03_2026_Client_Churn_v1[Province_Client],_26_03_2026_Client_Churn_v1[Facture_Mensuelle],"non trouvé")</f>
        <v>non trouvé</v>
      </c>
      <c r="P387" t="str">
        <f>_xlfn.XLOOKUP(_26_03_2026_Log_Reseau_v15[[#This Row],[province RDC]],_26_03_2026_Client_Churn_v1[Province_Client],_26_03_2026_Client_Churn_v1[Plaintes_Service_Client],"non trouvé")</f>
        <v>non trouvé</v>
      </c>
    </row>
    <row r="388" spans="1:16" hidden="1" x14ac:dyDescent="0.25">
      <c r="A388" s="1">
        <v>45225</v>
      </c>
      <c r="B388" s="2">
        <v>0.77847222222222223</v>
      </c>
      <c r="C388" t="s">
        <v>1050</v>
      </c>
      <c r="D388">
        <v>89</v>
      </c>
      <c r="E388" t="s">
        <v>807</v>
      </c>
      <c r="F388" t="str">
        <f>_xlfn.XLOOKUP(_26_03_2026_Log_Reseau_v15[[#This Row],[Cell_ID]],_26_03_2026_Registre_Maintenance_v1[ID_Antenne],_26_03_2026_Registre_Maintenance_v1[zone],"pas trouvé")</f>
        <v>pas trouvé</v>
      </c>
      <c r="G388" t="str">
        <f>_xlfn.XLOOKUP(_26_03_2026_Log_Reseau_v15[[#This Row],[Cell_ID]],_26_03_2026_Registre_Maintenance_v1[ID_Antenne],_26_03_2026_Registre_Maintenance_v1[Latitude],"non trouvé")</f>
        <v>non trouvé</v>
      </c>
      <c r="H388" t="str">
        <f>_xlfn.XLOOKUP(_26_03_2026_Log_Reseau_v15[[#This Row],[Cell_ID]],_26_03_2026_Registre_Maintenance_v1[ID_Antenne],_26_03_2026_Registre_Maintenance_v1[Longitude],"pas trouvé")</f>
        <v>pas trouvé</v>
      </c>
      <c r="I388" t="str">
        <f>_xlfn.XLOOKUP(_26_03_2026_Log_Reseau_v15[[#This Row],[Cell_ID]],_26_03_2026_Registre_Maintenance_v1[ID_Antenne],_26_03_2026_Registre_Maintenance_v1[Technologie],"non trouvé")</f>
        <v>non trouvé</v>
      </c>
      <c r="J388" t="str">
        <f>_xlfn.XLOOKUP(_26_03_2026_Log_Reseau_v15[[#This Row],[Cell_ID]],_26_03_2026_Registre_Maintenance_v1[ID_Antenne],_26_03_2026_Registre_Maintenance_v1[Equipementier],"pas trouvé")</f>
        <v>pas trouvé</v>
      </c>
      <c r="K388" t="str">
        <f>_xlfn.XLOOKUP(_26_03_2026_Log_Reseau_v15[[#This Row],[province RDC]],_26_03_2026_Client_Churn_v1[Province_Client],_26_03_2026_Client_Churn_v1[ID_Client],"non trouvé")</f>
        <v>non trouvé</v>
      </c>
      <c r="L388" t="str">
        <f>_xlfn.XLOOKUP(_26_03_2026_Log_Reseau_v15[[#This Row],[province RDC]],_26_03_2026_Client_Churn_v1[Province_Client],_26_03_2026_Client_Churn_v1[Anciennete_Mois],"non trouvé")</f>
        <v>non trouvé</v>
      </c>
      <c r="M388" t="str">
        <f>_xlfn.XLOOKUP(_26_03_2026_Log_Reseau_v15[[#This Row],[province RDC]],_26_03_2026_Client_Churn_v1[Province_Client],_26_03_2026_Client_Churn_v1[Type_Forfait],"non trouvé")</f>
        <v>non trouvé</v>
      </c>
      <c r="N388" t="str">
        <f>_xlfn.XLOOKUP(_26_03_2026_Log_Reseau_v15[[#This Row],[province RDC]],_26_03_2026_Client_Churn_v1[Province_Client],_26_03_2026_Client_Churn_v1[Duree_Cumulee_Panne_Min],"non trouvé")</f>
        <v>non trouvé</v>
      </c>
      <c r="O388" t="str">
        <f>_xlfn.XLOOKUP(_26_03_2026_Log_Reseau_v15[[#This Row],[province RDC]],_26_03_2026_Client_Churn_v1[Province_Client],_26_03_2026_Client_Churn_v1[Facture_Mensuelle],"non trouvé")</f>
        <v>non trouvé</v>
      </c>
      <c r="P388" t="str">
        <f>_xlfn.XLOOKUP(_26_03_2026_Log_Reseau_v15[[#This Row],[province RDC]],_26_03_2026_Client_Churn_v1[Province_Client],_26_03_2026_Client_Churn_v1[Plaintes_Service_Client],"non trouvé")</f>
        <v>non trouvé</v>
      </c>
    </row>
    <row r="389" spans="1:16" hidden="1" x14ac:dyDescent="0.25">
      <c r="A389" s="1">
        <v>45225</v>
      </c>
      <c r="B389" s="2">
        <v>0.15972222222222221</v>
      </c>
      <c r="C389" t="s">
        <v>1051</v>
      </c>
      <c r="D389">
        <v>113</v>
      </c>
      <c r="E389" t="s">
        <v>807</v>
      </c>
      <c r="F389" t="str">
        <f>_xlfn.XLOOKUP(_26_03_2026_Log_Reseau_v15[[#This Row],[Cell_ID]],_26_03_2026_Registre_Maintenance_v1[ID_Antenne],_26_03_2026_Registre_Maintenance_v1[zone],"pas trouvé")</f>
        <v>pas trouvé</v>
      </c>
      <c r="G389" t="str">
        <f>_xlfn.XLOOKUP(_26_03_2026_Log_Reseau_v15[[#This Row],[Cell_ID]],_26_03_2026_Registre_Maintenance_v1[ID_Antenne],_26_03_2026_Registre_Maintenance_v1[Latitude],"non trouvé")</f>
        <v>non trouvé</v>
      </c>
      <c r="H389" t="str">
        <f>_xlfn.XLOOKUP(_26_03_2026_Log_Reseau_v15[[#This Row],[Cell_ID]],_26_03_2026_Registre_Maintenance_v1[ID_Antenne],_26_03_2026_Registre_Maintenance_v1[Longitude],"pas trouvé")</f>
        <v>pas trouvé</v>
      </c>
      <c r="I389" t="str">
        <f>_xlfn.XLOOKUP(_26_03_2026_Log_Reseau_v15[[#This Row],[Cell_ID]],_26_03_2026_Registre_Maintenance_v1[ID_Antenne],_26_03_2026_Registre_Maintenance_v1[Technologie],"non trouvé")</f>
        <v>non trouvé</v>
      </c>
      <c r="J389" t="str">
        <f>_xlfn.XLOOKUP(_26_03_2026_Log_Reseau_v15[[#This Row],[Cell_ID]],_26_03_2026_Registre_Maintenance_v1[ID_Antenne],_26_03_2026_Registre_Maintenance_v1[Equipementier],"pas trouvé")</f>
        <v>pas trouvé</v>
      </c>
      <c r="K389" t="str">
        <f>_xlfn.XLOOKUP(_26_03_2026_Log_Reseau_v15[[#This Row],[province RDC]],_26_03_2026_Client_Churn_v1[Province_Client],_26_03_2026_Client_Churn_v1[ID_Client],"non trouvé")</f>
        <v>non trouvé</v>
      </c>
      <c r="L389" t="str">
        <f>_xlfn.XLOOKUP(_26_03_2026_Log_Reseau_v15[[#This Row],[province RDC]],_26_03_2026_Client_Churn_v1[Province_Client],_26_03_2026_Client_Churn_v1[Anciennete_Mois],"non trouvé")</f>
        <v>non trouvé</v>
      </c>
      <c r="M389" t="str">
        <f>_xlfn.XLOOKUP(_26_03_2026_Log_Reseau_v15[[#This Row],[province RDC]],_26_03_2026_Client_Churn_v1[Province_Client],_26_03_2026_Client_Churn_v1[Type_Forfait],"non trouvé")</f>
        <v>non trouvé</v>
      </c>
      <c r="N389" t="str">
        <f>_xlfn.XLOOKUP(_26_03_2026_Log_Reseau_v15[[#This Row],[province RDC]],_26_03_2026_Client_Churn_v1[Province_Client],_26_03_2026_Client_Churn_v1[Duree_Cumulee_Panne_Min],"non trouvé")</f>
        <v>non trouvé</v>
      </c>
      <c r="O389" t="str">
        <f>_xlfn.XLOOKUP(_26_03_2026_Log_Reseau_v15[[#This Row],[province RDC]],_26_03_2026_Client_Churn_v1[Province_Client],_26_03_2026_Client_Churn_v1[Facture_Mensuelle],"non trouvé")</f>
        <v>non trouvé</v>
      </c>
      <c r="P389" t="str">
        <f>_xlfn.XLOOKUP(_26_03_2026_Log_Reseau_v15[[#This Row],[province RDC]],_26_03_2026_Client_Churn_v1[Province_Client],_26_03_2026_Client_Churn_v1[Plaintes_Service_Client],"non trouvé")</f>
        <v>non trouvé</v>
      </c>
    </row>
    <row r="390" spans="1:16" x14ac:dyDescent="0.25">
      <c r="A390" s="1">
        <v>45216</v>
      </c>
      <c r="B390" s="2">
        <v>0.45763888888888887</v>
      </c>
      <c r="C390" t="s">
        <v>1052</v>
      </c>
      <c r="D390">
        <v>39</v>
      </c>
      <c r="E390" t="s">
        <v>807</v>
      </c>
      <c r="F390" t="str">
        <f>_xlfn.XLOOKUP(_26_03_2026_Log_Reseau_v15[[#This Row],[Cell_ID]],_26_03_2026_Registre_Maintenance_v1[ID_Antenne],_26_03_2026_Registre_Maintenance_v1[zone],"pas trouvé")</f>
        <v>Kasai-Central</v>
      </c>
      <c r="G390">
        <f>_xlfn.XLOOKUP(_26_03_2026_Log_Reseau_v15[[#This Row],[Cell_ID]],_26_03_2026_Registre_Maintenance_v1[ID_Antenne],_26_03_2026_Registre_Maintenance_v1[Latitude],"non trouvé")</f>
        <v>-9.5266249999999992</v>
      </c>
      <c r="H390">
        <f>_xlfn.XLOOKUP(_26_03_2026_Log_Reseau_v15[[#This Row],[Cell_ID]],_26_03_2026_Registre_Maintenance_v1[ID_Antenne],_26_03_2026_Registre_Maintenance_v1[Longitude],"pas trouvé")</f>
        <v>27.889690999999999</v>
      </c>
      <c r="I390" t="str">
        <f>_xlfn.XLOOKUP(_26_03_2026_Log_Reseau_v15[[#This Row],[Cell_ID]],_26_03_2026_Registre_Maintenance_v1[ID_Antenne],_26_03_2026_Registre_Maintenance_v1[Technologie],"non trouvé")</f>
        <v>4G</v>
      </c>
      <c r="J390" t="str">
        <f>_xlfn.XLOOKUP(_26_03_2026_Log_Reseau_v15[[#This Row],[Cell_ID]],_26_03_2026_Registre_Maintenance_v1[ID_Antenne],_26_03_2026_Registre_Maintenance_v1[Equipementier],"pas trouvé")</f>
        <v>Ericsson</v>
      </c>
      <c r="K390" t="str">
        <f>_xlfn.XLOOKUP(_26_03_2026_Log_Reseau_v15[[#This Row],[province RDC]],_26_03_2026_Client_Churn_v1[Province_Client],_26_03_2026_Client_Churn_v1[ID_Client],"non trouvé")</f>
        <v>CLI-00060</v>
      </c>
      <c r="L390">
        <f>_xlfn.XLOOKUP(_26_03_2026_Log_Reseau_v15[[#This Row],[province RDC]],_26_03_2026_Client_Churn_v1[Province_Client],_26_03_2026_Client_Churn_v1[Anciennete_Mois],"non trouvé")</f>
        <v>72</v>
      </c>
      <c r="M390" t="str">
        <f>_xlfn.XLOOKUP(_26_03_2026_Log_Reseau_v15[[#This Row],[province RDC]],_26_03_2026_Client_Churn_v1[Province_Client],_26_03_2026_Client_Churn_v1[Type_Forfait],"non trouvé")</f>
        <v>Pro Monde</v>
      </c>
      <c r="N390">
        <f>_xlfn.XLOOKUP(_26_03_2026_Log_Reseau_v15[[#This Row],[province RDC]],_26_03_2026_Client_Churn_v1[Province_Client],_26_03_2026_Client_Churn_v1[Duree_Cumulee_Panne_Min],"non trouvé")</f>
        <v>160</v>
      </c>
      <c r="O390">
        <f>_xlfn.XLOOKUP(_26_03_2026_Log_Reseau_v15[[#This Row],[province RDC]],_26_03_2026_Client_Churn_v1[Province_Client],_26_03_2026_Client_Churn_v1[Facture_Mensuelle],"non trouvé")</f>
        <v>90.13</v>
      </c>
      <c r="P390">
        <f>_xlfn.XLOOKUP(_26_03_2026_Log_Reseau_v15[[#This Row],[province RDC]],_26_03_2026_Client_Churn_v1[Province_Client],_26_03_2026_Client_Churn_v1[Plaintes_Service_Client],"non trouvé")</f>
        <v>2</v>
      </c>
    </row>
    <row r="391" spans="1:16" x14ac:dyDescent="0.25">
      <c r="A391" s="1">
        <v>45204</v>
      </c>
      <c r="B391" s="2">
        <v>0.90555555555555556</v>
      </c>
      <c r="C391" t="s">
        <v>1053</v>
      </c>
      <c r="D391">
        <v>61</v>
      </c>
      <c r="E391" t="s">
        <v>807</v>
      </c>
      <c r="F391" t="str">
        <f>_xlfn.XLOOKUP(_26_03_2026_Log_Reseau_v15[[#This Row],[Cell_ID]],_26_03_2026_Registre_Maintenance_v1[ID_Antenne],_26_03_2026_Registre_Maintenance_v1[zone],"pas trouvé")</f>
        <v>Bas-Uele</v>
      </c>
      <c r="G391">
        <f>_xlfn.XLOOKUP(_26_03_2026_Log_Reseau_v15[[#This Row],[Cell_ID]],_26_03_2026_Registre_Maintenance_v1[ID_Antenne],_26_03_2026_Registre_Maintenance_v1[Latitude],"non trouvé")</f>
        <v>4.497306</v>
      </c>
      <c r="H391">
        <f>_xlfn.XLOOKUP(_26_03_2026_Log_Reseau_v15[[#This Row],[Cell_ID]],_26_03_2026_Registre_Maintenance_v1[ID_Antenne],_26_03_2026_Registre_Maintenance_v1[Longitude],"pas trouvé")</f>
        <v>12.857251</v>
      </c>
      <c r="I391" t="str">
        <f>_xlfn.XLOOKUP(_26_03_2026_Log_Reseau_v15[[#This Row],[Cell_ID]],_26_03_2026_Registre_Maintenance_v1[ID_Antenne],_26_03_2026_Registre_Maintenance_v1[Technologie],"non trouvé")</f>
        <v>5G</v>
      </c>
      <c r="J391" t="str">
        <f>_xlfn.XLOOKUP(_26_03_2026_Log_Reseau_v15[[#This Row],[Cell_ID]],_26_03_2026_Registre_Maintenance_v1[ID_Antenne],_26_03_2026_Registre_Maintenance_v1[Equipementier],"pas trouvé")</f>
        <v>Ericsson</v>
      </c>
      <c r="K391" t="str">
        <f>_xlfn.XLOOKUP(_26_03_2026_Log_Reseau_v15[[#This Row],[province RDC]],_26_03_2026_Client_Churn_v1[Province_Client],_26_03_2026_Client_Churn_v1[ID_Client],"non trouvé")</f>
        <v>CLI-00414</v>
      </c>
      <c r="L391">
        <f>_xlfn.XLOOKUP(_26_03_2026_Log_Reseau_v15[[#This Row],[province RDC]],_26_03_2026_Client_Churn_v1[Province_Client],_26_03_2026_Client_Churn_v1[Anciennete_Mois],"non trouvé")</f>
        <v>99</v>
      </c>
      <c r="M391" t="str">
        <f>_xlfn.XLOOKUP(_26_03_2026_Log_Reseau_v15[[#This Row],[province RDC]],_26_03_2026_Client_Churn_v1[Province_Client],_26_03_2026_Client_Churn_v1[Type_Forfait],"non trouvé")</f>
        <v>Premium 5G 150Go</v>
      </c>
      <c r="N391">
        <f>_xlfn.XLOOKUP(_26_03_2026_Log_Reseau_v15[[#This Row],[province RDC]],_26_03_2026_Client_Churn_v1[Province_Client],_26_03_2026_Client_Churn_v1[Duree_Cumulee_Panne_Min],"non trouvé")</f>
        <v>447</v>
      </c>
      <c r="O391">
        <f>_xlfn.XLOOKUP(_26_03_2026_Log_Reseau_v15[[#This Row],[province RDC]],_26_03_2026_Client_Churn_v1[Province_Client],_26_03_2026_Client_Churn_v1[Facture_Mensuelle],"non trouvé")</f>
        <v>38.1</v>
      </c>
      <c r="P391">
        <f>_xlfn.XLOOKUP(_26_03_2026_Log_Reseau_v15[[#This Row],[province RDC]],_26_03_2026_Client_Churn_v1[Province_Client],_26_03_2026_Client_Churn_v1[Plaintes_Service_Client],"non trouvé")</f>
        <v>3</v>
      </c>
    </row>
    <row r="392" spans="1:16" hidden="1" x14ac:dyDescent="0.25">
      <c r="A392" s="1">
        <v>45215</v>
      </c>
      <c r="B392" s="2">
        <v>0.75694444444444442</v>
      </c>
      <c r="C392" t="s">
        <v>1054</v>
      </c>
      <c r="D392">
        <v>24</v>
      </c>
      <c r="E392" t="s">
        <v>812</v>
      </c>
      <c r="F392" t="str">
        <f>_xlfn.XLOOKUP(_26_03_2026_Log_Reseau_v15[[#This Row],[Cell_ID]],_26_03_2026_Registre_Maintenance_v1[ID_Antenne],_26_03_2026_Registre_Maintenance_v1[zone],"pas trouvé")</f>
        <v>pas trouvé</v>
      </c>
      <c r="G392" t="str">
        <f>_xlfn.XLOOKUP(_26_03_2026_Log_Reseau_v15[[#This Row],[Cell_ID]],_26_03_2026_Registre_Maintenance_v1[ID_Antenne],_26_03_2026_Registre_Maintenance_v1[Latitude],"non trouvé")</f>
        <v>non trouvé</v>
      </c>
      <c r="H392" t="str">
        <f>_xlfn.XLOOKUP(_26_03_2026_Log_Reseau_v15[[#This Row],[Cell_ID]],_26_03_2026_Registre_Maintenance_v1[ID_Antenne],_26_03_2026_Registre_Maintenance_v1[Longitude],"pas trouvé")</f>
        <v>pas trouvé</v>
      </c>
      <c r="I392" t="str">
        <f>_xlfn.XLOOKUP(_26_03_2026_Log_Reseau_v15[[#This Row],[Cell_ID]],_26_03_2026_Registre_Maintenance_v1[ID_Antenne],_26_03_2026_Registre_Maintenance_v1[Technologie],"non trouvé")</f>
        <v>non trouvé</v>
      </c>
      <c r="J392" t="str">
        <f>_xlfn.XLOOKUP(_26_03_2026_Log_Reseau_v15[[#This Row],[Cell_ID]],_26_03_2026_Registre_Maintenance_v1[ID_Antenne],_26_03_2026_Registre_Maintenance_v1[Equipementier],"pas trouvé")</f>
        <v>pas trouvé</v>
      </c>
      <c r="K392" t="str">
        <f>_xlfn.XLOOKUP(_26_03_2026_Log_Reseau_v15[[#This Row],[province RDC]],_26_03_2026_Client_Churn_v1[Province_Client],_26_03_2026_Client_Churn_v1[ID_Client],"non trouvé")</f>
        <v>non trouvé</v>
      </c>
      <c r="L392" t="str">
        <f>_xlfn.XLOOKUP(_26_03_2026_Log_Reseau_v15[[#This Row],[province RDC]],_26_03_2026_Client_Churn_v1[Province_Client],_26_03_2026_Client_Churn_v1[Anciennete_Mois],"non trouvé")</f>
        <v>non trouvé</v>
      </c>
      <c r="M392" t="str">
        <f>_xlfn.XLOOKUP(_26_03_2026_Log_Reseau_v15[[#This Row],[province RDC]],_26_03_2026_Client_Churn_v1[Province_Client],_26_03_2026_Client_Churn_v1[Type_Forfait],"non trouvé")</f>
        <v>non trouvé</v>
      </c>
      <c r="N392" t="str">
        <f>_xlfn.XLOOKUP(_26_03_2026_Log_Reseau_v15[[#This Row],[province RDC]],_26_03_2026_Client_Churn_v1[Province_Client],_26_03_2026_Client_Churn_v1[Duree_Cumulee_Panne_Min],"non trouvé")</f>
        <v>non trouvé</v>
      </c>
      <c r="O392" t="str">
        <f>_xlfn.XLOOKUP(_26_03_2026_Log_Reseau_v15[[#This Row],[province RDC]],_26_03_2026_Client_Churn_v1[Province_Client],_26_03_2026_Client_Churn_v1[Facture_Mensuelle],"non trouvé")</f>
        <v>non trouvé</v>
      </c>
      <c r="P392" t="str">
        <f>_xlfn.XLOOKUP(_26_03_2026_Log_Reseau_v15[[#This Row],[province RDC]],_26_03_2026_Client_Churn_v1[Province_Client],_26_03_2026_Client_Churn_v1[Plaintes_Service_Client],"non trouvé")</f>
        <v>non trouvé</v>
      </c>
    </row>
    <row r="393" spans="1:16" hidden="1" x14ac:dyDescent="0.25">
      <c r="A393" s="1">
        <v>45220</v>
      </c>
      <c r="B393" s="2">
        <v>0.8305555555555556</v>
      </c>
      <c r="C393" t="s">
        <v>1055</v>
      </c>
      <c r="D393">
        <v>59</v>
      </c>
      <c r="E393" t="s">
        <v>812</v>
      </c>
      <c r="F393" t="str">
        <f>_xlfn.XLOOKUP(_26_03_2026_Log_Reseau_v15[[#This Row],[Cell_ID]],_26_03_2026_Registre_Maintenance_v1[ID_Antenne],_26_03_2026_Registre_Maintenance_v1[zone],"pas trouvé")</f>
        <v>pas trouvé</v>
      </c>
      <c r="G393" t="str">
        <f>_xlfn.XLOOKUP(_26_03_2026_Log_Reseau_v15[[#This Row],[Cell_ID]],_26_03_2026_Registre_Maintenance_v1[ID_Antenne],_26_03_2026_Registre_Maintenance_v1[Latitude],"non trouvé")</f>
        <v>non trouvé</v>
      </c>
      <c r="H393" t="str">
        <f>_xlfn.XLOOKUP(_26_03_2026_Log_Reseau_v15[[#This Row],[Cell_ID]],_26_03_2026_Registre_Maintenance_v1[ID_Antenne],_26_03_2026_Registre_Maintenance_v1[Longitude],"pas trouvé")</f>
        <v>pas trouvé</v>
      </c>
      <c r="I393" t="str">
        <f>_xlfn.XLOOKUP(_26_03_2026_Log_Reseau_v15[[#This Row],[Cell_ID]],_26_03_2026_Registre_Maintenance_v1[ID_Antenne],_26_03_2026_Registre_Maintenance_v1[Technologie],"non trouvé")</f>
        <v>non trouvé</v>
      </c>
      <c r="J393" t="str">
        <f>_xlfn.XLOOKUP(_26_03_2026_Log_Reseau_v15[[#This Row],[Cell_ID]],_26_03_2026_Registre_Maintenance_v1[ID_Antenne],_26_03_2026_Registre_Maintenance_v1[Equipementier],"pas trouvé")</f>
        <v>pas trouvé</v>
      </c>
      <c r="K393" t="str">
        <f>_xlfn.XLOOKUP(_26_03_2026_Log_Reseau_v15[[#This Row],[province RDC]],_26_03_2026_Client_Churn_v1[Province_Client],_26_03_2026_Client_Churn_v1[ID_Client],"non trouvé")</f>
        <v>non trouvé</v>
      </c>
      <c r="L393" t="str">
        <f>_xlfn.XLOOKUP(_26_03_2026_Log_Reseau_v15[[#This Row],[province RDC]],_26_03_2026_Client_Churn_v1[Province_Client],_26_03_2026_Client_Churn_v1[Anciennete_Mois],"non trouvé")</f>
        <v>non trouvé</v>
      </c>
      <c r="M393" t="str">
        <f>_xlfn.XLOOKUP(_26_03_2026_Log_Reseau_v15[[#This Row],[province RDC]],_26_03_2026_Client_Churn_v1[Province_Client],_26_03_2026_Client_Churn_v1[Type_Forfait],"non trouvé")</f>
        <v>non trouvé</v>
      </c>
      <c r="N393" t="str">
        <f>_xlfn.XLOOKUP(_26_03_2026_Log_Reseau_v15[[#This Row],[province RDC]],_26_03_2026_Client_Churn_v1[Province_Client],_26_03_2026_Client_Churn_v1[Duree_Cumulee_Panne_Min],"non trouvé")</f>
        <v>non trouvé</v>
      </c>
      <c r="O393" t="str">
        <f>_xlfn.XLOOKUP(_26_03_2026_Log_Reseau_v15[[#This Row],[province RDC]],_26_03_2026_Client_Churn_v1[Province_Client],_26_03_2026_Client_Churn_v1[Facture_Mensuelle],"non trouvé")</f>
        <v>non trouvé</v>
      </c>
      <c r="P393" t="str">
        <f>_xlfn.XLOOKUP(_26_03_2026_Log_Reseau_v15[[#This Row],[province RDC]],_26_03_2026_Client_Churn_v1[Province_Client],_26_03_2026_Client_Churn_v1[Plaintes_Service_Client],"non trouvé")</f>
        <v>non trouvé</v>
      </c>
    </row>
    <row r="394" spans="1:16" hidden="1" x14ac:dyDescent="0.25">
      <c r="A394" s="1">
        <v>45224</v>
      </c>
      <c r="B394" s="2">
        <v>0.45694444444444443</v>
      </c>
      <c r="C394" t="s">
        <v>1055</v>
      </c>
      <c r="D394">
        <v>32</v>
      </c>
      <c r="E394" t="s">
        <v>807</v>
      </c>
      <c r="F394" t="str">
        <f>_xlfn.XLOOKUP(_26_03_2026_Log_Reseau_v15[[#This Row],[Cell_ID]],_26_03_2026_Registre_Maintenance_v1[ID_Antenne],_26_03_2026_Registre_Maintenance_v1[zone],"pas trouvé")</f>
        <v>pas trouvé</v>
      </c>
      <c r="G394" t="str">
        <f>_xlfn.XLOOKUP(_26_03_2026_Log_Reseau_v15[[#This Row],[Cell_ID]],_26_03_2026_Registre_Maintenance_v1[ID_Antenne],_26_03_2026_Registre_Maintenance_v1[Latitude],"non trouvé")</f>
        <v>non trouvé</v>
      </c>
      <c r="H394" t="str">
        <f>_xlfn.XLOOKUP(_26_03_2026_Log_Reseau_v15[[#This Row],[Cell_ID]],_26_03_2026_Registre_Maintenance_v1[ID_Antenne],_26_03_2026_Registre_Maintenance_v1[Longitude],"pas trouvé")</f>
        <v>pas trouvé</v>
      </c>
      <c r="I394" t="str">
        <f>_xlfn.XLOOKUP(_26_03_2026_Log_Reseau_v15[[#This Row],[Cell_ID]],_26_03_2026_Registre_Maintenance_v1[ID_Antenne],_26_03_2026_Registre_Maintenance_v1[Technologie],"non trouvé")</f>
        <v>non trouvé</v>
      </c>
      <c r="J394" t="str">
        <f>_xlfn.XLOOKUP(_26_03_2026_Log_Reseau_v15[[#This Row],[Cell_ID]],_26_03_2026_Registre_Maintenance_v1[ID_Antenne],_26_03_2026_Registre_Maintenance_v1[Equipementier],"pas trouvé")</f>
        <v>pas trouvé</v>
      </c>
      <c r="K394" t="str">
        <f>_xlfn.XLOOKUP(_26_03_2026_Log_Reseau_v15[[#This Row],[province RDC]],_26_03_2026_Client_Churn_v1[Province_Client],_26_03_2026_Client_Churn_v1[ID_Client],"non trouvé")</f>
        <v>non trouvé</v>
      </c>
      <c r="L394" t="str">
        <f>_xlfn.XLOOKUP(_26_03_2026_Log_Reseau_v15[[#This Row],[province RDC]],_26_03_2026_Client_Churn_v1[Province_Client],_26_03_2026_Client_Churn_v1[Anciennete_Mois],"non trouvé")</f>
        <v>non trouvé</v>
      </c>
      <c r="M394" t="str">
        <f>_xlfn.XLOOKUP(_26_03_2026_Log_Reseau_v15[[#This Row],[province RDC]],_26_03_2026_Client_Churn_v1[Province_Client],_26_03_2026_Client_Churn_v1[Type_Forfait],"non trouvé")</f>
        <v>non trouvé</v>
      </c>
      <c r="N394" t="str">
        <f>_xlfn.XLOOKUP(_26_03_2026_Log_Reseau_v15[[#This Row],[province RDC]],_26_03_2026_Client_Churn_v1[Province_Client],_26_03_2026_Client_Churn_v1[Duree_Cumulee_Panne_Min],"non trouvé")</f>
        <v>non trouvé</v>
      </c>
      <c r="O394" t="str">
        <f>_xlfn.XLOOKUP(_26_03_2026_Log_Reseau_v15[[#This Row],[province RDC]],_26_03_2026_Client_Churn_v1[Province_Client],_26_03_2026_Client_Churn_v1[Facture_Mensuelle],"non trouvé")</f>
        <v>non trouvé</v>
      </c>
      <c r="P394" t="str">
        <f>_xlfn.XLOOKUP(_26_03_2026_Log_Reseau_v15[[#This Row],[province RDC]],_26_03_2026_Client_Churn_v1[Province_Client],_26_03_2026_Client_Churn_v1[Plaintes_Service_Client],"non trouvé")</f>
        <v>non trouvé</v>
      </c>
    </row>
    <row r="395" spans="1:16" hidden="1" x14ac:dyDescent="0.25">
      <c r="A395" s="1">
        <v>45208</v>
      </c>
      <c r="B395" s="2">
        <v>0.66249999999999998</v>
      </c>
      <c r="C395" t="s">
        <v>1056</v>
      </c>
      <c r="D395">
        <v>104</v>
      </c>
      <c r="E395" t="s">
        <v>812</v>
      </c>
      <c r="F395" t="str">
        <f>_xlfn.XLOOKUP(_26_03_2026_Log_Reseau_v15[[#This Row],[Cell_ID]],_26_03_2026_Registre_Maintenance_v1[ID_Antenne],_26_03_2026_Registre_Maintenance_v1[zone],"pas trouvé")</f>
        <v>pas trouvé</v>
      </c>
      <c r="G395" t="str">
        <f>_xlfn.XLOOKUP(_26_03_2026_Log_Reseau_v15[[#This Row],[Cell_ID]],_26_03_2026_Registre_Maintenance_v1[ID_Antenne],_26_03_2026_Registre_Maintenance_v1[Latitude],"non trouvé")</f>
        <v>non trouvé</v>
      </c>
      <c r="H395" t="str">
        <f>_xlfn.XLOOKUP(_26_03_2026_Log_Reseau_v15[[#This Row],[Cell_ID]],_26_03_2026_Registre_Maintenance_v1[ID_Antenne],_26_03_2026_Registre_Maintenance_v1[Longitude],"pas trouvé")</f>
        <v>pas trouvé</v>
      </c>
      <c r="I395" t="str">
        <f>_xlfn.XLOOKUP(_26_03_2026_Log_Reseau_v15[[#This Row],[Cell_ID]],_26_03_2026_Registre_Maintenance_v1[ID_Antenne],_26_03_2026_Registre_Maintenance_v1[Technologie],"non trouvé")</f>
        <v>non trouvé</v>
      </c>
      <c r="J395" t="str">
        <f>_xlfn.XLOOKUP(_26_03_2026_Log_Reseau_v15[[#This Row],[Cell_ID]],_26_03_2026_Registre_Maintenance_v1[ID_Antenne],_26_03_2026_Registre_Maintenance_v1[Equipementier],"pas trouvé")</f>
        <v>pas trouvé</v>
      </c>
      <c r="K395" t="str">
        <f>_xlfn.XLOOKUP(_26_03_2026_Log_Reseau_v15[[#This Row],[province RDC]],_26_03_2026_Client_Churn_v1[Province_Client],_26_03_2026_Client_Churn_v1[ID_Client],"non trouvé")</f>
        <v>non trouvé</v>
      </c>
      <c r="L395" t="str">
        <f>_xlfn.XLOOKUP(_26_03_2026_Log_Reseau_v15[[#This Row],[province RDC]],_26_03_2026_Client_Churn_v1[Province_Client],_26_03_2026_Client_Churn_v1[Anciennete_Mois],"non trouvé")</f>
        <v>non trouvé</v>
      </c>
      <c r="M395" t="str">
        <f>_xlfn.XLOOKUP(_26_03_2026_Log_Reseau_v15[[#This Row],[province RDC]],_26_03_2026_Client_Churn_v1[Province_Client],_26_03_2026_Client_Churn_v1[Type_Forfait],"non trouvé")</f>
        <v>non trouvé</v>
      </c>
      <c r="N395" t="str">
        <f>_xlfn.XLOOKUP(_26_03_2026_Log_Reseau_v15[[#This Row],[province RDC]],_26_03_2026_Client_Churn_v1[Province_Client],_26_03_2026_Client_Churn_v1[Duree_Cumulee_Panne_Min],"non trouvé")</f>
        <v>non trouvé</v>
      </c>
      <c r="O395" t="str">
        <f>_xlfn.XLOOKUP(_26_03_2026_Log_Reseau_v15[[#This Row],[province RDC]],_26_03_2026_Client_Churn_v1[Province_Client],_26_03_2026_Client_Churn_v1[Facture_Mensuelle],"non trouvé")</f>
        <v>non trouvé</v>
      </c>
      <c r="P395" t="str">
        <f>_xlfn.XLOOKUP(_26_03_2026_Log_Reseau_v15[[#This Row],[province RDC]],_26_03_2026_Client_Churn_v1[Province_Client],_26_03_2026_Client_Churn_v1[Plaintes_Service_Client],"non trouvé")</f>
        <v>non trouvé</v>
      </c>
    </row>
    <row r="396" spans="1:16" x14ac:dyDescent="0.25">
      <c r="A396" s="1">
        <v>45225</v>
      </c>
      <c r="B396" s="2">
        <v>0.94861111111111107</v>
      </c>
      <c r="C396" t="s">
        <v>1057</v>
      </c>
      <c r="D396">
        <v>30</v>
      </c>
      <c r="E396" t="s">
        <v>807</v>
      </c>
      <c r="F396" t="str">
        <f>_xlfn.XLOOKUP(_26_03_2026_Log_Reseau_v15[[#This Row],[Cell_ID]],_26_03_2026_Registre_Maintenance_v1[ID_Antenne],_26_03_2026_Registre_Maintenance_v1[zone],"pas trouvé")</f>
        <v>Kwango</v>
      </c>
      <c r="G396">
        <f>_xlfn.XLOOKUP(_26_03_2026_Log_Reseau_v15[[#This Row],[Cell_ID]],_26_03_2026_Registre_Maintenance_v1[ID_Antenne],_26_03_2026_Registre_Maintenance_v1[Latitude],"non trouvé")</f>
        <v>-10.653247</v>
      </c>
      <c r="H396">
        <f>_xlfn.XLOOKUP(_26_03_2026_Log_Reseau_v15[[#This Row],[Cell_ID]],_26_03_2026_Registre_Maintenance_v1[ID_Antenne],_26_03_2026_Registre_Maintenance_v1[Longitude],"pas trouvé")</f>
        <v>14.685601</v>
      </c>
      <c r="I396" t="str">
        <f>_xlfn.XLOOKUP(_26_03_2026_Log_Reseau_v15[[#This Row],[Cell_ID]],_26_03_2026_Registre_Maintenance_v1[ID_Antenne],_26_03_2026_Registre_Maintenance_v1[Technologie],"non trouvé")</f>
        <v>4G</v>
      </c>
      <c r="J396" t="str">
        <f>_xlfn.XLOOKUP(_26_03_2026_Log_Reseau_v15[[#This Row],[Cell_ID]],_26_03_2026_Registre_Maintenance_v1[ID_Antenne],_26_03_2026_Registre_Maintenance_v1[Equipementier],"pas trouvé")</f>
        <v>Ericsson</v>
      </c>
      <c r="K396" t="str">
        <f>_xlfn.XLOOKUP(_26_03_2026_Log_Reseau_v15[[#This Row],[province RDC]],_26_03_2026_Client_Churn_v1[Province_Client],_26_03_2026_Client_Churn_v1[ID_Client],"non trouvé")</f>
        <v>CLI-00569</v>
      </c>
      <c r="L396">
        <f>_xlfn.XLOOKUP(_26_03_2026_Log_Reseau_v15[[#This Row],[province RDC]],_26_03_2026_Client_Churn_v1[Province_Client],_26_03_2026_Client_Churn_v1[Anciennete_Mois],"non trouvé")</f>
        <v>110</v>
      </c>
      <c r="M396" t="str">
        <f>_xlfn.XLOOKUP(_26_03_2026_Log_Reseau_v15[[#This Row],[province RDC]],_26_03_2026_Client_Churn_v1[Province_Client],_26_03_2026_Client_Churn_v1[Type_Forfait],"non trouvé")</f>
        <v>Pro Monde</v>
      </c>
      <c r="N396">
        <f>_xlfn.XLOOKUP(_26_03_2026_Log_Reseau_v15[[#This Row],[province RDC]],_26_03_2026_Client_Churn_v1[Province_Client],_26_03_2026_Client_Churn_v1[Duree_Cumulee_Panne_Min],"non trouvé")</f>
        <v>423</v>
      </c>
      <c r="O396">
        <f>_xlfn.XLOOKUP(_26_03_2026_Log_Reseau_v15[[#This Row],[province RDC]],_26_03_2026_Client_Churn_v1[Province_Client],_26_03_2026_Client_Churn_v1[Facture_Mensuelle],"non trouvé")</f>
        <v>37.35</v>
      </c>
      <c r="P396">
        <f>_xlfn.XLOOKUP(_26_03_2026_Log_Reseau_v15[[#This Row],[province RDC]],_26_03_2026_Client_Churn_v1[Province_Client],_26_03_2026_Client_Churn_v1[Plaintes_Service_Client],"non trouvé")</f>
        <v>4</v>
      </c>
    </row>
    <row r="397" spans="1:16" x14ac:dyDescent="0.25">
      <c r="A397" s="1">
        <v>45216</v>
      </c>
      <c r="B397" s="2">
        <v>0.9604166666666667</v>
      </c>
      <c r="C397" t="s">
        <v>1058</v>
      </c>
      <c r="D397">
        <v>41</v>
      </c>
      <c r="E397" t="s">
        <v>808</v>
      </c>
      <c r="F397" t="str">
        <f>_xlfn.XLOOKUP(_26_03_2026_Log_Reseau_v15[[#This Row],[Cell_ID]],_26_03_2026_Registre_Maintenance_v1[ID_Antenne],_26_03_2026_Registre_Maintenance_v1[zone],"pas trouvé")</f>
        <v>Mai-Ndombe</v>
      </c>
      <c r="G397">
        <f>_xlfn.XLOOKUP(_26_03_2026_Log_Reseau_v15[[#This Row],[Cell_ID]],_26_03_2026_Registre_Maintenance_v1[ID_Antenne],_26_03_2026_Registre_Maintenance_v1[Latitude],"non trouvé")</f>
        <v>-7.5641280000000002</v>
      </c>
      <c r="H397">
        <f>_xlfn.XLOOKUP(_26_03_2026_Log_Reseau_v15[[#This Row],[Cell_ID]],_26_03_2026_Registre_Maintenance_v1[ID_Antenne],_26_03_2026_Registre_Maintenance_v1[Longitude],"pas trouvé")</f>
        <v>18.129529999999999</v>
      </c>
      <c r="I397" t="str">
        <f>_xlfn.XLOOKUP(_26_03_2026_Log_Reseau_v15[[#This Row],[Cell_ID]],_26_03_2026_Registre_Maintenance_v1[ID_Antenne],_26_03_2026_Registre_Maintenance_v1[Technologie],"non trouvé")</f>
        <v>3G</v>
      </c>
      <c r="J397" t="str">
        <f>_xlfn.XLOOKUP(_26_03_2026_Log_Reseau_v15[[#This Row],[Cell_ID]],_26_03_2026_Registre_Maintenance_v1[ID_Antenne],_26_03_2026_Registre_Maintenance_v1[Equipementier],"pas trouvé")</f>
        <v>Huawei</v>
      </c>
      <c r="K397" t="str">
        <f>_xlfn.XLOOKUP(_26_03_2026_Log_Reseau_v15[[#This Row],[province RDC]],_26_03_2026_Client_Churn_v1[Province_Client],_26_03_2026_Client_Churn_v1[ID_Client],"non trouvé")</f>
        <v>CLI-00361</v>
      </c>
      <c r="L397">
        <f>_xlfn.XLOOKUP(_26_03_2026_Log_Reseau_v15[[#This Row],[province RDC]],_26_03_2026_Client_Churn_v1[Province_Client],_26_03_2026_Client_Churn_v1[Anciennete_Mois],"non trouvé")</f>
        <v>66</v>
      </c>
      <c r="M397" t="str">
        <f>_xlfn.XLOOKUP(_26_03_2026_Log_Reseau_v15[[#This Row],[province RDC]],_26_03_2026_Client_Churn_v1[Province_Client],_26_03_2026_Client_Churn_v1[Type_Forfait],"non trouvé")</f>
        <v>Illimité 50Go</v>
      </c>
      <c r="N397">
        <f>_xlfn.XLOOKUP(_26_03_2026_Log_Reseau_v15[[#This Row],[province RDC]],_26_03_2026_Client_Churn_v1[Province_Client],_26_03_2026_Client_Churn_v1[Duree_Cumulee_Panne_Min],"non trouvé")</f>
        <v>270</v>
      </c>
      <c r="O397">
        <f>_xlfn.XLOOKUP(_26_03_2026_Log_Reseau_v15[[#This Row],[province RDC]],_26_03_2026_Client_Churn_v1[Province_Client],_26_03_2026_Client_Churn_v1[Facture_Mensuelle],"non trouvé")</f>
        <v>75.88</v>
      </c>
      <c r="P397">
        <f>_xlfn.XLOOKUP(_26_03_2026_Log_Reseau_v15[[#This Row],[province RDC]],_26_03_2026_Client_Churn_v1[Province_Client],_26_03_2026_Client_Churn_v1[Plaintes_Service_Client],"non trouvé")</f>
        <v>3</v>
      </c>
    </row>
    <row r="398" spans="1:16" hidden="1" x14ac:dyDescent="0.25">
      <c r="A398" s="1">
        <v>45207</v>
      </c>
      <c r="B398" s="2">
        <v>0.90833333333333333</v>
      </c>
      <c r="C398" t="s">
        <v>1059</v>
      </c>
      <c r="D398">
        <v>103</v>
      </c>
      <c r="E398" t="s">
        <v>807</v>
      </c>
      <c r="F398" t="str">
        <f>_xlfn.XLOOKUP(_26_03_2026_Log_Reseau_v15[[#This Row],[Cell_ID]],_26_03_2026_Registre_Maintenance_v1[ID_Antenne],_26_03_2026_Registre_Maintenance_v1[zone],"pas trouvé")</f>
        <v>pas trouvé</v>
      </c>
      <c r="G398" t="str">
        <f>_xlfn.XLOOKUP(_26_03_2026_Log_Reseau_v15[[#This Row],[Cell_ID]],_26_03_2026_Registre_Maintenance_v1[ID_Antenne],_26_03_2026_Registre_Maintenance_v1[Latitude],"non trouvé")</f>
        <v>non trouvé</v>
      </c>
      <c r="H398" t="str">
        <f>_xlfn.XLOOKUP(_26_03_2026_Log_Reseau_v15[[#This Row],[Cell_ID]],_26_03_2026_Registre_Maintenance_v1[ID_Antenne],_26_03_2026_Registre_Maintenance_v1[Longitude],"pas trouvé")</f>
        <v>pas trouvé</v>
      </c>
      <c r="I398" t="str">
        <f>_xlfn.XLOOKUP(_26_03_2026_Log_Reseau_v15[[#This Row],[Cell_ID]],_26_03_2026_Registre_Maintenance_v1[ID_Antenne],_26_03_2026_Registre_Maintenance_v1[Technologie],"non trouvé")</f>
        <v>non trouvé</v>
      </c>
      <c r="J398" t="str">
        <f>_xlfn.XLOOKUP(_26_03_2026_Log_Reseau_v15[[#This Row],[Cell_ID]],_26_03_2026_Registre_Maintenance_v1[ID_Antenne],_26_03_2026_Registre_Maintenance_v1[Equipementier],"pas trouvé")</f>
        <v>pas trouvé</v>
      </c>
      <c r="K398" t="str">
        <f>_xlfn.XLOOKUP(_26_03_2026_Log_Reseau_v15[[#This Row],[province RDC]],_26_03_2026_Client_Churn_v1[Province_Client],_26_03_2026_Client_Churn_v1[ID_Client],"non trouvé")</f>
        <v>non trouvé</v>
      </c>
      <c r="L398" t="str">
        <f>_xlfn.XLOOKUP(_26_03_2026_Log_Reseau_v15[[#This Row],[province RDC]],_26_03_2026_Client_Churn_v1[Province_Client],_26_03_2026_Client_Churn_v1[Anciennete_Mois],"non trouvé")</f>
        <v>non trouvé</v>
      </c>
      <c r="M398" t="str">
        <f>_xlfn.XLOOKUP(_26_03_2026_Log_Reseau_v15[[#This Row],[province RDC]],_26_03_2026_Client_Churn_v1[Province_Client],_26_03_2026_Client_Churn_v1[Type_Forfait],"non trouvé")</f>
        <v>non trouvé</v>
      </c>
      <c r="N398" t="str">
        <f>_xlfn.XLOOKUP(_26_03_2026_Log_Reseau_v15[[#This Row],[province RDC]],_26_03_2026_Client_Churn_v1[Province_Client],_26_03_2026_Client_Churn_v1[Duree_Cumulee_Panne_Min],"non trouvé")</f>
        <v>non trouvé</v>
      </c>
      <c r="O398" t="str">
        <f>_xlfn.XLOOKUP(_26_03_2026_Log_Reseau_v15[[#This Row],[province RDC]],_26_03_2026_Client_Churn_v1[Province_Client],_26_03_2026_Client_Churn_v1[Facture_Mensuelle],"non trouvé")</f>
        <v>non trouvé</v>
      </c>
      <c r="P398" t="str">
        <f>_xlfn.XLOOKUP(_26_03_2026_Log_Reseau_v15[[#This Row],[province RDC]],_26_03_2026_Client_Churn_v1[Province_Client],_26_03_2026_Client_Churn_v1[Plaintes_Service_Client],"non trouvé")</f>
        <v>non trouvé</v>
      </c>
    </row>
    <row r="399" spans="1:16" hidden="1" x14ac:dyDescent="0.25">
      <c r="A399" s="1">
        <v>45201</v>
      </c>
      <c r="B399" s="2">
        <v>0.85902777777777772</v>
      </c>
      <c r="C399" t="s">
        <v>1060</v>
      </c>
      <c r="D399">
        <v>26</v>
      </c>
      <c r="E399" t="s">
        <v>808</v>
      </c>
      <c r="F399" t="str">
        <f>_xlfn.XLOOKUP(_26_03_2026_Log_Reseau_v15[[#This Row],[Cell_ID]],_26_03_2026_Registre_Maintenance_v1[ID_Antenne],_26_03_2026_Registre_Maintenance_v1[zone],"pas trouvé")</f>
        <v>pas trouvé</v>
      </c>
      <c r="G399" t="str">
        <f>_xlfn.XLOOKUP(_26_03_2026_Log_Reseau_v15[[#This Row],[Cell_ID]],_26_03_2026_Registre_Maintenance_v1[ID_Antenne],_26_03_2026_Registre_Maintenance_v1[Latitude],"non trouvé")</f>
        <v>non trouvé</v>
      </c>
      <c r="H399" t="str">
        <f>_xlfn.XLOOKUP(_26_03_2026_Log_Reseau_v15[[#This Row],[Cell_ID]],_26_03_2026_Registre_Maintenance_v1[ID_Antenne],_26_03_2026_Registre_Maintenance_v1[Longitude],"pas trouvé")</f>
        <v>pas trouvé</v>
      </c>
      <c r="I399" t="str">
        <f>_xlfn.XLOOKUP(_26_03_2026_Log_Reseau_v15[[#This Row],[Cell_ID]],_26_03_2026_Registre_Maintenance_v1[ID_Antenne],_26_03_2026_Registre_Maintenance_v1[Technologie],"non trouvé")</f>
        <v>non trouvé</v>
      </c>
      <c r="J399" t="str">
        <f>_xlfn.XLOOKUP(_26_03_2026_Log_Reseau_v15[[#This Row],[Cell_ID]],_26_03_2026_Registre_Maintenance_v1[ID_Antenne],_26_03_2026_Registre_Maintenance_v1[Equipementier],"pas trouvé")</f>
        <v>pas trouvé</v>
      </c>
      <c r="K399" t="str">
        <f>_xlfn.XLOOKUP(_26_03_2026_Log_Reseau_v15[[#This Row],[province RDC]],_26_03_2026_Client_Churn_v1[Province_Client],_26_03_2026_Client_Churn_v1[ID_Client],"non trouvé")</f>
        <v>non trouvé</v>
      </c>
      <c r="L399" t="str">
        <f>_xlfn.XLOOKUP(_26_03_2026_Log_Reseau_v15[[#This Row],[province RDC]],_26_03_2026_Client_Churn_v1[Province_Client],_26_03_2026_Client_Churn_v1[Anciennete_Mois],"non trouvé")</f>
        <v>non trouvé</v>
      </c>
      <c r="M399" t="str">
        <f>_xlfn.XLOOKUP(_26_03_2026_Log_Reseau_v15[[#This Row],[province RDC]],_26_03_2026_Client_Churn_v1[Province_Client],_26_03_2026_Client_Churn_v1[Type_Forfait],"non trouvé")</f>
        <v>non trouvé</v>
      </c>
      <c r="N399" t="str">
        <f>_xlfn.XLOOKUP(_26_03_2026_Log_Reseau_v15[[#This Row],[province RDC]],_26_03_2026_Client_Churn_v1[Province_Client],_26_03_2026_Client_Churn_v1[Duree_Cumulee_Panne_Min],"non trouvé")</f>
        <v>non trouvé</v>
      </c>
      <c r="O399" t="str">
        <f>_xlfn.XLOOKUP(_26_03_2026_Log_Reseau_v15[[#This Row],[province RDC]],_26_03_2026_Client_Churn_v1[Province_Client],_26_03_2026_Client_Churn_v1[Facture_Mensuelle],"non trouvé")</f>
        <v>non trouvé</v>
      </c>
      <c r="P399" t="str">
        <f>_xlfn.XLOOKUP(_26_03_2026_Log_Reseau_v15[[#This Row],[province RDC]],_26_03_2026_Client_Churn_v1[Province_Client],_26_03_2026_Client_Churn_v1[Plaintes_Service_Client],"non trouvé")</f>
        <v>non trouvé</v>
      </c>
    </row>
    <row r="400" spans="1:16" x14ac:dyDescent="0.25">
      <c r="A400" s="1">
        <v>45202</v>
      </c>
      <c r="B400" s="2">
        <v>0.71736111111111112</v>
      </c>
      <c r="C400" t="s">
        <v>1061</v>
      </c>
      <c r="D400">
        <v>115</v>
      </c>
      <c r="E400" t="s">
        <v>812</v>
      </c>
      <c r="F400" t="str">
        <f>_xlfn.XLOOKUP(_26_03_2026_Log_Reseau_v15[[#This Row],[Cell_ID]],_26_03_2026_Registre_Maintenance_v1[ID_Antenne],_26_03_2026_Registre_Maintenance_v1[zone],"pas trouvé")</f>
        <v>Tanganyika</v>
      </c>
      <c r="G400">
        <f>_xlfn.XLOOKUP(_26_03_2026_Log_Reseau_v15[[#This Row],[Cell_ID]],_26_03_2026_Registre_Maintenance_v1[ID_Antenne],_26_03_2026_Registre_Maintenance_v1[Latitude],"non trouvé")</f>
        <v>-1.5936220000000001</v>
      </c>
      <c r="H400">
        <f>_xlfn.XLOOKUP(_26_03_2026_Log_Reseau_v15[[#This Row],[Cell_ID]],_26_03_2026_Registre_Maintenance_v1[ID_Antenne],_26_03_2026_Registre_Maintenance_v1[Longitude],"pas trouvé")</f>
        <v>14.928856</v>
      </c>
      <c r="I400" t="str">
        <f>_xlfn.XLOOKUP(_26_03_2026_Log_Reseau_v15[[#This Row],[Cell_ID]],_26_03_2026_Registre_Maintenance_v1[ID_Antenne],_26_03_2026_Registre_Maintenance_v1[Technologie],"non trouvé")</f>
        <v>5G</v>
      </c>
      <c r="J400" t="str">
        <f>_xlfn.XLOOKUP(_26_03_2026_Log_Reseau_v15[[#This Row],[Cell_ID]],_26_03_2026_Registre_Maintenance_v1[ID_Antenne],_26_03_2026_Registre_Maintenance_v1[Equipementier],"pas trouvé")</f>
        <v>Ericsson</v>
      </c>
      <c r="K400" t="str">
        <f>_xlfn.XLOOKUP(_26_03_2026_Log_Reseau_v15[[#This Row],[province RDC]],_26_03_2026_Client_Churn_v1[Province_Client],_26_03_2026_Client_Churn_v1[ID_Client],"non trouvé")</f>
        <v>CLI-01618</v>
      </c>
      <c r="L400">
        <f>_xlfn.XLOOKUP(_26_03_2026_Log_Reseau_v15[[#This Row],[province RDC]],_26_03_2026_Client_Churn_v1[Province_Client],_26_03_2026_Client_Churn_v1[Anciennete_Mois],"non trouvé")</f>
        <v>115</v>
      </c>
      <c r="M400" t="str">
        <f>_xlfn.XLOOKUP(_26_03_2026_Log_Reseau_v15[[#This Row],[province RDC]],_26_03_2026_Client_Churn_v1[Province_Client],_26_03_2026_Client_Churn_v1[Type_Forfait],"non trouvé")</f>
        <v>Bloqué 5Go</v>
      </c>
      <c r="N400">
        <f>_xlfn.XLOOKUP(_26_03_2026_Log_Reseau_v15[[#This Row],[province RDC]],_26_03_2026_Client_Churn_v1[Province_Client],_26_03_2026_Client_Churn_v1[Duree_Cumulee_Panne_Min],"non trouvé")</f>
        <v>176</v>
      </c>
      <c r="O400">
        <f>_xlfn.XLOOKUP(_26_03_2026_Log_Reseau_v15[[#This Row],[province RDC]],_26_03_2026_Client_Churn_v1[Province_Client],_26_03_2026_Client_Churn_v1[Facture_Mensuelle],"non trouvé")</f>
        <v>33.28</v>
      </c>
      <c r="P400">
        <f>_xlfn.XLOOKUP(_26_03_2026_Log_Reseau_v15[[#This Row],[province RDC]],_26_03_2026_Client_Churn_v1[Province_Client],_26_03_2026_Client_Churn_v1[Plaintes_Service_Client],"non trouvé")</f>
        <v>4</v>
      </c>
    </row>
    <row r="401" spans="1:16" x14ac:dyDescent="0.25">
      <c r="A401" s="1">
        <v>45205</v>
      </c>
      <c r="B401" s="2">
        <v>0.47430555555555554</v>
      </c>
      <c r="C401" t="s">
        <v>1062</v>
      </c>
      <c r="D401">
        <v>25</v>
      </c>
      <c r="E401" t="s">
        <v>807</v>
      </c>
      <c r="F401" t="str">
        <f>_xlfn.XLOOKUP(_26_03_2026_Log_Reseau_v15[[#This Row],[Cell_ID]],_26_03_2026_Registre_Maintenance_v1[ID_Antenne],_26_03_2026_Registre_Maintenance_v1[zone],"pas trouvé")</f>
        <v>Haut-Uele</v>
      </c>
      <c r="G401">
        <f>_xlfn.XLOOKUP(_26_03_2026_Log_Reseau_v15[[#This Row],[Cell_ID]],_26_03_2026_Registre_Maintenance_v1[ID_Antenne],_26_03_2026_Registre_Maintenance_v1[Latitude],"non trouvé")</f>
        <v>-1.013558</v>
      </c>
      <c r="H401">
        <f>_xlfn.XLOOKUP(_26_03_2026_Log_Reseau_v15[[#This Row],[Cell_ID]],_26_03_2026_Registre_Maintenance_v1[ID_Antenne],_26_03_2026_Registre_Maintenance_v1[Longitude],"pas trouvé")</f>
        <v>17.346937</v>
      </c>
      <c r="I401" t="str">
        <f>_xlfn.XLOOKUP(_26_03_2026_Log_Reseau_v15[[#This Row],[Cell_ID]],_26_03_2026_Registre_Maintenance_v1[ID_Antenne],_26_03_2026_Registre_Maintenance_v1[Technologie],"non trouvé")</f>
        <v>5G</v>
      </c>
      <c r="J401" t="str">
        <f>_xlfn.XLOOKUP(_26_03_2026_Log_Reseau_v15[[#This Row],[Cell_ID]],_26_03_2026_Registre_Maintenance_v1[ID_Antenne],_26_03_2026_Registre_Maintenance_v1[Equipementier],"pas trouvé")</f>
        <v>Huawei</v>
      </c>
      <c r="K401" t="str">
        <f>_xlfn.XLOOKUP(_26_03_2026_Log_Reseau_v15[[#This Row],[province RDC]],_26_03_2026_Client_Churn_v1[Province_Client],_26_03_2026_Client_Churn_v1[ID_Client],"non trouvé")</f>
        <v>CLI-00439</v>
      </c>
      <c r="L401">
        <f>_xlfn.XLOOKUP(_26_03_2026_Log_Reseau_v15[[#This Row],[province RDC]],_26_03_2026_Client_Churn_v1[Province_Client],_26_03_2026_Client_Churn_v1[Anciennete_Mois],"non trouvé")</f>
        <v>40</v>
      </c>
      <c r="M401" t="str">
        <f>_xlfn.XLOOKUP(_26_03_2026_Log_Reseau_v15[[#This Row],[province RDC]],_26_03_2026_Client_Churn_v1[Province_Client],_26_03_2026_Client_Churn_v1[Type_Forfait],"non trouvé")</f>
        <v>Premium 5G 150Go</v>
      </c>
      <c r="N401">
        <f>_xlfn.XLOOKUP(_26_03_2026_Log_Reseau_v15[[#This Row],[province RDC]],_26_03_2026_Client_Churn_v1[Province_Client],_26_03_2026_Client_Churn_v1[Duree_Cumulee_Panne_Min],"non trouvé")</f>
        <v>345</v>
      </c>
      <c r="O401">
        <f>_xlfn.XLOOKUP(_26_03_2026_Log_Reseau_v15[[#This Row],[province RDC]],_26_03_2026_Client_Churn_v1[Province_Client],_26_03_2026_Client_Churn_v1[Facture_Mensuelle],"non trouvé")</f>
        <v>89.55</v>
      </c>
      <c r="P401">
        <f>_xlfn.XLOOKUP(_26_03_2026_Log_Reseau_v15[[#This Row],[province RDC]],_26_03_2026_Client_Churn_v1[Province_Client],_26_03_2026_Client_Churn_v1[Plaintes_Service_Client],"non trouvé")</f>
        <v>3</v>
      </c>
    </row>
    <row r="402" spans="1:16" x14ac:dyDescent="0.25">
      <c r="A402" s="1">
        <v>45225</v>
      </c>
      <c r="B402" s="2">
        <v>0.62569444444444444</v>
      </c>
      <c r="C402" t="s">
        <v>1063</v>
      </c>
      <c r="D402">
        <v>108</v>
      </c>
      <c r="E402" t="s">
        <v>812</v>
      </c>
      <c r="F402" t="str">
        <f>_xlfn.XLOOKUP(_26_03_2026_Log_Reseau_v15[[#This Row],[Cell_ID]],_26_03_2026_Registre_Maintenance_v1[ID_Antenne],_26_03_2026_Registre_Maintenance_v1[zone],"pas trouvé")</f>
        <v>Sud-Ubangi</v>
      </c>
      <c r="G402">
        <f>_xlfn.XLOOKUP(_26_03_2026_Log_Reseau_v15[[#This Row],[Cell_ID]],_26_03_2026_Registre_Maintenance_v1[ID_Antenne],_26_03_2026_Registre_Maintenance_v1[Latitude],"non trouvé")</f>
        <v>-10.611184</v>
      </c>
      <c r="H402">
        <f>_xlfn.XLOOKUP(_26_03_2026_Log_Reseau_v15[[#This Row],[Cell_ID]],_26_03_2026_Registre_Maintenance_v1[ID_Antenne],_26_03_2026_Registre_Maintenance_v1[Longitude],"pas trouvé")</f>
        <v>23.022268</v>
      </c>
      <c r="I402" t="str">
        <f>_xlfn.XLOOKUP(_26_03_2026_Log_Reseau_v15[[#This Row],[Cell_ID]],_26_03_2026_Registre_Maintenance_v1[ID_Antenne],_26_03_2026_Registre_Maintenance_v1[Technologie],"non trouvé")</f>
        <v>5G</v>
      </c>
      <c r="J402" t="str">
        <f>_xlfn.XLOOKUP(_26_03_2026_Log_Reseau_v15[[#This Row],[Cell_ID]],_26_03_2026_Registre_Maintenance_v1[ID_Antenne],_26_03_2026_Registre_Maintenance_v1[Equipementier],"pas trouvé")</f>
        <v>ZTE</v>
      </c>
      <c r="K402" t="str">
        <f>_xlfn.XLOOKUP(_26_03_2026_Log_Reseau_v15[[#This Row],[province RDC]],_26_03_2026_Client_Churn_v1[Province_Client],_26_03_2026_Client_Churn_v1[ID_Client],"non trouvé")</f>
        <v>CLI-00280</v>
      </c>
      <c r="L402">
        <f>_xlfn.XLOOKUP(_26_03_2026_Log_Reseau_v15[[#This Row],[province RDC]],_26_03_2026_Client_Churn_v1[Province_Client],_26_03_2026_Client_Churn_v1[Anciennete_Mois],"non trouvé")</f>
        <v>113</v>
      </c>
      <c r="M402" t="str">
        <f>_xlfn.XLOOKUP(_26_03_2026_Log_Reseau_v15[[#This Row],[province RDC]],_26_03_2026_Client_Churn_v1[Province_Client],_26_03_2026_Client_Churn_v1[Type_Forfait],"non trouvé")</f>
        <v>Illimité 50Go</v>
      </c>
      <c r="N402">
        <f>_xlfn.XLOOKUP(_26_03_2026_Log_Reseau_v15[[#This Row],[province RDC]],_26_03_2026_Client_Churn_v1[Province_Client],_26_03_2026_Client_Churn_v1[Duree_Cumulee_Panne_Min],"non trouvé")</f>
        <v>380</v>
      </c>
      <c r="O402">
        <f>_xlfn.XLOOKUP(_26_03_2026_Log_Reseau_v15[[#This Row],[province RDC]],_26_03_2026_Client_Churn_v1[Province_Client],_26_03_2026_Client_Churn_v1[Facture_Mensuelle],"non trouvé")</f>
        <v>12.11</v>
      </c>
      <c r="P402">
        <f>_xlfn.XLOOKUP(_26_03_2026_Log_Reseau_v15[[#This Row],[province RDC]],_26_03_2026_Client_Churn_v1[Province_Client],_26_03_2026_Client_Churn_v1[Plaintes_Service_Client],"non trouvé")</f>
        <v>0</v>
      </c>
    </row>
    <row r="403" spans="1:16" hidden="1" x14ac:dyDescent="0.25">
      <c r="A403" s="1">
        <v>45209</v>
      </c>
      <c r="B403" s="2">
        <v>0.98888888888888893</v>
      </c>
      <c r="C403" t="s">
        <v>1064</v>
      </c>
      <c r="D403">
        <v>80</v>
      </c>
      <c r="E403" t="s">
        <v>808</v>
      </c>
      <c r="F403" t="str">
        <f>_xlfn.XLOOKUP(_26_03_2026_Log_Reseau_v15[[#This Row],[Cell_ID]],_26_03_2026_Registre_Maintenance_v1[ID_Antenne],_26_03_2026_Registre_Maintenance_v1[zone],"pas trouvé")</f>
        <v>pas trouvé</v>
      </c>
      <c r="G403" t="str">
        <f>_xlfn.XLOOKUP(_26_03_2026_Log_Reseau_v15[[#This Row],[Cell_ID]],_26_03_2026_Registre_Maintenance_v1[ID_Antenne],_26_03_2026_Registre_Maintenance_v1[Latitude],"non trouvé")</f>
        <v>non trouvé</v>
      </c>
      <c r="H403" t="str">
        <f>_xlfn.XLOOKUP(_26_03_2026_Log_Reseau_v15[[#This Row],[Cell_ID]],_26_03_2026_Registre_Maintenance_v1[ID_Antenne],_26_03_2026_Registre_Maintenance_v1[Longitude],"pas trouvé")</f>
        <v>pas trouvé</v>
      </c>
      <c r="I403" t="str">
        <f>_xlfn.XLOOKUP(_26_03_2026_Log_Reseau_v15[[#This Row],[Cell_ID]],_26_03_2026_Registre_Maintenance_v1[ID_Antenne],_26_03_2026_Registre_Maintenance_v1[Technologie],"non trouvé")</f>
        <v>non trouvé</v>
      </c>
      <c r="J403" t="str">
        <f>_xlfn.XLOOKUP(_26_03_2026_Log_Reseau_v15[[#This Row],[Cell_ID]],_26_03_2026_Registre_Maintenance_v1[ID_Antenne],_26_03_2026_Registre_Maintenance_v1[Equipementier],"pas trouvé")</f>
        <v>pas trouvé</v>
      </c>
      <c r="K403" t="str">
        <f>_xlfn.XLOOKUP(_26_03_2026_Log_Reseau_v15[[#This Row],[province RDC]],_26_03_2026_Client_Churn_v1[Province_Client],_26_03_2026_Client_Churn_v1[ID_Client],"non trouvé")</f>
        <v>non trouvé</v>
      </c>
      <c r="L403" t="str">
        <f>_xlfn.XLOOKUP(_26_03_2026_Log_Reseau_v15[[#This Row],[province RDC]],_26_03_2026_Client_Churn_v1[Province_Client],_26_03_2026_Client_Churn_v1[Anciennete_Mois],"non trouvé")</f>
        <v>non trouvé</v>
      </c>
      <c r="M403" t="str">
        <f>_xlfn.XLOOKUP(_26_03_2026_Log_Reseau_v15[[#This Row],[province RDC]],_26_03_2026_Client_Churn_v1[Province_Client],_26_03_2026_Client_Churn_v1[Type_Forfait],"non trouvé")</f>
        <v>non trouvé</v>
      </c>
      <c r="N403" t="str">
        <f>_xlfn.XLOOKUP(_26_03_2026_Log_Reseau_v15[[#This Row],[province RDC]],_26_03_2026_Client_Churn_v1[Province_Client],_26_03_2026_Client_Churn_v1[Duree_Cumulee_Panne_Min],"non trouvé")</f>
        <v>non trouvé</v>
      </c>
      <c r="O403" t="str">
        <f>_xlfn.XLOOKUP(_26_03_2026_Log_Reseau_v15[[#This Row],[province RDC]],_26_03_2026_Client_Churn_v1[Province_Client],_26_03_2026_Client_Churn_v1[Facture_Mensuelle],"non trouvé")</f>
        <v>non trouvé</v>
      </c>
      <c r="P403" t="str">
        <f>_xlfn.XLOOKUP(_26_03_2026_Log_Reseau_v15[[#This Row],[province RDC]],_26_03_2026_Client_Churn_v1[Province_Client],_26_03_2026_Client_Churn_v1[Plaintes_Service_Client],"non trouvé")</f>
        <v>non trouvé</v>
      </c>
    </row>
    <row r="404" spans="1:16" hidden="1" x14ac:dyDescent="0.25">
      <c r="A404" s="1">
        <v>45223</v>
      </c>
      <c r="B404" s="2">
        <v>0.54861111111111116</v>
      </c>
      <c r="C404" t="s">
        <v>1065</v>
      </c>
      <c r="D404">
        <v>19</v>
      </c>
      <c r="E404" t="s">
        <v>808</v>
      </c>
      <c r="F404" t="str">
        <f>_xlfn.XLOOKUP(_26_03_2026_Log_Reseau_v15[[#This Row],[Cell_ID]],_26_03_2026_Registre_Maintenance_v1[ID_Antenne],_26_03_2026_Registre_Maintenance_v1[zone],"pas trouvé")</f>
        <v>pas trouvé</v>
      </c>
      <c r="G404" t="str">
        <f>_xlfn.XLOOKUP(_26_03_2026_Log_Reseau_v15[[#This Row],[Cell_ID]],_26_03_2026_Registre_Maintenance_v1[ID_Antenne],_26_03_2026_Registre_Maintenance_v1[Latitude],"non trouvé")</f>
        <v>non trouvé</v>
      </c>
      <c r="H404" t="str">
        <f>_xlfn.XLOOKUP(_26_03_2026_Log_Reseau_v15[[#This Row],[Cell_ID]],_26_03_2026_Registre_Maintenance_v1[ID_Antenne],_26_03_2026_Registre_Maintenance_v1[Longitude],"pas trouvé")</f>
        <v>pas trouvé</v>
      </c>
      <c r="I404" t="str">
        <f>_xlfn.XLOOKUP(_26_03_2026_Log_Reseau_v15[[#This Row],[Cell_ID]],_26_03_2026_Registre_Maintenance_v1[ID_Antenne],_26_03_2026_Registre_Maintenance_v1[Technologie],"non trouvé")</f>
        <v>non trouvé</v>
      </c>
      <c r="J404" t="str">
        <f>_xlfn.XLOOKUP(_26_03_2026_Log_Reseau_v15[[#This Row],[Cell_ID]],_26_03_2026_Registre_Maintenance_v1[ID_Antenne],_26_03_2026_Registre_Maintenance_v1[Equipementier],"pas trouvé")</f>
        <v>pas trouvé</v>
      </c>
      <c r="K404" t="str">
        <f>_xlfn.XLOOKUP(_26_03_2026_Log_Reseau_v15[[#This Row],[province RDC]],_26_03_2026_Client_Churn_v1[Province_Client],_26_03_2026_Client_Churn_v1[ID_Client],"non trouvé")</f>
        <v>non trouvé</v>
      </c>
      <c r="L404" t="str">
        <f>_xlfn.XLOOKUP(_26_03_2026_Log_Reseau_v15[[#This Row],[province RDC]],_26_03_2026_Client_Churn_v1[Province_Client],_26_03_2026_Client_Churn_v1[Anciennete_Mois],"non trouvé")</f>
        <v>non trouvé</v>
      </c>
      <c r="M404" t="str">
        <f>_xlfn.XLOOKUP(_26_03_2026_Log_Reseau_v15[[#This Row],[province RDC]],_26_03_2026_Client_Churn_v1[Province_Client],_26_03_2026_Client_Churn_v1[Type_Forfait],"non trouvé")</f>
        <v>non trouvé</v>
      </c>
      <c r="N404" t="str">
        <f>_xlfn.XLOOKUP(_26_03_2026_Log_Reseau_v15[[#This Row],[province RDC]],_26_03_2026_Client_Churn_v1[Province_Client],_26_03_2026_Client_Churn_v1[Duree_Cumulee_Panne_Min],"non trouvé")</f>
        <v>non trouvé</v>
      </c>
      <c r="O404" t="str">
        <f>_xlfn.XLOOKUP(_26_03_2026_Log_Reseau_v15[[#This Row],[province RDC]],_26_03_2026_Client_Churn_v1[Province_Client],_26_03_2026_Client_Churn_v1[Facture_Mensuelle],"non trouvé")</f>
        <v>non trouvé</v>
      </c>
      <c r="P404" t="str">
        <f>_xlfn.XLOOKUP(_26_03_2026_Log_Reseau_v15[[#This Row],[province RDC]],_26_03_2026_Client_Churn_v1[Province_Client],_26_03_2026_Client_Churn_v1[Plaintes_Service_Client],"non trouvé")</f>
        <v>non trouvé</v>
      </c>
    </row>
    <row r="405" spans="1:16" hidden="1" x14ac:dyDescent="0.25">
      <c r="A405" s="1">
        <v>45209</v>
      </c>
      <c r="B405" s="2">
        <v>0.18333333333333332</v>
      </c>
      <c r="C405" t="s">
        <v>1065</v>
      </c>
      <c r="D405">
        <v>81</v>
      </c>
      <c r="E405" t="s">
        <v>808</v>
      </c>
      <c r="F405" t="str">
        <f>_xlfn.XLOOKUP(_26_03_2026_Log_Reseau_v15[[#This Row],[Cell_ID]],_26_03_2026_Registre_Maintenance_v1[ID_Antenne],_26_03_2026_Registre_Maintenance_v1[zone],"pas trouvé")</f>
        <v>pas trouvé</v>
      </c>
      <c r="G405" t="str">
        <f>_xlfn.XLOOKUP(_26_03_2026_Log_Reseau_v15[[#This Row],[Cell_ID]],_26_03_2026_Registre_Maintenance_v1[ID_Antenne],_26_03_2026_Registre_Maintenance_v1[Latitude],"non trouvé")</f>
        <v>non trouvé</v>
      </c>
      <c r="H405" t="str">
        <f>_xlfn.XLOOKUP(_26_03_2026_Log_Reseau_v15[[#This Row],[Cell_ID]],_26_03_2026_Registre_Maintenance_v1[ID_Antenne],_26_03_2026_Registre_Maintenance_v1[Longitude],"pas trouvé")</f>
        <v>pas trouvé</v>
      </c>
      <c r="I405" t="str">
        <f>_xlfn.XLOOKUP(_26_03_2026_Log_Reseau_v15[[#This Row],[Cell_ID]],_26_03_2026_Registre_Maintenance_v1[ID_Antenne],_26_03_2026_Registre_Maintenance_v1[Technologie],"non trouvé")</f>
        <v>non trouvé</v>
      </c>
      <c r="J405" t="str">
        <f>_xlfn.XLOOKUP(_26_03_2026_Log_Reseau_v15[[#This Row],[Cell_ID]],_26_03_2026_Registre_Maintenance_v1[ID_Antenne],_26_03_2026_Registre_Maintenance_v1[Equipementier],"pas trouvé")</f>
        <v>pas trouvé</v>
      </c>
      <c r="K405" t="str">
        <f>_xlfn.XLOOKUP(_26_03_2026_Log_Reseau_v15[[#This Row],[province RDC]],_26_03_2026_Client_Churn_v1[Province_Client],_26_03_2026_Client_Churn_v1[ID_Client],"non trouvé")</f>
        <v>non trouvé</v>
      </c>
      <c r="L405" t="str">
        <f>_xlfn.XLOOKUP(_26_03_2026_Log_Reseau_v15[[#This Row],[province RDC]],_26_03_2026_Client_Churn_v1[Province_Client],_26_03_2026_Client_Churn_v1[Anciennete_Mois],"non trouvé")</f>
        <v>non trouvé</v>
      </c>
      <c r="M405" t="str">
        <f>_xlfn.XLOOKUP(_26_03_2026_Log_Reseau_v15[[#This Row],[province RDC]],_26_03_2026_Client_Churn_v1[Province_Client],_26_03_2026_Client_Churn_v1[Type_Forfait],"non trouvé")</f>
        <v>non trouvé</v>
      </c>
      <c r="N405" t="str">
        <f>_xlfn.XLOOKUP(_26_03_2026_Log_Reseau_v15[[#This Row],[province RDC]],_26_03_2026_Client_Churn_v1[Province_Client],_26_03_2026_Client_Churn_v1[Duree_Cumulee_Panne_Min],"non trouvé")</f>
        <v>non trouvé</v>
      </c>
      <c r="O405" t="str">
        <f>_xlfn.XLOOKUP(_26_03_2026_Log_Reseau_v15[[#This Row],[province RDC]],_26_03_2026_Client_Churn_v1[Province_Client],_26_03_2026_Client_Churn_v1[Facture_Mensuelle],"non trouvé")</f>
        <v>non trouvé</v>
      </c>
      <c r="P405" t="str">
        <f>_xlfn.XLOOKUP(_26_03_2026_Log_Reseau_v15[[#This Row],[province RDC]],_26_03_2026_Client_Churn_v1[Province_Client],_26_03_2026_Client_Churn_v1[Plaintes_Service_Client],"non trouvé")</f>
        <v>non trouvé</v>
      </c>
    </row>
    <row r="406" spans="1:16" x14ac:dyDescent="0.25">
      <c r="A406" s="1">
        <v>45220</v>
      </c>
      <c r="B406" s="2">
        <v>0.58402777777777781</v>
      </c>
      <c r="C406" t="s">
        <v>1066</v>
      </c>
      <c r="D406">
        <v>92</v>
      </c>
      <c r="E406" t="s">
        <v>812</v>
      </c>
      <c r="F406" t="str">
        <f>_xlfn.XLOOKUP(_26_03_2026_Log_Reseau_v15[[#This Row],[Cell_ID]],_26_03_2026_Registre_Maintenance_v1[ID_Antenne],_26_03_2026_Registre_Maintenance_v1[zone],"pas trouvé")</f>
        <v>Nord-Ubangi</v>
      </c>
      <c r="G406">
        <f>_xlfn.XLOOKUP(_26_03_2026_Log_Reseau_v15[[#This Row],[Cell_ID]],_26_03_2026_Registre_Maintenance_v1[ID_Antenne],_26_03_2026_Registre_Maintenance_v1[Latitude],"non trouvé")</f>
        <v>-11.588665000000001</v>
      </c>
      <c r="H406">
        <f>_xlfn.XLOOKUP(_26_03_2026_Log_Reseau_v15[[#This Row],[Cell_ID]],_26_03_2026_Registre_Maintenance_v1[ID_Antenne],_26_03_2026_Registre_Maintenance_v1[Longitude],"pas trouvé")</f>
        <v>15.241552</v>
      </c>
      <c r="I406" t="str">
        <f>_xlfn.XLOOKUP(_26_03_2026_Log_Reseau_v15[[#This Row],[Cell_ID]],_26_03_2026_Registre_Maintenance_v1[ID_Antenne],_26_03_2026_Registre_Maintenance_v1[Technologie],"non trouvé")</f>
        <v>4G</v>
      </c>
      <c r="J406" t="str">
        <f>_xlfn.XLOOKUP(_26_03_2026_Log_Reseau_v15[[#This Row],[Cell_ID]],_26_03_2026_Registre_Maintenance_v1[ID_Antenne],_26_03_2026_Registre_Maintenance_v1[Equipementier],"pas trouvé")</f>
        <v>Nokia</v>
      </c>
      <c r="K406" t="str">
        <f>_xlfn.XLOOKUP(_26_03_2026_Log_Reseau_v15[[#This Row],[province RDC]],_26_03_2026_Client_Churn_v1[Province_Client],_26_03_2026_Client_Churn_v1[ID_Client],"non trouvé")</f>
        <v>CLI-01170</v>
      </c>
      <c r="L406">
        <f>_xlfn.XLOOKUP(_26_03_2026_Log_Reseau_v15[[#This Row],[province RDC]],_26_03_2026_Client_Churn_v1[Province_Client],_26_03_2026_Client_Churn_v1[Anciennete_Mois],"non trouvé")</f>
        <v>98</v>
      </c>
      <c r="M406" t="str">
        <f>_xlfn.XLOOKUP(_26_03_2026_Log_Reseau_v15[[#This Row],[province RDC]],_26_03_2026_Client_Churn_v1[Province_Client],_26_03_2026_Client_Churn_v1[Type_Forfait],"non trouvé")</f>
        <v>Pro Monde</v>
      </c>
      <c r="N406">
        <f>_xlfn.XLOOKUP(_26_03_2026_Log_Reseau_v15[[#This Row],[province RDC]],_26_03_2026_Client_Churn_v1[Province_Client],_26_03_2026_Client_Churn_v1[Duree_Cumulee_Panne_Min],"non trouvé")</f>
        <v>482</v>
      </c>
      <c r="O406">
        <f>_xlfn.XLOOKUP(_26_03_2026_Log_Reseau_v15[[#This Row],[province RDC]],_26_03_2026_Client_Churn_v1[Province_Client],_26_03_2026_Client_Churn_v1[Facture_Mensuelle],"non trouvé")</f>
        <v>55.04</v>
      </c>
      <c r="P406">
        <f>_xlfn.XLOOKUP(_26_03_2026_Log_Reseau_v15[[#This Row],[province RDC]],_26_03_2026_Client_Churn_v1[Province_Client],_26_03_2026_Client_Churn_v1[Plaintes_Service_Client],"non trouvé")</f>
        <v>5</v>
      </c>
    </row>
    <row r="407" spans="1:16" hidden="1" x14ac:dyDescent="0.25">
      <c r="A407" s="1">
        <v>45219</v>
      </c>
      <c r="B407" s="2">
        <v>0.45347222222222222</v>
      </c>
      <c r="C407" t="s">
        <v>1067</v>
      </c>
      <c r="D407">
        <v>52</v>
      </c>
      <c r="E407" t="s">
        <v>808</v>
      </c>
      <c r="F407" t="str">
        <f>_xlfn.XLOOKUP(_26_03_2026_Log_Reseau_v15[[#This Row],[Cell_ID]],_26_03_2026_Registre_Maintenance_v1[ID_Antenne],_26_03_2026_Registre_Maintenance_v1[zone],"pas trouvé")</f>
        <v>pas trouvé</v>
      </c>
      <c r="G407" t="str">
        <f>_xlfn.XLOOKUP(_26_03_2026_Log_Reseau_v15[[#This Row],[Cell_ID]],_26_03_2026_Registre_Maintenance_v1[ID_Antenne],_26_03_2026_Registre_Maintenance_v1[Latitude],"non trouvé")</f>
        <v>non trouvé</v>
      </c>
      <c r="H407" t="str">
        <f>_xlfn.XLOOKUP(_26_03_2026_Log_Reseau_v15[[#This Row],[Cell_ID]],_26_03_2026_Registre_Maintenance_v1[ID_Antenne],_26_03_2026_Registre_Maintenance_v1[Longitude],"pas trouvé")</f>
        <v>pas trouvé</v>
      </c>
      <c r="I407" t="str">
        <f>_xlfn.XLOOKUP(_26_03_2026_Log_Reseau_v15[[#This Row],[Cell_ID]],_26_03_2026_Registre_Maintenance_v1[ID_Antenne],_26_03_2026_Registre_Maintenance_v1[Technologie],"non trouvé")</f>
        <v>non trouvé</v>
      </c>
      <c r="J407" t="str">
        <f>_xlfn.XLOOKUP(_26_03_2026_Log_Reseau_v15[[#This Row],[Cell_ID]],_26_03_2026_Registre_Maintenance_v1[ID_Antenne],_26_03_2026_Registre_Maintenance_v1[Equipementier],"pas trouvé")</f>
        <v>pas trouvé</v>
      </c>
      <c r="K407" t="str">
        <f>_xlfn.XLOOKUP(_26_03_2026_Log_Reseau_v15[[#This Row],[province RDC]],_26_03_2026_Client_Churn_v1[Province_Client],_26_03_2026_Client_Churn_v1[ID_Client],"non trouvé")</f>
        <v>non trouvé</v>
      </c>
      <c r="L407" t="str">
        <f>_xlfn.XLOOKUP(_26_03_2026_Log_Reseau_v15[[#This Row],[province RDC]],_26_03_2026_Client_Churn_v1[Province_Client],_26_03_2026_Client_Churn_v1[Anciennete_Mois],"non trouvé")</f>
        <v>non trouvé</v>
      </c>
      <c r="M407" t="str">
        <f>_xlfn.XLOOKUP(_26_03_2026_Log_Reseau_v15[[#This Row],[province RDC]],_26_03_2026_Client_Churn_v1[Province_Client],_26_03_2026_Client_Churn_v1[Type_Forfait],"non trouvé")</f>
        <v>non trouvé</v>
      </c>
      <c r="N407" t="str">
        <f>_xlfn.XLOOKUP(_26_03_2026_Log_Reseau_v15[[#This Row],[province RDC]],_26_03_2026_Client_Churn_v1[Province_Client],_26_03_2026_Client_Churn_v1[Duree_Cumulee_Panne_Min],"non trouvé")</f>
        <v>non trouvé</v>
      </c>
      <c r="O407" t="str">
        <f>_xlfn.XLOOKUP(_26_03_2026_Log_Reseau_v15[[#This Row],[province RDC]],_26_03_2026_Client_Churn_v1[Province_Client],_26_03_2026_Client_Churn_v1[Facture_Mensuelle],"non trouvé")</f>
        <v>non trouvé</v>
      </c>
      <c r="P407" t="str">
        <f>_xlfn.XLOOKUP(_26_03_2026_Log_Reseau_v15[[#This Row],[province RDC]],_26_03_2026_Client_Churn_v1[Province_Client],_26_03_2026_Client_Churn_v1[Plaintes_Service_Client],"non trouvé")</f>
        <v>non trouvé</v>
      </c>
    </row>
    <row r="408" spans="1:16" hidden="1" x14ac:dyDescent="0.25">
      <c r="A408" s="1">
        <v>45209</v>
      </c>
      <c r="B408" s="2">
        <v>0.78194444444444444</v>
      </c>
      <c r="C408" t="s">
        <v>1067</v>
      </c>
      <c r="D408">
        <v>10</v>
      </c>
      <c r="E408" t="s">
        <v>808</v>
      </c>
      <c r="F408" t="str">
        <f>_xlfn.XLOOKUP(_26_03_2026_Log_Reseau_v15[[#This Row],[Cell_ID]],_26_03_2026_Registre_Maintenance_v1[ID_Antenne],_26_03_2026_Registre_Maintenance_v1[zone],"pas trouvé")</f>
        <v>pas trouvé</v>
      </c>
      <c r="G408" t="str">
        <f>_xlfn.XLOOKUP(_26_03_2026_Log_Reseau_v15[[#This Row],[Cell_ID]],_26_03_2026_Registre_Maintenance_v1[ID_Antenne],_26_03_2026_Registre_Maintenance_v1[Latitude],"non trouvé")</f>
        <v>non trouvé</v>
      </c>
      <c r="H408" t="str">
        <f>_xlfn.XLOOKUP(_26_03_2026_Log_Reseau_v15[[#This Row],[Cell_ID]],_26_03_2026_Registre_Maintenance_v1[ID_Antenne],_26_03_2026_Registre_Maintenance_v1[Longitude],"pas trouvé")</f>
        <v>pas trouvé</v>
      </c>
      <c r="I408" t="str">
        <f>_xlfn.XLOOKUP(_26_03_2026_Log_Reseau_v15[[#This Row],[Cell_ID]],_26_03_2026_Registre_Maintenance_v1[ID_Antenne],_26_03_2026_Registre_Maintenance_v1[Technologie],"non trouvé")</f>
        <v>non trouvé</v>
      </c>
      <c r="J408" t="str">
        <f>_xlfn.XLOOKUP(_26_03_2026_Log_Reseau_v15[[#This Row],[Cell_ID]],_26_03_2026_Registre_Maintenance_v1[ID_Antenne],_26_03_2026_Registre_Maintenance_v1[Equipementier],"pas trouvé")</f>
        <v>pas trouvé</v>
      </c>
      <c r="K408" t="str">
        <f>_xlfn.XLOOKUP(_26_03_2026_Log_Reseau_v15[[#This Row],[province RDC]],_26_03_2026_Client_Churn_v1[Province_Client],_26_03_2026_Client_Churn_v1[ID_Client],"non trouvé")</f>
        <v>non trouvé</v>
      </c>
      <c r="L408" t="str">
        <f>_xlfn.XLOOKUP(_26_03_2026_Log_Reseau_v15[[#This Row],[province RDC]],_26_03_2026_Client_Churn_v1[Province_Client],_26_03_2026_Client_Churn_v1[Anciennete_Mois],"non trouvé")</f>
        <v>non trouvé</v>
      </c>
      <c r="M408" t="str">
        <f>_xlfn.XLOOKUP(_26_03_2026_Log_Reseau_v15[[#This Row],[province RDC]],_26_03_2026_Client_Churn_v1[Province_Client],_26_03_2026_Client_Churn_v1[Type_Forfait],"non trouvé")</f>
        <v>non trouvé</v>
      </c>
      <c r="N408" t="str">
        <f>_xlfn.XLOOKUP(_26_03_2026_Log_Reseau_v15[[#This Row],[province RDC]],_26_03_2026_Client_Churn_v1[Province_Client],_26_03_2026_Client_Churn_v1[Duree_Cumulee_Panne_Min],"non trouvé")</f>
        <v>non trouvé</v>
      </c>
      <c r="O408" t="str">
        <f>_xlfn.XLOOKUP(_26_03_2026_Log_Reseau_v15[[#This Row],[province RDC]],_26_03_2026_Client_Churn_v1[Province_Client],_26_03_2026_Client_Churn_v1[Facture_Mensuelle],"non trouvé")</f>
        <v>non trouvé</v>
      </c>
      <c r="P408" t="str">
        <f>_xlfn.XLOOKUP(_26_03_2026_Log_Reseau_v15[[#This Row],[province RDC]],_26_03_2026_Client_Churn_v1[Province_Client],_26_03_2026_Client_Churn_v1[Plaintes_Service_Client],"non trouvé")</f>
        <v>non trouvé</v>
      </c>
    </row>
    <row r="409" spans="1:16" hidden="1" x14ac:dyDescent="0.25">
      <c r="A409" s="1">
        <v>45202</v>
      </c>
      <c r="B409" s="2">
        <v>0.44305555555555554</v>
      </c>
      <c r="C409" t="s">
        <v>1067</v>
      </c>
      <c r="D409">
        <v>43</v>
      </c>
      <c r="E409" t="s">
        <v>807</v>
      </c>
      <c r="F409" t="str">
        <f>_xlfn.XLOOKUP(_26_03_2026_Log_Reseau_v15[[#This Row],[Cell_ID]],_26_03_2026_Registre_Maintenance_v1[ID_Antenne],_26_03_2026_Registre_Maintenance_v1[zone],"pas trouvé")</f>
        <v>pas trouvé</v>
      </c>
      <c r="G409" t="str">
        <f>_xlfn.XLOOKUP(_26_03_2026_Log_Reseau_v15[[#This Row],[Cell_ID]],_26_03_2026_Registre_Maintenance_v1[ID_Antenne],_26_03_2026_Registre_Maintenance_v1[Latitude],"non trouvé")</f>
        <v>non trouvé</v>
      </c>
      <c r="H409" t="str">
        <f>_xlfn.XLOOKUP(_26_03_2026_Log_Reseau_v15[[#This Row],[Cell_ID]],_26_03_2026_Registre_Maintenance_v1[ID_Antenne],_26_03_2026_Registre_Maintenance_v1[Longitude],"pas trouvé")</f>
        <v>pas trouvé</v>
      </c>
      <c r="I409" t="str">
        <f>_xlfn.XLOOKUP(_26_03_2026_Log_Reseau_v15[[#This Row],[Cell_ID]],_26_03_2026_Registre_Maintenance_v1[ID_Antenne],_26_03_2026_Registre_Maintenance_v1[Technologie],"non trouvé")</f>
        <v>non trouvé</v>
      </c>
      <c r="J409" t="str">
        <f>_xlfn.XLOOKUP(_26_03_2026_Log_Reseau_v15[[#This Row],[Cell_ID]],_26_03_2026_Registre_Maintenance_v1[ID_Antenne],_26_03_2026_Registre_Maintenance_v1[Equipementier],"pas trouvé")</f>
        <v>pas trouvé</v>
      </c>
      <c r="K409" t="str">
        <f>_xlfn.XLOOKUP(_26_03_2026_Log_Reseau_v15[[#This Row],[province RDC]],_26_03_2026_Client_Churn_v1[Province_Client],_26_03_2026_Client_Churn_v1[ID_Client],"non trouvé")</f>
        <v>non trouvé</v>
      </c>
      <c r="L409" t="str">
        <f>_xlfn.XLOOKUP(_26_03_2026_Log_Reseau_v15[[#This Row],[province RDC]],_26_03_2026_Client_Churn_v1[Province_Client],_26_03_2026_Client_Churn_v1[Anciennete_Mois],"non trouvé")</f>
        <v>non trouvé</v>
      </c>
      <c r="M409" t="str">
        <f>_xlfn.XLOOKUP(_26_03_2026_Log_Reseau_v15[[#This Row],[province RDC]],_26_03_2026_Client_Churn_v1[Province_Client],_26_03_2026_Client_Churn_v1[Type_Forfait],"non trouvé")</f>
        <v>non trouvé</v>
      </c>
      <c r="N409" t="str">
        <f>_xlfn.XLOOKUP(_26_03_2026_Log_Reseau_v15[[#This Row],[province RDC]],_26_03_2026_Client_Churn_v1[Province_Client],_26_03_2026_Client_Churn_v1[Duree_Cumulee_Panne_Min],"non trouvé")</f>
        <v>non trouvé</v>
      </c>
      <c r="O409" t="str">
        <f>_xlfn.XLOOKUP(_26_03_2026_Log_Reseau_v15[[#This Row],[province RDC]],_26_03_2026_Client_Churn_v1[Province_Client],_26_03_2026_Client_Churn_v1[Facture_Mensuelle],"non trouvé")</f>
        <v>non trouvé</v>
      </c>
      <c r="P409" t="str">
        <f>_xlfn.XLOOKUP(_26_03_2026_Log_Reseau_v15[[#This Row],[province RDC]],_26_03_2026_Client_Churn_v1[Province_Client],_26_03_2026_Client_Churn_v1[Plaintes_Service_Client],"non trouvé")</f>
        <v>non trouvé</v>
      </c>
    </row>
    <row r="410" spans="1:16" hidden="1" x14ac:dyDescent="0.25">
      <c r="A410" s="1">
        <v>45220</v>
      </c>
      <c r="B410" s="2">
        <v>0.55138888888888893</v>
      </c>
      <c r="C410" t="s">
        <v>1068</v>
      </c>
      <c r="D410">
        <v>6</v>
      </c>
      <c r="E410" t="s">
        <v>807</v>
      </c>
      <c r="F410" t="str">
        <f>_xlfn.XLOOKUP(_26_03_2026_Log_Reseau_v15[[#This Row],[Cell_ID]],_26_03_2026_Registre_Maintenance_v1[ID_Antenne],_26_03_2026_Registre_Maintenance_v1[zone],"pas trouvé")</f>
        <v>pas trouvé</v>
      </c>
      <c r="G410" t="str">
        <f>_xlfn.XLOOKUP(_26_03_2026_Log_Reseau_v15[[#This Row],[Cell_ID]],_26_03_2026_Registre_Maintenance_v1[ID_Antenne],_26_03_2026_Registre_Maintenance_v1[Latitude],"non trouvé")</f>
        <v>non trouvé</v>
      </c>
      <c r="H410" t="str">
        <f>_xlfn.XLOOKUP(_26_03_2026_Log_Reseau_v15[[#This Row],[Cell_ID]],_26_03_2026_Registre_Maintenance_v1[ID_Antenne],_26_03_2026_Registre_Maintenance_v1[Longitude],"pas trouvé")</f>
        <v>pas trouvé</v>
      </c>
      <c r="I410" t="str">
        <f>_xlfn.XLOOKUP(_26_03_2026_Log_Reseau_v15[[#This Row],[Cell_ID]],_26_03_2026_Registre_Maintenance_v1[ID_Antenne],_26_03_2026_Registre_Maintenance_v1[Technologie],"non trouvé")</f>
        <v>non trouvé</v>
      </c>
      <c r="J410" t="str">
        <f>_xlfn.XLOOKUP(_26_03_2026_Log_Reseau_v15[[#This Row],[Cell_ID]],_26_03_2026_Registre_Maintenance_v1[ID_Antenne],_26_03_2026_Registre_Maintenance_v1[Equipementier],"pas trouvé")</f>
        <v>pas trouvé</v>
      </c>
      <c r="K410" t="str">
        <f>_xlfn.XLOOKUP(_26_03_2026_Log_Reseau_v15[[#This Row],[province RDC]],_26_03_2026_Client_Churn_v1[Province_Client],_26_03_2026_Client_Churn_v1[ID_Client],"non trouvé")</f>
        <v>non trouvé</v>
      </c>
      <c r="L410" t="str">
        <f>_xlfn.XLOOKUP(_26_03_2026_Log_Reseau_v15[[#This Row],[province RDC]],_26_03_2026_Client_Churn_v1[Province_Client],_26_03_2026_Client_Churn_v1[Anciennete_Mois],"non trouvé")</f>
        <v>non trouvé</v>
      </c>
      <c r="M410" t="str">
        <f>_xlfn.XLOOKUP(_26_03_2026_Log_Reseau_v15[[#This Row],[province RDC]],_26_03_2026_Client_Churn_v1[Province_Client],_26_03_2026_Client_Churn_v1[Type_Forfait],"non trouvé")</f>
        <v>non trouvé</v>
      </c>
      <c r="N410" t="str">
        <f>_xlfn.XLOOKUP(_26_03_2026_Log_Reseau_v15[[#This Row],[province RDC]],_26_03_2026_Client_Churn_v1[Province_Client],_26_03_2026_Client_Churn_v1[Duree_Cumulee_Panne_Min],"non trouvé")</f>
        <v>non trouvé</v>
      </c>
      <c r="O410" t="str">
        <f>_xlfn.XLOOKUP(_26_03_2026_Log_Reseau_v15[[#This Row],[province RDC]],_26_03_2026_Client_Churn_v1[Province_Client],_26_03_2026_Client_Churn_v1[Facture_Mensuelle],"non trouvé")</f>
        <v>non trouvé</v>
      </c>
      <c r="P410" t="str">
        <f>_xlfn.XLOOKUP(_26_03_2026_Log_Reseau_v15[[#This Row],[province RDC]],_26_03_2026_Client_Churn_v1[Province_Client],_26_03_2026_Client_Churn_v1[Plaintes_Service_Client],"non trouvé")</f>
        <v>non trouvé</v>
      </c>
    </row>
    <row r="411" spans="1:16" x14ac:dyDescent="0.25">
      <c r="A411" s="1">
        <v>45200</v>
      </c>
      <c r="B411" s="2">
        <v>0.57013888888888886</v>
      </c>
      <c r="C411" t="s">
        <v>1069</v>
      </c>
      <c r="D411">
        <v>53</v>
      </c>
      <c r="E411" t="s">
        <v>812</v>
      </c>
      <c r="F411" t="str">
        <f>_xlfn.XLOOKUP(_26_03_2026_Log_Reseau_v15[[#This Row],[Cell_ID]],_26_03_2026_Registre_Maintenance_v1[ID_Antenne],_26_03_2026_Registre_Maintenance_v1[zone],"pas trouvé")</f>
        <v>Kongo-Central</v>
      </c>
      <c r="G411">
        <f>_xlfn.XLOOKUP(_26_03_2026_Log_Reseau_v15[[#This Row],[Cell_ID]],_26_03_2026_Registre_Maintenance_v1[ID_Antenne],_26_03_2026_Registre_Maintenance_v1[Latitude],"non trouvé")</f>
        <v>2.8552499999999998</v>
      </c>
      <c r="H411">
        <f>_xlfn.XLOOKUP(_26_03_2026_Log_Reseau_v15[[#This Row],[Cell_ID]],_26_03_2026_Registre_Maintenance_v1[ID_Antenne],_26_03_2026_Registre_Maintenance_v1[Longitude],"pas trouvé")</f>
        <v>14.077933</v>
      </c>
      <c r="I411" t="str">
        <f>_xlfn.XLOOKUP(_26_03_2026_Log_Reseau_v15[[#This Row],[Cell_ID]],_26_03_2026_Registre_Maintenance_v1[ID_Antenne],_26_03_2026_Registre_Maintenance_v1[Technologie],"non trouvé")</f>
        <v>4G</v>
      </c>
      <c r="J411" t="str">
        <f>_xlfn.XLOOKUP(_26_03_2026_Log_Reseau_v15[[#This Row],[Cell_ID]],_26_03_2026_Registre_Maintenance_v1[ID_Antenne],_26_03_2026_Registre_Maintenance_v1[Equipementier],"pas trouvé")</f>
        <v>ZTE</v>
      </c>
      <c r="K411" t="str">
        <f>_xlfn.XLOOKUP(_26_03_2026_Log_Reseau_v15[[#This Row],[province RDC]],_26_03_2026_Client_Churn_v1[Province_Client],_26_03_2026_Client_Churn_v1[ID_Client],"non trouvé")</f>
        <v>CLI-01233</v>
      </c>
      <c r="L411">
        <f>_xlfn.XLOOKUP(_26_03_2026_Log_Reseau_v15[[#This Row],[province RDC]],_26_03_2026_Client_Churn_v1[Province_Client],_26_03_2026_Client_Churn_v1[Anciennete_Mois],"non trouvé")</f>
        <v>101</v>
      </c>
      <c r="M411" t="str">
        <f>_xlfn.XLOOKUP(_26_03_2026_Log_Reseau_v15[[#This Row],[province RDC]],_26_03_2026_Client_Churn_v1[Province_Client],_26_03_2026_Client_Churn_v1[Type_Forfait],"non trouvé")</f>
        <v>Pro Monde</v>
      </c>
      <c r="N411">
        <f>_xlfn.XLOOKUP(_26_03_2026_Log_Reseau_v15[[#This Row],[province RDC]],_26_03_2026_Client_Churn_v1[Province_Client],_26_03_2026_Client_Churn_v1[Duree_Cumulee_Panne_Min],"non trouvé")</f>
        <v>333</v>
      </c>
      <c r="O411">
        <f>_xlfn.XLOOKUP(_26_03_2026_Log_Reseau_v15[[#This Row],[province RDC]],_26_03_2026_Client_Churn_v1[Province_Client],_26_03_2026_Client_Churn_v1[Facture_Mensuelle],"non trouvé")</f>
        <v>74.319999999999993</v>
      </c>
      <c r="P411">
        <f>_xlfn.XLOOKUP(_26_03_2026_Log_Reseau_v15[[#This Row],[province RDC]],_26_03_2026_Client_Churn_v1[Province_Client],_26_03_2026_Client_Churn_v1[Plaintes_Service_Client],"non trouvé")</f>
        <v>1</v>
      </c>
    </row>
    <row r="412" spans="1:16" hidden="1" x14ac:dyDescent="0.25">
      <c r="A412" s="1">
        <v>45205</v>
      </c>
      <c r="B412" s="2">
        <v>0.79374999999999996</v>
      </c>
      <c r="C412" t="s">
        <v>1070</v>
      </c>
      <c r="D412">
        <v>99</v>
      </c>
      <c r="E412" t="s">
        <v>808</v>
      </c>
      <c r="F412" t="str">
        <f>_xlfn.XLOOKUP(_26_03_2026_Log_Reseau_v15[[#This Row],[Cell_ID]],_26_03_2026_Registre_Maintenance_v1[ID_Antenne],_26_03_2026_Registre_Maintenance_v1[zone],"pas trouvé")</f>
        <v>pas trouvé</v>
      </c>
      <c r="G412" t="str">
        <f>_xlfn.XLOOKUP(_26_03_2026_Log_Reseau_v15[[#This Row],[Cell_ID]],_26_03_2026_Registre_Maintenance_v1[ID_Antenne],_26_03_2026_Registre_Maintenance_v1[Latitude],"non trouvé")</f>
        <v>non trouvé</v>
      </c>
      <c r="H412" t="str">
        <f>_xlfn.XLOOKUP(_26_03_2026_Log_Reseau_v15[[#This Row],[Cell_ID]],_26_03_2026_Registre_Maintenance_v1[ID_Antenne],_26_03_2026_Registre_Maintenance_v1[Longitude],"pas trouvé")</f>
        <v>pas trouvé</v>
      </c>
      <c r="I412" t="str">
        <f>_xlfn.XLOOKUP(_26_03_2026_Log_Reseau_v15[[#This Row],[Cell_ID]],_26_03_2026_Registre_Maintenance_v1[ID_Antenne],_26_03_2026_Registre_Maintenance_v1[Technologie],"non trouvé")</f>
        <v>non trouvé</v>
      </c>
      <c r="J412" t="str">
        <f>_xlfn.XLOOKUP(_26_03_2026_Log_Reseau_v15[[#This Row],[Cell_ID]],_26_03_2026_Registre_Maintenance_v1[ID_Antenne],_26_03_2026_Registre_Maintenance_v1[Equipementier],"pas trouvé")</f>
        <v>pas trouvé</v>
      </c>
      <c r="K412" t="str">
        <f>_xlfn.XLOOKUP(_26_03_2026_Log_Reseau_v15[[#This Row],[province RDC]],_26_03_2026_Client_Churn_v1[Province_Client],_26_03_2026_Client_Churn_v1[ID_Client],"non trouvé")</f>
        <v>non trouvé</v>
      </c>
      <c r="L412" t="str">
        <f>_xlfn.XLOOKUP(_26_03_2026_Log_Reseau_v15[[#This Row],[province RDC]],_26_03_2026_Client_Churn_v1[Province_Client],_26_03_2026_Client_Churn_v1[Anciennete_Mois],"non trouvé")</f>
        <v>non trouvé</v>
      </c>
      <c r="M412" t="str">
        <f>_xlfn.XLOOKUP(_26_03_2026_Log_Reseau_v15[[#This Row],[province RDC]],_26_03_2026_Client_Churn_v1[Province_Client],_26_03_2026_Client_Churn_v1[Type_Forfait],"non trouvé")</f>
        <v>non trouvé</v>
      </c>
      <c r="N412" t="str">
        <f>_xlfn.XLOOKUP(_26_03_2026_Log_Reseau_v15[[#This Row],[province RDC]],_26_03_2026_Client_Churn_v1[Province_Client],_26_03_2026_Client_Churn_v1[Duree_Cumulee_Panne_Min],"non trouvé")</f>
        <v>non trouvé</v>
      </c>
      <c r="O412" t="str">
        <f>_xlfn.XLOOKUP(_26_03_2026_Log_Reseau_v15[[#This Row],[province RDC]],_26_03_2026_Client_Churn_v1[Province_Client],_26_03_2026_Client_Churn_v1[Facture_Mensuelle],"non trouvé")</f>
        <v>non trouvé</v>
      </c>
      <c r="P412" t="str">
        <f>_xlfn.XLOOKUP(_26_03_2026_Log_Reseau_v15[[#This Row],[province RDC]],_26_03_2026_Client_Churn_v1[Province_Client],_26_03_2026_Client_Churn_v1[Plaintes_Service_Client],"non trouvé")</f>
        <v>non trouvé</v>
      </c>
    </row>
    <row r="413" spans="1:16" x14ac:dyDescent="0.25">
      <c r="A413" s="1">
        <v>45215</v>
      </c>
      <c r="B413" s="2">
        <v>0.58750000000000002</v>
      </c>
      <c r="C413" t="s">
        <v>1071</v>
      </c>
      <c r="D413">
        <v>24</v>
      </c>
      <c r="E413" t="s">
        <v>808</v>
      </c>
      <c r="F413" t="str">
        <f>_xlfn.XLOOKUP(_26_03_2026_Log_Reseau_v15[[#This Row],[Cell_ID]],_26_03_2026_Registre_Maintenance_v1[ID_Antenne],_26_03_2026_Registre_Maintenance_v1[zone],"pas trouvé")</f>
        <v>Maniema</v>
      </c>
      <c r="G413">
        <f>_xlfn.XLOOKUP(_26_03_2026_Log_Reseau_v15[[#This Row],[Cell_ID]],_26_03_2026_Registre_Maintenance_v1[ID_Antenne],_26_03_2026_Registre_Maintenance_v1[Latitude],"non trouvé")</f>
        <v>2.5458379999999998</v>
      </c>
      <c r="H413">
        <f>_xlfn.XLOOKUP(_26_03_2026_Log_Reseau_v15[[#This Row],[Cell_ID]],_26_03_2026_Registre_Maintenance_v1[ID_Antenne],_26_03_2026_Registre_Maintenance_v1[Longitude],"pas trouvé")</f>
        <v>13.308655</v>
      </c>
      <c r="I413" t="str">
        <f>_xlfn.XLOOKUP(_26_03_2026_Log_Reseau_v15[[#This Row],[Cell_ID]],_26_03_2026_Registre_Maintenance_v1[ID_Antenne],_26_03_2026_Registre_Maintenance_v1[Technologie],"non trouvé")</f>
        <v>5G</v>
      </c>
      <c r="J413" t="str">
        <f>_xlfn.XLOOKUP(_26_03_2026_Log_Reseau_v15[[#This Row],[Cell_ID]],_26_03_2026_Registre_Maintenance_v1[ID_Antenne],_26_03_2026_Registre_Maintenance_v1[Equipementier],"pas trouvé")</f>
        <v>ZTE</v>
      </c>
      <c r="K413" t="str">
        <f>_xlfn.XLOOKUP(_26_03_2026_Log_Reseau_v15[[#This Row],[province RDC]],_26_03_2026_Client_Churn_v1[Province_Client],_26_03_2026_Client_Churn_v1[ID_Client],"non trouvé")</f>
        <v>CLI-00185</v>
      </c>
      <c r="L413">
        <f>_xlfn.XLOOKUP(_26_03_2026_Log_Reseau_v15[[#This Row],[province RDC]],_26_03_2026_Client_Churn_v1[Province_Client],_26_03_2026_Client_Churn_v1[Anciennete_Mois],"non trouvé")</f>
        <v>81</v>
      </c>
      <c r="M413" t="str">
        <f>_xlfn.XLOOKUP(_26_03_2026_Log_Reseau_v15[[#This Row],[province RDC]],_26_03_2026_Client_Churn_v1[Province_Client],_26_03_2026_Client_Churn_v1[Type_Forfait],"non trouvé")</f>
        <v>Pro Monde</v>
      </c>
      <c r="N413">
        <f>_xlfn.XLOOKUP(_26_03_2026_Log_Reseau_v15[[#This Row],[province RDC]],_26_03_2026_Client_Churn_v1[Province_Client],_26_03_2026_Client_Churn_v1[Duree_Cumulee_Panne_Min],"non trouvé")</f>
        <v>154</v>
      </c>
      <c r="O413">
        <f>_xlfn.XLOOKUP(_26_03_2026_Log_Reseau_v15[[#This Row],[province RDC]],_26_03_2026_Client_Churn_v1[Province_Client],_26_03_2026_Client_Churn_v1[Facture_Mensuelle],"non trouvé")</f>
        <v>19.47</v>
      </c>
      <c r="P413">
        <f>_xlfn.XLOOKUP(_26_03_2026_Log_Reseau_v15[[#This Row],[province RDC]],_26_03_2026_Client_Churn_v1[Province_Client],_26_03_2026_Client_Churn_v1[Plaintes_Service_Client],"non trouvé")</f>
        <v>3</v>
      </c>
    </row>
    <row r="414" spans="1:16" x14ac:dyDescent="0.25">
      <c r="A414" s="1">
        <v>45215</v>
      </c>
      <c r="B414" s="2">
        <v>4.9305555555555554E-2</v>
      </c>
      <c r="C414" t="s">
        <v>1071</v>
      </c>
      <c r="D414">
        <v>33</v>
      </c>
      <c r="E414" t="s">
        <v>808</v>
      </c>
      <c r="F414" t="str">
        <f>_xlfn.XLOOKUP(_26_03_2026_Log_Reseau_v15[[#This Row],[Cell_ID]],_26_03_2026_Registre_Maintenance_v1[ID_Antenne],_26_03_2026_Registre_Maintenance_v1[zone],"pas trouvé")</f>
        <v>Maniema</v>
      </c>
      <c r="G414">
        <f>_xlfn.XLOOKUP(_26_03_2026_Log_Reseau_v15[[#This Row],[Cell_ID]],_26_03_2026_Registre_Maintenance_v1[ID_Antenne],_26_03_2026_Registre_Maintenance_v1[Latitude],"non trouvé")</f>
        <v>2.5458379999999998</v>
      </c>
      <c r="H414">
        <f>_xlfn.XLOOKUP(_26_03_2026_Log_Reseau_v15[[#This Row],[Cell_ID]],_26_03_2026_Registre_Maintenance_v1[ID_Antenne],_26_03_2026_Registre_Maintenance_v1[Longitude],"pas trouvé")</f>
        <v>13.308655</v>
      </c>
      <c r="I414" t="str">
        <f>_xlfn.XLOOKUP(_26_03_2026_Log_Reseau_v15[[#This Row],[Cell_ID]],_26_03_2026_Registre_Maintenance_v1[ID_Antenne],_26_03_2026_Registre_Maintenance_v1[Technologie],"non trouvé")</f>
        <v>5G</v>
      </c>
      <c r="J414" t="str">
        <f>_xlfn.XLOOKUP(_26_03_2026_Log_Reseau_v15[[#This Row],[Cell_ID]],_26_03_2026_Registre_Maintenance_v1[ID_Antenne],_26_03_2026_Registre_Maintenance_v1[Equipementier],"pas trouvé")</f>
        <v>ZTE</v>
      </c>
      <c r="K414" t="str">
        <f>_xlfn.XLOOKUP(_26_03_2026_Log_Reseau_v15[[#This Row],[province RDC]],_26_03_2026_Client_Churn_v1[Province_Client],_26_03_2026_Client_Churn_v1[ID_Client],"non trouvé")</f>
        <v>CLI-00185</v>
      </c>
      <c r="L414">
        <f>_xlfn.XLOOKUP(_26_03_2026_Log_Reseau_v15[[#This Row],[province RDC]],_26_03_2026_Client_Churn_v1[Province_Client],_26_03_2026_Client_Churn_v1[Anciennete_Mois],"non trouvé")</f>
        <v>81</v>
      </c>
      <c r="M414" t="str">
        <f>_xlfn.XLOOKUP(_26_03_2026_Log_Reseau_v15[[#This Row],[province RDC]],_26_03_2026_Client_Churn_v1[Province_Client],_26_03_2026_Client_Churn_v1[Type_Forfait],"non trouvé")</f>
        <v>Pro Monde</v>
      </c>
      <c r="N414">
        <f>_xlfn.XLOOKUP(_26_03_2026_Log_Reseau_v15[[#This Row],[province RDC]],_26_03_2026_Client_Churn_v1[Province_Client],_26_03_2026_Client_Churn_v1[Duree_Cumulee_Panne_Min],"non trouvé")</f>
        <v>154</v>
      </c>
      <c r="O414">
        <f>_xlfn.XLOOKUP(_26_03_2026_Log_Reseau_v15[[#This Row],[province RDC]],_26_03_2026_Client_Churn_v1[Province_Client],_26_03_2026_Client_Churn_v1[Facture_Mensuelle],"non trouvé")</f>
        <v>19.47</v>
      </c>
      <c r="P414">
        <f>_xlfn.XLOOKUP(_26_03_2026_Log_Reseau_v15[[#This Row],[province RDC]],_26_03_2026_Client_Churn_v1[Province_Client],_26_03_2026_Client_Churn_v1[Plaintes_Service_Client],"non trouvé")</f>
        <v>3</v>
      </c>
    </row>
    <row r="415" spans="1:16" x14ac:dyDescent="0.25">
      <c r="A415" s="1">
        <v>45223</v>
      </c>
      <c r="B415" s="2">
        <v>0.45069444444444445</v>
      </c>
      <c r="C415" t="s">
        <v>1072</v>
      </c>
      <c r="D415">
        <v>14</v>
      </c>
      <c r="E415" t="s">
        <v>812</v>
      </c>
      <c r="F415" t="str">
        <f>_xlfn.XLOOKUP(_26_03_2026_Log_Reseau_v15[[#This Row],[Cell_ID]],_26_03_2026_Registre_Maintenance_v1[ID_Antenne],_26_03_2026_Registre_Maintenance_v1[zone],"pas trouvé")</f>
        <v>Tshuapa</v>
      </c>
      <c r="G415">
        <f>_xlfn.XLOOKUP(_26_03_2026_Log_Reseau_v15[[#This Row],[Cell_ID]],_26_03_2026_Registre_Maintenance_v1[ID_Antenne],_26_03_2026_Registre_Maintenance_v1[Latitude],"non trouvé")</f>
        <v>-2.571777</v>
      </c>
      <c r="H415">
        <f>_xlfn.XLOOKUP(_26_03_2026_Log_Reseau_v15[[#This Row],[Cell_ID]],_26_03_2026_Registre_Maintenance_v1[ID_Antenne],_26_03_2026_Registre_Maintenance_v1[Longitude],"pas trouvé")</f>
        <v>12.120642</v>
      </c>
      <c r="I415" t="str">
        <f>_xlfn.XLOOKUP(_26_03_2026_Log_Reseau_v15[[#This Row],[Cell_ID]],_26_03_2026_Registre_Maintenance_v1[ID_Antenne],_26_03_2026_Registre_Maintenance_v1[Technologie],"non trouvé")</f>
        <v>3G</v>
      </c>
      <c r="J415" t="str">
        <f>_xlfn.XLOOKUP(_26_03_2026_Log_Reseau_v15[[#This Row],[Cell_ID]],_26_03_2026_Registre_Maintenance_v1[ID_Antenne],_26_03_2026_Registre_Maintenance_v1[Equipementier],"pas trouvé")</f>
        <v>Huawei</v>
      </c>
      <c r="K415" t="str">
        <f>_xlfn.XLOOKUP(_26_03_2026_Log_Reseau_v15[[#This Row],[province RDC]],_26_03_2026_Client_Churn_v1[Province_Client],_26_03_2026_Client_Churn_v1[ID_Client],"non trouvé")</f>
        <v>CLI-00894</v>
      </c>
      <c r="L415">
        <f>_xlfn.XLOOKUP(_26_03_2026_Log_Reseau_v15[[#This Row],[province RDC]],_26_03_2026_Client_Churn_v1[Province_Client],_26_03_2026_Client_Churn_v1[Anciennete_Mois],"non trouvé")</f>
        <v>63</v>
      </c>
      <c r="M415" t="str">
        <f>_xlfn.XLOOKUP(_26_03_2026_Log_Reseau_v15[[#This Row],[province RDC]],_26_03_2026_Client_Churn_v1[Province_Client],_26_03_2026_Client_Churn_v1[Type_Forfait],"non trouvé")</f>
        <v>Pro Monde</v>
      </c>
      <c r="N415">
        <f>_xlfn.XLOOKUP(_26_03_2026_Log_Reseau_v15[[#This Row],[province RDC]],_26_03_2026_Client_Churn_v1[Province_Client],_26_03_2026_Client_Churn_v1[Duree_Cumulee_Panne_Min],"non trouvé")</f>
        <v>205</v>
      </c>
      <c r="O415">
        <f>_xlfn.XLOOKUP(_26_03_2026_Log_Reseau_v15[[#This Row],[province RDC]],_26_03_2026_Client_Churn_v1[Province_Client],_26_03_2026_Client_Churn_v1[Facture_Mensuelle],"non trouvé")</f>
        <v>89.19</v>
      </c>
      <c r="P415">
        <f>_xlfn.XLOOKUP(_26_03_2026_Log_Reseau_v15[[#This Row],[province RDC]],_26_03_2026_Client_Churn_v1[Province_Client],_26_03_2026_Client_Churn_v1[Plaintes_Service_Client],"non trouvé")</f>
        <v>0</v>
      </c>
    </row>
    <row r="416" spans="1:16" x14ac:dyDescent="0.25">
      <c r="A416" s="1">
        <v>45227</v>
      </c>
      <c r="B416" s="2">
        <v>0.19583333333333333</v>
      </c>
      <c r="C416" t="s">
        <v>1073</v>
      </c>
      <c r="D416">
        <v>113</v>
      </c>
      <c r="E416" t="s">
        <v>808</v>
      </c>
      <c r="F416" t="str">
        <f>_xlfn.XLOOKUP(_26_03_2026_Log_Reseau_v15[[#This Row],[Cell_ID]],_26_03_2026_Registre_Maintenance_v1[ID_Antenne],_26_03_2026_Registre_Maintenance_v1[zone],"pas trouvé")</f>
        <v>Kinshasa</v>
      </c>
      <c r="G416">
        <f>_xlfn.XLOOKUP(_26_03_2026_Log_Reseau_v15[[#This Row],[Cell_ID]],_26_03_2026_Registre_Maintenance_v1[ID_Antenne],_26_03_2026_Registre_Maintenance_v1[Latitude],"non trouvé")</f>
        <v>-7.5418399999999997</v>
      </c>
      <c r="H416">
        <f>_xlfn.XLOOKUP(_26_03_2026_Log_Reseau_v15[[#This Row],[Cell_ID]],_26_03_2026_Registre_Maintenance_v1[ID_Antenne],_26_03_2026_Registre_Maintenance_v1[Longitude],"pas trouvé")</f>
        <v>16.931206</v>
      </c>
      <c r="I416" t="str">
        <f>_xlfn.XLOOKUP(_26_03_2026_Log_Reseau_v15[[#This Row],[Cell_ID]],_26_03_2026_Registre_Maintenance_v1[ID_Antenne],_26_03_2026_Registre_Maintenance_v1[Technologie],"non trouvé")</f>
        <v>3G</v>
      </c>
      <c r="J416" t="str">
        <f>_xlfn.XLOOKUP(_26_03_2026_Log_Reseau_v15[[#This Row],[Cell_ID]],_26_03_2026_Registre_Maintenance_v1[ID_Antenne],_26_03_2026_Registre_Maintenance_v1[Equipementier],"pas trouvé")</f>
        <v>Nokia</v>
      </c>
      <c r="K416" t="str">
        <f>_xlfn.XLOOKUP(_26_03_2026_Log_Reseau_v15[[#This Row],[province RDC]],_26_03_2026_Client_Churn_v1[Province_Client],_26_03_2026_Client_Churn_v1[ID_Client],"non trouvé")</f>
        <v>CLI-00611</v>
      </c>
      <c r="L416">
        <f>_xlfn.XLOOKUP(_26_03_2026_Log_Reseau_v15[[#This Row],[province RDC]],_26_03_2026_Client_Churn_v1[Province_Client],_26_03_2026_Client_Churn_v1[Anciennete_Mois],"non trouvé")</f>
        <v>79</v>
      </c>
      <c r="M416" t="str">
        <f>_xlfn.XLOOKUP(_26_03_2026_Log_Reseau_v15[[#This Row],[province RDC]],_26_03_2026_Client_Churn_v1[Province_Client],_26_03_2026_Client_Churn_v1[Type_Forfait],"non trouvé")</f>
        <v>Premium 5G 150Go</v>
      </c>
      <c r="N416">
        <f>_xlfn.XLOOKUP(_26_03_2026_Log_Reseau_v15[[#This Row],[province RDC]],_26_03_2026_Client_Churn_v1[Province_Client],_26_03_2026_Client_Churn_v1[Duree_Cumulee_Panne_Min],"non trouvé")</f>
        <v>226</v>
      </c>
      <c r="O416">
        <f>_xlfn.XLOOKUP(_26_03_2026_Log_Reseau_v15[[#This Row],[province RDC]],_26_03_2026_Client_Churn_v1[Province_Client],_26_03_2026_Client_Churn_v1[Facture_Mensuelle],"non trouvé")</f>
        <v>94.38</v>
      </c>
      <c r="P416">
        <f>_xlfn.XLOOKUP(_26_03_2026_Log_Reseau_v15[[#This Row],[province RDC]],_26_03_2026_Client_Churn_v1[Province_Client],_26_03_2026_Client_Churn_v1[Plaintes_Service_Client],"non trouvé")</f>
        <v>3</v>
      </c>
    </row>
    <row r="417" spans="1:16" x14ac:dyDescent="0.25">
      <c r="A417" s="1">
        <v>45220</v>
      </c>
      <c r="B417" s="2">
        <v>0.87708333333333333</v>
      </c>
      <c r="C417" t="s">
        <v>1073</v>
      </c>
      <c r="D417">
        <v>78</v>
      </c>
      <c r="E417" t="s">
        <v>807</v>
      </c>
      <c r="F417" t="str">
        <f>_xlfn.XLOOKUP(_26_03_2026_Log_Reseau_v15[[#This Row],[Cell_ID]],_26_03_2026_Registre_Maintenance_v1[ID_Antenne],_26_03_2026_Registre_Maintenance_v1[zone],"pas trouvé")</f>
        <v>Kinshasa</v>
      </c>
      <c r="G417">
        <f>_xlfn.XLOOKUP(_26_03_2026_Log_Reseau_v15[[#This Row],[Cell_ID]],_26_03_2026_Registre_Maintenance_v1[ID_Antenne],_26_03_2026_Registre_Maintenance_v1[Latitude],"non trouvé")</f>
        <v>-7.5418399999999997</v>
      </c>
      <c r="H417">
        <f>_xlfn.XLOOKUP(_26_03_2026_Log_Reseau_v15[[#This Row],[Cell_ID]],_26_03_2026_Registre_Maintenance_v1[ID_Antenne],_26_03_2026_Registre_Maintenance_v1[Longitude],"pas trouvé")</f>
        <v>16.931206</v>
      </c>
      <c r="I417" t="str">
        <f>_xlfn.XLOOKUP(_26_03_2026_Log_Reseau_v15[[#This Row],[Cell_ID]],_26_03_2026_Registre_Maintenance_v1[ID_Antenne],_26_03_2026_Registre_Maintenance_v1[Technologie],"non trouvé")</f>
        <v>3G</v>
      </c>
      <c r="J417" t="str">
        <f>_xlfn.XLOOKUP(_26_03_2026_Log_Reseau_v15[[#This Row],[Cell_ID]],_26_03_2026_Registre_Maintenance_v1[ID_Antenne],_26_03_2026_Registre_Maintenance_v1[Equipementier],"pas trouvé")</f>
        <v>Nokia</v>
      </c>
      <c r="K417" t="str">
        <f>_xlfn.XLOOKUP(_26_03_2026_Log_Reseau_v15[[#This Row],[province RDC]],_26_03_2026_Client_Churn_v1[Province_Client],_26_03_2026_Client_Churn_v1[ID_Client],"non trouvé")</f>
        <v>CLI-00611</v>
      </c>
      <c r="L417">
        <f>_xlfn.XLOOKUP(_26_03_2026_Log_Reseau_v15[[#This Row],[province RDC]],_26_03_2026_Client_Churn_v1[Province_Client],_26_03_2026_Client_Churn_v1[Anciennete_Mois],"non trouvé")</f>
        <v>79</v>
      </c>
      <c r="M417" t="str">
        <f>_xlfn.XLOOKUP(_26_03_2026_Log_Reseau_v15[[#This Row],[province RDC]],_26_03_2026_Client_Churn_v1[Province_Client],_26_03_2026_Client_Churn_v1[Type_Forfait],"non trouvé")</f>
        <v>Premium 5G 150Go</v>
      </c>
      <c r="N417">
        <f>_xlfn.XLOOKUP(_26_03_2026_Log_Reseau_v15[[#This Row],[province RDC]],_26_03_2026_Client_Churn_v1[Province_Client],_26_03_2026_Client_Churn_v1[Duree_Cumulee_Panne_Min],"non trouvé")</f>
        <v>226</v>
      </c>
      <c r="O417">
        <f>_xlfn.XLOOKUP(_26_03_2026_Log_Reseau_v15[[#This Row],[province RDC]],_26_03_2026_Client_Churn_v1[Province_Client],_26_03_2026_Client_Churn_v1[Facture_Mensuelle],"non trouvé")</f>
        <v>94.38</v>
      </c>
      <c r="P417">
        <f>_xlfn.XLOOKUP(_26_03_2026_Log_Reseau_v15[[#This Row],[province RDC]],_26_03_2026_Client_Churn_v1[Province_Client],_26_03_2026_Client_Churn_v1[Plaintes_Service_Client],"non trouvé")</f>
        <v>3</v>
      </c>
    </row>
    <row r="418" spans="1:16" x14ac:dyDescent="0.25">
      <c r="A418" s="1">
        <v>45218</v>
      </c>
      <c r="B418" s="2">
        <v>0.67569444444444449</v>
      </c>
      <c r="C418" t="s">
        <v>1074</v>
      </c>
      <c r="D418">
        <v>37</v>
      </c>
      <c r="E418" t="s">
        <v>812</v>
      </c>
      <c r="F418" t="str">
        <f>_xlfn.XLOOKUP(_26_03_2026_Log_Reseau_v15[[#This Row],[Cell_ID]],_26_03_2026_Registre_Maintenance_v1[ID_Antenne],_26_03_2026_Registre_Maintenance_v1[zone],"pas trouvé")</f>
        <v>Sud-Kivu</v>
      </c>
      <c r="G418">
        <f>_xlfn.XLOOKUP(_26_03_2026_Log_Reseau_v15[[#This Row],[Cell_ID]],_26_03_2026_Registre_Maintenance_v1[ID_Antenne],_26_03_2026_Registre_Maintenance_v1[Latitude],"non trouvé")</f>
        <v>-2.9651529999999999</v>
      </c>
      <c r="H418">
        <f>_xlfn.XLOOKUP(_26_03_2026_Log_Reseau_v15[[#This Row],[Cell_ID]],_26_03_2026_Registre_Maintenance_v1[ID_Antenne],_26_03_2026_Registre_Maintenance_v1[Longitude],"pas trouvé")</f>
        <v>29.79908</v>
      </c>
      <c r="I418" t="str">
        <f>_xlfn.XLOOKUP(_26_03_2026_Log_Reseau_v15[[#This Row],[Cell_ID]],_26_03_2026_Registre_Maintenance_v1[ID_Antenne],_26_03_2026_Registre_Maintenance_v1[Technologie],"non trouvé")</f>
        <v>4G</v>
      </c>
      <c r="J418" t="str">
        <f>_xlfn.XLOOKUP(_26_03_2026_Log_Reseau_v15[[#This Row],[Cell_ID]],_26_03_2026_Registre_Maintenance_v1[ID_Antenne],_26_03_2026_Registre_Maintenance_v1[Equipementier],"pas trouvé")</f>
        <v>Ericsson</v>
      </c>
      <c r="K418" t="str">
        <f>_xlfn.XLOOKUP(_26_03_2026_Log_Reseau_v15[[#This Row],[province RDC]],_26_03_2026_Client_Churn_v1[Province_Client],_26_03_2026_Client_Churn_v1[ID_Client],"non trouvé")</f>
        <v>CLI-01855</v>
      </c>
      <c r="L418">
        <f>_xlfn.XLOOKUP(_26_03_2026_Log_Reseau_v15[[#This Row],[province RDC]],_26_03_2026_Client_Churn_v1[Province_Client],_26_03_2026_Client_Churn_v1[Anciennete_Mois],"non trouvé")</f>
        <v>101</v>
      </c>
      <c r="M418" t="str">
        <f>_xlfn.XLOOKUP(_26_03_2026_Log_Reseau_v15[[#This Row],[province RDC]],_26_03_2026_Client_Churn_v1[Province_Client],_26_03_2026_Client_Churn_v1[Type_Forfait],"non trouvé")</f>
        <v>Illimité 50Go</v>
      </c>
      <c r="N418">
        <f>_xlfn.XLOOKUP(_26_03_2026_Log_Reseau_v15[[#This Row],[province RDC]],_26_03_2026_Client_Churn_v1[Province_Client],_26_03_2026_Client_Churn_v1[Duree_Cumulee_Panne_Min],"non trouvé")</f>
        <v>358</v>
      </c>
      <c r="O418">
        <f>_xlfn.XLOOKUP(_26_03_2026_Log_Reseau_v15[[#This Row],[province RDC]],_26_03_2026_Client_Churn_v1[Province_Client],_26_03_2026_Client_Churn_v1[Facture_Mensuelle],"non trouvé")</f>
        <v>29.24</v>
      </c>
      <c r="P418">
        <f>_xlfn.XLOOKUP(_26_03_2026_Log_Reseau_v15[[#This Row],[province RDC]],_26_03_2026_Client_Churn_v1[Province_Client],_26_03_2026_Client_Churn_v1[Plaintes_Service_Client],"non trouvé")</f>
        <v>3</v>
      </c>
    </row>
    <row r="419" spans="1:16" x14ac:dyDescent="0.25">
      <c r="A419" s="1">
        <v>45221</v>
      </c>
      <c r="B419" s="2">
        <v>0.51736111111111116</v>
      </c>
      <c r="C419" t="s">
        <v>1074</v>
      </c>
      <c r="D419">
        <v>83</v>
      </c>
      <c r="E419" t="s">
        <v>812</v>
      </c>
      <c r="F419" t="str">
        <f>_xlfn.XLOOKUP(_26_03_2026_Log_Reseau_v15[[#This Row],[Cell_ID]],_26_03_2026_Registre_Maintenance_v1[ID_Antenne],_26_03_2026_Registre_Maintenance_v1[zone],"pas trouvé")</f>
        <v>Sud-Kivu</v>
      </c>
      <c r="G419">
        <f>_xlfn.XLOOKUP(_26_03_2026_Log_Reseau_v15[[#This Row],[Cell_ID]],_26_03_2026_Registre_Maintenance_v1[ID_Antenne],_26_03_2026_Registre_Maintenance_v1[Latitude],"non trouvé")</f>
        <v>-2.9651529999999999</v>
      </c>
      <c r="H419">
        <f>_xlfn.XLOOKUP(_26_03_2026_Log_Reseau_v15[[#This Row],[Cell_ID]],_26_03_2026_Registre_Maintenance_v1[ID_Antenne],_26_03_2026_Registre_Maintenance_v1[Longitude],"pas trouvé")</f>
        <v>29.79908</v>
      </c>
      <c r="I419" t="str">
        <f>_xlfn.XLOOKUP(_26_03_2026_Log_Reseau_v15[[#This Row],[Cell_ID]],_26_03_2026_Registre_Maintenance_v1[ID_Antenne],_26_03_2026_Registre_Maintenance_v1[Technologie],"non trouvé")</f>
        <v>4G</v>
      </c>
      <c r="J419" t="str">
        <f>_xlfn.XLOOKUP(_26_03_2026_Log_Reseau_v15[[#This Row],[Cell_ID]],_26_03_2026_Registre_Maintenance_v1[ID_Antenne],_26_03_2026_Registre_Maintenance_v1[Equipementier],"pas trouvé")</f>
        <v>Ericsson</v>
      </c>
      <c r="K419" t="str">
        <f>_xlfn.XLOOKUP(_26_03_2026_Log_Reseau_v15[[#This Row],[province RDC]],_26_03_2026_Client_Churn_v1[Province_Client],_26_03_2026_Client_Churn_v1[ID_Client],"non trouvé")</f>
        <v>CLI-01855</v>
      </c>
      <c r="L419">
        <f>_xlfn.XLOOKUP(_26_03_2026_Log_Reseau_v15[[#This Row],[province RDC]],_26_03_2026_Client_Churn_v1[Province_Client],_26_03_2026_Client_Churn_v1[Anciennete_Mois],"non trouvé")</f>
        <v>101</v>
      </c>
      <c r="M419" t="str">
        <f>_xlfn.XLOOKUP(_26_03_2026_Log_Reseau_v15[[#This Row],[province RDC]],_26_03_2026_Client_Churn_v1[Province_Client],_26_03_2026_Client_Churn_v1[Type_Forfait],"non trouvé")</f>
        <v>Illimité 50Go</v>
      </c>
      <c r="N419">
        <f>_xlfn.XLOOKUP(_26_03_2026_Log_Reseau_v15[[#This Row],[province RDC]],_26_03_2026_Client_Churn_v1[Province_Client],_26_03_2026_Client_Churn_v1[Duree_Cumulee_Panne_Min],"non trouvé")</f>
        <v>358</v>
      </c>
      <c r="O419">
        <f>_xlfn.XLOOKUP(_26_03_2026_Log_Reseau_v15[[#This Row],[province RDC]],_26_03_2026_Client_Churn_v1[Province_Client],_26_03_2026_Client_Churn_v1[Facture_Mensuelle],"non trouvé")</f>
        <v>29.24</v>
      </c>
      <c r="P419">
        <f>_xlfn.XLOOKUP(_26_03_2026_Log_Reseau_v15[[#This Row],[province RDC]],_26_03_2026_Client_Churn_v1[Province_Client],_26_03_2026_Client_Churn_v1[Plaintes_Service_Client],"non trouvé")</f>
        <v>3</v>
      </c>
    </row>
    <row r="420" spans="1:16" x14ac:dyDescent="0.25">
      <c r="A420" s="1">
        <v>45213</v>
      </c>
      <c r="B420" s="2">
        <v>6.6666666666666666E-2</v>
      </c>
      <c r="C420" t="s">
        <v>1075</v>
      </c>
      <c r="D420">
        <v>63</v>
      </c>
      <c r="E420" t="s">
        <v>807</v>
      </c>
      <c r="F420" t="str">
        <f>_xlfn.XLOOKUP(_26_03_2026_Log_Reseau_v15[[#This Row],[Cell_ID]],_26_03_2026_Registre_Maintenance_v1[ID_Antenne],_26_03_2026_Registre_Maintenance_v1[zone],"pas trouvé")</f>
        <v>Sud-Ubangi</v>
      </c>
      <c r="G420">
        <f>_xlfn.XLOOKUP(_26_03_2026_Log_Reseau_v15[[#This Row],[Cell_ID]],_26_03_2026_Registre_Maintenance_v1[ID_Antenne],_26_03_2026_Registre_Maintenance_v1[Latitude],"non trouvé")</f>
        <v>-11.387295999999999</v>
      </c>
      <c r="H420">
        <f>_xlfn.XLOOKUP(_26_03_2026_Log_Reseau_v15[[#This Row],[Cell_ID]],_26_03_2026_Registre_Maintenance_v1[ID_Antenne],_26_03_2026_Registre_Maintenance_v1[Longitude],"pas trouvé")</f>
        <v>19.384257999999999</v>
      </c>
      <c r="I420" t="str">
        <f>_xlfn.XLOOKUP(_26_03_2026_Log_Reseau_v15[[#This Row],[Cell_ID]],_26_03_2026_Registre_Maintenance_v1[ID_Antenne],_26_03_2026_Registre_Maintenance_v1[Technologie],"non trouvé")</f>
        <v>3G</v>
      </c>
      <c r="J420" t="str">
        <f>_xlfn.XLOOKUP(_26_03_2026_Log_Reseau_v15[[#This Row],[Cell_ID]],_26_03_2026_Registre_Maintenance_v1[ID_Antenne],_26_03_2026_Registre_Maintenance_v1[Equipementier],"pas trouvé")</f>
        <v>Huawei</v>
      </c>
      <c r="K420" t="str">
        <f>_xlfn.XLOOKUP(_26_03_2026_Log_Reseau_v15[[#This Row],[province RDC]],_26_03_2026_Client_Churn_v1[Province_Client],_26_03_2026_Client_Churn_v1[ID_Client],"non trouvé")</f>
        <v>CLI-00280</v>
      </c>
      <c r="L420">
        <f>_xlfn.XLOOKUP(_26_03_2026_Log_Reseau_v15[[#This Row],[province RDC]],_26_03_2026_Client_Churn_v1[Province_Client],_26_03_2026_Client_Churn_v1[Anciennete_Mois],"non trouvé")</f>
        <v>113</v>
      </c>
      <c r="M420" t="str">
        <f>_xlfn.XLOOKUP(_26_03_2026_Log_Reseau_v15[[#This Row],[province RDC]],_26_03_2026_Client_Churn_v1[Province_Client],_26_03_2026_Client_Churn_v1[Type_Forfait],"non trouvé")</f>
        <v>Illimité 50Go</v>
      </c>
      <c r="N420">
        <f>_xlfn.XLOOKUP(_26_03_2026_Log_Reseau_v15[[#This Row],[province RDC]],_26_03_2026_Client_Churn_v1[Province_Client],_26_03_2026_Client_Churn_v1[Duree_Cumulee_Panne_Min],"non trouvé")</f>
        <v>380</v>
      </c>
      <c r="O420">
        <f>_xlfn.XLOOKUP(_26_03_2026_Log_Reseau_v15[[#This Row],[province RDC]],_26_03_2026_Client_Churn_v1[Province_Client],_26_03_2026_Client_Churn_v1[Facture_Mensuelle],"non trouvé")</f>
        <v>12.11</v>
      </c>
      <c r="P420">
        <f>_xlfn.XLOOKUP(_26_03_2026_Log_Reseau_v15[[#This Row],[province RDC]],_26_03_2026_Client_Churn_v1[Province_Client],_26_03_2026_Client_Churn_v1[Plaintes_Service_Client],"non trouvé")</f>
        <v>0</v>
      </c>
    </row>
    <row r="421" spans="1:16" x14ac:dyDescent="0.25">
      <c r="A421" s="1">
        <v>45211</v>
      </c>
      <c r="B421" s="2">
        <v>9.8611111111111108E-2</v>
      </c>
      <c r="C421" t="s">
        <v>1075</v>
      </c>
      <c r="D421">
        <v>59</v>
      </c>
      <c r="E421" t="s">
        <v>812</v>
      </c>
      <c r="F421" t="str">
        <f>_xlfn.XLOOKUP(_26_03_2026_Log_Reseau_v15[[#This Row],[Cell_ID]],_26_03_2026_Registre_Maintenance_v1[ID_Antenne],_26_03_2026_Registre_Maintenance_v1[zone],"pas trouvé")</f>
        <v>Sud-Ubangi</v>
      </c>
      <c r="G421">
        <f>_xlfn.XLOOKUP(_26_03_2026_Log_Reseau_v15[[#This Row],[Cell_ID]],_26_03_2026_Registre_Maintenance_v1[ID_Antenne],_26_03_2026_Registre_Maintenance_v1[Latitude],"non trouvé")</f>
        <v>-11.387295999999999</v>
      </c>
      <c r="H421">
        <f>_xlfn.XLOOKUP(_26_03_2026_Log_Reseau_v15[[#This Row],[Cell_ID]],_26_03_2026_Registre_Maintenance_v1[ID_Antenne],_26_03_2026_Registre_Maintenance_v1[Longitude],"pas trouvé")</f>
        <v>19.384257999999999</v>
      </c>
      <c r="I421" t="str">
        <f>_xlfn.XLOOKUP(_26_03_2026_Log_Reseau_v15[[#This Row],[Cell_ID]],_26_03_2026_Registre_Maintenance_v1[ID_Antenne],_26_03_2026_Registre_Maintenance_v1[Technologie],"non trouvé")</f>
        <v>3G</v>
      </c>
      <c r="J421" t="str">
        <f>_xlfn.XLOOKUP(_26_03_2026_Log_Reseau_v15[[#This Row],[Cell_ID]],_26_03_2026_Registre_Maintenance_v1[ID_Antenne],_26_03_2026_Registre_Maintenance_v1[Equipementier],"pas trouvé")</f>
        <v>Huawei</v>
      </c>
      <c r="K421" t="str">
        <f>_xlfn.XLOOKUP(_26_03_2026_Log_Reseau_v15[[#This Row],[province RDC]],_26_03_2026_Client_Churn_v1[Province_Client],_26_03_2026_Client_Churn_v1[ID_Client],"non trouvé")</f>
        <v>CLI-00280</v>
      </c>
      <c r="L421">
        <f>_xlfn.XLOOKUP(_26_03_2026_Log_Reseau_v15[[#This Row],[province RDC]],_26_03_2026_Client_Churn_v1[Province_Client],_26_03_2026_Client_Churn_v1[Anciennete_Mois],"non trouvé")</f>
        <v>113</v>
      </c>
      <c r="M421" t="str">
        <f>_xlfn.XLOOKUP(_26_03_2026_Log_Reseau_v15[[#This Row],[province RDC]],_26_03_2026_Client_Churn_v1[Province_Client],_26_03_2026_Client_Churn_v1[Type_Forfait],"non trouvé")</f>
        <v>Illimité 50Go</v>
      </c>
      <c r="N421">
        <f>_xlfn.XLOOKUP(_26_03_2026_Log_Reseau_v15[[#This Row],[province RDC]],_26_03_2026_Client_Churn_v1[Province_Client],_26_03_2026_Client_Churn_v1[Duree_Cumulee_Panne_Min],"non trouvé")</f>
        <v>380</v>
      </c>
      <c r="O421">
        <f>_xlfn.XLOOKUP(_26_03_2026_Log_Reseau_v15[[#This Row],[province RDC]],_26_03_2026_Client_Churn_v1[Province_Client],_26_03_2026_Client_Churn_v1[Facture_Mensuelle],"non trouvé")</f>
        <v>12.11</v>
      </c>
      <c r="P421">
        <f>_xlfn.XLOOKUP(_26_03_2026_Log_Reseau_v15[[#This Row],[province RDC]],_26_03_2026_Client_Churn_v1[Province_Client],_26_03_2026_Client_Churn_v1[Plaintes_Service_Client],"non trouvé")</f>
        <v>0</v>
      </c>
    </row>
    <row r="422" spans="1:16" x14ac:dyDescent="0.25">
      <c r="A422" s="1">
        <v>45226</v>
      </c>
      <c r="B422" s="2">
        <v>0.10416666666666667</v>
      </c>
      <c r="C422" t="s">
        <v>1076</v>
      </c>
      <c r="D422">
        <v>110</v>
      </c>
      <c r="E422" t="s">
        <v>808</v>
      </c>
      <c r="F422" t="str">
        <f>_xlfn.XLOOKUP(_26_03_2026_Log_Reseau_v15[[#This Row],[Cell_ID]],_26_03_2026_Registre_Maintenance_v1[ID_Antenne],_26_03_2026_Registre_Maintenance_v1[zone],"pas trouvé")</f>
        <v>Tshuapa</v>
      </c>
      <c r="G422">
        <f>_xlfn.XLOOKUP(_26_03_2026_Log_Reseau_v15[[#This Row],[Cell_ID]],_26_03_2026_Registre_Maintenance_v1[ID_Antenne],_26_03_2026_Registre_Maintenance_v1[Latitude],"non trouvé")</f>
        <v>-2.3677800000000002</v>
      </c>
      <c r="H422">
        <f>_xlfn.XLOOKUP(_26_03_2026_Log_Reseau_v15[[#This Row],[Cell_ID]],_26_03_2026_Registre_Maintenance_v1[ID_Antenne],_26_03_2026_Registre_Maintenance_v1[Longitude],"pas trouvé")</f>
        <v>18.790323999999998</v>
      </c>
      <c r="I422" t="str">
        <f>_xlfn.XLOOKUP(_26_03_2026_Log_Reseau_v15[[#This Row],[Cell_ID]],_26_03_2026_Registre_Maintenance_v1[ID_Antenne],_26_03_2026_Registre_Maintenance_v1[Technologie],"non trouvé")</f>
        <v>5G</v>
      </c>
      <c r="J422" t="str">
        <f>_xlfn.XLOOKUP(_26_03_2026_Log_Reseau_v15[[#This Row],[Cell_ID]],_26_03_2026_Registre_Maintenance_v1[ID_Antenne],_26_03_2026_Registre_Maintenance_v1[Equipementier],"pas trouvé")</f>
        <v>Huawei</v>
      </c>
      <c r="K422" t="str">
        <f>_xlfn.XLOOKUP(_26_03_2026_Log_Reseau_v15[[#This Row],[province RDC]],_26_03_2026_Client_Churn_v1[Province_Client],_26_03_2026_Client_Churn_v1[ID_Client],"non trouvé")</f>
        <v>CLI-00894</v>
      </c>
      <c r="L422">
        <f>_xlfn.XLOOKUP(_26_03_2026_Log_Reseau_v15[[#This Row],[province RDC]],_26_03_2026_Client_Churn_v1[Province_Client],_26_03_2026_Client_Churn_v1[Anciennete_Mois],"non trouvé")</f>
        <v>63</v>
      </c>
      <c r="M422" t="str">
        <f>_xlfn.XLOOKUP(_26_03_2026_Log_Reseau_v15[[#This Row],[province RDC]],_26_03_2026_Client_Churn_v1[Province_Client],_26_03_2026_Client_Churn_v1[Type_Forfait],"non trouvé")</f>
        <v>Pro Monde</v>
      </c>
      <c r="N422">
        <f>_xlfn.XLOOKUP(_26_03_2026_Log_Reseau_v15[[#This Row],[province RDC]],_26_03_2026_Client_Churn_v1[Province_Client],_26_03_2026_Client_Churn_v1[Duree_Cumulee_Panne_Min],"non trouvé")</f>
        <v>205</v>
      </c>
      <c r="O422">
        <f>_xlfn.XLOOKUP(_26_03_2026_Log_Reseau_v15[[#This Row],[province RDC]],_26_03_2026_Client_Churn_v1[Province_Client],_26_03_2026_Client_Churn_v1[Facture_Mensuelle],"non trouvé")</f>
        <v>89.19</v>
      </c>
      <c r="P422">
        <f>_xlfn.XLOOKUP(_26_03_2026_Log_Reseau_v15[[#This Row],[province RDC]],_26_03_2026_Client_Churn_v1[Province_Client],_26_03_2026_Client_Churn_v1[Plaintes_Service_Client],"non trouvé")</f>
        <v>0</v>
      </c>
    </row>
    <row r="423" spans="1:16" x14ac:dyDescent="0.25">
      <c r="A423" s="1">
        <v>45219</v>
      </c>
      <c r="B423" s="2">
        <v>0.50624999999999998</v>
      </c>
      <c r="C423" t="s">
        <v>1076</v>
      </c>
      <c r="D423">
        <v>41</v>
      </c>
      <c r="E423" t="s">
        <v>808</v>
      </c>
      <c r="F423" t="str">
        <f>_xlfn.XLOOKUP(_26_03_2026_Log_Reseau_v15[[#This Row],[Cell_ID]],_26_03_2026_Registre_Maintenance_v1[ID_Antenne],_26_03_2026_Registre_Maintenance_v1[zone],"pas trouvé")</f>
        <v>Tshuapa</v>
      </c>
      <c r="G423">
        <f>_xlfn.XLOOKUP(_26_03_2026_Log_Reseau_v15[[#This Row],[Cell_ID]],_26_03_2026_Registre_Maintenance_v1[ID_Antenne],_26_03_2026_Registre_Maintenance_v1[Latitude],"non trouvé")</f>
        <v>-2.3677800000000002</v>
      </c>
      <c r="H423">
        <f>_xlfn.XLOOKUP(_26_03_2026_Log_Reseau_v15[[#This Row],[Cell_ID]],_26_03_2026_Registre_Maintenance_v1[ID_Antenne],_26_03_2026_Registre_Maintenance_v1[Longitude],"pas trouvé")</f>
        <v>18.790323999999998</v>
      </c>
      <c r="I423" t="str">
        <f>_xlfn.XLOOKUP(_26_03_2026_Log_Reseau_v15[[#This Row],[Cell_ID]],_26_03_2026_Registre_Maintenance_v1[ID_Antenne],_26_03_2026_Registre_Maintenance_v1[Technologie],"non trouvé")</f>
        <v>5G</v>
      </c>
      <c r="J423" t="str">
        <f>_xlfn.XLOOKUP(_26_03_2026_Log_Reseau_v15[[#This Row],[Cell_ID]],_26_03_2026_Registre_Maintenance_v1[ID_Antenne],_26_03_2026_Registre_Maintenance_v1[Equipementier],"pas trouvé")</f>
        <v>Huawei</v>
      </c>
      <c r="K423" t="str">
        <f>_xlfn.XLOOKUP(_26_03_2026_Log_Reseau_v15[[#This Row],[province RDC]],_26_03_2026_Client_Churn_v1[Province_Client],_26_03_2026_Client_Churn_v1[ID_Client],"non trouvé")</f>
        <v>CLI-00894</v>
      </c>
      <c r="L423">
        <f>_xlfn.XLOOKUP(_26_03_2026_Log_Reseau_v15[[#This Row],[province RDC]],_26_03_2026_Client_Churn_v1[Province_Client],_26_03_2026_Client_Churn_v1[Anciennete_Mois],"non trouvé")</f>
        <v>63</v>
      </c>
      <c r="M423" t="str">
        <f>_xlfn.XLOOKUP(_26_03_2026_Log_Reseau_v15[[#This Row],[province RDC]],_26_03_2026_Client_Churn_v1[Province_Client],_26_03_2026_Client_Churn_v1[Type_Forfait],"non trouvé")</f>
        <v>Pro Monde</v>
      </c>
      <c r="N423">
        <f>_xlfn.XLOOKUP(_26_03_2026_Log_Reseau_v15[[#This Row],[province RDC]],_26_03_2026_Client_Churn_v1[Province_Client],_26_03_2026_Client_Churn_v1[Duree_Cumulee_Panne_Min],"non trouvé")</f>
        <v>205</v>
      </c>
      <c r="O423">
        <f>_xlfn.XLOOKUP(_26_03_2026_Log_Reseau_v15[[#This Row],[province RDC]],_26_03_2026_Client_Churn_v1[Province_Client],_26_03_2026_Client_Churn_v1[Facture_Mensuelle],"non trouvé")</f>
        <v>89.19</v>
      </c>
      <c r="P423">
        <f>_xlfn.XLOOKUP(_26_03_2026_Log_Reseau_v15[[#This Row],[province RDC]],_26_03_2026_Client_Churn_v1[Province_Client],_26_03_2026_Client_Churn_v1[Plaintes_Service_Client],"non trouvé")</f>
        <v>0</v>
      </c>
    </row>
    <row r="424" spans="1:16" x14ac:dyDescent="0.25">
      <c r="A424" s="1">
        <v>45205</v>
      </c>
      <c r="B424" s="2">
        <v>0.17847222222222223</v>
      </c>
      <c r="C424" t="s">
        <v>1077</v>
      </c>
      <c r="D424">
        <v>42</v>
      </c>
      <c r="E424" t="s">
        <v>808</v>
      </c>
      <c r="F424" t="str">
        <f>_xlfn.XLOOKUP(_26_03_2026_Log_Reseau_v15[[#This Row],[Cell_ID]],_26_03_2026_Registre_Maintenance_v1[ID_Antenne],_26_03_2026_Registre_Maintenance_v1[zone],"pas trouvé")</f>
        <v>Sud-Ubangi</v>
      </c>
      <c r="G424">
        <f>_xlfn.XLOOKUP(_26_03_2026_Log_Reseau_v15[[#This Row],[Cell_ID]],_26_03_2026_Registre_Maintenance_v1[ID_Antenne],_26_03_2026_Registre_Maintenance_v1[Latitude],"non trouvé")</f>
        <v>3.611561</v>
      </c>
      <c r="H424">
        <f>_xlfn.XLOOKUP(_26_03_2026_Log_Reseau_v15[[#This Row],[Cell_ID]],_26_03_2026_Registre_Maintenance_v1[ID_Antenne],_26_03_2026_Registre_Maintenance_v1[Longitude],"pas trouvé")</f>
        <v>17.725974999999998</v>
      </c>
      <c r="I424" t="str">
        <f>_xlfn.XLOOKUP(_26_03_2026_Log_Reseau_v15[[#This Row],[Cell_ID]],_26_03_2026_Registre_Maintenance_v1[ID_Antenne],_26_03_2026_Registre_Maintenance_v1[Technologie],"non trouvé")</f>
        <v>3G</v>
      </c>
      <c r="J424" t="str">
        <f>_xlfn.XLOOKUP(_26_03_2026_Log_Reseau_v15[[#This Row],[Cell_ID]],_26_03_2026_Registre_Maintenance_v1[ID_Antenne],_26_03_2026_Registre_Maintenance_v1[Equipementier],"pas trouvé")</f>
        <v>ZTE</v>
      </c>
      <c r="K424" t="str">
        <f>_xlfn.XLOOKUP(_26_03_2026_Log_Reseau_v15[[#This Row],[province RDC]],_26_03_2026_Client_Churn_v1[Province_Client],_26_03_2026_Client_Churn_v1[ID_Client],"non trouvé")</f>
        <v>CLI-00280</v>
      </c>
      <c r="L424">
        <f>_xlfn.XLOOKUP(_26_03_2026_Log_Reseau_v15[[#This Row],[province RDC]],_26_03_2026_Client_Churn_v1[Province_Client],_26_03_2026_Client_Churn_v1[Anciennete_Mois],"non trouvé")</f>
        <v>113</v>
      </c>
      <c r="M424" t="str">
        <f>_xlfn.XLOOKUP(_26_03_2026_Log_Reseau_v15[[#This Row],[province RDC]],_26_03_2026_Client_Churn_v1[Province_Client],_26_03_2026_Client_Churn_v1[Type_Forfait],"non trouvé")</f>
        <v>Illimité 50Go</v>
      </c>
      <c r="N424">
        <f>_xlfn.XLOOKUP(_26_03_2026_Log_Reseau_v15[[#This Row],[province RDC]],_26_03_2026_Client_Churn_v1[Province_Client],_26_03_2026_Client_Churn_v1[Duree_Cumulee_Panne_Min],"non trouvé")</f>
        <v>380</v>
      </c>
      <c r="O424">
        <f>_xlfn.XLOOKUP(_26_03_2026_Log_Reseau_v15[[#This Row],[province RDC]],_26_03_2026_Client_Churn_v1[Province_Client],_26_03_2026_Client_Churn_v1[Facture_Mensuelle],"non trouvé")</f>
        <v>12.11</v>
      </c>
      <c r="P424">
        <f>_xlfn.XLOOKUP(_26_03_2026_Log_Reseau_v15[[#This Row],[province RDC]],_26_03_2026_Client_Churn_v1[Province_Client],_26_03_2026_Client_Churn_v1[Plaintes_Service_Client],"non trouvé")</f>
        <v>0</v>
      </c>
    </row>
    <row r="425" spans="1:16" hidden="1" x14ac:dyDescent="0.25">
      <c r="A425" s="1">
        <v>45212</v>
      </c>
      <c r="B425" s="2">
        <v>0.68055555555555558</v>
      </c>
      <c r="C425" t="s">
        <v>1078</v>
      </c>
      <c r="D425">
        <v>63</v>
      </c>
      <c r="E425" t="s">
        <v>807</v>
      </c>
      <c r="F425" t="str">
        <f>_xlfn.XLOOKUP(_26_03_2026_Log_Reseau_v15[[#This Row],[Cell_ID]],_26_03_2026_Registre_Maintenance_v1[ID_Antenne],_26_03_2026_Registre_Maintenance_v1[zone],"pas trouvé")</f>
        <v>pas trouvé</v>
      </c>
      <c r="G425" t="str">
        <f>_xlfn.XLOOKUP(_26_03_2026_Log_Reseau_v15[[#This Row],[Cell_ID]],_26_03_2026_Registre_Maintenance_v1[ID_Antenne],_26_03_2026_Registre_Maintenance_v1[Latitude],"non trouvé")</f>
        <v>non trouvé</v>
      </c>
      <c r="H425" t="str">
        <f>_xlfn.XLOOKUP(_26_03_2026_Log_Reseau_v15[[#This Row],[Cell_ID]],_26_03_2026_Registre_Maintenance_v1[ID_Antenne],_26_03_2026_Registre_Maintenance_v1[Longitude],"pas trouvé")</f>
        <v>pas trouvé</v>
      </c>
      <c r="I425" t="str">
        <f>_xlfn.XLOOKUP(_26_03_2026_Log_Reseau_v15[[#This Row],[Cell_ID]],_26_03_2026_Registre_Maintenance_v1[ID_Antenne],_26_03_2026_Registre_Maintenance_v1[Technologie],"non trouvé")</f>
        <v>non trouvé</v>
      </c>
      <c r="J425" t="str">
        <f>_xlfn.XLOOKUP(_26_03_2026_Log_Reseau_v15[[#This Row],[Cell_ID]],_26_03_2026_Registre_Maintenance_v1[ID_Antenne],_26_03_2026_Registre_Maintenance_v1[Equipementier],"pas trouvé")</f>
        <v>pas trouvé</v>
      </c>
      <c r="K425" t="str">
        <f>_xlfn.XLOOKUP(_26_03_2026_Log_Reseau_v15[[#This Row],[province RDC]],_26_03_2026_Client_Churn_v1[Province_Client],_26_03_2026_Client_Churn_v1[ID_Client],"non trouvé")</f>
        <v>non trouvé</v>
      </c>
      <c r="L425" t="str">
        <f>_xlfn.XLOOKUP(_26_03_2026_Log_Reseau_v15[[#This Row],[province RDC]],_26_03_2026_Client_Churn_v1[Province_Client],_26_03_2026_Client_Churn_v1[Anciennete_Mois],"non trouvé")</f>
        <v>non trouvé</v>
      </c>
      <c r="M425" t="str">
        <f>_xlfn.XLOOKUP(_26_03_2026_Log_Reseau_v15[[#This Row],[province RDC]],_26_03_2026_Client_Churn_v1[Province_Client],_26_03_2026_Client_Churn_v1[Type_Forfait],"non trouvé")</f>
        <v>non trouvé</v>
      </c>
      <c r="N425" t="str">
        <f>_xlfn.XLOOKUP(_26_03_2026_Log_Reseau_v15[[#This Row],[province RDC]],_26_03_2026_Client_Churn_v1[Province_Client],_26_03_2026_Client_Churn_v1[Duree_Cumulee_Panne_Min],"non trouvé")</f>
        <v>non trouvé</v>
      </c>
      <c r="O425" t="str">
        <f>_xlfn.XLOOKUP(_26_03_2026_Log_Reseau_v15[[#This Row],[province RDC]],_26_03_2026_Client_Churn_v1[Province_Client],_26_03_2026_Client_Churn_v1[Facture_Mensuelle],"non trouvé")</f>
        <v>non trouvé</v>
      </c>
      <c r="P425" t="str">
        <f>_xlfn.XLOOKUP(_26_03_2026_Log_Reseau_v15[[#This Row],[province RDC]],_26_03_2026_Client_Churn_v1[Province_Client],_26_03_2026_Client_Churn_v1[Plaintes_Service_Client],"non trouvé")</f>
        <v>non trouvé</v>
      </c>
    </row>
    <row r="426" spans="1:16" x14ac:dyDescent="0.25">
      <c r="A426" s="1">
        <v>45220</v>
      </c>
      <c r="B426" s="2">
        <v>0.22291666666666668</v>
      </c>
      <c r="C426" t="s">
        <v>1079</v>
      </c>
      <c r="D426">
        <v>65</v>
      </c>
      <c r="E426" t="s">
        <v>812</v>
      </c>
      <c r="F426" t="str">
        <f>_xlfn.XLOOKUP(_26_03_2026_Log_Reseau_v15[[#This Row],[Cell_ID]],_26_03_2026_Registre_Maintenance_v1[ID_Antenne],_26_03_2026_Registre_Maintenance_v1[zone],"pas trouvé")</f>
        <v>Haut-Lomami</v>
      </c>
      <c r="G426">
        <f>_xlfn.XLOOKUP(_26_03_2026_Log_Reseau_v15[[#This Row],[Cell_ID]],_26_03_2026_Registre_Maintenance_v1[ID_Antenne],_26_03_2026_Registre_Maintenance_v1[Latitude],"non trouvé")</f>
        <v>-1.3938550000000001</v>
      </c>
      <c r="H426">
        <f>_xlfn.XLOOKUP(_26_03_2026_Log_Reseau_v15[[#This Row],[Cell_ID]],_26_03_2026_Registre_Maintenance_v1[ID_Antenne],_26_03_2026_Registre_Maintenance_v1[Longitude],"pas trouvé")</f>
        <v>15.097554000000001</v>
      </c>
      <c r="I426" t="str">
        <f>_xlfn.XLOOKUP(_26_03_2026_Log_Reseau_v15[[#This Row],[Cell_ID]],_26_03_2026_Registre_Maintenance_v1[ID_Antenne],_26_03_2026_Registre_Maintenance_v1[Technologie],"non trouvé")</f>
        <v>4G</v>
      </c>
      <c r="J426" t="str">
        <f>_xlfn.XLOOKUP(_26_03_2026_Log_Reseau_v15[[#This Row],[Cell_ID]],_26_03_2026_Registre_Maintenance_v1[ID_Antenne],_26_03_2026_Registre_Maintenance_v1[Equipementier],"pas trouvé")</f>
        <v>Huawei</v>
      </c>
      <c r="K426" t="str">
        <f>_xlfn.XLOOKUP(_26_03_2026_Log_Reseau_v15[[#This Row],[province RDC]],_26_03_2026_Client_Churn_v1[Province_Client],_26_03_2026_Client_Churn_v1[ID_Client],"non trouvé")</f>
        <v>CLI-01325</v>
      </c>
      <c r="L426">
        <f>_xlfn.XLOOKUP(_26_03_2026_Log_Reseau_v15[[#This Row],[province RDC]],_26_03_2026_Client_Churn_v1[Province_Client],_26_03_2026_Client_Churn_v1[Anciennete_Mois],"non trouvé")</f>
        <v>44</v>
      </c>
      <c r="M426" t="str">
        <f>_xlfn.XLOOKUP(_26_03_2026_Log_Reseau_v15[[#This Row],[province RDC]],_26_03_2026_Client_Churn_v1[Province_Client],_26_03_2026_Client_Churn_v1[Type_Forfait],"non trouvé")</f>
        <v>Bloqué 5Go</v>
      </c>
      <c r="N426">
        <f>_xlfn.XLOOKUP(_26_03_2026_Log_Reseau_v15[[#This Row],[province RDC]],_26_03_2026_Client_Churn_v1[Province_Client],_26_03_2026_Client_Churn_v1[Duree_Cumulee_Panne_Min],"non trouvé")</f>
        <v>348</v>
      </c>
      <c r="O426">
        <f>_xlfn.XLOOKUP(_26_03_2026_Log_Reseau_v15[[#This Row],[province RDC]],_26_03_2026_Client_Churn_v1[Province_Client],_26_03_2026_Client_Churn_v1[Facture_Mensuelle],"non trouvé")</f>
        <v>58.67</v>
      </c>
      <c r="P426">
        <f>_xlfn.XLOOKUP(_26_03_2026_Log_Reseau_v15[[#This Row],[province RDC]],_26_03_2026_Client_Churn_v1[Province_Client],_26_03_2026_Client_Churn_v1[Plaintes_Service_Client],"non trouvé")</f>
        <v>0</v>
      </c>
    </row>
    <row r="427" spans="1:16" x14ac:dyDescent="0.25">
      <c r="A427" s="1">
        <v>45222</v>
      </c>
      <c r="B427" s="2">
        <v>0.77777777777777779</v>
      </c>
      <c r="C427" t="s">
        <v>1079</v>
      </c>
      <c r="D427">
        <v>102</v>
      </c>
      <c r="E427" t="s">
        <v>812</v>
      </c>
      <c r="F427" t="str">
        <f>_xlfn.XLOOKUP(_26_03_2026_Log_Reseau_v15[[#This Row],[Cell_ID]],_26_03_2026_Registre_Maintenance_v1[ID_Antenne],_26_03_2026_Registre_Maintenance_v1[zone],"pas trouvé")</f>
        <v>Haut-Lomami</v>
      </c>
      <c r="G427">
        <f>_xlfn.XLOOKUP(_26_03_2026_Log_Reseau_v15[[#This Row],[Cell_ID]],_26_03_2026_Registre_Maintenance_v1[ID_Antenne],_26_03_2026_Registre_Maintenance_v1[Latitude],"non trouvé")</f>
        <v>-1.3938550000000001</v>
      </c>
      <c r="H427">
        <f>_xlfn.XLOOKUP(_26_03_2026_Log_Reseau_v15[[#This Row],[Cell_ID]],_26_03_2026_Registre_Maintenance_v1[ID_Antenne],_26_03_2026_Registre_Maintenance_v1[Longitude],"pas trouvé")</f>
        <v>15.097554000000001</v>
      </c>
      <c r="I427" t="str">
        <f>_xlfn.XLOOKUP(_26_03_2026_Log_Reseau_v15[[#This Row],[Cell_ID]],_26_03_2026_Registre_Maintenance_v1[ID_Antenne],_26_03_2026_Registre_Maintenance_v1[Technologie],"non trouvé")</f>
        <v>4G</v>
      </c>
      <c r="J427" t="str">
        <f>_xlfn.XLOOKUP(_26_03_2026_Log_Reseau_v15[[#This Row],[Cell_ID]],_26_03_2026_Registre_Maintenance_v1[ID_Antenne],_26_03_2026_Registre_Maintenance_v1[Equipementier],"pas trouvé")</f>
        <v>Huawei</v>
      </c>
      <c r="K427" t="str">
        <f>_xlfn.XLOOKUP(_26_03_2026_Log_Reseau_v15[[#This Row],[province RDC]],_26_03_2026_Client_Churn_v1[Province_Client],_26_03_2026_Client_Churn_v1[ID_Client],"non trouvé")</f>
        <v>CLI-01325</v>
      </c>
      <c r="L427">
        <f>_xlfn.XLOOKUP(_26_03_2026_Log_Reseau_v15[[#This Row],[province RDC]],_26_03_2026_Client_Churn_v1[Province_Client],_26_03_2026_Client_Churn_v1[Anciennete_Mois],"non trouvé")</f>
        <v>44</v>
      </c>
      <c r="M427" t="str">
        <f>_xlfn.XLOOKUP(_26_03_2026_Log_Reseau_v15[[#This Row],[province RDC]],_26_03_2026_Client_Churn_v1[Province_Client],_26_03_2026_Client_Churn_v1[Type_Forfait],"non trouvé")</f>
        <v>Bloqué 5Go</v>
      </c>
      <c r="N427">
        <f>_xlfn.XLOOKUP(_26_03_2026_Log_Reseau_v15[[#This Row],[province RDC]],_26_03_2026_Client_Churn_v1[Province_Client],_26_03_2026_Client_Churn_v1[Duree_Cumulee_Panne_Min],"non trouvé")</f>
        <v>348</v>
      </c>
      <c r="O427">
        <f>_xlfn.XLOOKUP(_26_03_2026_Log_Reseau_v15[[#This Row],[province RDC]],_26_03_2026_Client_Churn_v1[Province_Client],_26_03_2026_Client_Churn_v1[Facture_Mensuelle],"non trouvé")</f>
        <v>58.67</v>
      </c>
      <c r="P427">
        <f>_xlfn.XLOOKUP(_26_03_2026_Log_Reseau_v15[[#This Row],[province RDC]],_26_03_2026_Client_Churn_v1[Province_Client],_26_03_2026_Client_Churn_v1[Plaintes_Service_Client],"non trouvé")</f>
        <v>0</v>
      </c>
    </row>
    <row r="428" spans="1:16" x14ac:dyDescent="0.25">
      <c r="A428" s="1">
        <v>45209</v>
      </c>
      <c r="B428" s="2">
        <v>0.77708333333333335</v>
      </c>
      <c r="C428" t="s">
        <v>1080</v>
      </c>
      <c r="D428">
        <v>40</v>
      </c>
      <c r="E428" t="s">
        <v>812</v>
      </c>
      <c r="F428" t="str">
        <f>_xlfn.XLOOKUP(_26_03_2026_Log_Reseau_v15[[#This Row],[Cell_ID]],_26_03_2026_Registre_Maintenance_v1[ID_Antenne],_26_03_2026_Registre_Maintenance_v1[zone],"pas trouvé")</f>
        <v>Lualaba</v>
      </c>
      <c r="G428">
        <f>_xlfn.XLOOKUP(_26_03_2026_Log_Reseau_v15[[#This Row],[Cell_ID]],_26_03_2026_Registre_Maintenance_v1[ID_Antenne],_26_03_2026_Registre_Maintenance_v1[Latitude],"non trouvé")</f>
        <v>-9.5243310000000001</v>
      </c>
      <c r="H428">
        <f>_xlfn.XLOOKUP(_26_03_2026_Log_Reseau_v15[[#This Row],[Cell_ID]],_26_03_2026_Registre_Maintenance_v1[ID_Antenne],_26_03_2026_Registre_Maintenance_v1[Longitude],"pas trouvé")</f>
        <v>30.541212000000002</v>
      </c>
      <c r="I428" t="str">
        <f>_xlfn.XLOOKUP(_26_03_2026_Log_Reseau_v15[[#This Row],[Cell_ID]],_26_03_2026_Registre_Maintenance_v1[ID_Antenne],_26_03_2026_Registre_Maintenance_v1[Technologie],"non trouvé")</f>
        <v>3G</v>
      </c>
      <c r="J428" t="str">
        <f>_xlfn.XLOOKUP(_26_03_2026_Log_Reseau_v15[[#This Row],[Cell_ID]],_26_03_2026_Registre_Maintenance_v1[ID_Antenne],_26_03_2026_Registre_Maintenance_v1[Equipementier],"pas trouvé")</f>
        <v>Ericsson</v>
      </c>
      <c r="K428" t="str">
        <f>_xlfn.XLOOKUP(_26_03_2026_Log_Reseau_v15[[#This Row],[province RDC]],_26_03_2026_Client_Churn_v1[Province_Client],_26_03_2026_Client_Churn_v1[ID_Client],"non trouvé")</f>
        <v>CLI-01005</v>
      </c>
      <c r="L428">
        <f>_xlfn.XLOOKUP(_26_03_2026_Log_Reseau_v15[[#This Row],[province RDC]],_26_03_2026_Client_Churn_v1[Province_Client],_26_03_2026_Client_Churn_v1[Anciennete_Mois],"non trouvé")</f>
        <v>80</v>
      </c>
      <c r="M428" t="str">
        <f>_xlfn.XLOOKUP(_26_03_2026_Log_Reseau_v15[[#This Row],[province RDC]],_26_03_2026_Client_Churn_v1[Province_Client],_26_03_2026_Client_Churn_v1[Type_Forfait],"non trouvé")</f>
        <v>Illimité 50Go</v>
      </c>
      <c r="N428">
        <f>_xlfn.XLOOKUP(_26_03_2026_Log_Reseau_v15[[#This Row],[province RDC]],_26_03_2026_Client_Churn_v1[Province_Client],_26_03_2026_Client_Churn_v1[Duree_Cumulee_Panne_Min],"non trouvé")</f>
        <v>155</v>
      </c>
      <c r="O428">
        <f>_xlfn.XLOOKUP(_26_03_2026_Log_Reseau_v15[[#This Row],[province RDC]],_26_03_2026_Client_Churn_v1[Province_Client],_26_03_2026_Client_Churn_v1[Facture_Mensuelle],"non trouvé")</f>
        <v>28.96</v>
      </c>
      <c r="P428">
        <f>_xlfn.XLOOKUP(_26_03_2026_Log_Reseau_v15[[#This Row],[province RDC]],_26_03_2026_Client_Churn_v1[Province_Client],_26_03_2026_Client_Churn_v1[Plaintes_Service_Client],"non trouvé")</f>
        <v>2</v>
      </c>
    </row>
    <row r="429" spans="1:16" x14ac:dyDescent="0.25">
      <c r="A429" s="1">
        <v>45216</v>
      </c>
      <c r="B429" s="2">
        <v>0.72986111111111107</v>
      </c>
      <c r="C429" t="s">
        <v>1080</v>
      </c>
      <c r="D429">
        <v>78</v>
      </c>
      <c r="E429" t="s">
        <v>808</v>
      </c>
      <c r="F429" t="str">
        <f>_xlfn.XLOOKUP(_26_03_2026_Log_Reseau_v15[[#This Row],[Cell_ID]],_26_03_2026_Registre_Maintenance_v1[ID_Antenne],_26_03_2026_Registre_Maintenance_v1[zone],"pas trouvé")</f>
        <v>Lualaba</v>
      </c>
      <c r="G429">
        <f>_xlfn.XLOOKUP(_26_03_2026_Log_Reseau_v15[[#This Row],[Cell_ID]],_26_03_2026_Registre_Maintenance_v1[ID_Antenne],_26_03_2026_Registre_Maintenance_v1[Latitude],"non trouvé")</f>
        <v>-9.5243310000000001</v>
      </c>
      <c r="H429">
        <f>_xlfn.XLOOKUP(_26_03_2026_Log_Reseau_v15[[#This Row],[Cell_ID]],_26_03_2026_Registre_Maintenance_v1[ID_Antenne],_26_03_2026_Registre_Maintenance_v1[Longitude],"pas trouvé")</f>
        <v>30.541212000000002</v>
      </c>
      <c r="I429" t="str">
        <f>_xlfn.XLOOKUP(_26_03_2026_Log_Reseau_v15[[#This Row],[Cell_ID]],_26_03_2026_Registre_Maintenance_v1[ID_Antenne],_26_03_2026_Registre_Maintenance_v1[Technologie],"non trouvé")</f>
        <v>3G</v>
      </c>
      <c r="J429" t="str">
        <f>_xlfn.XLOOKUP(_26_03_2026_Log_Reseau_v15[[#This Row],[Cell_ID]],_26_03_2026_Registre_Maintenance_v1[ID_Antenne],_26_03_2026_Registre_Maintenance_v1[Equipementier],"pas trouvé")</f>
        <v>Ericsson</v>
      </c>
      <c r="K429" t="str">
        <f>_xlfn.XLOOKUP(_26_03_2026_Log_Reseau_v15[[#This Row],[province RDC]],_26_03_2026_Client_Churn_v1[Province_Client],_26_03_2026_Client_Churn_v1[ID_Client],"non trouvé")</f>
        <v>CLI-01005</v>
      </c>
      <c r="L429">
        <f>_xlfn.XLOOKUP(_26_03_2026_Log_Reseau_v15[[#This Row],[province RDC]],_26_03_2026_Client_Churn_v1[Province_Client],_26_03_2026_Client_Churn_v1[Anciennete_Mois],"non trouvé")</f>
        <v>80</v>
      </c>
      <c r="M429" t="str">
        <f>_xlfn.XLOOKUP(_26_03_2026_Log_Reseau_v15[[#This Row],[province RDC]],_26_03_2026_Client_Churn_v1[Province_Client],_26_03_2026_Client_Churn_v1[Type_Forfait],"non trouvé")</f>
        <v>Illimité 50Go</v>
      </c>
      <c r="N429">
        <f>_xlfn.XLOOKUP(_26_03_2026_Log_Reseau_v15[[#This Row],[province RDC]],_26_03_2026_Client_Churn_v1[Province_Client],_26_03_2026_Client_Churn_v1[Duree_Cumulee_Panne_Min],"non trouvé")</f>
        <v>155</v>
      </c>
      <c r="O429">
        <f>_xlfn.XLOOKUP(_26_03_2026_Log_Reseau_v15[[#This Row],[province RDC]],_26_03_2026_Client_Churn_v1[Province_Client],_26_03_2026_Client_Churn_v1[Facture_Mensuelle],"non trouvé")</f>
        <v>28.96</v>
      </c>
      <c r="P429">
        <f>_xlfn.XLOOKUP(_26_03_2026_Log_Reseau_v15[[#This Row],[province RDC]],_26_03_2026_Client_Churn_v1[Province_Client],_26_03_2026_Client_Churn_v1[Plaintes_Service_Client],"non trouvé")</f>
        <v>2</v>
      </c>
    </row>
    <row r="430" spans="1:16" x14ac:dyDescent="0.25">
      <c r="A430" s="1">
        <v>45230</v>
      </c>
      <c r="B430" s="2">
        <v>0.11944444444444445</v>
      </c>
      <c r="C430" t="s">
        <v>1080</v>
      </c>
      <c r="D430">
        <v>8</v>
      </c>
      <c r="E430" t="s">
        <v>808</v>
      </c>
      <c r="F430" t="str">
        <f>_xlfn.XLOOKUP(_26_03_2026_Log_Reseau_v15[[#This Row],[Cell_ID]],_26_03_2026_Registre_Maintenance_v1[ID_Antenne],_26_03_2026_Registre_Maintenance_v1[zone],"pas trouvé")</f>
        <v>Lualaba</v>
      </c>
      <c r="G430">
        <f>_xlfn.XLOOKUP(_26_03_2026_Log_Reseau_v15[[#This Row],[Cell_ID]],_26_03_2026_Registre_Maintenance_v1[ID_Antenne],_26_03_2026_Registre_Maintenance_v1[Latitude],"non trouvé")</f>
        <v>-9.5243310000000001</v>
      </c>
      <c r="H430">
        <f>_xlfn.XLOOKUP(_26_03_2026_Log_Reseau_v15[[#This Row],[Cell_ID]],_26_03_2026_Registre_Maintenance_v1[ID_Antenne],_26_03_2026_Registre_Maintenance_v1[Longitude],"pas trouvé")</f>
        <v>30.541212000000002</v>
      </c>
      <c r="I430" t="str">
        <f>_xlfn.XLOOKUP(_26_03_2026_Log_Reseau_v15[[#This Row],[Cell_ID]],_26_03_2026_Registre_Maintenance_v1[ID_Antenne],_26_03_2026_Registre_Maintenance_v1[Technologie],"non trouvé")</f>
        <v>3G</v>
      </c>
      <c r="J430" t="str">
        <f>_xlfn.XLOOKUP(_26_03_2026_Log_Reseau_v15[[#This Row],[Cell_ID]],_26_03_2026_Registre_Maintenance_v1[ID_Antenne],_26_03_2026_Registre_Maintenance_v1[Equipementier],"pas trouvé")</f>
        <v>Ericsson</v>
      </c>
      <c r="K430" t="str">
        <f>_xlfn.XLOOKUP(_26_03_2026_Log_Reseau_v15[[#This Row],[province RDC]],_26_03_2026_Client_Churn_v1[Province_Client],_26_03_2026_Client_Churn_v1[ID_Client],"non trouvé")</f>
        <v>CLI-01005</v>
      </c>
      <c r="L430">
        <f>_xlfn.XLOOKUP(_26_03_2026_Log_Reseau_v15[[#This Row],[province RDC]],_26_03_2026_Client_Churn_v1[Province_Client],_26_03_2026_Client_Churn_v1[Anciennete_Mois],"non trouvé")</f>
        <v>80</v>
      </c>
      <c r="M430" t="str">
        <f>_xlfn.XLOOKUP(_26_03_2026_Log_Reseau_v15[[#This Row],[province RDC]],_26_03_2026_Client_Churn_v1[Province_Client],_26_03_2026_Client_Churn_v1[Type_Forfait],"non trouvé")</f>
        <v>Illimité 50Go</v>
      </c>
      <c r="N430">
        <f>_xlfn.XLOOKUP(_26_03_2026_Log_Reseau_v15[[#This Row],[province RDC]],_26_03_2026_Client_Churn_v1[Province_Client],_26_03_2026_Client_Churn_v1[Duree_Cumulee_Panne_Min],"non trouvé")</f>
        <v>155</v>
      </c>
      <c r="O430">
        <f>_xlfn.XLOOKUP(_26_03_2026_Log_Reseau_v15[[#This Row],[province RDC]],_26_03_2026_Client_Churn_v1[Province_Client],_26_03_2026_Client_Churn_v1[Facture_Mensuelle],"non trouvé")</f>
        <v>28.96</v>
      </c>
      <c r="P430">
        <f>_xlfn.XLOOKUP(_26_03_2026_Log_Reseau_v15[[#This Row],[province RDC]],_26_03_2026_Client_Churn_v1[Province_Client],_26_03_2026_Client_Churn_v1[Plaintes_Service_Client],"non trouvé")</f>
        <v>2</v>
      </c>
    </row>
    <row r="431" spans="1:16" hidden="1" x14ac:dyDescent="0.25">
      <c r="A431" s="1">
        <v>45203</v>
      </c>
      <c r="B431" s="2">
        <v>0.86458333333333337</v>
      </c>
      <c r="C431" t="s">
        <v>1081</v>
      </c>
      <c r="D431">
        <v>100</v>
      </c>
      <c r="E431" t="s">
        <v>812</v>
      </c>
      <c r="F431" t="str">
        <f>_xlfn.XLOOKUP(_26_03_2026_Log_Reseau_v15[[#This Row],[Cell_ID]],_26_03_2026_Registre_Maintenance_v1[ID_Antenne],_26_03_2026_Registre_Maintenance_v1[zone],"pas trouvé")</f>
        <v>pas trouvé</v>
      </c>
      <c r="G431" t="str">
        <f>_xlfn.XLOOKUP(_26_03_2026_Log_Reseau_v15[[#This Row],[Cell_ID]],_26_03_2026_Registre_Maintenance_v1[ID_Antenne],_26_03_2026_Registre_Maintenance_v1[Latitude],"non trouvé")</f>
        <v>non trouvé</v>
      </c>
      <c r="H431" t="str">
        <f>_xlfn.XLOOKUP(_26_03_2026_Log_Reseau_v15[[#This Row],[Cell_ID]],_26_03_2026_Registre_Maintenance_v1[ID_Antenne],_26_03_2026_Registre_Maintenance_v1[Longitude],"pas trouvé")</f>
        <v>pas trouvé</v>
      </c>
      <c r="I431" t="str">
        <f>_xlfn.XLOOKUP(_26_03_2026_Log_Reseau_v15[[#This Row],[Cell_ID]],_26_03_2026_Registre_Maintenance_v1[ID_Antenne],_26_03_2026_Registre_Maintenance_v1[Technologie],"non trouvé")</f>
        <v>non trouvé</v>
      </c>
      <c r="J431" t="str">
        <f>_xlfn.XLOOKUP(_26_03_2026_Log_Reseau_v15[[#This Row],[Cell_ID]],_26_03_2026_Registre_Maintenance_v1[ID_Antenne],_26_03_2026_Registre_Maintenance_v1[Equipementier],"pas trouvé")</f>
        <v>pas trouvé</v>
      </c>
      <c r="K431" t="str">
        <f>_xlfn.XLOOKUP(_26_03_2026_Log_Reseau_v15[[#This Row],[province RDC]],_26_03_2026_Client_Churn_v1[Province_Client],_26_03_2026_Client_Churn_v1[ID_Client],"non trouvé")</f>
        <v>non trouvé</v>
      </c>
      <c r="L431" t="str">
        <f>_xlfn.XLOOKUP(_26_03_2026_Log_Reseau_v15[[#This Row],[province RDC]],_26_03_2026_Client_Churn_v1[Province_Client],_26_03_2026_Client_Churn_v1[Anciennete_Mois],"non trouvé")</f>
        <v>non trouvé</v>
      </c>
      <c r="M431" t="str">
        <f>_xlfn.XLOOKUP(_26_03_2026_Log_Reseau_v15[[#This Row],[province RDC]],_26_03_2026_Client_Churn_v1[Province_Client],_26_03_2026_Client_Churn_v1[Type_Forfait],"non trouvé")</f>
        <v>non trouvé</v>
      </c>
      <c r="N431" t="str">
        <f>_xlfn.XLOOKUP(_26_03_2026_Log_Reseau_v15[[#This Row],[province RDC]],_26_03_2026_Client_Churn_v1[Province_Client],_26_03_2026_Client_Churn_v1[Duree_Cumulee_Panne_Min],"non trouvé")</f>
        <v>non trouvé</v>
      </c>
      <c r="O431" t="str">
        <f>_xlfn.XLOOKUP(_26_03_2026_Log_Reseau_v15[[#This Row],[province RDC]],_26_03_2026_Client_Churn_v1[Province_Client],_26_03_2026_Client_Churn_v1[Facture_Mensuelle],"non trouvé")</f>
        <v>non trouvé</v>
      </c>
      <c r="P431" t="str">
        <f>_xlfn.XLOOKUP(_26_03_2026_Log_Reseau_v15[[#This Row],[province RDC]],_26_03_2026_Client_Churn_v1[Province_Client],_26_03_2026_Client_Churn_v1[Plaintes_Service_Client],"non trouvé")</f>
        <v>non trouvé</v>
      </c>
    </row>
    <row r="432" spans="1:16" hidden="1" x14ac:dyDescent="0.25">
      <c r="A432" s="1">
        <v>45208</v>
      </c>
      <c r="B432" s="2">
        <v>0.76249999999999996</v>
      </c>
      <c r="C432" t="s">
        <v>1082</v>
      </c>
      <c r="D432">
        <v>101</v>
      </c>
      <c r="E432" t="s">
        <v>807</v>
      </c>
      <c r="F432" t="str">
        <f>_xlfn.XLOOKUP(_26_03_2026_Log_Reseau_v15[[#This Row],[Cell_ID]],_26_03_2026_Registre_Maintenance_v1[ID_Antenne],_26_03_2026_Registre_Maintenance_v1[zone],"pas trouvé")</f>
        <v>pas trouvé</v>
      </c>
      <c r="G432" t="str">
        <f>_xlfn.XLOOKUP(_26_03_2026_Log_Reseau_v15[[#This Row],[Cell_ID]],_26_03_2026_Registre_Maintenance_v1[ID_Antenne],_26_03_2026_Registre_Maintenance_v1[Latitude],"non trouvé")</f>
        <v>non trouvé</v>
      </c>
      <c r="H432" t="str">
        <f>_xlfn.XLOOKUP(_26_03_2026_Log_Reseau_v15[[#This Row],[Cell_ID]],_26_03_2026_Registre_Maintenance_v1[ID_Antenne],_26_03_2026_Registre_Maintenance_v1[Longitude],"pas trouvé")</f>
        <v>pas trouvé</v>
      </c>
      <c r="I432" t="str">
        <f>_xlfn.XLOOKUP(_26_03_2026_Log_Reseau_v15[[#This Row],[Cell_ID]],_26_03_2026_Registre_Maintenance_v1[ID_Antenne],_26_03_2026_Registre_Maintenance_v1[Technologie],"non trouvé")</f>
        <v>non trouvé</v>
      </c>
      <c r="J432" t="str">
        <f>_xlfn.XLOOKUP(_26_03_2026_Log_Reseau_v15[[#This Row],[Cell_ID]],_26_03_2026_Registre_Maintenance_v1[ID_Antenne],_26_03_2026_Registre_Maintenance_v1[Equipementier],"pas trouvé")</f>
        <v>pas trouvé</v>
      </c>
      <c r="K432" t="str">
        <f>_xlfn.XLOOKUP(_26_03_2026_Log_Reseau_v15[[#This Row],[province RDC]],_26_03_2026_Client_Churn_v1[Province_Client],_26_03_2026_Client_Churn_v1[ID_Client],"non trouvé")</f>
        <v>non trouvé</v>
      </c>
      <c r="L432" t="str">
        <f>_xlfn.XLOOKUP(_26_03_2026_Log_Reseau_v15[[#This Row],[province RDC]],_26_03_2026_Client_Churn_v1[Province_Client],_26_03_2026_Client_Churn_v1[Anciennete_Mois],"non trouvé")</f>
        <v>non trouvé</v>
      </c>
      <c r="M432" t="str">
        <f>_xlfn.XLOOKUP(_26_03_2026_Log_Reseau_v15[[#This Row],[province RDC]],_26_03_2026_Client_Churn_v1[Province_Client],_26_03_2026_Client_Churn_v1[Type_Forfait],"non trouvé")</f>
        <v>non trouvé</v>
      </c>
      <c r="N432" t="str">
        <f>_xlfn.XLOOKUP(_26_03_2026_Log_Reseau_v15[[#This Row],[province RDC]],_26_03_2026_Client_Churn_v1[Province_Client],_26_03_2026_Client_Churn_v1[Duree_Cumulee_Panne_Min],"non trouvé")</f>
        <v>non trouvé</v>
      </c>
      <c r="O432" t="str">
        <f>_xlfn.XLOOKUP(_26_03_2026_Log_Reseau_v15[[#This Row],[province RDC]],_26_03_2026_Client_Churn_v1[Province_Client],_26_03_2026_Client_Churn_v1[Facture_Mensuelle],"non trouvé")</f>
        <v>non trouvé</v>
      </c>
      <c r="P432" t="str">
        <f>_xlfn.XLOOKUP(_26_03_2026_Log_Reseau_v15[[#This Row],[province RDC]],_26_03_2026_Client_Churn_v1[Province_Client],_26_03_2026_Client_Churn_v1[Plaintes_Service_Client],"non trouvé")</f>
        <v>non trouvé</v>
      </c>
    </row>
    <row r="433" spans="1:16" hidden="1" x14ac:dyDescent="0.25">
      <c r="A433" s="1">
        <v>45213</v>
      </c>
      <c r="B433" s="2">
        <v>0.9604166666666667</v>
      </c>
      <c r="C433" t="s">
        <v>1083</v>
      </c>
      <c r="D433">
        <v>103</v>
      </c>
      <c r="E433" t="s">
        <v>808</v>
      </c>
      <c r="F433" t="str">
        <f>_xlfn.XLOOKUP(_26_03_2026_Log_Reseau_v15[[#This Row],[Cell_ID]],_26_03_2026_Registre_Maintenance_v1[ID_Antenne],_26_03_2026_Registre_Maintenance_v1[zone],"pas trouvé")</f>
        <v>pas trouvé</v>
      </c>
      <c r="G433" t="str">
        <f>_xlfn.XLOOKUP(_26_03_2026_Log_Reseau_v15[[#This Row],[Cell_ID]],_26_03_2026_Registre_Maintenance_v1[ID_Antenne],_26_03_2026_Registre_Maintenance_v1[Latitude],"non trouvé")</f>
        <v>non trouvé</v>
      </c>
      <c r="H433" t="str">
        <f>_xlfn.XLOOKUP(_26_03_2026_Log_Reseau_v15[[#This Row],[Cell_ID]],_26_03_2026_Registre_Maintenance_v1[ID_Antenne],_26_03_2026_Registre_Maintenance_v1[Longitude],"pas trouvé")</f>
        <v>pas trouvé</v>
      </c>
      <c r="I433" t="str">
        <f>_xlfn.XLOOKUP(_26_03_2026_Log_Reseau_v15[[#This Row],[Cell_ID]],_26_03_2026_Registre_Maintenance_v1[ID_Antenne],_26_03_2026_Registre_Maintenance_v1[Technologie],"non trouvé")</f>
        <v>non trouvé</v>
      </c>
      <c r="J433" t="str">
        <f>_xlfn.XLOOKUP(_26_03_2026_Log_Reseau_v15[[#This Row],[Cell_ID]],_26_03_2026_Registre_Maintenance_v1[ID_Antenne],_26_03_2026_Registre_Maintenance_v1[Equipementier],"pas trouvé")</f>
        <v>pas trouvé</v>
      </c>
      <c r="K433" t="str">
        <f>_xlfn.XLOOKUP(_26_03_2026_Log_Reseau_v15[[#This Row],[province RDC]],_26_03_2026_Client_Churn_v1[Province_Client],_26_03_2026_Client_Churn_v1[ID_Client],"non trouvé")</f>
        <v>non trouvé</v>
      </c>
      <c r="L433" t="str">
        <f>_xlfn.XLOOKUP(_26_03_2026_Log_Reseau_v15[[#This Row],[province RDC]],_26_03_2026_Client_Churn_v1[Province_Client],_26_03_2026_Client_Churn_v1[Anciennete_Mois],"non trouvé")</f>
        <v>non trouvé</v>
      </c>
      <c r="M433" t="str">
        <f>_xlfn.XLOOKUP(_26_03_2026_Log_Reseau_v15[[#This Row],[province RDC]],_26_03_2026_Client_Churn_v1[Province_Client],_26_03_2026_Client_Churn_v1[Type_Forfait],"non trouvé")</f>
        <v>non trouvé</v>
      </c>
      <c r="N433" t="str">
        <f>_xlfn.XLOOKUP(_26_03_2026_Log_Reseau_v15[[#This Row],[province RDC]],_26_03_2026_Client_Churn_v1[Province_Client],_26_03_2026_Client_Churn_v1[Duree_Cumulee_Panne_Min],"non trouvé")</f>
        <v>non trouvé</v>
      </c>
      <c r="O433" t="str">
        <f>_xlfn.XLOOKUP(_26_03_2026_Log_Reseau_v15[[#This Row],[province RDC]],_26_03_2026_Client_Churn_v1[Province_Client],_26_03_2026_Client_Churn_v1[Facture_Mensuelle],"non trouvé")</f>
        <v>non trouvé</v>
      </c>
      <c r="P433" t="str">
        <f>_xlfn.XLOOKUP(_26_03_2026_Log_Reseau_v15[[#This Row],[province RDC]],_26_03_2026_Client_Churn_v1[Province_Client],_26_03_2026_Client_Churn_v1[Plaintes_Service_Client],"non trouvé")</f>
        <v>non trouvé</v>
      </c>
    </row>
    <row r="434" spans="1:16" hidden="1" x14ac:dyDescent="0.25">
      <c r="A434" s="1">
        <v>45217</v>
      </c>
      <c r="B434" s="2">
        <v>0.50416666666666665</v>
      </c>
      <c r="C434" t="s">
        <v>1084</v>
      </c>
      <c r="D434">
        <v>55</v>
      </c>
      <c r="E434" t="s">
        <v>812</v>
      </c>
      <c r="F434" t="str">
        <f>_xlfn.XLOOKUP(_26_03_2026_Log_Reseau_v15[[#This Row],[Cell_ID]],_26_03_2026_Registre_Maintenance_v1[ID_Antenne],_26_03_2026_Registre_Maintenance_v1[zone],"pas trouvé")</f>
        <v>pas trouvé</v>
      </c>
      <c r="G434" t="str">
        <f>_xlfn.XLOOKUP(_26_03_2026_Log_Reseau_v15[[#This Row],[Cell_ID]],_26_03_2026_Registre_Maintenance_v1[ID_Antenne],_26_03_2026_Registre_Maintenance_v1[Latitude],"non trouvé")</f>
        <v>non trouvé</v>
      </c>
      <c r="H434" t="str">
        <f>_xlfn.XLOOKUP(_26_03_2026_Log_Reseau_v15[[#This Row],[Cell_ID]],_26_03_2026_Registre_Maintenance_v1[ID_Antenne],_26_03_2026_Registre_Maintenance_v1[Longitude],"pas trouvé")</f>
        <v>pas trouvé</v>
      </c>
      <c r="I434" t="str">
        <f>_xlfn.XLOOKUP(_26_03_2026_Log_Reseau_v15[[#This Row],[Cell_ID]],_26_03_2026_Registre_Maintenance_v1[ID_Antenne],_26_03_2026_Registre_Maintenance_v1[Technologie],"non trouvé")</f>
        <v>non trouvé</v>
      </c>
      <c r="J434" t="str">
        <f>_xlfn.XLOOKUP(_26_03_2026_Log_Reseau_v15[[#This Row],[Cell_ID]],_26_03_2026_Registre_Maintenance_v1[ID_Antenne],_26_03_2026_Registre_Maintenance_v1[Equipementier],"pas trouvé")</f>
        <v>pas trouvé</v>
      </c>
      <c r="K434" t="str">
        <f>_xlfn.XLOOKUP(_26_03_2026_Log_Reseau_v15[[#This Row],[province RDC]],_26_03_2026_Client_Churn_v1[Province_Client],_26_03_2026_Client_Churn_v1[ID_Client],"non trouvé")</f>
        <v>non trouvé</v>
      </c>
      <c r="L434" t="str">
        <f>_xlfn.XLOOKUP(_26_03_2026_Log_Reseau_v15[[#This Row],[province RDC]],_26_03_2026_Client_Churn_v1[Province_Client],_26_03_2026_Client_Churn_v1[Anciennete_Mois],"non trouvé")</f>
        <v>non trouvé</v>
      </c>
      <c r="M434" t="str">
        <f>_xlfn.XLOOKUP(_26_03_2026_Log_Reseau_v15[[#This Row],[province RDC]],_26_03_2026_Client_Churn_v1[Province_Client],_26_03_2026_Client_Churn_v1[Type_Forfait],"non trouvé")</f>
        <v>non trouvé</v>
      </c>
      <c r="N434" t="str">
        <f>_xlfn.XLOOKUP(_26_03_2026_Log_Reseau_v15[[#This Row],[province RDC]],_26_03_2026_Client_Churn_v1[Province_Client],_26_03_2026_Client_Churn_v1[Duree_Cumulee_Panne_Min],"non trouvé")</f>
        <v>non trouvé</v>
      </c>
      <c r="O434" t="str">
        <f>_xlfn.XLOOKUP(_26_03_2026_Log_Reseau_v15[[#This Row],[province RDC]],_26_03_2026_Client_Churn_v1[Province_Client],_26_03_2026_Client_Churn_v1[Facture_Mensuelle],"non trouvé")</f>
        <v>non trouvé</v>
      </c>
      <c r="P434" t="str">
        <f>_xlfn.XLOOKUP(_26_03_2026_Log_Reseau_v15[[#This Row],[province RDC]],_26_03_2026_Client_Churn_v1[Province_Client],_26_03_2026_Client_Churn_v1[Plaintes_Service_Client],"non trouvé")</f>
        <v>non trouvé</v>
      </c>
    </row>
    <row r="435" spans="1:16" hidden="1" x14ac:dyDescent="0.25">
      <c r="A435" s="1">
        <v>45219</v>
      </c>
      <c r="B435" s="2">
        <v>7.6388888888888895E-2</v>
      </c>
      <c r="C435" t="s">
        <v>1084</v>
      </c>
      <c r="D435">
        <v>93</v>
      </c>
      <c r="E435" t="s">
        <v>812</v>
      </c>
      <c r="F435" t="str">
        <f>_xlfn.XLOOKUP(_26_03_2026_Log_Reseau_v15[[#This Row],[Cell_ID]],_26_03_2026_Registre_Maintenance_v1[ID_Antenne],_26_03_2026_Registre_Maintenance_v1[zone],"pas trouvé")</f>
        <v>pas trouvé</v>
      </c>
      <c r="G435" t="str">
        <f>_xlfn.XLOOKUP(_26_03_2026_Log_Reseau_v15[[#This Row],[Cell_ID]],_26_03_2026_Registre_Maintenance_v1[ID_Antenne],_26_03_2026_Registre_Maintenance_v1[Latitude],"non trouvé")</f>
        <v>non trouvé</v>
      </c>
      <c r="H435" t="str">
        <f>_xlfn.XLOOKUP(_26_03_2026_Log_Reseau_v15[[#This Row],[Cell_ID]],_26_03_2026_Registre_Maintenance_v1[ID_Antenne],_26_03_2026_Registre_Maintenance_v1[Longitude],"pas trouvé")</f>
        <v>pas trouvé</v>
      </c>
      <c r="I435" t="str">
        <f>_xlfn.XLOOKUP(_26_03_2026_Log_Reseau_v15[[#This Row],[Cell_ID]],_26_03_2026_Registre_Maintenance_v1[ID_Antenne],_26_03_2026_Registre_Maintenance_v1[Technologie],"non trouvé")</f>
        <v>non trouvé</v>
      </c>
      <c r="J435" t="str">
        <f>_xlfn.XLOOKUP(_26_03_2026_Log_Reseau_v15[[#This Row],[Cell_ID]],_26_03_2026_Registre_Maintenance_v1[ID_Antenne],_26_03_2026_Registre_Maintenance_v1[Equipementier],"pas trouvé")</f>
        <v>pas trouvé</v>
      </c>
      <c r="K435" t="str">
        <f>_xlfn.XLOOKUP(_26_03_2026_Log_Reseau_v15[[#This Row],[province RDC]],_26_03_2026_Client_Churn_v1[Province_Client],_26_03_2026_Client_Churn_v1[ID_Client],"non trouvé")</f>
        <v>non trouvé</v>
      </c>
      <c r="L435" t="str">
        <f>_xlfn.XLOOKUP(_26_03_2026_Log_Reseau_v15[[#This Row],[province RDC]],_26_03_2026_Client_Churn_v1[Province_Client],_26_03_2026_Client_Churn_v1[Anciennete_Mois],"non trouvé")</f>
        <v>non trouvé</v>
      </c>
      <c r="M435" t="str">
        <f>_xlfn.XLOOKUP(_26_03_2026_Log_Reseau_v15[[#This Row],[province RDC]],_26_03_2026_Client_Churn_v1[Province_Client],_26_03_2026_Client_Churn_v1[Type_Forfait],"non trouvé")</f>
        <v>non trouvé</v>
      </c>
      <c r="N435" t="str">
        <f>_xlfn.XLOOKUP(_26_03_2026_Log_Reseau_v15[[#This Row],[province RDC]],_26_03_2026_Client_Churn_v1[Province_Client],_26_03_2026_Client_Churn_v1[Duree_Cumulee_Panne_Min],"non trouvé")</f>
        <v>non trouvé</v>
      </c>
      <c r="O435" t="str">
        <f>_xlfn.XLOOKUP(_26_03_2026_Log_Reseau_v15[[#This Row],[province RDC]],_26_03_2026_Client_Churn_v1[Province_Client],_26_03_2026_Client_Churn_v1[Facture_Mensuelle],"non trouvé")</f>
        <v>non trouvé</v>
      </c>
      <c r="P435" t="str">
        <f>_xlfn.XLOOKUP(_26_03_2026_Log_Reseau_v15[[#This Row],[province RDC]],_26_03_2026_Client_Churn_v1[Province_Client],_26_03_2026_Client_Churn_v1[Plaintes_Service_Client],"non trouvé")</f>
        <v>non trouvé</v>
      </c>
    </row>
    <row r="436" spans="1:16" hidden="1" x14ac:dyDescent="0.25">
      <c r="A436" s="1">
        <v>45217</v>
      </c>
      <c r="B436" s="2">
        <v>0.19375000000000001</v>
      </c>
      <c r="C436" t="s">
        <v>1084</v>
      </c>
      <c r="D436">
        <v>56</v>
      </c>
      <c r="E436" t="s">
        <v>807</v>
      </c>
      <c r="F436" t="str">
        <f>_xlfn.XLOOKUP(_26_03_2026_Log_Reseau_v15[[#This Row],[Cell_ID]],_26_03_2026_Registre_Maintenance_v1[ID_Antenne],_26_03_2026_Registre_Maintenance_v1[zone],"pas trouvé")</f>
        <v>pas trouvé</v>
      </c>
      <c r="G436" t="str">
        <f>_xlfn.XLOOKUP(_26_03_2026_Log_Reseau_v15[[#This Row],[Cell_ID]],_26_03_2026_Registre_Maintenance_v1[ID_Antenne],_26_03_2026_Registre_Maintenance_v1[Latitude],"non trouvé")</f>
        <v>non trouvé</v>
      </c>
      <c r="H436" t="str">
        <f>_xlfn.XLOOKUP(_26_03_2026_Log_Reseau_v15[[#This Row],[Cell_ID]],_26_03_2026_Registre_Maintenance_v1[ID_Antenne],_26_03_2026_Registre_Maintenance_v1[Longitude],"pas trouvé")</f>
        <v>pas trouvé</v>
      </c>
      <c r="I436" t="str">
        <f>_xlfn.XLOOKUP(_26_03_2026_Log_Reseau_v15[[#This Row],[Cell_ID]],_26_03_2026_Registre_Maintenance_v1[ID_Antenne],_26_03_2026_Registre_Maintenance_v1[Technologie],"non trouvé")</f>
        <v>non trouvé</v>
      </c>
      <c r="J436" t="str">
        <f>_xlfn.XLOOKUP(_26_03_2026_Log_Reseau_v15[[#This Row],[Cell_ID]],_26_03_2026_Registre_Maintenance_v1[ID_Antenne],_26_03_2026_Registre_Maintenance_v1[Equipementier],"pas trouvé")</f>
        <v>pas trouvé</v>
      </c>
      <c r="K436" t="str">
        <f>_xlfn.XLOOKUP(_26_03_2026_Log_Reseau_v15[[#This Row],[province RDC]],_26_03_2026_Client_Churn_v1[Province_Client],_26_03_2026_Client_Churn_v1[ID_Client],"non trouvé")</f>
        <v>non trouvé</v>
      </c>
      <c r="L436" t="str">
        <f>_xlfn.XLOOKUP(_26_03_2026_Log_Reseau_v15[[#This Row],[province RDC]],_26_03_2026_Client_Churn_v1[Province_Client],_26_03_2026_Client_Churn_v1[Anciennete_Mois],"non trouvé")</f>
        <v>non trouvé</v>
      </c>
      <c r="M436" t="str">
        <f>_xlfn.XLOOKUP(_26_03_2026_Log_Reseau_v15[[#This Row],[province RDC]],_26_03_2026_Client_Churn_v1[Province_Client],_26_03_2026_Client_Churn_v1[Type_Forfait],"non trouvé")</f>
        <v>non trouvé</v>
      </c>
      <c r="N436" t="str">
        <f>_xlfn.XLOOKUP(_26_03_2026_Log_Reseau_v15[[#This Row],[province RDC]],_26_03_2026_Client_Churn_v1[Province_Client],_26_03_2026_Client_Churn_v1[Duree_Cumulee_Panne_Min],"non trouvé")</f>
        <v>non trouvé</v>
      </c>
      <c r="O436" t="str">
        <f>_xlfn.XLOOKUP(_26_03_2026_Log_Reseau_v15[[#This Row],[province RDC]],_26_03_2026_Client_Churn_v1[Province_Client],_26_03_2026_Client_Churn_v1[Facture_Mensuelle],"non trouvé")</f>
        <v>non trouvé</v>
      </c>
      <c r="P436" t="str">
        <f>_xlfn.XLOOKUP(_26_03_2026_Log_Reseau_v15[[#This Row],[province RDC]],_26_03_2026_Client_Churn_v1[Province_Client],_26_03_2026_Client_Churn_v1[Plaintes_Service_Client],"non trouvé")</f>
        <v>non trouvé</v>
      </c>
    </row>
    <row r="437" spans="1:16" x14ac:dyDescent="0.25">
      <c r="A437" s="1">
        <v>45200</v>
      </c>
      <c r="B437" s="2">
        <v>0.51111111111111107</v>
      </c>
      <c r="C437" t="s">
        <v>1085</v>
      </c>
      <c r="D437">
        <v>22</v>
      </c>
      <c r="E437" t="s">
        <v>812</v>
      </c>
      <c r="F437" t="str">
        <f>_xlfn.XLOOKUP(_26_03_2026_Log_Reseau_v15[[#This Row],[Cell_ID]],_26_03_2026_Registre_Maintenance_v1[ID_Antenne],_26_03_2026_Registre_Maintenance_v1[zone],"pas trouvé")</f>
        <v>Kwilu</v>
      </c>
      <c r="G437">
        <f>_xlfn.XLOOKUP(_26_03_2026_Log_Reseau_v15[[#This Row],[Cell_ID]],_26_03_2026_Registre_Maintenance_v1[ID_Antenne],_26_03_2026_Registre_Maintenance_v1[Latitude],"non trouvé")</f>
        <v>-10.939712999999999</v>
      </c>
      <c r="H437">
        <f>_xlfn.XLOOKUP(_26_03_2026_Log_Reseau_v15[[#This Row],[Cell_ID]],_26_03_2026_Registre_Maintenance_v1[ID_Antenne],_26_03_2026_Registre_Maintenance_v1[Longitude],"pas trouvé")</f>
        <v>18.276230999999999</v>
      </c>
      <c r="I437" t="str">
        <f>_xlfn.XLOOKUP(_26_03_2026_Log_Reseau_v15[[#This Row],[Cell_ID]],_26_03_2026_Registre_Maintenance_v1[ID_Antenne],_26_03_2026_Registre_Maintenance_v1[Technologie],"non trouvé")</f>
        <v>4G</v>
      </c>
      <c r="J437" t="str">
        <f>_xlfn.XLOOKUP(_26_03_2026_Log_Reseau_v15[[#This Row],[Cell_ID]],_26_03_2026_Registre_Maintenance_v1[ID_Antenne],_26_03_2026_Registre_Maintenance_v1[Equipementier],"pas trouvé")</f>
        <v>ZTE</v>
      </c>
      <c r="K437" t="str">
        <f>_xlfn.XLOOKUP(_26_03_2026_Log_Reseau_v15[[#This Row],[province RDC]],_26_03_2026_Client_Churn_v1[Province_Client],_26_03_2026_Client_Churn_v1[ID_Client],"non trouvé")</f>
        <v>CLI-00996</v>
      </c>
      <c r="L437">
        <f>_xlfn.XLOOKUP(_26_03_2026_Log_Reseau_v15[[#This Row],[province RDC]],_26_03_2026_Client_Churn_v1[Province_Client],_26_03_2026_Client_Churn_v1[Anciennete_Mois],"non trouvé")</f>
        <v>119</v>
      </c>
      <c r="M437" t="str">
        <f>_xlfn.XLOOKUP(_26_03_2026_Log_Reseau_v15[[#This Row],[province RDC]],_26_03_2026_Client_Churn_v1[Province_Client],_26_03_2026_Client_Churn_v1[Type_Forfait],"non trouvé")</f>
        <v>Illimité 50Go</v>
      </c>
      <c r="N437">
        <f>_xlfn.XLOOKUP(_26_03_2026_Log_Reseau_v15[[#This Row],[province RDC]],_26_03_2026_Client_Churn_v1[Province_Client],_26_03_2026_Client_Churn_v1[Duree_Cumulee_Panne_Min],"non trouvé")</f>
        <v>228</v>
      </c>
      <c r="O437">
        <f>_xlfn.XLOOKUP(_26_03_2026_Log_Reseau_v15[[#This Row],[province RDC]],_26_03_2026_Client_Churn_v1[Province_Client],_26_03_2026_Client_Churn_v1[Facture_Mensuelle],"non trouvé")</f>
        <v>94.72</v>
      </c>
      <c r="P437">
        <f>_xlfn.XLOOKUP(_26_03_2026_Log_Reseau_v15[[#This Row],[province RDC]],_26_03_2026_Client_Churn_v1[Province_Client],_26_03_2026_Client_Churn_v1[Plaintes_Service_Client],"non trouvé")</f>
        <v>3</v>
      </c>
    </row>
    <row r="438" spans="1:16" x14ac:dyDescent="0.25">
      <c r="A438" s="1">
        <v>45213</v>
      </c>
      <c r="B438" s="2">
        <v>0.1451388888888889</v>
      </c>
      <c r="C438" t="s">
        <v>1085</v>
      </c>
      <c r="D438">
        <v>105</v>
      </c>
      <c r="E438" t="s">
        <v>808</v>
      </c>
      <c r="F438" t="str">
        <f>_xlfn.XLOOKUP(_26_03_2026_Log_Reseau_v15[[#This Row],[Cell_ID]],_26_03_2026_Registre_Maintenance_v1[ID_Antenne],_26_03_2026_Registre_Maintenance_v1[zone],"pas trouvé")</f>
        <v>Kwilu</v>
      </c>
      <c r="G438">
        <f>_xlfn.XLOOKUP(_26_03_2026_Log_Reseau_v15[[#This Row],[Cell_ID]],_26_03_2026_Registre_Maintenance_v1[ID_Antenne],_26_03_2026_Registre_Maintenance_v1[Latitude],"non trouvé")</f>
        <v>-10.939712999999999</v>
      </c>
      <c r="H438">
        <f>_xlfn.XLOOKUP(_26_03_2026_Log_Reseau_v15[[#This Row],[Cell_ID]],_26_03_2026_Registre_Maintenance_v1[ID_Antenne],_26_03_2026_Registre_Maintenance_v1[Longitude],"pas trouvé")</f>
        <v>18.276230999999999</v>
      </c>
      <c r="I438" t="str">
        <f>_xlfn.XLOOKUP(_26_03_2026_Log_Reseau_v15[[#This Row],[Cell_ID]],_26_03_2026_Registre_Maintenance_v1[ID_Antenne],_26_03_2026_Registre_Maintenance_v1[Technologie],"non trouvé")</f>
        <v>4G</v>
      </c>
      <c r="J438" t="str">
        <f>_xlfn.XLOOKUP(_26_03_2026_Log_Reseau_v15[[#This Row],[Cell_ID]],_26_03_2026_Registre_Maintenance_v1[ID_Antenne],_26_03_2026_Registre_Maintenance_v1[Equipementier],"pas trouvé")</f>
        <v>ZTE</v>
      </c>
      <c r="K438" t="str">
        <f>_xlfn.XLOOKUP(_26_03_2026_Log_Reseau_v15[[#This Row],[province RDC]],_26_03_2026_Client_Churn_v1[Province_Client],_26_03_2026_Client_Churn_v1[ID_Client],"non trouvé")</f>
        <v>CLI-00996</v>
      </c>
      <c r="L438">
        <f>_xlfn.XLOOKUP(_26_03_2026_Log_Reseau_v15[[#This Row],[province RDC]],_26_03_2026_Client_Churn_v1[Province_Client],_26_03_2026_Client_Churn_v1[Anciennete_Mois],"non trouvé")</f>
        <v>119</v>
      </c>
      <c r="M438" t="str">
        <f>_xlfn.XLOOKUP(_26_03_2026_Log_Reseau_v15[[#This Row],[province RDC]],_26_03_2026_Client_Churn_v1[Province_Client],_26_03_2026_Client_Churn_v1[Type_Forfait],"non trouvé")</f>
        <v>Illimité 50Go</v>
      </c>
      <c r="N438">
        <f>_xlfn.XLOOKUP(_26_03_2026_Log_Reseau_v15[[#This Row],[province RDC]],_26_03_2026_Client_Churn_v1[Province_Client],_26_03_2026_Client_Churn_v1[Duree_Cumulee_Panne_Min],"non trouvé")</f>
        <v>228</v>
      </c>
      <c r="O438">
        <f>_xlfn.XLOOKUP(_26_03_2026_Log_Reseau_v15[[#This Row],[province RDC]],_26_03_2026_Client_Churn_v1[Province_Client],_26_03_2026_Client_Churn_v1[Facture_Mensuelle],"non trouvé")</f>
        <v>94.72</v>
      </c>
      <c r="P438">
        <f>_xlfn.XLOOKUP(_26_03_2026_Log_Reseau_v15[[#This Row],[province RDC]],_26_03_2026_Client_Churn_v1[Province_Client],_26_03_2026_Client_Churn_v1[Plaintes_Service_Client],"non trouvé")</f>
        <v>3</v>
      </c>
    </row>
    <row r="439" spans="1:16" x14ac:dyDescent="0.25">
      <c r="A439" s="1">
        <v>45206</v>
      </c>
      <c r="B439" s="2">
        <v>0.23333333333333334</v>
      </c>
      <c r="C439" t="s">
        <v>1086</v>
      </c>
      <c r="D439">
        <v>26</v>
      </c>
      <c r="E439" t="s">
        <v>812</v>
      </c>
      <c r="F439" t="str">
        <f>_xlfn.XLOOKUP(_26_03_2026_Log_Reseau_v15[[#This Row],[Cell_ID]],_26_03_2026_Registre_Maintenance_v1[ID_Antenne],_26_03_2026_Registre_Maintenance_v1[zone],"pas trouvé")</f>
        <v>Mai-Ndombe</v>
      </c>
      <c r="G439">
        <f>_xlfn.XLOOKUP(_26_03_2026_Log_Reseau_v15[[#This Row],[Cell_ID]],_26_03_2026_Registre_Maintenance_v1[ID_Antenne],_26_03_2026_Registre_Maintenance_v1[Latitude],"non trouvé")</f>
        <v>-4.6311460000000002</v>
      </c>
      <c r="H439">
        <f>_xlfn.XLOOKUP(_26_03_2026_Log_Reseau_v15[[#This Row],[Cell_ID]],_26_03_2026_Registre_Maintenance_v1[ID_Antenne],_26_03_2026_Registre_Maintenance_v1[Longitude],"pas trouvé")</f>
        <v>25.314723000000001</v>
      </c>
      <c r="I439" t="str">
        <f>_xlfn.XLOOKUP(_26_03_2026_Log_Reseau_v15[[#This Row],[Cell_ID]],_26_03_2026_Registre_Maintenance_v1[ID_Antenne],_26_03_2026_Registre_Maintenance_v1[Technologie],"non trouvé")</f>
        <v>4G</v>
      </c>
      <c r="J439" t="str">
        <f>_xlfn.XLOOKUP(_26_03_2026_Log_Reseau_v15[[#This Row],[Cell_ID]],_26_03_2026_Registre_Maintenance_v1[ID_Antenne],_26_03_2026_Registre_Maintenance_v1[Equipementier],"pas trouvé")</f>
        <v>Huawei</v>
      </c>
      <c r="K439" t="str">
        <f>_xlfn.XLOOKUP(_26_03_2026_Log_Reseau_v15[[#This Row],[province RDC]],_26_03_2026_Client_Churn_v1[Province_Client],_26_03_2026_Client_Churn_v1[ID_Client],"non trouvé")</f>
        <v>CLI-00361</v>
      </c>
      <c r="L439">
        <f>_xlfn.XLOOKUP(_26_03_2026_Log_Reseau_v15[[#This Row],[province RDC]],_26_03_2026_Client_Churn_v1[Province_Client],_26_03_2026_Client_Churn_v1[Anciennete_Mois],"non trouvé")</f>
        <v>66</v>
      </c>
      <c r="M439" t="str">
        <f>_xlfn.XLOOKUP(_26_03_2026_Log_Reseau_v15[[#This Row],[province RDC]],_26_03_2026_Client_Churn_v1[Province_Client],_26_03_2026_Client_Churn_v1[Type_Forfait],"non trouvé")</f>
        <v>Illimité 50Go</v>
      </c>
      <c r="N439">
        <f>_xlfn.XLOOKUP(_26_03_2026_Log_Reseau_v15[[#This Row],[province RDC]],_26_03_2026_Client_Churn_v1[Province_Client],_26_03_2026_Client_Churn_v1[Duree_Cumulee_Panne_Min],"non trouvé")</f>
        <v>270</v>
      </c>
      <c r="O439">
        <f>_xlfn.XLOOKUP(_26_03_2026_Log_Reseau_v15[[#This Row],[province RDC]],_26_03_2026_Client_Churn_v1[Province_Client],_26_03_2026_Client_Churn_v1[Facture_Mensuelle],"non trouvé")</f>
        <v>75.88</v>
      </c>
      <c r="P439">
        <f>_xlfn.XLOOKUP(_26_03_2026_Log_Reseau_v15[[#This Row],[province RDC]],_26_03_2026_Client_Churn_v1[Province_Client],_26_03_2026_Client_Churn_v1[Plaintes_Service_Client],"non trouvé")</f>
        <v>3</v>
      </c>
    </row>
    <row r="440" spans="1:16" x14ac:dyDescent="0.25">
      <c r="A440" s="1">
        <v>45205</v>
      </c>
      <c r="B440" s="2">
        <v>0.35347222222222224</v>
      </c>
      <c r="C440" t="s">
        <v>1087</v>
      </c>
      <c r="D440">
        <v>52</v>
      </c>
      <c r="E440" t="s">
        <v>808</v>
      </c>
      <c r="F440" t="str">
        <f>_xlfn.XLOOKUP(_26_03_2026_Log_Reseau_v15[[#This Row],[Cell_ID]],_26_03_2026_Registre_Maintenance_v1[ID_Antenne],_26_03_2026_Registre_Maintenance_v1[zone],"pas trouvé")</f>
        <v>Tanganyika</v>
      </c>
      <c r="G440">
        <f>_xlfn.XLOOKUP(_26_03_2026_Log_Reseau_v15[[#This Row],[Cell_ID]],_26_03_2026_Registre_Maintenance_v1[ID_Antenne],_26_03_2026_Registre_Maintenance_v1[Latitude],"non trouvé")</f>
        <v>3.1362930000000002</v>
      </c>
      <c r="H440">
        <f>_xlfn.XLOOKUP(_26_03_2026_Log_Reseau_v15[[#This Row],[Cell_ID]],_26_03_2026_Registre_Maintenance_v1[ID_Antenne],_26_03_2026_Registre_Maintenance_v1[Longitude],"pas trouvé")</f>
        <v>16.190878000000001</v>
      </c>
      <c r="I440" t="str">
        <f>_xlfn.XLOOKUP(_26_03_2026_Log_Reseau_v15[[#This Row],[Cell_ID]],_26_03_2026_Registre_Maintenance_v1[ID_Antenne],_26_03_2026_Registre_Maintenance_v1[Technologie],"non trouvé")</f>
        <v>3G</v>
      </c>
      <c r="J440" t="str">
        <f>_xlfn.XLOOKUP(_26_03_2026_Log_Reseau_v15[[#This Row],[Cell_ID]],_26_03_2026_Registre_Maintenance_v1[ID_Antenne],_26_03_2026_Registre_Maintenance_v1[Equipementier],"pas trouvé")</f>
        <v>Nokia</v>
      </c>
      <c r="K440" t="str">
        <f>_xlfn.XLOOKUP(_26_03_2026_Log_Reseau_v15[[#This Row],[province RDC]],_26_03_2026_Client_Churn_v1[Province_Client],_26_03_2026_Client_Churn_v1[ID_Client],"non trouvé")</f>
        <v>CLI-01618</v>
      </c>
      <c r="L440">
        <f>_xlfn.XLOOKUP(_26_03_2026_Log_Reseau_v15[[#This Row],[province RDC]],_26_03_2026_Client_Churn_v1[Province_Client],_26_03_2026_Client_Churn_v1[Anciennete_Mois],"non trouvé")</f>
        <v>115</v>
      </c>
      <c r="M440" t="str">
        <f>_xlfn.XLOOKUP(_26_03_2026_Log_Reseau_v15[[#This Row],[province RDC]],_26_03_2026_Client_Churn_v1[Province_Client],_26_03_2026_Client_Churn_v1[Type_Forfait],"non trouvé")</f>
        <v>Bloqué 5Go</v>
      </c>
      <c r="N440">
        <f>_xlfn.XLOOKUP(_26_03_2026_Log_Reseau_v15[[#This Row],[province RDC]],_26_03_2026_Client_Churn_v1[Province_Client],_26_03_2026_Client_Churn_v1[Duree_Cumulee_Panne_Min],"non trouvé")</f>
        <v>176</v>
      </c>
      <c r="O440">
        <f>_xlfn.XLOOKUP(_26_03_2026_Log_Reseau_v15[[#This Row],[province RDC]],_26_03_2026_Client_Churn_v1[Province_Client],_26_03_2026_Client_Churn_v1[Facture_Mensuelle],"non trouvé")</f>
        <v>33.28</v>
      </c>
      <c r="P440">
        <f>_xlfn.XLOOKUP(_26_03_2026_Log_Reseau_v15[[#This Row],[province RDC]],_26_03_2026_Client_Churn_v1[Province_Client],_26_03_2026_Client_Churn_v1[Plaintes_Service_Client],"non trouvé")</f>
        <v>4</v>
      </c>
    </row>
    <row r="441" spans="1:16" hidden="1" x14ac:dyDescent="0.25">
      <c r="A441" s="1">
        <v>45215</v>
      </c>
      <c r="B441" s="2">
        <v>0.74375000000000002</v>
      </c>
      <c r="C441" t="s">
        <v>1088</v>
      </c>
      <c r="D441">
        <v>103</v>
      </c>
      <c r="E441" t="s">
        <v>807</v>
      </c>
      <c r="F441" t="str">
        <f>_xlfn.XLOOKUP(_26_03_2026_Log_Reseau_v15[[#This Row],[Cell_ID]],_26_03_2026_Registre_Maintenance_v1[ID_Antenne],_26_03_2026_Registre_Maintenance_v1[zone],"pas trouvé")</f>
        <v>pas trouvé</v>
      </c>
      <c r="G441" t="str">
        <f>_xlfn.XLOOKUP(_26_03_2026_Log_Reseau_v15[[#This Row],[Cell_ID]],_26_03_2026_Registre_Maintenance_v1[ID_Antenne],_26_03_2026_Registre_Maintenance_v1[Latitude],"non trouvé")</f>
        <v>non trouvé</v>
      </c>
      <c r="H441" t="str">
        <f>_xlfn.XLOOKUP(_26_03_2026_Log_Reseau_v15[[#This Row],[Cell_ID]],_26_03_2026_Registre_Maintenance_v1[ID_Antenne],_26_03_2026_Registre_Maintenance_v1[Longitude],"pas trouvé")</f>
        <v>pas trouvé</v>
      </c>
      <c r="I441" t="str">
        <f>_xlfn.XLOOKUP(_26_03_2026_Log_Reseau_v15[[#This Row],[Cell_ID]],_26_03_2026_Registre_Maintenance_v1[ID_Antenne],_26_03_2026_Registre_Maintenance_v1[Technologie],"non trouvé")</f>
        <v>non trouvé</v>
      </c>
      <c r="J441" t="str">
        <f>_xlfn.XLOOKUP(_26_03_2026_Log_Reseau_v15[[#This Row],[Cell_ID]],_26_03_2026_Registre_Maintenance_v1[ID_Antenne],_26_03_2026_Registre_Maintenance_v1[Equipementier],"pas trouvé")</f>
        <v>pas trouvé</v>
      </c>
      <c r="K441" t="str">
        <f>_xlfn.XLOOKUP(_26_03_2026_Log_Reseau_v15[[#This Row],[province RDC]],_26_03_2026_Client_Churn_v1[Province_Client],_26_03_2026_Client_Churn_v1[ID_Client],"non trouvé")</f>
        <v>non trouvé</v>
      </c>
      <c r="L441" t="str">
        <f>_xlfn.XLOOKUP(_26_03_2026_Log_Reseau_v15[[#This Row],[province RDC]],_26_03_2026_Client_Churn_v1[Province_Client],_26_03_2026_Client_Churn_v1[Anciennete_Mois],"non trouvé")</f>
        <v>non trouvé</v>
      </c>
      <c r="M441" t="str">
        <f>_xlfn.XLOOKUP(_26_03_2026_Log_Reseau_v15[[#This Row],[province RDC]],_26_03_2026_Client_Churn_v1[Province_Client],_26_03_2026_Client_Churn_v1[Type_Forfait],"non trouvé")</f>
        <v>non trouvé</v>
      </c>
      <c r="N441" t="str">
        <f>_xlfn.XLOOKUP(_26_03_2026_Log_Reseau_v15[[#This Row],[province RDC]],_26_03_2026_Client_Churn_v1[Province_Client],_26_03_2026_Client_Churn_v1[Duree_Cumulee_Panne_Min],"non trouvé")</f>
        <v>non trouvé</v>
      </c>
      <c r="O441" t="str">
        <f>_xlfn.XLOOKUP(_26_03_2026_Log_Reseau_v15[[#This Row],[province RDC]],_26_03_2026_Client_Churn_v1[Province_Client],_26_03_2026_Client_Churn_v1[Facture_Mensuelle],"non trouvé")</f>
        <v>non trouvé</v>
      </c>
      <c r="P441" t="str">
        <f>_xlfn.XLOOKUP(_26_03_2026_Log_Reseau_v15[[#This Row],[province RDC]],_26_03_2026_Client_Churn_v1[Province_Client],_26_03_2026_Client_Churn_v1[Plaintes_Service_Client],"non trouvé")</f>
        <v>non trouvé</v>
      </c>
    </row>
    <row r="442" spans="1:16" x14ac:dyDescent="0.25">
      <c r="A442" s="1">
        <v>45211</v>
      </c>
      <c r="B442" s="2">
        <v>0.42499999999999999</v>
      </c>
      <c r="C442" t="s">
        <v>1089</v>
      </c>
      <c r="D442">
        <v>57</v>
      </c>
      <c r="E442" t="s">
        <v>808</v>
      </c>
      <c r="F442" t="str">
        <f>_xlfn.XLOOKUP(_26_03_2026_Log_Reseau_v15[[#This Row],[Cell_ID]],_26_03_2026_Registre_Maintenance_v1[ID_Antenne],_26_03_2026_Registre_Maintenance_v1[zone],"pas trouvé")</f>
        <v>Tshopo</v>
      </c>
      <c r="G442">
        <f>_xlfn.XLOOKUP(_26_03_2026_Log_Reseau_v15[[#This Row],[Cell_ID]],_26_03_2026_Registre_Maintenance_v1[ID_Antenne],_26_03_2026_Registre_Maintenance_v1[Latitude],"non trouvé")</f>
        <v>-4.5603610000000003</v>
      </c>
      <c r="H442">
        <f>_xlfn.XLOOKUP(_26_03_2026_Log_Reseau_v15[[#This Row],[Cell_ID]],_26_03_2026_Registre_Maintenance_v1[ID_Antenne],_26_03_2026_Registre_Maintenance_v1[Longitude],"pas trouvé")</f>
        <v>24.113918999999999</v>
      </c>
      <c r="I442" t="str">
        <f>_xlfn.XLOOKUP(_26_03_2026_Log_Reseau_v15[[#This Row],[Cell_ID]],_26_03_2026_Registre_Maintenance_v1[ID_Antenne],_26_03_2026_Registre_Maintenance_v1[Technologie],"non trouvé")</f>
        <v>5G</v>
      </c>
      <c r="J442" t="str">
        <f>_xlfn.XLOOKUP(_26_03_2026_Log_Reseau_v15[[#This Row],[Cell_ID]],_26_03_2026_Registre_Maintenance_v1[ID_Antenne],_26_03_2026_Registre_Maintenance_v1[Equipementier],"pas trouvé")</f>
        <v>ZTE</v>
      </c>
      <c r="K442" t="str">
        <f>_xlfn.XLOOKUP(_26_03_2026_Log_Reseau_v15[[#This Row],[province RDC]],_26_03_2026_Client_Churn_v1[Province_Client],_26_03_2026_Client_Churn_v1[ID_Client],"non trouvé")</f>
        <v>CLI-00745</v>
      </c>
      <c r="L442">
        <f>_xlfn.XLOOKUP(_26_03_2026_Log_Reseau_v15[[#This Row],[province RDC]],_26_03_2026_Client_Churn_v1[Province_Client],_26_03_2026_Client_Churn_v1[Anciennete_Mois],"non trouvé")</f>
        <v>6</v>
      </c>
      <c r="M442" t="str">
        <f>_xlfn.XLOOKUP(_26_03_2026_Log_Reseau_v15[[#This Row],[province RDC]],_26_03_2026_Client_Churn_v1[Province_Client],_26_03_2026_Client_Churn_v1[Type_Forfait],"non trouvé")</f>
        <v>Premium 5G 150Go</v>
      </c>
      <c r="N442">
        <f>_xlfn.XLOOKUP(_26_03_2026_Log_Reseau_v15[[#This Row],[province RDC]],_26_03_2026_Client_Churn_v1[Province_Client],_26_03_2026_Client_Churn_v1[Duree_Cumulee_Panne_Min],"non trouvé")</f>
        <v>207</v>
      </c>
      <c r="O442">
        <f>_xlfn.XLOOKUP(_26_03_2026_Log_Reseau_v15[[#This Row],[province RDC]],_26_03_2026_Client_Churn_v1[Province_Client],_26_03_2026_Client_Churn_v1[Facture_Mensuelle],"non trouvé")</f>
        <v>61.55</v>
      </c>
      <c r="P442">
        <f>_xlfn.XLOOKUP(_26_03_2026_Log_Reseau_v15[[#This Row],[province RDC]],_26_03_2026_Client_Churn_v1[Province_Client],_26_03_2026_Client_Churn_v1[Plaintes_Service_Client],"non trouvé")</f>
        <v>0</v>
      </c>
    </row>
    <row r="443" spans="1:16" x14ac:dyDescent="0.25">
      <c r="A443" s="1">
        <v>45227</v>
      </c>
      <c r="B443" s="2">
        <v>0.57777777777777772</v>
      </c>
      <c r="C443" t="s">
        <v>1089</v>
      </c>
      <c r="D443">
        <v>50</v>
      </c>
      <c r="E443" t="s">
        <v>812</v>
      </c>
      <c r="F443" t="str">
        <f>_xlfn.XLOOKUP(_26_03_2026_Log_Reseau_v15[[#This Row],[Cell_ID]],_26_03_2026_Registre_Maintenance_v1[ID_Antenne],_26_03_2026_Registre_Maintenance_v1[zone],"pas trouvé")</f>
        <v>Tshopo</v>
      </c>
      <c r="G443">
        <f>_xlfn.XLOOKUP(_26_03_2026_Log_Reseau_v15[[#This Row],[Cell_ID]],_26_03_2026_Registre_Maintenance_v1[ID_Antenne],_26_03_2026_Registre_Maintenance_v1[Latitude],"non trouvé")</f>
        <v>-4.5603610000000003</v>
      </c>
      <c r="H443">
        <f>_xlfn.XLOOKUP(_26_03_2026_Log_Reseau_v15[[#This Row],[Cell_ID]],_26_03_2026_Registre_Maintenance_v1[ID_Antenne],_26_03_2026_Registre_Maintenance_v1[Longitude],"pas trouvé")</f>
        <v>24.113918999999999</v>
      </c>
      <c r="I443" t="str">
        <f>_xlfn.XLOOKUP(_26_03_2026_Log_Reseau_v15[[#This Row],[Cell_ID]],_26_03_2026_Registre_Maintenance_v1[ID_Antenne],_26_03_2026_Registre_Maintenance_v1[Technologie],"non trouvé")</f>
        <v>5G</v>
      </c>
      <c r="J443" t="str">
        <f>_xlfn.XLOOKUP(_26_03_2026_Log_Reseau_v15[[#This Row],[Cell_ID]],_26_03_2026_Registre_Maintenance_v1[ID_Antenne],_26_03_2026_Registre_Maintenance_v1[Equipementier],"pas trouvé")</f>
        <v>ZTE</v>
      </c>
      <c r="K443" t="str">
        <f>_xlfn.XLOOKUP(_26_03_2026_Log_Reseau_v15[[#This Row],[province RDC]],_26_03_2026_Client_Churn_v1[Province_Client],_26_03_2026_Client_Churn_v1[ID_Client],"non trouvé")</f>
        <v>CLI-00745</v>
      </c>
      <c r="L443">
        <f>_xlfn.XLOOKUP(_26_03_2026_Log_Reseau_v15[[#This Row],[province RDC]],_26_03_2026_Client_Churn_v1[Province_Client],_26_03_2026_Client_Churn_v1[Anciennete_Mois],"non trouvé")</f>
        <v>6</v>
      </c>
      <c r="M443" t="str">
        <f>_xlfn.XLOOKUP(_26_03_2026_Log_Reseau_v15[[#This Row],[province RDC]],_26_03_2026_Client_Churn_v1[Province_Client],_26_03_2026_Client_Churn_v1[Type_Forfait],"non trouvé")</f>
        <v>Premium 5G 150Go</v>
      </c>
      <c r="N443">
        <f>_xlfn.XLOOKUP(_26_03_2026_Log_Reseau_v15[[#This Row],[province RDC]],_26_03_2026_Client_Churn_v1[Province_Client],_26_03_2026_Client_Churn_v1[Duree_Cumulee_Panne_Min],"non trouvé")</f>
        <v>207</v>
      </c>
      <c r="O443">
        <f>_xlfn.XLOOKUP(_26_03_2026_Log_Reseau_v15[[#This Row],[province RDC]],_26_03_2026_Client_Churn_v1[Province_Client],_26_03_2026_Client_Churn_v1[Facture_Mensuelle],"non trouvé")</f>
        <v>61.55</v>
      </c>
      <c r="P443">
        <f>_xlfn.XLOOKUP(_26_03_2026_Log_Reseau_v15[[#This Row],[province RDC]],_26_03_2026_Client_Churn_v1[Province_Client],_26_03_2026_Client_Churn_v1[Plaintes_Service_Client],"non trouvé")</f>
        <v>0</v>
      </c>
    </row>
    <row r="444" spans="1:16" x14ac:dyDescent="0.25">
      <c r="A444" s="1">
        <v>45221</v>
      </c>
      <c r="B444" s="2">
        <v>0.26597222222222222</v>
      </c>
      <c r="C444" t="s">
        <v>1090</v>
      </c>
      <c r="D444">
        <v>88</v>
      </c>
      <c r="E444" t="s">
        <v>808</v>
      </c>
      <c r="F444" t="str">
        <f>_xlfn.XLOOKUP(_26_03_2026_Log_Reseau_v15[[#This Row],[Cell_ID]],_26_03_2026_Registre_Maintenance_v1[ID_Antenne],_26_03_2026_Registre_Maintenance_v1[zone],"pas trouvé")</f>
        <v>Kinshasa</v>
      </c>
      <c r="G444">
        <f>_xlfn.XLOOKUP(_26_03_2026_Log_Reseau_v15[[#This Row],[Cell_ID]],_26_03_2026_Registre_Maintenance_v1[ID_Antenne],_26_03_2026_Registre_Maintenance_v1[Latitude],"non trouvé")</f>
        <v>-1.339734</v>
      </c>
      <c r="H444">
        <f>_xlfn.XLOOKUP(_26_03_2026_Log_Reseau_v15[[#This Row],[Cell_ID]],_26_03_2026_Registre_Maintenance_v1[ID_Antenne],_26_03_2026_Registre_Maintenance_v1[Longitude],"pas trouvé")</f>
        <v>15.243098</v>
      </c>
      <c r="I444" t="str">
        <f>_xlfn.XLOOKUP(_26_03_2026_Log_Reseau_v15[[#This Row],[Cell_ID]],_26_03_2026_Registre_Maintenance_v1[ID_Antenne],_26_03_2026_Registre_Maintenance_v1[Technologie],"non trouvé")</f>
        <v>3G</v>
      </c>
      <c r="J444" t="str">
        <f>_xlfn.XLOOKUP(_26_03_2026_Log_Reseau_v15[[#This Row],[Cell_ID]],_26_03_2026_Registre_Maintenance_v1[ID_Antenne],_26_03_2026_Registre_Maintenance_v1[Equipementier],"pas trouvé")</f>
        <v>Nokia</v>
      </c>
      <c r="K444" t="str">
        <f>_xlfn.XLOOKUP(_26_03_2026_Log_Reseau_v15[[#This Row],[province RDC]],_26_03_2026_Client_Churn_v1[Province_Client],_26_03_2026_Client_Churn_v1[ID_Client],"non trouvé")</f>
        <v>CLI-00611</v>
      </c>
      <c r="L444">
        <f>_xlfn.XLOOKUP(_26_03_2026_Log_Reseau_v15[[#This Row],[province RDC]],_26_03_2026_Client_Churn_v1[Province_Client],_26_03_2026_Client_Churn_v1[Anciennete_Mois],"non trouvé")</f>
        <v>79</v>
      </c>
      <c r="M444" t="str">
        <f>_xlfn.XLOOKUP(_26_03_2026_Log_Reseau_v15[[#This Row],[province RDC]],_26_03_2026_Client_Churn_v1[Province_Client],_26_03_2026_Client_Churn_v1[Type_Forfait],"non trouvé")</f>
        <v>Premium 5G 150Go</v>
      </c>
      <c r="N444">
        <f>_xlfn.XLOOKUP(_26_03_2026_Log_Reseau_v15[[#This Row],[province RDC]],_26_03_2026_Client_Churn_v1[Province_Client],_26_03_2026_Client_Churn_v1[Duree_Cumulee_Panne_Min],"non trouvé")</f>
        <v>226</v>
      </c>
      <c r="O444">
        <f>_xlfn.XLOOKUP(_26_03_2026_Log_Reseau_v15[[#This Row],[province RDC]],_26_03_2026_Client_Churn_v1[Province_Client],_26_03_2026_Client_Churn_v1[Facture_Mensuelle],"non trouvé")</f>
        <v>94.38</v>
      </c>
      <c r="P444">
        <f>_xlfn.XLOOKUP(_26_03_2026_Log_Reseau_v15[[#This Row],[province RDC]],_26_03_2026_Client_Churn_v1[Province_Client],_26_03_2026_Client_Churn_v1[Plaintes_Service_Client],"non trouvé")</f>
        <v>3</v>
      </c>
    </row>
    <row r="445" spans="1:16" hidden="1" x14ac:dyDescent="0.25">
      <c r="A445" s="1">
        <v>45230</v>
      </c>
      <c r="B445" s="2">
        <v>6.7361111111111108E-2</v>
      </c>
      <c r="C445" t="s">
        <v>1091</v>
      </c>
      <c r="D445">
        <v>75</v>
      </c>
      <c r="E445" t="s">
        <v>807</v>
      </c>
      <c r="F445" t="str">
        <f>_xlfn.XLOOKUP(_26_03_2026_Log_Reseau_v15[[#This Row],[Cell_ID]],_26_03_2026_Registre_Maintenance_v1[ID_Antenne],_26_03_2026_Registre_Maintenance_v1[zone],"pas trouvé")</f>
        <v>pas trouvé</v>
      </c>
      <c r="G445" t="str">
        <f>_xlfn.XLOOKUP(_26_03_2026_Log_Reseau_v15[[#This Row],[Cell_ID]],_26_03_2026_Registre_Maintenance_v1[ID_Antenne],_26_03_2026_Registre_Maintenance_v1[Latitude],"non trouvé")</f>
        <v>non trouvé</v>
      </c>
      <c r="H445" t="str">
        <f>_xlfn.XLOOKUP(_26_03_2026_Log_Reseau_v15[[#This Row],[Cell_ID]],_26_03_2026_Registre_Maintenance_v1[ID_Antenne],_26_03_2026_Registre_Maintenance_v1[Longitude],"pas trouvé")</f>
        <v>pas trouvé</v>
      </c>
      <c r="I445" t="str">
        <f>_xlfn.XLOOKUP(_26_03_2026_Log_Reseau_v15[[#This Row],[Cell_ID]],_26_03_2026_Registre_Maintenance_v1[ID_Antenne],_26_03_2026_Registre_Maintenance_v1[Technologie],"non trouvé")</f>
        <v>non trouvé</v>
      </c>
      <c r="J445" t="str">
        <f>_xlfn.XLOOKUP(_26_03_2026_Log_Reseau_v15[[#This Row],[Cell_ID]],_26_03_2026_Registre_Maintenance_v1[ID_Antenne],_26_03_2026_Registre_Maintenance_v1[Equipementier],"pas trouvé")</f>
        <v>pas trouvé</v>
      </c>
      <c r="K445" t="str">
        <f>_xlfn.XLOOKUP(_26_03_2026_Log_Reseau_v15[[#This Row],[province RDC]],_26_03_2026_Client_Churn_v1[Province_Client],_26_03_2026_Client_Churn_v1[ID_Client],"non trouvé")</f>
        <v>non trouvé</v>
      </c>
      <c r="L445" t="str">
        <f>_xlfn.XLOOKUP(_26_03_2026_Log_Reseau_v15[[#This Row],[province RDC]],_26_03_2026_Client_Churn_v1[Province_Client],_26_03_2026_Client_Churn_v1[Anciennete_Mois],"non trouvé")</f>
        <v>non trouvé</v>
      </c>
      <c r="M445" t="str">
        <f>_xlfn.XLOOKUP(_26_03_2026_Log_Reseau_v15[[#This Row],[province RDC]],_26_03_2026_Client_Churn_v1[Province_Client],_26_03_2026_Client_Churn_v1[Type_Forfait],"non trouvé")</f>
        <v>non trouvé</v>
      </c>
      <c r="N445" t="str">
        <f>_xlfn.XLOOKUP(_26_03_2026_Log_Reseau_v15[[#This Row],[province RDC]],_26_03_2026_Client_Churn_v1[Province_Client],_26_03_2026_Client_Churn_v1[Duree_Cumulee_Panne_Min],"non trouvé")</f>
        <v>non trouvé</v>
      </c>
      <c r="O445" t="str">
        <f>_xlfn.XLOOKUP(_26_03_2026_Log_Reseau_v15[[#This Row],[province RDC]],_26_03_2026_Client_Churn_v1[Province_Client],_26_03_2026_Client_Churn_v1[Facture_Mensuelle],"non trouvé")</f>
        <v>non trouvé</v>
      </c>
      <c r="P445" t="str">
        <f>_xlfn.XLOOKUP(_26_03_2026_Log_Reseau_v15[[#This Row],[province RDC]],_26_03_2026_Client_Churn_v1[Province_Client],_26_03_2026_Client_Churn_v1[Plaintes_Service_Client],"non trouvé")</f>
        <v>non trouvé</v>
      </c>
    </row>
    <row r="446" spans="1:16" hidden="1" x14ac:dyDescent="0.25">
      <c r="A446" s="1">
        <v>45218</v>
      </c>
      <c r="B446" s="2">
        <v>0.66597222222222219</v>
      </c>
      <c r="C446" t="s">
        <v>1092</v>
      </c>
      <c r="D446">
        <v>90</v>
      </c>
      <c r="E446" t="s">
        <v>812</v>
      </c>
      <c r="F446" t="str">
        <f>_xlfn.XLOOKUP(_26_03_2026_Log_Reseau_v15[[#This Row],[Cell_ID]],_26_03_2026_Registre_Maintenance_v1[ID_Antenne],_26_03_2026_Registre_Maintenance_v1[zone],"pas trouvé")</f>
        <v>pas trouvé</v>
      </c>
      <c r="G446" t="str">
        <f>_xlfn.XLOOKUP(_26_03_2026_Log_Reseau_v15[[#This Row],[Cell_ID]],_26_03_2026_Registre_Maintenance_v1[ID_Antenne],_26_03_2026_Registre_Maintenance_v1[Latitude],"non trouvé")</f>
        <v>non trouvé</v>
      </c>
      <c r="H446" t="str">
        <f>_xlfn.XLOOKUP(_26_03_2026_Log_Reseau_v15[[#This Row],[Cell_ID]],_26_03_2026_Registre_Maintenance_v1[ID_Antenne],_26_03_2026_Registre_Maintenance_v1[Longitude],"pas trouvé")</f>
        <v>pas trouvé</v>
      </c>
      <c r="I446" t="str">
        <f>_xlfn.XLOOKUP(_26_03_2026_Log_Reseau_v15[[#This Row],[Cell_ID]],_26_03_2026_Registre_Maintenance_v1[ID_Antenne],_26_03_2026_Registre_Maintenance_v1[Technologie],"non trouvé")</f>
        <v>non trouvé</v>
      </c>
      <c r="J446" t="str">
        <f>_xlfn.XLOOKUP(_26_03_2026_Log_Reseau_v15[[#This Row],[Cell_ID]],_26_03_2026_Registre_Maintenance_v1[ID_Antenne],_26_03_2026_Registre_Maintenance_v1[Equipementier],"pas trouvé")</f>
        <v>pas trouvé</v>
      </c>
      <c r="K446" t="str">
        <f>_xlfn.XLOOKUP(_26_03_2026_Log_Reseau_v15[[#This Row],[province RDC]],_26_03_2026_Client_Churn_v1[Province_Client],_26_03_2026_Client_Churn_v1[ID_Client],"non trouvé")</f>
        <v>non trouvé</v>
      </c>
      <c r="L446" t="str">
        <f>_xlfn.XLOOKUP(_26_03_2026_Log_Reseau_v15[[#This Row],[province RDC]],_26_03_2026_Client_Churn_v1[Province_Client],_26_03_2026_Client_Churn_v1[Anciennete_Mois],"non trouvé")</f>
        <v>non trouvé</v>
      </c>
      <c r="M446" t="str">
        <f>_xlfn.XLOOKUP(_26_03_2026_Log_Reseau_v15[[#This Row],[province RDC]],_26_03_2026_Client_Churn_v1[Province_Client],_26_03_2026_Client_Churn_v1[Type_Forfait],"non trouvé")</f>
        <v>non trouvé</v>
      </c>
      <c r="N446" t="str">
        <f>_xlfn.XLOOKUP(_26_03_2026_Log_Reseau_v15[[#This Row],[province RDC]],_26_03_2026_Client_Churn_v1[Province_Client],_26_03_2026_Client_Churn_v1[Duree_Cumulee_Panne_Min],"non trouvé")</f>
        <v>non trouvé</v>
      </c>
      <c r="O446" t="str">
        <f>_xlfn.XLOOKUP(_26_03_2026_Log_Reseau_v15[[#This Row],[province RDC]],_26_03_2026_Client_Churn_v1[Province_Client],_26_03_2026_Client_Churn_v1[Facture_Mensuelle],"non trouvé")</f>
        <v>non trouvé</v>
      </c>
      <c r="P446" t="str">
        <f>_xlfn.XLOOKUP(_26_03_2026_Log_Reseau_v15[[#This Row],[province RDC]],_26_03_2026_Client_Churn_v1[Province_Client],_26_03_2026_Client_Churn_v1[Plaintes_Service_Client],"non trouvé")</f>
        <v>non trouvé</v>
      </c>
    </row>
    <row r="447" spans="1:16" x14ac:dyDescent="0.25">
      <c r="A447" s="1">
        <v>45205</v>
      </c>
      <c r="B447" s="2">
        <v>0.15416666666666667</v>
      </c>
      <c r="C447" t="s">
        <v>1093</v>
      </c>
      <c r="D447">
        <v>12</v>
      </c>
      <c r="E447" t="s">
        <v>807</v>
      </c>
      <c r="F447" t="str">
        <f>_xlfn.XLOOKUP(_26_03_2026_Log_Reseau_v15[[#This Row],[Cell_ID]],_26_03_2026_Registre_Maintenance_v1[ID_Antenne],_26_03_2026_Registre_Maintenance_v1[zone],"pas trouvé")</f>
        <v>Sud-Kivu</v>
      </c>
      <c r="G447">
        <f>_xlfn.XLOOKUP(_26_03_2026_Log_Reseau_v15[[#This Row],[Cell_ID]],_26_03_2026_Registre_Maintenance_v1[ID_Antenne],_26_03_2026_Registre_Maintenance_v1[Latitude],"non trouvé")</f>
        <v>-5.2526849999999996</v>
      </c>
      <c r="H447">
        <f>_xlfn.XLOOKUP(_26_03_2026_Log_Reseau_v15[[#This Row],[Cell_ID]],_26_03_2026_Registre_Maintenance_v1[ID_Antenne],_26_03_2026_Registre_Maintenance_v1[Longitude],"pas trouvé")</f>
        <v>12.374528</v>
      </c>
      <c r="I447" t="str">
        <f>_xlfn.XLOOKUP(_26_03_2026_Log_Reseau_v15[[#This Row],[Cell_ID]],_26_03_2026_Registre_Maintenance_v1[ID_Antenne],_26_03_2026_Registre_Maintenance_v1[Technologie],"non trouvé")</f>
        <v>3G</v>
      </c>
      <c r="J447" t="str">
        <f>_xlfn.XLOOKUP(_26_03_2026_Log_Reseau_v15[[#This Row],[Cell_ID]],_26_03_2026_Registre_Maintenance_v1[ID_Antenne],_26_03_2026_Registre_Maintenance_v1[Equipementier],"pas trouvé")</f>
        <v>Nokia</v>
      </c>
      <c r="K447" t="str">
        <f>_xlfn.XLOOKUP(_26_03_2026_Log_Reseau_v15[[#This Row],[province RDC]],_26_03_2026_Client_Churn_v1[Province_Client],_26_03_2026_Client_Churn_v1[ID_Client],"non trouvé")</f>
        <v>CLI-01855</v>
      </c>
      <c r="L447">
        <f>_xlfn.XLOOKUP(_26_03_2026_Log_Reseau_v15[[#This Row],[province RDC]],_26_03_2026_Client_Churn_v1[Province_Client],_26_03_2026_Client_Churn_v1[Anciennete_Mois],"non trouvé")</f>
        <v>101</v>
      </c>
      <c r="M447" t="str">
        <f>_xlfn.XLOOKUP(_26_03_2026_Log_Reseau_v15[[#This Row],[province RDC]],_26_03_2026_Client_Churn_v1[Province_Client],_26_03_2026_Client_Churn_v1[Type_Forfait],"non trouvé")</f>
        <v>Illimité 50Go</v>
      </c>
      <c r="N447">
        <f>_xlfn.XLOOKUP(_26_03_2026_Log_Reseau_v15[[#This Row],[province RDC]],_26_03_2026_Client_Churn_v1[Province_Client],_26_03_2026_Client_Churn_v1[Duree_Cumulee_Panne_Min],"non trouvé")</f>
        <v>358</v>
      </c>
      <c r="O447">
        <f>_xlfn.XLOOKUP(_26_03_2026_Log_Reseau_v15[[#This Row],[province RDC]],_26_03_2026_Client_Churn_v1[Province_Client],_26_03_2026_Client_Churn_v1[Facture_Mensuelle],"non trouvé")</f>
        <v>29.24</v>
      </c>
      <c r="P447">
        <f>_xlfn.XLOOKUP(_26_03_2026_Log_Reseau_v15[[#This Row],[province RDC]],_26_03_2026_Client_Churn_v1[Province_Client],_26_03_2026_Client_Churn_v1[Plaintes_Service_Client],"non trouvé")</f>
        <v>3</v>
      </c>
    </row>
    <row r="448" spans="1:16" x14ac:dyDescent="0.25">
      <c r="A448" s="1">
        <v>45211</v>
      </c>
      <c r="B448" s="2">
        <v>0.10694444444444444</v>
      </c>
      <c r="C448" t="s">
        <v>1093</v>
      </c>
      <c r="D448">
        <v>87</v>
      </c>
      <c r="E448" t="s">
        <v>812</v>
      </c>
      <c r="F448" t="str">
        <f>_xlfn.XLOOKUP(_26_03_2026_Log_Reseau_v15[[#This Row],[Cell_ID]],_26_03_2026_Registre_Maintenance_v1[ID_Antenne],_26_03_2026_Registre_Maintenance_v1[zone],"pas trouvé")</f>
        <v>Sud-Kivu</v>
      </c>
      <c r="G448">
        <f>_xlfn.XLOOKUP(_26_03_2026_Log_Reseau_v15[[#This Row],[Cell_ID]],_26_03_2026_Registre_Maintenance_v1[ID_Antenne],_26_03_2026_Registre_Maintenance_v1[Latitude],"non trouvé")</f>
        <v>-5.2526849999999996</v>
      </c>
      <c r="H448">
        <f>_xlfn.XLOOKUP(_26_03_2026_Log_Reseau_v15[[#This Row],[Cell_ID]],_26_03_2026_Registre_Maintenance_v1[ID_Antenne],_26_03_2026_Registre_Maintenance_v1[Longitude],"pas trouvé")</f>
        <v>12.374528</v>
      </c>
      <c r="I448" t="str">
        <f>_xlfn.XLOOKUP(_26_03_2026_Log_Reseau_v15[[#This Row],[Cell_ID]],_26_03_2026_Registre_Maintenance_v1[ID_Antenne],_26_03_2026_Registre_Maintenance_v1[Technologie],"non trouvé")</f>
        <v>3G</v>
      </c>
      <c r="J448" t="str">
        <f>_xlfn.XLOOKUP(_26_03_2026_Log_Reseau_v15[[#This Row],[Cell_ID]],_26_03_2026_Registre_Maintenance_v1[ID_Antenne],_26_03_2026_Registre_Maintenance_v1[Equipementier],"pas trouvé")</f>
        <v>Nokia</v>
      </c>
      <c r="K448" t="str">
        <f>_xlfn.XLOOKUP(_26_03_2026_Log_Reseau_v15[[#This Row],[province RDC]],_26_03_2026_Client_Churn_v1[Province_Client],_26_03_2026_Client_Churn_v1[ID_Client],"non trouvé")</f>
        <v>CLI-01855</v>
      </c>
      <c r="L448">
        <f>_xlfn.XLOOKUP(_26_03_2026_Log_Reseau_v15[[#This Row],[province RDC]],_26_03_2026_Client_Churn_v1[Province_Client],_26_03_2026_Client_Churn_v1[Anciennete_Mois],"non trouvé")</f>
        <v>101</v>
      </c>
      <c r="M448" t="str">
        <f>_xlfn.XLOOKUP(_26_03_2026_Log_Reseau_v15[[#This Row],[province RDC]],_26_03_2026_Client_Churn_v1[Province_Client],_26_03_2026_Client_Churn_v1[Type_Forfait],"non trouvé")</f>
        <v>Illimité 50Go</v>
      </c>
      <c r="N448">
        <f>_xlfn.XLOOKUP(_26_03_2026_Log_Reseau_v15[[#This Row],[province RDC]],_26_03_2026_Client_Churn_v1[Province_Client],_26_03_2026_Client_Churn_v1[Duree_Cumulee_Panne_Min],"non trouvé")</f>
        <v>358</v>
      </c>
      <c r="O448">
        <f>_xlfn.XLOOKUP(_26_03_2026_Log_Reseau_v15[[#This Row],[province RDC]],_26_03_2026_Client_Churn_v1[Province_Client],_26_03_2026_Client_Churn_v1[Facture_Mensuelle],"non trouvé")</f>
        <v>29.24</v>
      </c>
      <c r="P448">
        <f>_xlfn.XLOOKUP(_26_03_2026_Log_Reseau_v15[[#This Row],[province RDC]],_26_03_2026_Client_Churn_v1[Province_Client],_26_03_2026_Client_Churn_v1[Plaintes_Service_Client],"non trouvé")</f>
        <v>3</v>
      </c>
    </row>
    <row r="449" spans="1:16" x14ac:dyDescent="0.25">
      <c r="A449" s="1">
        <v>45221</v>
      </c>
      <c r="B449" s="2">
        <v>0.84652777777777777</v>
      </c>
      <c r="C449" t="s">
        <v>1093</v>
      </c>
      <c r="D449">
        <v>96</v>
      </c>
      <c r="E449" t="s">
        <v>812</v>
      </c>
      <c r="F449" t="str">
        <f>_xlfn.XLOOKUP(_26_03_2026_Log_Reseau_v15[[#This Row],[Cell_ID]],_26_03_2026_Registre_Maintenance_v1[ID_Antenne],_26_03_2026_Registre_Maintenance_v1[zone],"pas trouvé")</f>
        <v>Sud-Kivu</v>
      </c>
      <c r="G449">
        <f>_xlfn.XLOOKUP(_26_03_2026_Log_Reseau_v15[[#This Row],[Cell_ID]],_26_03_2026_Registre_Maintenance_v1[ID_Antenne],_26_03_2026_Registre_Maintenance_v1[Latitude],"non trouvé")</f>
        <v>-5.2526849999999996</v>
      </c>
      <c r="H449">
        <f>_xlfn.XLOOKUP(_26_03_2026_Log_Reseau_v15[[#This Row],[Cell_ID]],_26_03_2026_Registre_Maintenance_v1[ID_Antenne],_26_03_2026_Registre_Maintenance_v1[Longitude],"pas trouvé")</f>
        <v>12.374528</v>
      </c>
      <c r="I449" t="str">
        <f>_xlfn.XLOOKUP(_26_03_2026_Log_Reseau_v15[[#This Row],[Cell_ID]],_26_03_2026_Registre_Maintenance_v1[ID_Antenne],_26_03_2026_Registre_Maintenance_v1[Technologie],"non trouvé")</f>
        <v>3G</v>
      </c>
      <c r="J449" t="str">
        <f>_xlfn.XLOOKUP(_26_03_2026_Log_Reseau_v15[[#This Row],[Cell_ID]],_26_03_2026_Registre_Maintenance_v1[ID_Antenne],_26_03_2026_Registre_Maintenance_v1[Equipementier],"pas trouvé")</f>
        <v>Nokia</v>
      </c>
      <c r="K449" t="str">
        <f>_xlfn.XLOOKUP(_26_03_2026_Log_Reseau_v15[[#This Row],[province RDC]],_26_03_2026_Client_Churn_v1[Province_Client],_26_03_2026_Client_Churn_v1[ID_Client],"non trouvé")</f>
        <v>CLI-01855</v>
      </c>
      <c r="L449">
        <f>_xlfn.XLOOKUP(_26_03_2026_Log_Reseau_v15[[#This Row],[province RDC]],_26_03_2026_Client_Churn_v1[Province_Client],_26_03_2026_Client_Churn_v1[Anciennete_Mois],"non trouvé")</f>
        <v>101</v>
      </c>
      <c r="M449" t="str">
        <f>_xlfn.XLOOKUP(_26_03_2026_Log_Reseau_v15[[#This Row],[province RDC]],_26_03_2026_Client_Churn_v1[Province_Client],_26_03_2026_Client_Churn_v1[Type_Forfait],"non trouvé")</f>
        <v>Illimité 50Go</v>
      </c>
      <c r="N449">
        <f>_xlfn.XLOOKUP(_26_03_2026_Log_Reseau_v15[[#This Row],[province RDC]],_26_03_2026_Client_Churn_v1[Province_Client],_26_03_2026_Client_Churn_v1[Duree_Cumulee_Panne_Min],"non trouvé")</f>
        <v>358</v>
      </c>
      <c r="O449">
        <f>_xlfn.XLOOKUP(_26_03_2026_Log_Reseau_v15[[#This Row],[province RDC]],_26_03_2026_Client_Churn_v1[Province_Client],_26_03_2026_Client_Churn_v1[Facture_Mensuelle],"non trouvé")</f>
        <v>29.24</v>
      </c>
      <c r="P449">
        <f>_xlfn.XLOOKUP(_26_03_2026_Log_Reseau_v15[[#This Row],[province RDC]],_26_03_2026_Client_Churn_v1[Province_Client],_26_03_2026_Client_Churn_v1[Plaintes_Service_Client],"non trouvé")</f>
        <v>3</v>
      </c>
    </row>
    <row r="450" spans="1:16" x14ac:dyDescent="0.25">
      <c r="A450" s="1">
        <v>45221</v>
      </c>
      <c r="B450" s="2">
        <v>4.9305555555555554E-2</v>
      </c>
      <c r="C450" t="s">
        <v>1094</v>
      </c>
      <c r="D450">
        <v>53</v>
      </c>
      <c r="E450" t="s">
        <v>808</v>
      </c>
      <c r="F450" t="str">
        <f>_xlfn.XLOOKUP(_26_03_2026_Log_Reseau_v15[[#This Row],[Cell_ID]],_26_03_2026_Registre_Maintenance_v1[ID_Antenne],_26_03_2026_Registre_Maintenance_v1[zone],"pas trouvé")</f>
        <v>Lualaba</v>
      </c>
      <c r="G450">
        <f>_xlfn.XLOOKUP(_26_03_2026_Log_Reseau_v15[[#This Row],[Cell_ID]],_26_03_2026_Registre_Maintenance_v1[ID_Antenne],_26_03_2026_Registre_Maintenance_v1[Latitude],"non trouvé")</f>
        <v>1.286548</v>
      </c>
      <c r="H450">
        <f>_xlfn.XLOOKUP(_26_03_2026_Log_Reseau_v15[[#This Row],[Cell_ID]],_26_03_2026_Registre_Maintenance_v1[ID_Antenne],_26_03_2026_Registre_Maintenance_v1[Longitude],"pas trouvé")</f>
        <v>29.823702999999998</v>
      </c>
      <c r="I450" t="str">
        <f>_xlfn.XLOOKUP(_26_03_2026_Log_Reseau_v15[[#This Row],[Cell_ID]],_26_03_2026_Registre_Maintenance_v1[ID_Antenne],_26_03_2026_Registre_Maintenance_v1[Technologie],"non trouvé")</f>
        <v>4G</v>
      </c>
      <c r="J450" t="str">
        <f>_xlfn.XLOOKUP(_26_03_2026_Log_Reseau_v15[[#This Row],[Cell_ID]],_26_03_2026_Registre_Maintenance_v1[ID_Antenne],_26_03_2026_Registre_Maintenance_v1[Equipementier],"pas trouvé")</f>
        <v>ZTE</v>
      </c>
      <c r="K450" t="str">
        <f>_xlfn.XLOOKUP(_26_03_2026_Log_Reseau_v15[[#This Row],[province RDC]],_26_03_2026_Client_Churn_v1[Province_Client],_26_03_2026_Client_Churn_v1[ID_Client],"non trouvé")</f>
        <v>CLI-01005</v>
      </c>
      <c r="L450">
        <f>_xlfn.XLOOKUP(_26_03_2026_Log_Reseau_v15[[#This Row],[province RDC]],_26_03_2026_Client_Churn_v1[Province_Client],_26_03_2026_Client_Churn_v1[Anciennete_Mois],"non trouvé")</f>
        <v>80</v>
      </c>
      <c r="M450" t="str">
        <f>_xlfn.XLOOKUP(_26_03_2026_Log_Reseau_v15[[#This Row],[province RDC]],_26_03_2026_Client_Churn_v1[Province_Client],_26_03_2026_Client_Churn_v1[Type_Forfait],"non trouvé")</f>
        <v>Illimité 50Go</v>
      </c>
      <c r="N450">
        <f>_xlfn.XLOOKUP(_26_03_2026_Log_Reseau_v15[[#This Row],[province RDC]],_26_03_2026_Client_Churn_v1[Province_Client],_26_03_2026_Client_Churn_v1[Duree_Cumulee_Panne_Min],"non trouvé")</f>
        <v>155</v>
      </c>
      <c r="O450">
        <f>_xlfn.XLOOKUP(_26_03_2026_Log_Reseau_v15[[#This Row],[province RDC]],_26_03_2026_Client_Churn_v1[Province_Client],_26_03_2026_Client_Churn_v1[Facture_Mensuelle],"non trouvé")</f>
        <v>28.96</v>
      </c>
      <c r="P450">
        <f>_xlfn.XLOOKUP(_26_03_2026_Log_Reseau_v15[[#This Row],[province RDC]],_26_03_2026_Client_Churn_v1[Province_Client],_26_03_2026_Client_Churn_v1[Plaintes_Service_Client],"non trouvé")</f>
        <v>2</v>
      </c>
    </row>
    <row r="451" spans="1:16" x14ac:dyDescent="0.25">
      <c r="A451" s="1">
        <v>45211</v>
      </c>
      <c r="B451" s="2">
        <v>0.31666666666666665</v>
      </c>
      <c r="C451" t="s">
        <v>1094</v>
      </c>
      <c r="D451">
        <v>93</v>
      </c>
      <c r="E451" t="s">
        <v>812</v>
      </c>
      <c r="F451" t="str">
        <f>_xlfn.XLOOKUP(_26_03_2026_Log_Reseau_v15[[#This Row],[Cell_ID]],_26_03_2026_Registre_Maintenance_v1[ID_Antenne],_26_03_2026_Registre_Maintenance_v1[zone],"pas trouvé")</f>
        <v>Lualaba</v>
      </c>
      <c r="G451">
        <f>_xlfn.XLOOKUP(_26_03_2026_Log_Reseau_v15[[#This Row],[Cell_ID]],_26_03_2026_Registre_Maintenance_v1[ID_Antenne],_26_03_2026_Registre_Maintenance_v1[Latitude],"non trouvé")</f>
        <v>1.286548</v>
      </c>
      <c r="H451">
        <f>_xlfn.XLOOKUP(_26_03_2026_Log_Reseau_v15[[#This Row],[Cell_ID]],_26_03_2026_Registre_Maintenance_v1[ID_Antenne],_26_03_2026_Registre_Maintenance_v1[Longitude],"pas trouvé")</f>
        <v>29.823702999999998</v>
      </c>
      <c r="I451" t="str">
        <f>_xlfn.XLOOKUP(_26_03_2026_Log_Reseau_v15[[#This Row],[Cell_ID]],_26_03_2026_Registre_Maintenance_v1[ID_Antenne],_26_03_2026_Registre_Maintenance_v1[Technologie],"non trouvé")</f>
        <v>4G</v>
      </c>
      <c r="J451" t="str">
        <f>_xlfn.XLOOKUP(_26_03_2026_Log_Reseau_v15[[#This Row],[Cell_ID]],_26_03_2026_Registre_Maintenance_v1[ID_Antenne],_26_03_2026_Registre_Maintenance_v1[Equipementier],"pas trouvé")</f>
        <v>ZTE</v>
      </c>
      <c r="K451" t="str">
        <f>_xlfn.XLOOKUP(_26_03_2026_Log_Reseau_v15[[#This Row],[province RDC]],_26_03_2026_Client_Churn_v1[Province_Client],_26_03_2026_Client_Churn_v1[ID_Client],"non trouvé")</f>
        <v>CLI-01005</v>
      </c>
      <c r="L451">
        <f>_xlfn.XLOOKUP(_26_03_2026_Log_Reseau_v15[[#This Row],[province RDC]],_26_03_2026_Client_Churn_v1[Province_Client],_26_03_2026_Client_Churn_v1[Anciennete_Mois],"non trouvé")</f>
        <v>80</v>
      </c>
      <c r="M451" t="str">
        <f>_xlfn.XLOOKUP(_26_03_2026_Log_Reseau_v15[[#This Row],[province RDC]],_26_03_2026_Client_Churn_v1[Province_Client],_26_03_2026_Client_Churn_v1[Type_Forfait],"non trouvé")</f>
        <v>Illimité 50Go</v>
      </c>
      <c r="N451">
        <f>_xlfn.XLOOKUP(_26_03_2026_Log_Reseau_v15[[#This Row],[province RDC]],_26_03_2026_Client_Churn_v1[Province_Client],_26_03_2026_Client_Churn_v1[Duree_Cumulee_Panne_Min],"non trouvé")</f>
        <v>155</v>
      </c>
      <c r="O451">
        <f>_xlfn.XLOOKUP(_26_03_2026_Log_Reseau_v15[[#This Row],[province RDC]],_26_03_2026_Client_Churn_v1[Province_Client],_26_03_2026_Client_Churn_v1[Facture_Mensuelle],"non trouvé")</f>
        <v>28.96</v>
      </c>
      <c r="P451">
        <f>_xlfn.XLOOKUP(_26_03_2026_Log_Reseau_v15[[#This Row],[province RDC]],_26_03_2026_Client_Churn_v1[Province_Client],_26_03_2026_Client_Churn_v1[Plaintes_Service_Client],"non trouvé")</f>
        <v>2</v>
      </c>
    </row>
    <row r="452" spans="1:16" hidden="1" x14ac:dyDescent="0.25">
      <c r="A452" s="1">
        <v>45213</v>
      </c>
      <c r="B452" s="2">
        <v>0.59791666666666665</v>
      </c>
      <c r="C452" t="s">
        <v>1095</v>
      </c>
      <c r="D452">
        <v>108</v>
      </c>
      <c r="E452" t="s">
        <v>808</v>
      </c>
      <c r="F452" t="str">
        <f>_xlfn.XLOOKUP(_26_03_2026_Log_Reseau_v15[[#This Row],[Cell_ID]],_26_03_2026_Registre_Maintenance_v1[ID_Antenne],_26_03_2026_Registre_Maintenance_v1[zone],"pas trouvé")</f>
        <v>pas trouvé</v>
      </c>
      <c r="G452" t="str">
        <f>_xlfn.XLOOKUP(_26_03_2026_Log_Reseau_v15[[#This Row],[Cell_ID]],_26_03_2026_Registre_Maintenance_v1[ID_Antenne],_26_03_2026_Registre_Maintenance_v1[Latitude],"non trouvé")</f>
        <v>non trouvé</v>
      </c>
      <c r="H452" t="str">
        <f>_xlfn.XLOOKUP(_26_03_2026_Log_Reseau_v15[[#This Row],[Cell_ID]],_26_03_2026_Registre_Maintenance_v1[ID_Antenne],_26_03_2026_Registre_Maintenance_v1[Longitude],"pas trouvé")</f>
        <v>pas trouvé</v>
      </c>
      <c r="I452" t="str">
        <f>_xlfn.XLOOKUP(_26_03_2026_Log_Reseau_v15[[#This Row],[Cell_ID]],_26_03_2026_Registre_Maintenance_v1[ID_Antenne],_26_03_2026_Registre_Maintenance_v1[Technologie],"non trouvé")</f>
        <v>non trouvé</v>
      </c>
      <c r="J452" t="str">
        <f>_xlfn.XLOOKUP(_26_03_2026_Log_Reseau_v15[[#This Row],[Cell_ID]],_26_03_2026_Registre_Maintenance_v1[ID_Antenne],_26_03_2026_Registre_Maintenance_v1[Equipementier],"pas trouvé")</f>
        <v>pas trouvé</v>
      </c>
      <c r="K452" t="str">
        <f>_xlfn.XLOOKUP(_26_03_2026_Log_Reseau_v15[[#This Row],[province RDC]],_26_03_2026_Client_Churn_v1[Province_Client],_26_03_2026_Client_Churn_v1[ID_Client],"non trouvé")</f>
        <v>non trouvé</v>
      </c>
      <c r="L452" t="str">
        <f>_xlfn.XLOOKUP(_26_03_2026_Log_Reseau_v15[[#This Row],[province RDC]],_26_03_2026_Client_Churn_v1[Province_Client],_26_03_2026_Client_Churn_v1[Anciennete_Mois],"non trouvé")</f>
        <v>non trouvé</v>
      </c>
      <c r="M452" t="str">
        <f>_xlfn.XLOOKUP(_26_03_2026_Log_Reseau_v15[[#This Row],[province RDC]],_26_03_2026_Client_Churn_v1[Province_Client],_26_03_2026_Client_Churn_v1[Type_Forfait],"non trouvé")</f>
        <v>non trouvé</v>
      </c>
      <c r="N452" t="str">
        <f>_xlfn.XLOOKUP(_26_03_2026_Log_Reseau_v15[[#This Row],[province RDC]],_26_03_2026_Client_Churn_v1[Province_Client],_26_03_2026_Client_Churn_v1[Duree_Cumulee_Panne_Min],"non trouvé")</f>
        <v>non trouvé</v>
      </c>
      <c r="O452" t="str">
        <f>_xlfn.XLOOKUP(_26_03_2026_Log_Reseau_v15[[#This Row],[province RDC]],_26_03_2026_Client_Churn_v1[Province_Client],_26_03_2026_Client_Churn_v1[Facture_Mensuelle],"non trouvé")</f>
        <v>non trouvé</v>
      </c>
      <c r="P452" t="str">
        <f>_xlfn.XLOOKUP(_26_03_2026_Log_Reseau_v15[[#This Row],[province RDC]],_26_03_2026_Client_Churn_v1[Province_Client],_26_03_2026_Client_Churn_v1[Plaintes_Service_Client],"non trouvé")</f>
        <v>non trouvé</v>
      </c>
    </row>
    <row r="453" spans="1:16" hidden="1" x14ac:dyDescent="0.25">
      <c r="A453" s="1">
        <v>45221</v>
      </c>
      <c r="B453" s="2">
        <v>0.50277777777777777</v>
      </c>
      <c r="C453" t="s">
        <v>1096</v>
      </c>
      <c r="D453">
        <v>69</v>
      </c>
      <c r="E453" t="s">
        <v>807</v>
      </c>
      <c r="F453" t="str">
        <f>_xlfn.XLOOKUP(_26_03_2026_Log_Reseau_v15[[#This Row],[Cell_ID]],_26_03_2026_Registre_Maintenance_v1[ID_Antenne],_26_03_2026_Registre_Maintenance_v1[zone],"pas trouvé")</f>
        <v>pas trouvé</v>
      </c>
      <c r="G453" t="str">
        <f>_xlfn.XLOOKUP(_26_03_2026_Log_Reseau_v15[[#This Row],[Cell_ID]],_26_03_2026_Registre_Maintenance_v1[ID_Antenne],_26_03_2026_Registre_Maintenance_v1[Latitude],"non trouvé")</f>
        <v>non trouvé</v>
      </c>
      <c r="H453" t="str">
        <f>_xlfn.XLOOKUP(_26_03_2026_Log_Reseau_v15[[#This Row],[Cell_ID]],_26_03_2026_Registre_Maintenance_v1[ID_Antenne],_26_03_2026_Registre_Maintenance_v1[Longitude],"pas trouvé")</f>
        <v>pas trouvé</v>
      </c>
      <c r="I453" t="str">
        <f>_xlfn.XLOOKUP(_26_03_2026_Log_Reseau_v15[[#This Row],[Cell_ID]],_26_03_2026_Registre_Maintenance_v1[ID_Antenne],_26_03_2026_Registre_Maintenance_v1[Technologie],"non trouvé")</f>
        <v>non trouvé</v>
      </c>
      <c r="J453" t="str">
        <f>_xlfn.XLOOKUP(_26_03_2026_Log_Reseau_v15[[#This Row],[Cell_ID]],_26_03_2026_Registre_Maintenance_v1[ID_Antenne],_26_03_2026_Registre_Maintenance_v1[Equipementier],"pas trouvé")</f>
        <v>pas trouvé</v>
      </c>
      <c r="K453" t="str">
        <f>_xlfn.XLOOKUP(_26_03_2026_Log_Reseau_v15[[#This Row],[province RDC]],_26_03_2026_Client_Churn_v1[Province_Client],_26_03_2026_Client_Churn_v1[ID_Client],"non trouvé")</f>
        <v>non trouvé</v>
      </c>
      <c r="L453" t="str">
        <f>_xlfn.XLOOKUP(_26_03_2026_Log_Reseau_v15[[#This Row],[province RDC]],_26_03_2026_Client_Churn_v1[Province_Client],_26_03_2026_Client_Churn_v1[Anciennete_Mois],"non trouvé")</f>
        <v>non trouvé</v>
      </c>
      <c r="M453" t="str">
        <f>_xlfn.XLOOKUP(_26_03_2026_Log_Reseau_v15[[#This Row],[province RDC]],_26_03_2026_Client_Churn_v1[Province_Client],_26_03_2026_Client_Churn_v1[Type_Forfait],"non trouvé")</f>
        <v>non trouvé</v>
      </c>
      <c r="N453" t="str">
        <f>_xlfn.XLOOKUP(_26_03_2026_Log_Reseau_v15[[#This Row],[province RDC]],_26_03_2026_Client_Churn_v1[Province_Client],_26_03_2026_Client_Churn_v1[Duree_Cumulee_Panne_Min],"non trouvé")</f>
        <v>non trouvé</v>
      </c>
      <c r="O453" t="str">
        <f>_xlfn.XLOOKUP(_26_03_2026_Log_Reseau_v15[[#This Row],[province RDC]],_26_03_2026_Client_Churn_v1[Province_Client],_26_03_2026_Client_Churn_v1[Facture_Mensuelle],"non trouvé")</f>
        <v>non trouvé</v>
      </c>
      <c r="P453" t="str">
        <f>_xlfn.XLOOKUP(_26_03_2026_Log_Reseau_v15[[#This Row],[province RDC]],_26_03_2026_Client_Churn_v1[Province_Client],_26_03_2026_Client_Churn_v1[Plaintes_Service_Client],"non trouvé")</f>
        <v>non trouvé</v>
      </c>
    </row>
    <row r="454" spans="1:16" hidden="1" x14ac:dyDescent="0.25">
      <c r="A454" s="1">
        <v>45217</v>
      </c>
      <c r="B454" s="2">
        <v>0.68472222222222223</v>
      </c>
      <c r="C454" t="s">
        <v>1097</v>
      </c>
      <c r="D454">
        <v>43</v>
      </c>
      <c r="E454" t="s">
        <v>807</v>
      </c>
      <c r="F454" t="str">
        <f>_xlfn.XLOOKUP(_26_03_2026_Log_Reseau_v15[[#This Row],[Cell_ID]],_26_03_2026_Registre_Maintenance_v1[ID_Antenne],_26_03_2026_Registre_Maintenance_v1[zone],"pas trouvé")</f>
        <v>pas trouvé</v>
      </c>
      <c r="G454" t="str">
        <f>_xlfn.XLOOKUP(_26_03_2026_Log_Reseau_v15[[#This Row],[Cell_ID]],_26_03_2026_Registre_Maintenance_v1[ID_Antenne],_26_03_2026_Registre_Maintenance_v1[Latitude],"non trouvé")</f>
        <v>non trouvé</v>
      </c>
      <c r="H454" t="str">
        <f>_xlfn.XLOOKUP(_26_03_2026_Log_Reseau_v15[[#This Row],[Cell_ID]],_26_03_2026_Registre_Maintenance_v1[ID_Antenne],_26_03_2026_Registre_Maintenance_v1[Longitude],"pas trouvé")</f>
        <v>pas trouvé</v>
      </c>
      <c r="I454" t="str">
        <f>_xlfn.XLOOKUP(_26_03_2026_Log_Reseau_v15[[#This Row],[Cell_ID]],_26_03_2026_Registre_Maintenance_v1[ID_Antenne],_26_03_2026_Registre_Maintenance_v1[Technologie],"non trouvé")</f>
        <v>non trouvé</v>
      </c>
      <c r="J454" t="str">
        <f>_xlfn.XLOOKUP(_26_03_2026_Log_Reseau_v15[[#This Row],[Cell_ID]],_26_03_2026_Registre_Maintenance_v1[ID_Antenne],_26_03_2026_Registre_Maintenance_v1[Equipementier],"pas trouvé")</f>
        <v>pas trouvé</v>
      </c>
      <c r="K454" t="str">
        <f>_xlfn.XLOOKUP(_26_03_2026_Log_Reseau_v15[[#This Row],[province RDC]],_26_03_2026_Client_Churn_v1[Province_Client],_26_03_2026_Client_Churn_v1[ID_Client],"non trouvé")</f>
        <v>non trouvé</v>
      </c>
      <c r="L454" t="str">
        <f>_xlfn.XLOOKUP(_26_03_2026_Log_Reseau_v15[[#This Row],[province RDC]],_26_03_2026_Client_Churn_v1[Province_Client],_26_03_2026_Client_Churn_v1[Anciennete_Mois],"non trouvé")</f>
        <v>non trouvé</v>
      </c>
      <c r="M454" t="str">
        <f>_xlfn.XLOOKUP(_26_03_2026_Log_Reseau_v15[[#This Row],[province RDC]],_26_03_2026_Client_Churn_v1[Province_Client],_26_03_2026_Client_Churn_v1[Type_Forfait],"non trouvé")</f>
        <v>non trouvé</v>
      </c>
      <c r="N454" t="str">
        <f>_xlfn.XLOOKUP(_26_03_2026_Log_Reseau_v15[[#This Row],[province RDC]],_26_03_2026_Client_Churn_v1[Province_Client],_26_03_2026_Client_Churn_v1[Duree_Cumulee_Panne_Min],"non trouvé")</f>
        <v>non trouvé</v>
      </c>
      <c r="O454" t="str">
        <f>_xlfn.XLOOKUP(_26_03_2026_Log_Reseau_v15[[#This Row],[province RDC]],_26_03_2026_Client_Churn_v1[Province_Client],_26_03_2026_Client_Churn_v1[Facture_Mensuelle],"non trouvé")</f>
        <v>non trouvé</v>
      </c>
      <c r="P454" t="str">
        <f>_xlfn.XLOOKUP(_26_03_2026_Log_Reseau_v15[[#This Row],[province RDC]],_26_03_2026_Client_Churn_v1[Province_Client],_26_03_2026_Client_Churn_v1[Plaintes_Service_Client],"non trouvé")</f>
        <v>non trouvé</v>
      </c>
    </row>
    <row r="455" spans="1:16" hidden="1" x14ac:dyDescent="0.25">
      <c r="A455" s="1">
        <v>45209</v>
      </c>
      <c r="B455" s="2">
        <v>0.68402777777777779</v>
      </c>
      <c r="C455" t="s">
        <v>1097</v>
      </c>
      <c r="D455">
        <v>44</v>
      </c>
      <c r="E455" t="s">
        <v>812</v>
      </c>
      <c r="F455" t="str">
        <f>_xlfn.XLOOKUP(_26_03_2026_Log_Reseau_v15[[#This Row],[Cell_ID]],_26_03_2026_Registre_Maintenance_v1[ID_Antenne],_26_03_2026_Registre_Maintenance_v1[zone],"pas trouvé")</f>
        <v>pas trouvé</v>
      </c>
      <c r="G455" t="str">
        <f>_xlfn.XLOOKUP(_26_03_2026_Log_Reseau_v15[[#This Row],[Cell_ID]],_26_03_2026_Registre_Maintenance_v1[ID_Antenne],_26_03_2026_Registre_Maintenance_v1[Latitude],"non trouvé")</f>
        <v>non trouvé</v>
      </c>
      <c r="H455" t="str">
        <f>_xlfn.XLOOKUP(_26_03_2026_Log_Reseau_v15[[#This Row],[Cell_ID]],_26_03_2026_Registre_Maintenance_v1[ID_Antenne],_26_03_2026_Registre_Maintenance_v1[Longitude],"pas trouvé")</f>
        <v>pas trouvé</v>
      </c>
      <c r="I455" t="str">
        <f>_xlfn.XLOOKUP(_26_03_2026_Log_Reseau_v15[[#This Row],[Cell_ID]],_26_03_2026_Registre_Maintenance_v1[ID_Antenne],_26_03_2026_Registre_Maintenance_v1[Technologie],"non trouvé")</f>
        <v>non trouvé</v>
      </c>
      <c r="J455" t="str">
        <f>_xlfn.XLOOKUP(_26_03_2026_Log_Reseau_v15[[#This Row],[Cell_ID]],_26_03_2026_Registre_Maintenance_v1[ID_Antenne],_26_03_2026_Registre_Maintenance_v1[Equipementier],"pas trouvé")</f>
        <v>pas trouvé</v>
      </c>
      <c r="K455" t="str">
        <f>_xlfn.XLOOKUP(_26_03_2026_Log_Reseau_v15[[#This Row],[province RDC]],_26_03_2026_Client_Churn_v1[Province_Client],_26_03_2026_Client_Churn_v1[ID_Client],"non trouvé")</f>
        <v>non trouvé</v>
      </c>
      <c r="L455" t="str">
        <f>_xlfn.XLOOKUP(_26_03_2026_Log_Reseau_v15[[#This Row],[province RDC]],_26_03_2026_Client_Churn_v1[Province_Client],_26_03_2026_Client_Churn_v1[Anciennete_Mois],"non trouvé")</f>
        <v>non trouvé</v>
      </c>
      <c r="M455" t="str">
        <f>_xlfn.XLOOKUP(_26_03_2026_Log_Reseau_v15[[#This Row],[province RDC]],_26_03_2026_Client_Churn_v1[Province_Client],_26_03_2026_Client_Churn_v1[Type_Forfait],"non trouvé")</f>
        <v>non trouvé</v>
      </c>
      <c r="N455" t="str">
        <f>_xlfn.XLOOKUP(_26_03_2026_Log_Reseau_v15[[#This Row],[province RDC]],_26_03_2026_Client_Churn_v1[Province_Client],_26_03_2026_Client_Churn_v1[Duree_Cumulee_Panne_Min],"non trouvé")</f>
        <v>non trouvé</v>
      </c>
      <c r="O455" t="str">
        <f>_xlfn.XLOOKUP(_26_03_2026_Log_Reseau_v15[[#This Row],[province RDC]],_26_03_2026_Client_Churn_v1[Province_Client],_26_03_2026_Client_Churn_v1[Facture_Mensuelle],"non trouvé")</f>
        <v>non trouvé</v>
      </c>
      <c r="P455" t="str">
        <f>_xlfn.XLOOKUP(_26_03_2026_Log_Reseau_v15[[#This Row],[province RDC]],_26_03_2026_Client_Churn_v1[Province_Client],_26_03_2026_Client_Churn_v1[Plaintes_Service_Client],"non trouvé")</f>
        <v>non trouvé</v>
      </c>
    </row>
    <row r="456" spans="1:16" hidden="1" x14ac:dyDescent="0.25">
      <c r="A456" s="1">
        <v>45201</v>
      </c>
      <c r="B456" s="2">
        <v>0.24305555555555555</v>
      </c>
      <c r="C456" t="s">
        <v>1097</v>
      </c>
      <c r="D456">
        <v>57</v>
      </c>
      <c r="E456" t="s">
        <v>812</v>
      </c>
      <c r="F456" t="str">
        <f>_xlfn.XLOOKUP(_26_03_2026_Log_Reseau_v15[[#This Row],[Cell_ID]],_26_03_2026_Registre_Maintenance_v1[ID_Antenne],_26_03_2026_Registre_Maintenance_v1[zone],"pas trouvé")</f>
        <v>pas trouvé</v>
      </c>
      <c r="G456" t="str">
        <f>_xlfn.XLOOKUP(_26_03_2026_Log_Reseau_v15[[#This Row],[Cell_ID]],_26_03_2026_Registre_Maintenance_v1[ID_Antenne],_26_03_2026_Registre_Maintenance_v1[Latitude],"non trouvé")</f>
        <v>non trouvé</v>
      </c>
      <c r="H456" t="str">
        <f>_xlfn.XLOOKUP(_26_03_2026_Log_Reseau_v15[[#This Row],[Cell_ID]],_26_03_2026_Registre_Maintenance_v1[ID_Antenne],_26_03_2026_Registre_Maintenance_v1[Longitude],"pas trouvé")</f>
        <v>pas trouvé</v>
      </c>
      <c r="I456" t="str">
        <f>_xlfn.XLOOKUP(_26_03_2026_Log_Reseau_v15[[#This Row],[Cell_ID]],_26_03_2026_Registre_Maintenance_v1[ID_Antenne],_26_03_2026_Registre_Maintenance_v1[Technologie],"non trouvé")</f>
        <v>non trouvé</v>
      </c>
      <c r="J456" t="str">
        <f>_xlfn.XLOOKUP(_26_03_2026_Log_Reseau_v15[[#This Row],[Cell_ID]],_26_03_2026_Registre_Maintenance_v1[ID_Antenne],_26_03_2026_Registre_Maintenance_v1[Equipementier],"pas trouvé")</f>
        <v>pas trouvé</v>
      </c>
      <c r="K456" t="str">
        <f>_xlfn.XLOOKUP(_26_03_2026_Log_Reseau_v15[[#This Row],[province RDC]],_26_03_2026_Client_Churn_v1[Province_Client],_26_03_2026_Client_Churn_v1[ID_Client],"non trouvé")</f>
        <v>non trouvé</v>
      </c>
      <c r="L456" t="str">
        <f>_xlfn.XLOOKUP(_26_03_2026_Log_Reseau_v15[[#This Row],[province RDC]],_26_03_2026_Client_Churn_v1[Province_Client],_26_03_2026_Client_Churn_v1[Anciennete_Mois],"non trouvé")</f>
        <v>non trouvé</v>
      </c>
      <c r="M456" t="str">
        <f>_xlfn.XLOOKUP(_26_03_2026_Log_Reseau_v15[[#This Row],[province RDC]],_26_03_2026_Client_Churn_v1[Province_Client],_26_03_2026_Client_Churn_v1[Type_Forfait],"non trouvé")</f>
        <v>non trouvé</v>
      </c>
      <c r="N456" t="str">
        <f>_xlfn.XLOOKUP(_26_03_2026_Log_Reseau_v15[[#This Row],[province RDC]],_26_03_2026_Client_Churn_v1[Province_Client],_26_03_2026_Client_Churn_v1[Duree_Cumulee_Panne_Min],"non trouvé")</f>
        <v>non trouvé</v>
      </c>
      <c r="O456" t="str">
        <f>_xlfn.XLOOKUP(_26_03_2026_Log_Reseau_v15[[#This Row],[province RDC]],_26_03_2026_Client_Churn_v1[Province_Client],_26_03_2026_Client_Churn_v1[Facture_Mensuelle],"non trouvé")</f>
        <v>non trouvé</v>
      </c>
      <c r="P456" t="str">
        <f>_xlfn.XLOOKUP(_26_03_2026_Log_Reseau_v15[[#This Row],[province RDC]],_26_03_2026_Client_Churn_v1[Province_Client],_26_03_2026_Client_Churn_v1[Plaintes_Service_Client],"non trouvé")</f>
        <v>non trouvé</v>
      </c>
    </row>
    <row r="457" spans="1:16" x14ac:dyDescent="0.25">
      <c r="A457" s="1">
        <v>45204</v>
      </c>
      <c r="B457" s="2">
        <v>0.76666666666666672</v>
      </c>
      <c r="C457" t="s">
        <v>1098</v>
      </c>
      <c r="D457">
        <v>9</v>
      </c>
      <c r="E457" t="s">
        <v>812</v>
      </c>
      <c r="F457" t="str">
        <f>_xlfn.XLOOKUP(_26_03_2026_Log_Reseau_v15[[#This Row],[Cell_ID]],_26_03_2026_Registre_Maintenance_v1[ID_Antenne],_26_03_2026_Registre_Maintenance_v1[zone],"pas trouvé")</f>
        <v>Kasai-Central</v>
      </c>
      <c r="G457">
        <f>_xlfn.XLOOKUP(_26_03_2026_Log_Reseau_v15[[#This Row],[Cell_ID]],_26_03_2026_Registre_Maintenance_v1[ID_Antenne],_26_03_2026_Registre_Maintenance_v1[Latitude],"non trouvé")</f>
        <v>-12.560556999999999</v>
      </c>
      <c r="H457">
        <f>_xlfn.XLOOKUP(_26_03_2026_Log_Reseau_v15[[#This Row],[Cell_ID]],_26_03_2026_Registre_Maintenance_v1[ID_Antenne],_26_03_2026_Registre_Maintenance_v1[Longitude],"pas trouvé")</f>
        <v>13.204014000000001</v>
      </c>
      <c r="I457" t="str">
        <f>_xlfn.XLOOKUP(_26_03_2026_Log_Reseau_v15[[#This Row],[Cell_ID]],_26_03_2026_Registre_Maintenance_v1[ID_Antenne],_26_03_2026_Registre_Maintenance_v1[Technologie],"non trouvé")</f>
        <v>4G</v>
      </c>
      <c r="J457" t="str">
        <f>_xlfn.XLOOKUP(_26_03_2026_Log_Reseau_v15[[#This Row],[Cell_ID]],_26_03_2026_Registre_Maintenance_v1[ID_Antenne],_26_03_2026_Registre_Maintenance_v1[Equipementier],"pas trouvé")</f>
        <v>Ericsson</v>
      </c>
      <c r="K457" t="str">
        <f>_xlfn.XLOOKUP(_26_03_2026_Log_Reseau_v15[[#This Row],[province RDC]],_26_03_2026_Client_Churn_v1[Province_Client],_26_03_2026_Client_Churn_v1[ID_Client],"non trouvé")</f>
        <v>CLI-00060</v>
      </c>
      <c r="L457">
        <f>_xlfn.XLOOKUP(_26_03_2026_Log_Reseau_v15[[#This Row],[province RDC]],_26_03_2026_Client_Churn_v1[Province_Client],_26_03_2026_Client_Churn_v1[Anciennete_Mois],"non trouvé")</f>
        <v>72</v>
      </c>
      <c r="M457" t="str">
        <f>_xlfn.XLOOKUP(_26_03_2026_Log_Reseau_v15[[#This Row],[province RDC]],_26_03_2026_Client_Churn_v1[Province_Client],_26_03_2026_Client_Churn_v1[Type_Forfait],"non trouvé")</f>
        <v>Pro Monde</v>
      </c>
      <c r="N457">
        <f>_xlfn.XLOOKUP(_26_03_2026_Log_Reseau_v15[[#This Row],[province RDC]],_26_03_2026_Client_Churn_v1[Province_Client],_26_03_2026_Client_Churn_v1[Duree_Cumulee_Panne_Min],"non trouvé")</f>
        <v>160</v>
      </c>
      <c r="O457">
        <f>_xlfn.XLOOKUP(_26_03_2026_Log_Reseau_v15[[#This Row],[province RDC]],_26_03_2026_Client_Churn_v1[Province_Client],_26_03_2026_Client_Churn_v1[Facture_Mensuelle],"non trouvé")</f>
        <v>90.13</v>
      </c>
      <c r="P457">
        <f>_xlfn.XLOOKUP(_26_03_2026_Log_Reseau_v15[[#This Row],[province RDC]],_26_03_2026_Client_Churn_v1[Province_Client],_26_03_2026_Client_Churn_v1[Plaintes_Service_Client],"non trouvé")</f>
        <v>2</v>
      </c>
    </row>
    <row r="458" spans="1:16" x14ac:dyDescent="0.25">
      <c r="A458" s="1">
        <v>45209</v>
      </c>
      <c r="B458" s="2">
        <v>0.32708333333333334</v>
      </c>
      <c r="C458" t="s">
        <v>1099</v>
      </c>
      <c r="D458">
        <v>107</v>
      </c>
      <c r="E458" t="s">
        <v>808</v>
      </c>
      <c r="F458" t="str">
        <f>_xlfn.XLOOKUP(_26_03_2026_Log_Reseau_v15[[#This Row],[Cell_ID]],_26_03_2026_Registre_Maintenance_v1[ID_Antenne],_26_03_2026_Registre_Maintenance_v1[zone],"pas trouvé")</f>
        <v>Equateur</v>
      </c>
      <c r="G458">
        <f>_xlfn.XLOOKUP(_26_03_2026_Log_Reseau_v15[[#This Row],[Cell_ID]],_26_03_2026_Registre_Maintenance_v1[ID_Antenne],_26_03_2026_Registre_Maintenance_v1[Latitude],"non trouvé")</f>
        <v>-5.0402180000000003</v>
      </c>
      <c r="H458">
        <f>_xlfn.XLOOKUP(_26_03_2026_Log_Reseau_v15[[#This Row],[Cell_ID]],_26_03_2026_Registre_Maintenance_v1[ID_Antenne],_26_03_2026_Registre_Maintenance_v1[Longitude],"pas trouvé")</f>
        <v>13.892471</v>
      </c>
      <c r="I458" t="str">
        <f>_xlfn.XLOOKUP(_26_03_2026_Log_Reseau_v15[[#This Row],[Cell_ID]],_26_03_2026_Registre_Maintenance_v1[ID_Antenne],_26_03_2026_Registre_Maintenance_v1[Technologie],"non trouvé")</f>
        <v>3G</v>
      </c>
      <c r="J458" t="str">
        <f>_xlfn.XLOOKUP(_26_03_2026_Log_Reseau_v15[[#This Row],[Cell_ID]],_26_03_2026_Registre_Maintenance_v1[ID_Antenne],_26_03_2026_Registre_Maintenance_v1[Equipementier],"pas trouvé")</f>
        <v>ZTE</v>
      </c>
      <c r="K458" t="str">
        <f>_xlfn.XLOOKUP(_26_03_2026_Log_Reseau_v15[[#This Row],[province RDC]],_26_03_2026_Client_Churn_v1[Province_Client],_26_03_2026_Client_Churn_v1[ID_Client],"non trouvé")</f>
        <v>CLI-00643</v>
      </c>
      <c r="L458">
        <f>_xlfn.XLOOKUP(_26_03_2026_Log_Reseau_v15[[#This Row],[province RDC]],_26_03_2026_Client_Churn_v1[Province_Client],_26_03_2026_Client_Churn_v1[Anciennete_Mois],"non trouvé")</f>
        <v>14</v>
      </c>
      <c r="M458" t="str">
        <f>_xlfn.XLOOKUP(_26_03_2026_Log_Reseau_v15[[#This Row],[province RDC]],_26_03_2026_Client_Churn_v1[Province_Client],_26_03_2026_Client_Churn_v1[Type_Forfait],"non trouvé")</f>
        <v>Pro Monde</v>
      </c>
      <c r="N458">
        <f>_xlfn.XLOOKUP(_26_03_2026_Log_Reseau_v15[[#This Row],[province RDC]],_26_03_2026_Client_Churn_v1[Province_Client],_26_03_2026_Client_Churn_v1[Duree_Cumulee_Panne_Min],"non trouvé")</f>
        <v>316</v>
      </c>
      <c r="O458">
        <f>_xlfn.XLOOKUP(_26_03_2026_Log_Reseau_v15[[#This Row],[province RDC]],_26_03_2026_Client_Churn_v1[Province_Client],_26_03_2026_Client_Churn_v1[Facture_Mensuelle],"non trouvé")</f>
        <v>62.34</v>
      </c>
      <c r="P458">
        <f>_xlfn.XLOOKUP(_26_03_2026_Log_Reseau_v15[[#This Row],[province RDC]],_26_03_2026_Client_Churn_v1[Province_Client],_26_03_2026_Client_Churn_v1[Plaintes_Service_Client],"non trouvé")</f>
        <v>4</v>
      </c>
    </row>
    <row r="459" spans="1:16" hidden="1" x14ac:dyDescent="0.25">
      <c r="A459" s="1">
        <v>45206</v>
      </c>
      <c r="B459" s="2">
        <v>0.36666666666666664</v>
      </c>
      <c r="C459" t="s">
        <v>1100</v>
      </c>
      <c r="D459">
        <v>69</v>
      </c>
      <c r="E459" t="s">
        <v>808</v>
      </c>
      <c r="F459" t="str">
        <f>_xlfn.XLOOKUP(_26_03_2026_Log_Reseau_v15[[#This Row],[Cell_ID]],_26_03_2026_Registre_Maintenance_v1[ID_Antenne],_26_03_2026_Registre_Maintenance_v1[zone],"pas trouvé")</f>
        <v>pas trouvé</v>
      </c>
      <c r="G459" t="str">
        <f>_xlfn.XLOOKUP(_26_03_2026_Log_Reseau_v15[[#This Row],[Cell_ID]],_26_03_2026_Registre_Maintenance_v1[ID_Antenne],_26_03_2026_Registre_Maintenance_v1[Latitude],"non trouvé")</f>
        <v>non trouvé</v>
      </c>
      <c r="H459" t="str">
        <f>_xlfn.XLOOKUP(_26_03_2026_Log_Reseau_v15[[#This Row],[Cell_ID]],_26_03_2026_Registre_Maintenance_v1[ID_Antenne],_26_03_2026_Registre_Maintenance_v1[Longitude],"pas trouvé")</f>
        <v>pas trouvé</v>
      </c>
      <c r="I459" t="str">
        <f>_xlfn.XLOOKUP(_26_03_2026_Log_Reseau_v15[[#This Row],[Cell_ID]],_26_03_2026_Registre_Maintenance_v1[ID_Antenne],_26_03_2026_Registre_Maintenance_v1[Technologie],"non trouvé")</f>
        <v>non trouvé</v>
      </c>
      <c r="J459" t="str">
        <f>_xlfn.XLOOKUP(_26_03_2026_Log_Reseau_v15[[#This Row],[Cell_ID]],_26_03_2026_Registre_Maintenance_v1[ID_Antenne],_26_03_2026_Registre_Maintenance_v1[Equipementier],"pas trouvé")</f>
        <v>pas trouvé</v>
      </c>
      <c r="K459" t="str">
        <f>_xlfn.XLOOKUP(_26_03_2026_Log_Reseau_v15[[#This Row],[province RDC]],_26_03_2026_Client_Churn_v1[Province_Client],_26_03_2026_Client_Churn_v1[ID_Client],"non trouvé")</f>
        <v>non trouvé</v>
      </c>
      <c r="L459" t="str">
        <f>_xlfn.XLOOKUP(_26_03_2026_Log_Reseau_v15[[#This Row],[province RDC]],_26_03_2026_Client_Churn_v1[Province_Client],_26_03_2026_Client_Churn_v1[Anciennete_Mois],"non trouvé")</f>
        <v>non trouvé</v>
      </c>
      <c r="M459" t="str">
        <f>_xlfn.XLOOKUP(_26_03_2026_Log_Reseau_v15[[#This Row],[province RDC]],_26_03_2026_Client_Churn_v1[Province_Client],_26_03_2026_Client_Churn_v1[Type_Forfait],"non trouvé")</f>
        <v>non trouvé</v>
      </c>
      <c r="N459" t="str">
        <f>_xlfn.XLOOKUP(_26_03_2026_Log_Reseau_v15[[#This Row],[province RDC]],_26_03_2026_Client_Churn_v1[Province_Client],_26_03_2026_Client_Churn_v1[Duree_Cumulee_Panne_Min],"non trouvé")</f>
        <v>non trouvé</v>
      </c>
      <c r="O459" t="str">
        <f>_xlfn.XLOOKUP(_26_03_2026_Log_Reseau_v15[[#This Row],[province RDC]],_26_03_2026_Client_Churn_v1[Province_Client],_26_03_2026_Client_Churn_v1[Facture_Mensuelle],"non trouvé")</f>
        <v>non trouvé</v>
      </c>
      <c r="P459" t="str">
        <f>_xlfn.XLOOKUP(_26_03_2026_Log_Reseau_v15[[#This Row],[province RDC]],_26_03_2026_Client_Churn_v1[Province_Client],_26_03_2026_Client_Churn_v1[Plaintes_Service_Client],"non trouvé")</f>
        <v>non trouvé</v>
      </c>
    </row>
    <row r="460" spans="1:16" hidden="1" x14ac:dyDescent="0.25">
      <c r="A460" s="1">
        <v>45202</v>
      </c>
      <c r="B460" s="2">
        <v>0.65972222222222221</v>
      </c>
      <c r="C460" t="s">
        <v>1100</v>
      </c>
      <c r="D460">
        <v>42</v>
      </c>
      <c r="E460" t="s">
        <v>807</v>
      </c>
      <c r="F460" t="str">
        <f>_xlfn.XLOOKUP(_26_03_2026_Log_Reseau_v15[[#This Row],[Cell_ID]],_26_03_2026_Registre_Maintenance_v1[ID_Antenne],_26_03_2026_Registre_Maintenance_v1[zone],"pas trouvé")</f>
        <v>pas trouvé</v>
      </c>
      <c r="G460" t="str">
        <f>_xlfn.XLOOKUP(_26_03_2026_Log_Reseau_v15[[#This Row],[Cell_ID]],_26_03_2026_Registre_Maintenance_v1[ID_Antenne],_26_03_2026_Registre_Maintenance_v1[Latitude],"non trouvé")</f>
        <v>non trouvé</v>
      </c>
      <c r="H460" t="str">
        <f>_xlfn.XLOOKUP(_26_03_2026_Log_Reseau_v15[[#This Row],[Cell_ID]],_26_03_2026_Registre_Maintenance_v1[ID_Antenne],_26_03_2026_Registre_Maintenance_v1[Longitude],"pas trouvé")</f>
        <v>pas trouvé</v>
      </c>
      <c r="I460" t="str">
        <f>_xlfn.XLOOKUP(_26_03_2026_Log_Reseau_v15[[#This Row],[Cell_ID]],_26_03_2026_Registre_Maintenance_v1[ID_Antenne],_26_03_2026_Registre_Maintenance_v1[Technologie],"non trouvé")</f>
        <v>non trouvé</v>
      </c>
      <c r="J460" t="str">
        <f>_xlfn.XLOOKUP(_26_03_2026_Log_Reseau_v15[[#This Row],[Cell_ID]],_26_03_2026_Registre_Maintenance_v1[ID_Antenne],_26_03_2026_Registre_Maintenance_v1[Equipementier],"pas trouvé")</f>
        <v>pas trouvé</v>
      </c>
      <c r="K460" t="str">
        <f>_xlfn.XLOOKUP(_26_03_2026_Log_Reseau_v15[[#This Row],[province RDC]],_26_03_2026_Client_Churn_v1[Province_Client],_26_03_2026_Client_Churn_v1[ID_Client],"non trouvé")</f>
        <v>non trouvé</v>
      </c>
      <c r="L460" t="str">
        <f>_xlfn.XLOOKUP(_26_03_2026_Log_Reseau_v15[[#This Row],[province RDC]],_26_03_2026_Client_Churn_v1[Province_Client],_26_03_2026_Client_Churn_v1[Anciennete_Mois],"non trouvé")</f>
        <v>non trouvé</v>
      </c>
      <c r="M460" t="str">
        <f>_xlfn.XLOOKUP(_26_03_2026_Log_Reseau_v15[[#This Row],[province RDC]],_26_03_2026_Client_Churn_v1[Province_Client],_26_03_2026_Client_Churn_v1[Type_Forfait],"non trouvé")</f>
        <v>non trouvé</v>
      </c>
      <c r="N460" t="str">
        <f>_xlfn.XLOOKUP(_26_03_2026_Log_Reseau_v15[[#This Row],[province RDC]],_26_03_2026_Client_Churn_v1[Province_Client],_26_03_2026_Client_Churn_v1[Duree_Cumulee_Panne_Min],"non trouvé")</f>
        <v>non trouvé</v>
      </c>
      <c r="O460" t="str">
        <f>_xlfn.XLOOKUP(_26_03_2026_Log_Reseau_v15[[#This Row],[province RDC]],_26_03_2026_Client_Churn_v1[Province_Client],_26_03_2026_Client_Churn_v1[Facture_Mensuelle],"non trouvé")</f>
        <v>non trouvé</v>
      </c>
      <c r="P460" t="str">
        <f>_xlfn.XLOOKUP(_26_03_2026_Log_Reseau_v15[[#This Row],[province RDC]],_26_03_2026_Client_Churn_v1[Province_Client],_26_03_2026_Client_Churn_v1[Plaintes_Service_Client],"non trouvé")</f>
        <v>non trouvé</v>
      </c>
    </row>
    <row r="461" spans="1:16" hidden="1" x14ac:dyDescent="0.25">
      <c r="A461" s="1">
        <v>45203</v>
      </c>
      <c r="B461" s="2">
        <v>0.44791666666666669</v>
      </c>
      <c r="C461" t="s">
        <v>1100</v>
      </c>
      <c r="D461">
        <v>84</v>
      </c>
      <c r="E461" t="s">
        <v>812</v>
      </c>
      <c r="F461" t="str">
        <f>_xlfn.XLOOKUP(_26_03_2026_Log_Reseau_v15[[#This Row],[Cell_ID]],_26_03_2026_Registre_Maintenance_v1[ID_Antenne],_26_03_2026_Registre_Maintenance_v1[zone],"pas trouvé")</f>
        <v>pas trouvé</v>
      </c>
      <c r="G461" t="str">
        <f>_xlfn.XLOOKUP(_26_03_2026_Log_Reseau_v15[[#This Row],[Cell_ID]],_26_03_2026_Registre_Maintenance_v1[ID_Antenne],_26_03_2026_Registre_Maintenance_v1[Latitude],"non trouvé")</f>
        <v>non trouvé</v>
      </c>
      <c r="H461" t="str">
        <f>_xlfn.XLOOKUP(_26_03_2026_Log_Reseau_v15[[#This Row],[Cell_ID]],_26_03_2026_Registre_Maintenance_v1[ID_Antenne],_26_03_2026_Registre_Maintenance_v1[Longitude],"pas trouvé")</f>
        <v>pas trouvé</v>
      </c>
      <c r="I461" t="str">
        <f>_xlfn.XLOOKUP(_26_03_2026_Log_Reseau_v15[[#This Row],[Cell_ID]],_26_03_2026_Registre_Maintenance_v1[ID_Antenne],_26_03_2026_Registre_Maintenance_v1[Technologie],"non trouvé")</f>
        <v>non trouvé</v>
      </c>
      <c r="J461" t="str">
        <f>_xlfn.XLOOKUP(_26_03_2026_Log_Reseau_v15[[#This Row],[Cell_ID]],_26_03_2026_Registre_Maintenance_v1[ID_Antenne],_26_03_2026_Registre_Maintenance_v1[Equipementier],"pas trouvé")</f>
        <v>pas trouvé</v>
      </c>
      <c r="K461" t="str">
        <f>_xlfn.XLOOKUP(_26_03_2026_Log_Reseau_v15[[#This Row],[province RDC]],_26_03_2026_Client_Churn_v1[Province_Client],_26_03_2026_Client_Churn_v1[ID_Client],"non trouvé")</f>
        <v>non trouvé</v>
      </c>
      <c r="L461" t="str">
        <f>_xlfn.XLOOKUP(_26_03_2026_Log_Reseau_v15[[#This Row],[province RDC]],_26_03_2026_Client_Churn_v1[Province_Client],_26_03_2026_Client_Churn_v1[Anciennete_Mois],"non trouvé")</f>
        <v>non trouvé</v>
      </c>
      <c r="M461" t="str">
        <f>_xlfn.XLOOKUP(_26_03_2026_Log_Reseau_v15[[#This Row],[province RDC]],_26_03_2026_Client_Churn_v1[Province_Client],_26_03_2026_Client_Churn_v1[Type_Forfait],"non trouvé")</f>
        <v>non trouvé</v>
      </c>
      <c r="N461" t="str">
        <f>_xlfn.XLOOKUP(_26_03_2026_Log_Reseau_v15[[#This Row],[province RDC]],_26_03_2026_Client_Churn_v1[Province_Client],_26_03_2026_Client_Churn_v1[Duree_Cumulee_Panne_Min],"non trouvé")</f>
        <v>non trouvé</v>
      </c>
      <c r="O461" t="str">
        <f>_xlfn.XLOOKUP(_26_03_2026_Log_Reseau_v15[[#This Row],[province RDC]],_26_03_2026_Client_Churn_v1[Province_Client],_26_03_2026_Client_Churn_v1[Facture_Mensuelle],"non trouvé")</f>
        <v>non trouvé</v>
      </c>
      <c r="P461" t="str">
        <f>_xlfn.XLOOKUP(_26_03_2026_Log_Reseau_v15[[#This Row],[province RDC]],_26_03_2026_Client_Churn_v1[Province_Client],_26_03_2026_Client_Churn_v1[Plaintes_Service_Client],"non trouvé")</f>
        <v>non trouvé</v>
      </c>
    </row>
    <row r="462" spans="1:16" hidden="1" x14ac:dyDescent="0.25">
      <c r="A462" s="1">
        <v>45207</v>
      </c>
      <c r="B462" s="2">
        <v>0.40625</v>
      </c>
      <c r="C462" t="s">
        <v>1101</v>
      </c>
      <c r="D462">
        <v>49</v>
      </c>
      <c r="E462" t="s">
        <v>808</v>
      </c>
      <c r="F462" t="str">
        <f>_xlfn.XLOOKUP(_26_03_2026_Log_Reseau_v15[[#This Row],[Cell_ID]],_26_03_2026_Registre_Maintenance_v1[ID_Antenne],_26_03_2026_Registre_Maintenance_v1[zone],"pas trouvé")</f>
        <v>pas trouvé</v>
      </c>
      <c r="G462" t="str">
        <f>_xlfn.XLOOKUP(_26_03_2026_Log_Reseau_v15[[#This Row],[Cell_ID]],_26_03_2026_Registre_Maintenance_v1[ID_Antenne],_26_03_2026_Registre_Maintenance_v1[Latitude],"non trouvé")</f>
        <v>non trouvé</v>
      </c>
      <c r="H462" t="str">
        <f>_xlfn.XLOOKUP(_26_03_2026_Log_Reseau_v15[[#This Row],[Cell_ID]],_26_03_2026_Registre_Maintenance_v1[ID_Antenne],_26_03_2026_Registre_Maintenance_v1[Longitude],"pas trouvé")</f>
        <v>pas trouvé</v>
      </c>
      <c r="I462" t="str">
        <f>_xlfn.XLOOKUP(_26_03_2026_Log_Reseau_v15[[#This Row],[Cell_ID]],_26_03_2026_Registre_Maintenance_v1[ID_Antenne],_26_03_2026_Registre_Maintenance_v1[Technologie],"non trouvé")</f>
        <v>non trouvé</v>
      </c>
      <c r="J462" t="str">
        <f>_xlfn.XLOOKUP(_26_03_2026_Log_Reseau_v15[[#This Row],[Cell_ID]],_26_03_2026_Registre_Maintenance_v1[ID_Antenne],_26_03_2026_Registre_Maintenance_v1[Equipementier],"pas trouvé")</f>
        <v>pas trouvé</v>
      </c>
      <c r="K462" t="str">
        <f>_xlfn.XLOOKUP(_26_03_2026_Log_Reseau_v15[[#This Row],[province RDC]],_26_03_2026_Client_Churn_v1[Province_Client],_26_03_2026_Client_Churn_v1[ID_Client],"non trouvé")</f>
        <v>non trouvé</v>
      </c>
      <c r="L462" t="str">
        <f>_xlfn.XLOOKUP(_26_03_2026_Log_Reseau_v15[[#This Row],[province RDC]],_26_03_2026_Client_Churn_v1[Province_Client],_26_03_2026_Client_Churn_v1[Anciennete_Mois],"non trouvé")</f>
        <v>non trouvé</v>
      </c>
      <c r="M462" t="str">
        <f>_xlfn.XLOOKUP(_26_03_2026_Log_Reseau_v15[[#This Row],[province RDC]],_26_03_2026_Client_Churn_v1[Province_Client],_26_03_2026_Client_Churn_v1[Type_Forfait],"non trouvé")</f>
        <v>non trouvé</v>
      </c>
      <c r="N462" t="str">
        <f>_xlfn.XLOOKUP(_26_03_2026_Log_Reseau_v15[[#This Row],[province RDC]],_26_03_2026_Client_Churn_v1[Province_Client],_26_03_2026_Client_Churn_v1[Duree_Cumulee_Panne_Min],"non trouvé")</f>
        <v>non trouvé</v>
      </c>
      <c r="O462" t="str">
        <f>_xlfn.XLOOKUP(_26_03_2026_Log_Reseau_v15[[#This Row],[province RDC]],_26_03_2026_Client_Churn_v1[Province_Client],_26_03_2026_Client_Churn_v1[Facture_Mensuelle],"non trouvé")</f>
        <v>non trouvé</v>
      </c>
      <c r="P462" t="str">
        <f>_xlfn.XLOOKUP(_26_03_2026_Log_Reseau_v15[[#This Row],[province RDC]],_26_03_2026_Client_Churn_v1[Province_Client],_26_03_2026_Client_Churn_v1[Plaintes_Service_Client],"non trouvé")</f>
        <v>non trouvé</v>
      </c>
    </row>
    <row r="463" spans="1:16" hidden="1" x14ac:dyDescent="0.25">
      <c r="A463" s="1">
        <v>45225</v>
      </c>
      <c r="B463" s="2">
        <v>0.73750000000000004</v>
      </c>
      <c r="C463" t="s">
        <v>1101</v>
      </c>
      <c r="D463">
        <v>6</v>
      </c>
      <c r="E463" t="s">
        <v>808</v>
      </c>
      <c r="F463" t="str">
        <f>_xlfn.XLOOKUP(_26_03_2026_Log_Reseau_v15[[#This Row],[Cell_ID]],_26_03_2026_Registre_Maintenance_v1[ID_Antenne],_26_03_2026_Registre_Maintenance_v1[zone],"pas trouvé")</f>
        <v>pas trouvé</v>
      </c>
      <c r="G463" t="str">
        <f>_xlfn.XLOOKUP(_26_03_2026_Log_Reseau_v15[[#This Row],[Cell_ID]],_26_03_2026_Registre_Maintenance_v1[ID_Antenne],_26_03_2026_Registre_Maintenance_v1[Latitude],"non trouvé")</f>
        <v>non trouvé</v>
      </c>
      <c r="H463" t="str">
        <f>_xlfn.XLOOKUP(_26_03_2026_Log_Reseau_v15[[#This Row],[Cell_ID]],_26_03_2026_Registre_Maintenance_v1[ID_Antenne],_26_03_2026_Registre_Maintenance_v1[Longitude],"pas trouvé")</f>
        <v>pas trouvé</v>
      </c>
      <c r="I463" t="str">
        <f>_xlfn.XLOOKUP(_26_03_2026_Log_Reseau_v15[[#This Row],[Cell_ID]],_26_03_2026_Registre_Maintenance_v1[ID_Antenne],_26_03_2026_Registre_Maintenance_v1[Technologie],"non trouvé")</f>
        <v>non trouvé</v>
      </c>
      <c r="J463" t="str">
        <f>_xlfn.XLOOKUP(_26_03_2026_Log_Reseau_v15[[#This Row],[Cell_ID]],_26_03_2026_Registre_Maintenance_v1[ID_Antenne],_26_03_2026_Registre_Maintenance_v1[Equipementier],"pas trouvé")</f>
        <v>pas trouvé</v>
      </c>
      <c r="K463" t="str">
        <f>_xlfn.XLOOKUP(_26_03_2026_Log_Reseau_v15[[#This Row],[province RDC]],_26_03_2026_Client_Churn_v1[Province_Client],_26_03_2026_Client_Churn_v1[ID_Client],"non trouvé")</f>
        <v>non trouvé</v>
      </c>
      <c r="L463" t="str">
        <f>_xlfn.XLOOKUP(_26_03_2026_Log_Reseau_v15[[#This Row],[province RDC]],_26_03_2026_Client_Churn_v1[Province_Client],_26_03_2026_Client_Churn_v1[Anciennete_Mois],"non trouvé")</f>
        <v>non trouvé</v>
      </c>
      <c r="M463" t="str">
        <f>_xlfn.XLOOKUP(_26_03_2026_Log_Reseau_v15[[#This Row],[province RDC]],_26_03_2026_Client_Churn_v1[Province_Client],_26_03_2026_Client_Churn_v1[Type_Forfait],"non trouvé")</f>
        <v>non trouvé</v>
      </c>
      <c r="N463" t="str">
        <f>_xlfn.XLOOKUP(_26_03_2026_Log_Reseau_v15[[#This Row],[province RDC]],_26_03_2026_Client_Churn_v1[Province_Client],_26_03_2026_Client_Churn_v1[Duree_Cumulee_Panne_Min],"non trouvé")</f>
        <v>non trouvé</v>
      </c>
      <c r="O463" t="str">
        <f>_xlfn.XLOOKUP(_26_03_2026_Log_Reseau_v15[[#This Row],[province RDC]],_26_03_2026_Client_Churn_v1[Province_Client],_26_03_2026_Client_Churn_v1[Facture_Mensuelle],"non trouvé")</f>
        <v>non trouvé</v>
      </c>
      <c r="P463" t="str">
        <f>_xlfn.XLOOKUP(_26_03_2026_Log_Reseau_v15[[#This Row],[province RDC]],_26_03_2026_Client_Churn_v1[Province_Client],_26_03_2026_Client_Churn_v1[Plaintes_Service_Client],"non trouvé")</f>
        <v>non trouvé</v>
      </c>
    </row>
    <row r="464" spans="1:16" x14ac:dyDescent="0.25">
      <c r="A464" s="1">
        <v>45216</v>
      </c>
      <c r="B464" s="2">
        <v>0.14166666666666666</v>
      </c>
      <c r="C464" t="s">
        <v>1102</v>
      </c>
      <c r="D464">
        <v>94</v>
      </c>
      <c r="E464" t="s">
        <v>807</v>
      </c>
      <c r="F464" t="str">
        <f>_xlfn.XLOOKUP(_26_03_2026_Log_Reseau_v15[[#This Row],[Cell_ID]],_26_03_2026_Registre_Maintenance_v1[ID_Antenne],_26_03_2026_Registre_Maintenance_v1[zone],"pas trouvé")</f>
        <v>Nord-Kivu</v>
      </c>
      <c r="G464">
        <f>_xlfn.XLOOKUP(_26_03_2026_Log_Reseau_v15[[#This Row],[Cell_ID]],_26_03_2026_Registre_Maintenance_v1[ID_Antenne],_26_03_2026_Registre_Maintenance_v1[Latitude],"non trouvé")</f>
        <v>1.8103860000000001</v>
      </c>
      <c r="H464">
        <f>_xlfn.XLOOKUP(_26_03_2026_Log_Reseau_v15[[#This Row],[Cell_ID]],_26_03_2026_Registre_Maintenance_v1[ID_Antenne],_26_03_2026_Registre_Maintenance_v1[Longitude],"pas trouvé")</f>
        <v>15.175582</v>
      </c>
      <c r="I464" t="str">
        <f>_xlfn.XLOOKUP(_26_03_2026_Log_Reseau_v15[[#This Row],[Cell_ID]],_26_03_2026_Registre_Maintenance_v1[ID_Antenne],_26_03_2026_Registre_Maintenance_v1[Technologie],"non trouvé")</f>
        <v>3G</v>
      </c>
      <c r="J464" t="str">
        <f>_xlfn.XLOOKUP(_26_03_2026_Log_Reseau_v15[[#This Row],[Cell_ID]],_26_03_2026_Registre_Maintenance_v1[ID_Antenne],_26_03_2026_Registre_Maintenance_v1[Equipementier],"pas trouvé")</f>
        <v>Huawei</v>
      </c>
      <c r="K464" t="str">
        <f>_xlfn.XLOOKUP(_26_03_2026_Log_Reseau_v15[[#This Row],[province RDC]],_26_03_2026_Client_Churn_v1[Province_Client],_26_03_2026_Client_Churn_v1[ID_Client],"non trouvé")</f>
        <v>CLI-00837</v>
      </c>
      <c r="L464">
        <f>_xlfn.XLOOKUP(_26_03_2026_Log_Reseau_v15[[#This Row],[province RDC]],_26_03_2026_Client_Churn_v1[Province_Client],_26_03_2026_Client_Churn_v1[Anciennete_Mois],"non trouvé")</f>
        <v>16</v>
      </c>
      <c r="M464" t="str">
        <f>_xlfn.XLOOKUP(_26_03_2026_Log_Reseau_v15[[#This Row],[province RDC]],_26_03_2026_Client_Churn_v1[Province_Client],_26_03_2026_Client_Churn_v1[Type_Forfait],"non trouvé")</f>
        <v>Bloqué 5Go</v>
      </c>
      <c r="N464">
        <f>_xlfn.XLOOKUP(_26_03_2026_Log_Reseau_v15[[#This Row],[province RDC]],_26_03_2026_Client_Churn_v1[Province_Client],_26_03_2026_Client_Churn_v1[Duree_Cumulee_Panne_Min],"non trouvé")</f>
        <v>390</v>
      </c>
      <c r="O464">
        <f>_xlfn.XLOOKUP(_26_03_2026_Log_Reseau_v15[[#This Row],[province RDC]],_26_03_2026_Client_Churn_v1[Province_Client],_26_03_2026_Client_Churn_v1[Facture_Mensuelle],"non trouvé")</f>
        <v>98.17</v>
      </c>
      <c r="P464">
        <f>_xlfn.XLOOKUP(_26_03_2026_Log_Reseau_v15[[#This Row],[province RDC]],_26_03_2026_Client_Churn_v1[Province_Client],_26_03_2026_Client_Churn_v1[Plaintes_Service_Client],"non trouvé")</f>
        <v>5</v>
      </c>
    </row>
    <row r="465" spans="1:16" hidden="1" x14ac:dyDescent="0.25">
      <c r="A465" s="1">
        <v>45218</v>
      </c>
      <c r="B465" s="2">
        <v>0.99027777777777781</v>
      </c>
      <c r="C465" t="s">
        <v>1103</v>
      </c>
      <c r="D465">
        <v>100</v>
      </c>
      <c r="E465" t="s">
        <v>807</v>
      </c>
      <c r="F465" t="str">
        <f>_xlfn.XLOOKUP(_26_03_2026_Log_Reseau_v15[[#This Row],[Cell_ID]],_26_03_2026_Registre_Maintenance_v1[ID_Antenne],_26_03_2026_Registre_Maintenance_v1[zone],"pas trouvé")</f>
        <v>pas trouvé</v>
      </c>
      <c r="G465" t="str">
        <f>_xlfn.XLOOKUP(_26_03_2026_Log_Reseau_v15[[#This Row],[Cell_ID]],_26_03_2026_Registre_Maintenance_v1[ID_Antenne],_26_03_2026_Registre_Maintenance_v1[Latitude],"non trouvé")</f>
        <v>non trouvé</v>
      </c>
      <c r="H465" t="str">
        <f>_xlfn.XLOOKUP(_26_03_2026_Log_Reseau_v15[[#This Row],[Cell_ID]],_26_03_2026_Registre_Maintenance_v1[ID_Antenne],_26_03_2026_Registre_Maintenance_v1[Longitude],"pas trouvé")</f>
        <v>pas trouvé</v>
      </c>
      <c r="I465" t="str">
        <f>_xlfn.XLOOKUP(_26_03_2026_Log_Reseau_v15[[#This Row],[Cell_ID]],_26_03_2026_Registre_Maintenance_v1[ID_Antenne],_26_03_2026_Registre_Maintenance_v1[Technologie],"non trouvé")</f>
        <v>non trouvé</v>
      </c>
      <c r="J465" t="str">
        <f>_xlfn.XLOOKUP(_26_03_2026_Log_Reseau_v15[[#This Row],[Cell_ID]],_26_03_2026_Registre_Maintenance_v1[ID_Antenne],_26_03_2026_Registre_Maintenance_v1[Equipementier],"pas trouvé")</f>
        <v>pas trouvé</v>
      </c>
      <c r="K465" t="str">
        <f>_xlfn.XLOOKUP(_26_03_2026_Log_Reseau_v15[[#This Row],[province RDC]],_26_03_2026_Client_Churn_v1[Province_Client],_26_03_2026_Client_Churn_v1[ID_Client],"non trouvé")</f>
        <v>non trouvé</v>
      </c>
      <c r="L465" t="str">
        <f>_xlfn.XLOOKUP(_26_03_2026_Log_Reseau_v15[[#This Row],[province RDC]],_26_03_2026_Client_Churn_v1[Province_Client],_26_03_2026_Client_Churn_v1[Anciennete_Mois],"non trouvé")</f>
        <v>non trouvé</v>
      </c>
      <c r="M465" t="str">
        <f>_xlfn.XLOOKUP(_26_03_2026_Log_Reseau_v15[[#This Row],[province RDC]],_26_03_2026_Client_Churn_v1[Province_Client],_26_03_2026_Client_Churn_v1[Type_Forfait],"non trouvé")</f>
        <v>non trouvé</v>
      </c>
      <c r="N465" t="str">
        <f>_xlfn.XLOOKUP(_26_03_2026_Log_Reseau_v15[[#This Row],[province RDC]],_26_03_2026_Client_Churn_v1[Province_Client],_26_03_2026_Client_Churn_v1[Duree_Cumulee_Panne_Min],"non trouvé")</f>
        <v>non trouvé</v>
      </c>
      <c r="O465" t="str">
        <f>_xlfn.XLOOKUP(_26_03_2026_Log_Reseau_v15[[#This Row],[province RDC]],_26_03_2026_Client_Churn_v1[Province_Client],_26_03_2026_Client_Churn_v1[Facture_Mensuelle],"non trouvé")</f>
        <v>non trouvé</v>
      </c>
      <c r="P465" t="str">
        <f>_xlfn.XLOOKUP(_26_03_2026_Log_Reseau_v15[[#This Row],[province RDC]],_26_03_2026_Client_Churn_v1[Province_Client],_26_03_2026_Client_Churn_v1[Plaintes_Service_Client],"non trouvé")</f>
        <v>non trouvé</v>
      </c>
    </row>
    <row r="466" spans="1:16" hidden="1" x14ac:dyDescent="0.25">
      <c r="A466" s="1">
        <v>45214</v>
      </c>
      <c r="B466" s="2">
        <v>0.14583333333333334</v>
      </c>
      <c r="C466" t="s">
        <v>1103</v>
      </c>
      <c r="D466">
        <v>29</v>
      </c>
      <c r="E466" t="s">
        <v>812</v>
      </c>
      <c r="F466" t="str">
        <f>_xlfn.XLOOKUP(_26_03_2026_Log_Reseau_v15[[#This Row],[Cell_ID]],_26_03_2026_Registre_Maintenance_v1[ID_Antenne],_26_03_2026_Registre_Maintenance_v1[zone],"pas trouvé")</f>
        <v>pas trouvé</v>
      </c>
      <c r="G466" t="str">
        <f>_xlfn.XLOOKUP(_26_03_2026_Log_Reseau_v15[[#This Row],[Cell_ID]],_26_03_2026_Registre_Maintenance_v1[ID_Antenne],_26_03_2026_Registre_Maintenance_v1[Latitude],"non trouvé")</f>
        <v>non trouvé</v>
      </c>
      <c r="H466" t="str">
        <f>_xlfn.XLOOKUP(_26_03_2026_Log_Reseau_v15[[#This Row],[Cell_ID]],_26_03_2026_Registre_Maintenance_v1[ID_Antenne],_26_03_2026_Registre_Maintenance_v1[Longitude],"pas trouvé")</f>
        <v>pas trouvé</v>
      </c>
      <c r="I466" t="str">
        <f>_xlfn.XLOOKUP(_26_03_2026_Log_Reseau_v15[[#This Row],[Cell_ID]],_26_03_2026_Registre_Maintenance_v1[ID_Antenne],_26_03_2026_Registre_Maintenance_v1[Technologie],"non trouvé")</f>
        <v>non trouvé</v>
      </c>
      <c r="J466" t="str">
        <f>_xlfn.XLOOKUP(_26_03_2026_Log_Reseau_v15[[#This Row],[Cell_ID]],_26_03_2026_Registre_Maintenance_v1[ID_Antenne],_26_03_2026_Registre_Maintenance_v1[Equipementier],"pas trouvé")</f>
        <v>pas trouvé</v>
      </c>
      <c r="K466" t="str">
        <f>_xlfn.XLOOKUP(_26_03_2026_Log_Reseau_v15[[#This Row],[province RDC]],_26_03_2026_Client_Churn_v1[Province_Client],_26_03_2026_Client_Churn_v1[ID_Client],"non trouvé")</f>
        <v>non trouvé</v>
      </c>
      <c r="L466" t="str">
        <f>_xlfn.XLOOKUP(_26_03_2026_Log_Reseau_v15[[#This Row],[province RDC]],_26_03_2026_Client_Churn_v1[Province_Client],_26_03_2026_Client_Churn_v1[Anciennete_Mois],"non trouvé")</f>
        <v>non trouvé</v>
      </c>
      <c r="M466" t="str">
        <f>_xlfn.XLOOKUP(_26_03_2026_Log_Reseau_v15[[#This Row],[province RDC]],_26_03_2026_Client_Churn_v1[Province_Client],_26_03_2026_Client_Churn_v1[Type_Forfait],"non trouvé")</f>
        <v>non trouvé</v>
      </c>
      <c r="N466" t="str">
        <f>_xlfn.XLOOKUP(_26_03_2026_Log_Reseau_v15[[#This Row],[province RDC]],_26_03_2026_Client_Churn_v1[Province_Client],_26_03_2026_Client_Churn_v1[Duree_Cumulee_Panne_Min],"non trouvé")</f>
        <v>non trouvé</v>
      </c>
      <c r="O466" t="str">
        <f>_xlfn.XLOOKUP(_26_03_2026_Log_Reseau_v15[[#This Row],[province RDC]],_26_03_2026_Client_Churn_v1[Province_Client],_26_03_2026_Client_Churn_v1[Facture_Mensuelle],"non trouvé")</f>
        <v>non trouvé</v>
      </c>
      <c r="P466" t="str">
        <f>_xlfn.XLOOKUP(_26_03_2026_Log_Reseau_v15[[#This Row],[province RDC]],_26_03_2026_Client_Churn_v1[Province_Client],_26_03_2026_Client_Churn_v1[Plaintes_Service_Client],"non trouvé")</f>
        <v>non trouvé</v>
      </c>
    </row>
    <row r="467" spans="1:16" hidden="1" x14ac:dyDescent="0.25">
      <c r="A467" s="1">
        <v>45207</v>
      </c>
      <c r="B467" s="2">
        <v>0.37986111111111109</v>
      </c>
      <c r="C467" t="s">
        <v>1103</v>
      </c>
      <c r="D467">
        <v>118</v>
      </c>
      <c r="E467" t="s">
        <v>812</v>
      </c>
      <c r="F467" t="str">
        <f>_xlfn.XLOOKUP(_26_03_2026_Log_Reseau_v15[[#This Row],[Cell_ID]],_26_03_2026_Registre_Maintenance_v1[ID_Antenne],_26_03_2026_Registre_Maintenance_v1[zone],"pas trouvé")</f>
        <v>pas trouvé</v>
      </c>
      <c r="G467" t="str">
        <f>_xlfn.XLOOKUP(_26_03_2026_Log_Reseau_v15[[#This Row],[Cell_ID]],_26_03_2026_Registre_Maintenance_v1[ID_Antenne],_26_03_2026_Registre_Maintenance_v1[Latitude],"non trouvé")</f>
        <v>non trouvé</v>
      </c>
      <c r="H467" t="str">
        <f>_xlfn.XLOOKUP(_26_03_2026_Log_Reseau_v15[[#This Row],[Cell_ID]],_26_03_2026_Registre_Maintenance_v1[ID_Antenne],_26_03_2026_Registre_Maintenance_v1[Longitude],"pas trouvé")</f>
        <v>pas trouvé</v>
      </c>
      <c r="I467" t="str">
        <f>_xlfn.XLOOKUP(_26_03_2026_Log_Reseau_v15[[#This Row],[Cell_ID]],_26_03_2026_Registre_Maintenance_v1[ID_Antenne],_26_03_2026_Registre_Maintenance_v1[Technologie],"non trouvé")</f>
        <v>non trouvé</v>
      </c>
      <c r="J467" t="str">
        <f>_xlfn.XLOOKUP(_26_03_2026_Log_Reseau_v15[[#This Row],[Cell_ID]],_26_03_2026_Registre_Maintenance_v1[ID_Antenne],_26_03_2026_Registre_Maintenance_v1[Equipementier],"pas trouvé")</f>
        <v>pas trouvé</v>
      </c>
      <c r="K467" t="str">
        <f>_xlfn.XLOOKUP(_26_03_2026_Log_Reseau_v15[[#This Row],[province RDC]],_26_03_2026_Client_Churn_v1[Province_Client],_26_03_2026_Client_Churn_v1[ID_Client],"non trouvé")</f>
        <v>non trouvé</v>
      </c>
      <c r="L467" t="str">
        <f>_xlfn.XLOOKUP(_26_03_2026_Log_Reseau_v15[[#This Row],[province RDC]],_26_03_2026_Client_Churn_v1[Province_Client],_26_03_2026_Client_Churn_v1[Anciennete_Mois],"non trouvé")</f>
        <v>non trouvé</v>
      </c>
      <c r="M467" t="str">
        <f>_xlfn.XLOOKUP(_26_03_2026_Log_Reseau_v15[[#This Row],[province RDC]],_26_03_2026_Client_Churn_v1[Province_Client],_26_03_2026_Client_Churn_v1[Type_Forfait],"non trouvé")</f>
        <v>non trouvé</v>
      </c>
      <c r="N467" t="str">
        <f>_xlfn.XLOOKUP(_26_03_2026_Log_Reseau_v15[[#This Row],[province RDC]],_26_03_2026_Client_Churn_v1[Province_Client],_26_03_2026_Client_Churn_v1[Duree_Cumulee_Panne_Min],"non trouvé")</f>
        <v>non trouvé</v>
      </c>
      <c r="O467" t="str">
        <f>_xlfn.XLOOKUP(_26_03_2026_Log_Reseau_v15[[#This Row],[province RDC]],_26_03_2026_Client_Churn_v1[Province_Client],_26_03_2026_Client_Churn_v1[Facture_Mensuelle],"non trouvé")</f>
        <v>non trouvé</v>
      </c>
      <c r="P467" t="str">
        <f>_xlfn.XLOOKUP(_26_03_2026_Log_Reseau_v15[[#This Row],[province RDC]],_26_03_2026_Client_Churn_v1[Province_Client],_26_03_2026_Client_Churn_v1[Plaintes_Service_Client],"non trouvé")</f>
        <v>non trouvé</v>
      </c>
    </row>
    <row r="468" spans="1:16" x14ac:dyDescent="0.25">
      <c r="A468" s="1">
        <v>45203</v>
      </c>
      <c r="B468" s="2">
        <v>0.99791666666666667</v>
      </c>
      <c r="C468" t="s">
        <v>1104</v>
      </c>
      <c r="D468">
        <v>101</v>
      </c>
      <c r="E468" t="s">
        <v>812</v>
      </c>
      <c r="F468" t="str">
        <f>_xlfn.XLOOKUP(_26_03_2026_Log_Reseau_v15[[#This Row],[Cell_ID]],_26_03_2026_Registre_Maintenance_v1[ID_Antenne],_26_03_2026_Registre_Maintenance_v1[zone],"pas trouvé")</f>
        <v>Nord-Kivu</v>
      </c>
      <c r="G468">
        <f>_xlfn.XLOOKUP(_26_03_2026_Log_Reseau_v15[[#This Row],[Cell_ID]],_26_03_2026_Registre_Maintenance_v1[ID_Antenne],_26_03_2026_Registre_Maintenance_v1[Latitude],"non trouvé")</f>
        <v>-6.3148239999999998</v>
      </c>
      <c r="H468">
        <f>_xlfn.XLOOKUP(_26_03_2026_Log_Reseau_v15[[#This Row],[Cell_ID]],_26_03_2026_Registre_Maintenance_v1[ID_Antenne],_26_03_2026_Registre_Maintenance_v1[Longitude],"pas trouvé")</f>
        <v>24.507498999999999</v>
      </c>
      <c r="I468" t="str">
        <f>_xlfn.XLOOKUP(_26_03_2026_Log_Reseau_v15[[#This Row],[Cell_ID]],_26_03_2026_Registre_Maintenance_v1[ID_Antenne],_26_03_2026_Registre_Maintenance_v1[Technologie],"non trouvé")</f>
        <v>3G</v>
      </c>
      <c r="J468" t="str">
        <f>_xlfn.XLOOKUP(_26_03_2026_Log_Reseau_v15[[#This Row],[Cell_ID]],_26_03_2026_Registre_Maintenance_v1[ID_Antenne],_26_03_2026_Registre_Maintenance_v1[Equipementier],"pas trouvé")</f>
        <v>ZTE</v>
      </c>
      <c r="K468" t="str">
        <f>_xlfn.XLOOKUP(_26_03_2026_Log_Reseau_v15[[#This Row],[province RDC]],_26_03_2026_Client_Churn_v1[Province_Client],_26_03_2026_Client_Churn_v1[ID_Client],"non trouvé")</f>
        <v>CLI-00837</v>
      </c>
      <c r="L468">
        <f>_xlfn.XLOOKUP(_26_03_2026_Log_Reseau_v15[[#This Row],[province RDC]],_26_03_2026_Client_Churn_v1[Province_Client],_26_03_2026_Client_Churn_v1[Anciennete_Mois],"non trouvé")</f>
        <v>16</v>
      </c>
      <c r="M468" t="str">
        <f>_xlfn.XLOOKUP(_26_03_2026_Log_Reseau_v15[[#This Row],[province RDC]],_26_03_2026_Client_Churn_v1[Province_Client],_26_03_2026_Client_Churn_v1[Type_Forfait],"non trouvé")</f>
        <v>Bloqué 5Go</v>
      </c>
      <c r="N468">
        <f>_xlfn.XLOOKUP(_26_03_2026_Log_Reseau_v15[[#This Row],[province RDC]],_26_03_2026_Client_Churn_v1[Province_Client],_26_03_2026_Client_Churn_v1[Duree_Cumulee_Panne_Min],"non trouvé")</f>
        <v>390</v>
      </c>
      <c r="O468">
        <f>_xlfn.XLOOKUP(_26_03_2026_Log_Reseau_v15[[#This Row],[province RDC]],_26_03_2026_Client_Churn_v1[Province_Client],_26_03_2026_Client_Churn_v1[Facture_Mensuelle],"non trouvé")</f>
        <v>98.17</v>
      </c>
      <c r="P468">
        <f>_xlfn.XLOOKUP(_26_03_2026_Log_Reseau_v15[[#This Row],[province RDC]],_26_03_2026_Client_Churn_v1[Province_Client],_26_03_2026_Client_Churn_v1[Plaintes_Service_Client],"non trouvé")</f>
        <v>5</v>
      </c>
    </row>
    <row r="469" spans="1:16" x14ac:dyDescent="0.25">
      <c r="A469" s="1">
        <v>45220</v>
      </c>
      <c r="B469" s="2">
        <v>0.81180555555555556</v>
      </c>
      <c r="C469" t="s">
        <v>1105</v>
      </c>
      <c r="D469">
        <v>100</v>
      </c>
      <c r="E469" t="s">
        <v>812</v>
      </c>
      <c r="F469" t="str">
        <f>_xlfn.XLOOKUP(_26_03_2026_Log_Reseau_v15[[#This Row],[Cell_ID]],_26_03_2026_Registre_Maintenance_v1[ID_Antenne],_26_03_2026_Registre_Maintenance_v1[zone],"pas trouvé")</f>
        <v>Kwilu</v>
      </c>
      <c r="G469">
        <f>_xlfn.XLOOKUP(_26_03_2026_Log_Reseau_v15[[#This Row],[Cell_ID]],_26_03_2026_Registre_Maintenance_v1[ID_Antenne],_26_03_2026_Registre_Maintenance_v1[Latitude],"non trouvé")</f>
        <v>-0.98830399999999996</v>
      </c>
      <c r="H469">
        <f>_xlfn.XLOOKUP(_26_03_2026_Log_Reseau_v15[[#This Row],[Cell_ID]],_26_03_2026_Registre_Maintenance_v1[ID_Antenne],_26_03_2026_Registre_Maintenance_v1[Longitude],"pas trouvé")</f>
        <v>28.099966999999999</v>
      </c>
      <c r="I469" t="str">
        <f>_xlfn.XLOOKUP(_26_03_2026_Log_Reseau_v15[[#This Row],[Cell_ID]],_26_03_2026_Registre_Maintenance_v1[ID_Antenne],_26_03_2026_Registre_Maintenance_v1[Technologie],"non trouvé")</f>
        <v>3G</v>
      </c>
      <c r="J469" t="str">
        <f>_xlfn.XLOOKUP(_26_03_2026_Log_Reseau_v15[[#This Row],[Cell_ID]],_26_03_2026_Registre_Maintenance_v1[ID_Antenne],_26_03_2026_Registre_Maintenance_v1[Equipementier],"pas trouvé")</f>
        <v>Huawei</v>
      </c>
      <c r="K469" t="str">
        <f>_xlfn.XLOOKUP(_26_03_2026_Log_Reseau_v15[[#This Row],[province RDC]],_26_03_2026_Client_Churn_v1[Province_Client],_26_03_2026_Client_Churn_v1[ID_Client],"non trouvé")</f>
        <v>CLI-00996</v>
      </c>
      <c r="L469">
        <f>_xlfn.XLOOKUP(_26_03_2026_Log_Reseau_v15[[#This Row],[province RDC]],_26_03_2026_Client_Churn_v1[Province_Client],_26_03_2026_Client_Churn_v1[Anciennete_Mois],"non trouvé")</f>
        <v>119</v>
      </c>
      <c r="M469" t="str">
        <f>_xlfn.XLOOKUP(_26_03_2026_Log_Reseau_v15[[#This Row],[province RDC]],_26_03_2026_Client_Churn_v1[Province_Client],_26_03_2026_Client_Churn_v1[Type_Forfait],"non trouvé")</f>
        <v>Illimité 50Go</v>
      </c>
      <c r="N469">
        <f>_xlfn.XLOOKUP(_26_03_2026_Log_Reseau_v15[[#This Row],[province RDC]],_26_03_2026_Client_Churn_v1[Province_Client],_26_03_2026_Client_Churn_v1[Duree_Cumulee_Panne_Min],"non trouvé")</f>
        <v>228</v>
      </c>
      <c r="O469">
        <f>_xlfn.XLOOKUP(_26_03_2026_Log_Reseau_v15[[#This Row],[province RDC]],_26_03_2026_Client_Churn_v1[Province_Client],_26_03_2026_Client_Churn_v1[Facture_Mensuelle],"non trouvé")</f>
        <v>94.72</v>
      </c>
      <c r="P469">
        <f>_xlfn.XLOOKUP(_26_03_2026_Log_Reseau_v15[[#This Row],[province RDC]],_26_03_2026_Client_Churn_v1[Province_Client],_26_03_2026_Client_Churn_v1[Plaintes_Service_Client],"non trouvé")</f>
        <v>3</v>
      </c>
    </row>
    <row r="470" spans="1:16" hidden="1" x14ac:dyDescent="0.25">
      <c r="A470" s="1">
        <v>45222</v>
      </c>
      <c r="B470" s="2">
        <v>0.36736111111111114</v>
      </c>
      <c r="C470" t="s">
        <v>1106</v>
      </c>
      <c r="D470">
        <v>117</v>
      </c>
      <c r="E470" t="s">
        <v>808</v>
      </c>
      <c r="F470" t="str">
        <f>_xlfn.XLOOKUP(_26_03_2026_Log_Reseau_v15[[#This Row],[Cell_ID]],_26_03_2026_Registre_Maintenance_v1[ID_Antenne],_26_03_2026_Registre_Maintenance_v1[zone],"pas trouvé")</f>
        <v>pas trouvé</v>
      </c>
      <c r="G470" t="str">
        <f>_xlfn.XLOOKUP(_26_03_2026_Log_Reseau_v15[[#This Row],[Cell_ID]],_26_03_2026_Registre_Maintenance_v1[ID_Antenne],_26_03_2026_Registre_Maintenance_v1[Latitude],"non trouvé")</f>
        <v>non trouvé</v>
      </c>
      <c r="H470" t="str">
        <f>_xlfn.XLOOKUP(_26_03_2026_Log_Reseau_v15[[#This Row],[Cell_ID]],_26_03_2026_Registre_Maintenance_v1[ID_Antenne],_26_03_2026_Registre_Maintenance_v1[Longitude],"pas trouvé")</f>
        <v>pas trouvé</v>
      </c>
      <c r="I470" t="str">
        <f>_xlfn.XLOOKUP(_26_03_2026_Log_Reseau_v15[[#This Row],[Cell_ID]],_26_03_2026_Registre_Maintenance_v1[ID_Antenne],_26_03_2026_Registre_Maintenance_v1[Technologie],"non trouvé")</f>
        <v>non trouvé</v>
      </c>
      <c r="J470" t="str">
        <f>_xlfn.XLOOKUP(_26_03_2026_Log_Reseau_v15[[#This Row],[Cell_ID]],_26_03_2026_Registre_Maintenance_v1[ID_Antenne],_26_03_2026_Registre_Maintenance_v1[Equipementier],"pas trouvé")</f>
        <v>pas trouvé</v>
      </c>
      <c r="K470" t="str">
        <f>_xlfn.XLOOKUP(_26_03_2026_Log_Reseau_v15[[#This Row],[province RDC]],_26_03_2026_Client_Churn_v1[Province_Client],_26_03_2026_Client_Churn_v1[ID_Client],"non trouvé")</f>
        <v>non trouvé</v>
      </c>
      <c r="L470" t="str">
        <f>_xlfn.XLOOKUP(_26_03_2026_Log_Reseau_v15[[#This Row],[province RDC]],_26_03_2026_Client_Churn_v1[Province_Client],_26_03_2026_Client_Churn_v1[Anciennete_Mois],"non trouvé")</f>
        <v>non trouvé</v>
      </c>
      <c r="M470" t="str">
        <f>_xlfn.XLOOKUP(_26_03_2026_Log_Reseau_v15[[#This Row],[province RDC]],_26_03_2026_Client_Churn_v1[Province_Client],_26_03_2026_Client_Churn_v1[Type_Forfait],"non trouvé")</f>
        <v>non trouvé</v>
      </c>
      <c r="N470" t="str">
        <f>_xlfn.XLOOKUP(_26_03_2026_Log_Reseau_v15[[#This Row],[province RDC]],_26_03_2026_Client_Churn_v1[Province_Client],_26_03_2026_Client_Churn_v1[Duree_Cumulee_Panne_Min],"non trouvé")</f>
        <v>non trouvé</v>
      </c>
      <c r="O470" t="str">
        <f>_xlfn.XLOOKUP(_26_03_2026_Log_Reseau_v15[[#This Row],[province RDC]],_26_03_2026_Client_Churn_v1[Province_Client],_26_03_2026_Client_Churn_v1[Facture_Mensuelle],"non trouvé")</f>
        <v>non trouvé</v>
      </c>
      <c r="P470" t="str">
        <f>_xlfn.XLOOKUP(_26_03_2026_Log_Reseau_v15[[#This Row],[province RDC]],_26_03_2026_Client_Churn_v1[Province_Client],_26_03_2026_Client_Churn_v1[Plaintes_Service_Client],"non trouvé")</f>
        <v>non trouvé</v>
      </c>
    </row>
    <row r="471" spans="1:16" hidden="1" x14ac:dyDescent="0.25">
      <c r="A471" s="1">
        <v>45219</v>
      </c>
      <c r="B471" s="2">
        <v>0.75347222222222221</v>
      </c>
      <c r="C471" t="s">
        <v>1107</v>
      </c>
      <c r="D471">
        <v>77</v>
      </c>
      <c r="E471" t="s">
        <v>807</v>
      </c>
      <c r="F471" t="str">
        <f>_xlfn.XLOOKUP(_26_03_2026_Log_Reseau_v15[[#This Row],[Cell_ID]],_26_03_2026_Registre_Maintenance_v1[ID_Antenne],_26_03_2026_Registre_Maintenance_v1[zone],"pas trouvé")</f>
        <v>pas trouvé</v>
      </c>
      <c r="G471" t="str">
        <f>_xlfn.XLOOKUP(_26_03_2026_Log_Reseau_v15[[#This Row],[Cell_ID]],_26_03_2026_Registre_Maintenance_v1[ID_Antenne],_26_03_2026_Registre_Maintenance_v1[Latitude],"non trouvé")</f>
        <v>non trouvé</v>
      </c>
      <c r="H471" t="str">
        <f>_xlfn.XLOOKUP(_26_03_2026_Log_Reseau_v15[[#This Row],[Cell_ID]],_26_03_2026_Registre_Maintenance_v1[ID_Antenne],_26_03_2026_Registre_Maintenance_v1[Longitude],"pas trouvé")</f>
        <v>pas trouvé</v>
      </c>
      <c r="I471" t="str">
        <f>_xlfn.XLOOKUP(_26_03_2026_Log_Reseau_v15[[#This Row],[Cell_ID]],_26_03_2026_Registre_Maintenance_v1[ID_Antenne],_26_03_2026_Registre_Maintenance_v1[Technologie],"non trouvé")</f>
        <v>non trouvé</v>
      </c>
      <c r="J471" t="str">
        <f>_xlfn.XLOOKUP(_26_03_2026_Log_Reseau_v15[[#This Row],[Cell_ID]],_26_03_2026_Registre_Maintenance_v1[ID_Antenne],_26_03_2026_Registre_Maintenance_v1[Equipementier],"pas trouvé")</f>
        <v>pas trouvé</v>
      </c>
      <c r="K471" t="str">
        <f>_xlfn.XLOOKUP(_26_03_2026_Log_Reseau_v15[[#This Row],[province RDC]],_26_03_2026_Client_Churn_v1[Province_Client],_26_03_2026_Client_Churn_v1[ID_Client],"non trouvé")</f>
        <v>non trouvé</v>
      </c>
      <c r="L471" t="str">
        <f>_xlfn.XLOOKUP(_26_03_2026_Log_Reseau_v15[[#This Row],[province RDC]],_26_03_2026_Client_Churn_v1[Province_Client],_26_03_2026_Client_Churn_v1[Anciennete_Mois],"non trouvé")</f>
        <v>non trouvé</v>
      </c>
      <c r="M471" t="str">
        <f>_xlfn.XLOOKUP(_26_03_2026_Log_Reseau_v15[[#This Row],[province RDC]],_26_03_2026_Client_Churn_v1[Province_Client],_26_03_2026_Client_Churn_v1[Type_Forfait],"non trouvé")</f>
        <v>non trouvé</v>
      </c>
      <c r="N471" t="str">
        <f>_xlfn.XLOOKUP(_26_03_2026_Log_Reseau_v15[[#This Row],[province RDC]],_26_03_2026_Client_Churn_v1[Province_Client],_26_03_2026_Client_Churn_v1[Duree_Cumulee_Panne_Min],"non trouvé")</f>
        <v>non trouvé</v>
      </c>
      <c r="O471" t="str">
        <f>_xlfn.XLOOKUP(_26_03_2026_Log_Reseau_v15[[#This Row],[province RDC]],_26_03_2026_Client_Churn_v1[Province_Client],_26_03_2026_Client_Churn_v1[Facture_Mensuelle],"non trouvé")</f>
        <v>non trouvé</v>
      </c>
      <c r="P471" t="str">
        <f>_xlfn.XLOOKUP(_26_03_2026_Log_Reseau_v15[[#This Row],[province RDC]],_26_03_2026_Client_Churn_v1[Province_Client],_26_03_2026_Client_Churn_v1[Plaintes_Service_Client],"non trouvé")</f>
        <v>non trouvé</v>
      </c>
    </row>
    <row r="472" spans="1:16" hidden="1" x14ac:dyDescent="0.25">
      <c r="A472" s="1">
        <v>45221</v>
      </c>
      <c r="B472" s="2">
        <v>0.99791666666666667</v>
      </c>
      <c r="C472" t="s">
        <v>1107</v>
      </c>
      <c r="D472">
        <v>59</v>
      </c>
      <c r="E472" t="s">
        <v>807</v>
      </c>
      <c r="F472" t="str">
        <f>_xlfn.XLOOKUP(_26_03_2026_Log_Reseau_v15[[#This Row],[Cell_ID]],_26_03_2026_Registre_Maintenance_v1[ID_Antenne],_26_03_2026_Registre_Maintenance_v1[zone],"pas trouvé")</f>
        <v>pas trouvé</v>
      </c>
      <c r="G472" t="str">
        <f>_xlfn.XLOOKUP(_26_03_2026_Log_Reseau_v15[[#This Row],[Cell_ID]],_26_03_2026_Registre_Maintenance_v1[ID_Antenne],_26_03_2026_Registre_Maintenance_v1[Latitude],"non trouvé")</f>
        <v>non trouvé</v>
      </c>
      <c r="H472" t="str">
        <f>_xlfn.XLOOKUP(_26_03_2026_Log_Reseau_v15[[#This Row],[Cell_ID]],_26_03_2026_Registre_Maintenance_v1[ID_Antenne],_26_03_2026_Registre_Maintenance_v1[Longitude],"pas trouvé")</f>
        <v>pas trouvé</v>
      </c>
      <c r="I472" t="str">
        <f>_xlfn.XLOOKUP(_26_03_2026_Log_Reseau_v15[[#This Row],[Cell_ID]],_26_03_2026_Registre_Maintenance_v1[ID_Antenne],_26_03_2026_Registre_Maintenance_v1[Technologie],"non trouvé")</f>
        <v>non trouvé</v>
      </c>
      <c r="J472" t="str">
        <f>_xlfn.XLOOKUP(_26_03_2026_Log_Reseau_v15[[#This Row],[Cell_ID]],_26_03_2026_Registre_Maintenance_v1[ID_Antenne],_26_03_2026_Registre_Maintenance_v1[Equipementier],"pas trouvé")</f>
        <v>pas trouvé</v>
      </c>
      <c r="K472" t="str">
        <f>_xlfn.XLOOKUP(_26_03_2026_Log_Reseau_v15[[#This Row],[province RDC]],_26_03_2026_Client_Churn_v1[Province_Client],_26_03_2026_Client_Churn_v1[ID_Client],"non trouvé")</f>
        <v>non trouvé</v>
      </c>
      <c r="L472" t="str">
        <f>_xlfn.XLOOKUP(_26_03_2026_Log_Reseau_v15[[#This Row],[province RDC]],_26_03_2026_Client_Churn_v1[Province_Client],_26_03_2026_Client_Churn_v1[Anciennete_Mois],"non trouvé")</f>
        <v>non trouvé</v>
      </c>
      <c r="M472" t="str">
        <f>_xlfn.XLOOKUP(_26_03_2026_Log_Reseau_v15[[#This Row],[province RDC]],_26_03_2026_Client_Churn_v1[Province_Client],_26_03_2026_Client_Churn_v1[Type_Forfait],"non trouvé")</f>
        <v>non trouvé</v>
      </c>
      <c r="N472" t="str">
        <f>_xlfn.XLOOKUP(_26_03_2026_Log_Reseau_v15[[#This Row],[province RDC]],_26_03_2026_Client_Churn_v1[Province_Client],_26_03_2026_Client_Churn_v1[Duree_Cumulee_Panne_Min],"non trouvé")</f>
        <v>non trouvé</v>
      </c>
      <c r="O472" t="str">
        <f>_xlfn.XLOOKUP(_26_03_2026_Log_Reseau_v15[[#This Row],[province RDC]],_26_03_2026_Client_Churn_v1[Province_Client],_26_03_2026_Client_Churn_v1[Facture_Mensuelle],"non trouvé")</f>
        <v>non trouvé</v>
      </c>
      <c r="P472" t="str">
        <f>_xlfn.XLOOKUP(_26_03_2026_Log_Reseau_v15[[#This Row],[province RDC]],_26_03_2026_Client_Churn_v1[Province_Client],_26_03_2026_Client_Churn_v1[Plaintes_Service_Client],"non trouvé")</f>
        <v>non trouvé</v>
      </c>
    </row>
    <row r="473" spans="1:16" hidden="1" x14ac:dyDescent="0.25">
      <c r="A473" s="1">
        <v>45222</v>
      </c>
      <c r="B473" s="2">
        <v>0.1076388888888889</v>
      </c>
      <c r="C473" t="s">
        <v>1107</v>
      </c>
      <c r="D473">
        <v>85</v>
      </c>
      <c r="E473" t="s">
        <v>807</v>
      </c>
      <c r="F473" t="str">
        <f>_xlfn.XLOOKUP(_26_03_2026_Log_Reseau_v15[[#This Row],[Cell_ID]],_26_03_2026_Registre_Maintenance_v1[ID_Antenne],_26_03_2026_Registre_Maintenance_v1[zone],"pas trouvé")</f>
        <v>pas trouvé</v>
      </c>
      <c r="G473" t="str">
        <f>_xlfn.XLOOKUP(_26_03_2026_Log_Reseau_v15[[#This Row],[Cell_ID]],_26_03_2026_Registre_Maintenance_v1[ID_Antenne],_26_03_2026_Registre_Maintenance_v1[Latitude],"non trouvé")</f>
        <v>non trouvé</v>
      </c>
      <c r="H473" t="str">
        <f>_xlfn.XLOOKUP(_26_03_2026_Log_Reseau_v15[[#This Row],[Cell_ID]],_26_03_2026_Registre_Maintenance_v1[ID_Antenne],_26_03_2026_Registre_Maintenance_v1[Longitude],"pas trouvé")</f>
        <v>pas trouvé</v>
      </c>
      <c r="I473" t="str">
        <f>_xlfn.XLOOKUP(_26_03_2026_Log_Reseau_v15[[#This Row],[Cell_ID]],_26_03_2026_Registre_Maintenance_v1[ID_Antenne],_26_03_2026_Registre_Maintenance_v1[Technologie],"non trouvé")</f>
        <v>non trouvé</v>
      </c>
      <c r="J473" t="str">
        <f>_xlfn.XLOOKUP(_26_03_2026_Log_Reseau_v15[[#This Row],[Cell_ID]],_26_03_2026_Registre_Maintenance_v1[ID_Antenne],_26_03_2026_Registre_Maintenance_v1[Equipementier],"pas trouvé")</f>
        <v>pas trouvé</v>
      </c>
      <c r="K473" t="str">
        <f>_xlfn.XLOOKUP(_26_03_2026_Log_Reseau_v15[[#This Row],[province RDC]],_26_03_2026_Client_Churn_v1[Province_Client],_26_03_2026_Client_Churn_v1[ID_Client],"non trouvé")</f>
        <v>non trouvé</v>
      </c>
      <c r="L473" t="str">
        <f>_xlfn.XLOOKUP(_26_03_2026_Log_Reseau_v15[[#This Row],[province RDC]],_26_03_2026_Client_Churn_v1[Province_Client],_26_03_2026_Client_Churn_v1[Anciennete_Mois],"non trouvé")</f>
        <v>non trouvé</v>
      </c>
      <c r="M473" t="str">
        <f>_xlfn.XLOOKUP(_26_03_2026_Log_Reseau_v15[[#This Row],[province RDC]],_26_03_2026_Client_Churn_v1[Province_Client],_26_03_2026_Client_Churn_v1[Type_Forfait],"non trouvé")</f>
        <v>non trouvé</v>
      </c>
      <c r="N473" t="str">
        <f>_xlfn.XLOOKUP(_26_03_2026_Log_Reseau_v15[[#This Row],[province RDC]],_26_03_2026_Client_Churn_v1[Province_Client],_26_03_2026_Client_Churn_v1[Duree_Cumulee_Panne_Min],"non trouvé")</f>
        <v>non trouvé</v>
      </c>
      <c r="O473" t="str">
        <f>_xlfn.XLOOKUP(_26_03_2026_Log_Reseau_v15[[#This Row],[province RDC]],_26_03_2026_Client_Churn_v1[Province_Client],_26_03_2026_Client_Churn_v1[Facture_Mensuelle],"non trouvé")</f>
        <v>non trouvé</v>
      </c>
      <c r="P473" t="str">
        <f>_xlfn.XLOOKUP(_26_03_2026_Log_Reseau_v15[[#This Row],[province RDC]],_26_03_2026_Client_Churn_v1[Province_Client],_26_03_2026_Client_Churn_v1[Plaintes_Service_Client],"non trouvé")</f>
        <v>non trouvé</v>
      </c>
    </row>
    <row r="474" spans="1:16" x14ac:dyDescent="0.25">
      <c r="A474" s="1">
        <v>45203</v>
      </c>
      <c r="B474" s="2">
        <v>3.2638888888888891E-2</v>
      </c>
      <c r="C474" t="s">
        <v>1108</v>
      </c>
      <c r="D474">
        <v>73</v>
      </c>
      <c r="E474" t="s">
        <v>807</v>
      </c>
      <c r="F474" t="str">
        <f>_xlfn.XLOOKUP(_26_03_2026_Log_Reseau_v15[[#This Row],[Cell_ID]],_26_03_2026_Registre_Maintenance_v1[ID_Antenne],_26_03_2026_Registre_Maintenance_v1[zone],"pas trouvé")</f>
        <v>Tanganyika</v>
      </c>
      <c r="G474">
        <f>_xlfn.XLOOKUP(_26_03_2026_Log_Reseau_v15[[#This Row],[Cell_ID]],_26_03_2026_Registre_Maintenance_v1[ID_Antenne],_26_03_2026_Registre_Maintenance_v1[Latitude],"non trouvé")</f>
        <v>-11.144149000000001</v>
      </c>
      <c r="H474">
        <f>_xlfn.XLOOKUP(_26_03_2026_Log_Reseau_v15[[#This Row],[Cell_ID]],_26_03_2026_Registre_Maintenance_v1[ID_Antenne],_26_03_2026_Registre_Maintenance_v1[Longitude],"pas trouvé")</f>
        <v>27.244658999999999</v>
      </c>
      <c r="I474" t="str">
        <f>_xlfn.XLOOKUP(_26_03_2026_Log_Reseau_v15[[#This Row],[Cell_ID]],_26_03_2026_Registre_Maintenance_v1[ID_Antenne],_26_03_2026_Registre_Maintenance_v1[Technologie],"non trouvé")</f>
        <v>4G</v>
      </c>
      <c r="J474" t="str">
        <f>_xlfn.XLOOKUP(_26_03_2026_Log_Reseau_v15[[#This Row],[Cell_ID]],_26_03_2026_Registre_Maintenance_v1[ID_Antenne],_26_03_2026_Registre_Maintenance_v1[Equipementier],"pas trouvé")</f>
        <v>Nokia</v>
      </c>
      <c r="K474" t="str">
        <f>_xlfn.XLOOKUP(_26_03_2026_Log_Reseau_v15[[#This Row],[province RDC]],_26_03_2026_Client_Churn_v1[Province_Client],_26_03_2026_Client_Churn_v1[ID_Client],"non trouvé")</f>
        <v>CLI-01618</v>
      </c>
      <c r="L474">
        <f>_xlfn.XLOOKUP(_26_03_2026_Log_Reseau_v15[[#This Row],[province RDC]],_26_03_2026_Client_Churn_v1[Province_Client],_26_03_2026_Client_Churn_v1[Anciennete_Mois],"non trouvé")</f>
        <v>115</v>
      </c>
      <c r="M474" t="str">
        <f>_xlfn.XLOOKUP(_26_03_2026_Log_Reseau_v15[[#This Row],[province RDC]],_26_03_2026_Client_Churn_v1[Province_Client],_26_03_2026_Client_Churn_v1[Type_Forfait],"non trouvé")</f>
        <v>Bloqué 5Go</v>
      </c>
      <c r="N474">
        <f>_xlfn.XLOOKUP(_26_03_2026_Log_Reseau_v15[[#This Row],[province RDC]],_26_03_2026_Client_Churn_v1[Province_Client],_26_03_2026_Client_Churn_v1[Duree_Cumulee_Panne_Min],"non trouvé")</f>
        <v>176</v>
      </c>
      <c r="O474">
        <f>_xlfn.XLOOKUP(_26_03_2026_Log_Reseau_v15[[#This Row],[province RDC]],_26_03_2026_Client_Churn_v1[Province_Client],_26_03_2026_Client_Churn_v1[Facture_Mensuelle],"non trouvé")</f>
        <v>33.28</v>
      </c>
      <c r="P474">
        <f>_xlfn.XLOOKUP(_26_03_2026_Log_Reseau_v15[[#This Row],[province RDC]],_26_03_2026_Client_Churn_v1[Province_Client],_26_03_2026_Client_Churn_v1[Plaintes_Service_Client],"non trouvé")</f>
        <v>4</v>
      </c>
    </row>
    <row r="475" spans="1:16" x14ac:dyDescent="0.25">
      <c r="A475" s="1">
        <v>45228</v>
      </c>
      <c r="B475" s="2">
        <v>0.79166666666666663</v>
      </c>
      <c r="C475" t="s">
        <v>1108</v>
      </c>
      <c r="D475">
        <v>63</v>
      </c>
      <c r="E475" t="s">
        <v>807</v>
      </c>
      <c r="F475" t="str">
        <f>_xlfn.XLOOKUP(_26_03_2026_Log_Reseau_v15[[#This Row],[Cell_ID]],_26_03_2026_Registre_Maintenance_v1[ID_Antenne],_26_03_2026_Registre_Maintenance_v1[zone],"pas trouvé")</f>
        <v>Tanganyika</v>
      </c>
      <c r="G475">
        <f>_xlfn.XLOOKUP(_26_03_2026_Log_Reseau_v15[[#This Row],[Cell_ID]],_26_03_2026_Registre_Maintenance_v1[ID_Antenne],_26_03_2026_Registre_Maintenance_v1[Latitude],"non trouvé")</f>
        <v>-11.144149000000001</v>
      </c>
      <c r="H475">
        <f>_xlfn.XLOOKUP(_26_03_2026_Log_Reseau_v15[[#This Row],[Cell_ID]],_26_03_2026_Registre_Maintenance_v1[ID_Antenne],_26_03_2026_Registre_Maintenance_v1[Longitude],"pas trouvé")</f>
        <v>27.244658999999999</v>
      </c>
      <c r="I475" t="str">
        <f>_xlfn.XLOOKUP(_26_03_2026_Log_Reseau_v15[[#This Row],[Cell_ID]],_26_03_2026_Registre_Maintenance_v1[ID_Antenne],_26_03_2026_Registre_Maintenance_v1[Technologie],"non trouvé")</f>
        <v>4G</v>
      </c>
      <c r="J475" t="str">
        <f>_xlfn.XLOOKUP(_26_03_2026_Log_Reseau_v15[[#This Row],[Cell_ID]],_26_03_2026_Registre_Maintenance_v1[ID_Antenne],_26_03_2026_Registre_Maintenance_v1[Equipementier],"pas trouvé")</f>
        <v>Nokia</v>
      </c>
      <c r="K475" t="str">
        <f>_xlfn.XLOOKUP(_26_03_2026_Log_Reseau_v15[[#This Row],[province RDC]],_26_03_2026_Client_Churn_v1[Province_Client],_26_03_2026_Client_Churn_v1[ID_Client],"non trouvé")</f>
        <v>CLI-01618</v>
      </c>
      <c r="L475">
        <f>_xlfn.XLOOKUP(_26_03_2026_Log_Reseau_v15[[#This Row],[province RDC]],_26_03_2026_Client_Churn_v1[Province_Client],_26_03_2026_Client_Churn_v1[Anciennete_Mois],"non trouvé")</f>
        <v>115</v>
      </c>
      <c r="M475" t="str">
        <f>_xlfn.XLOOKUP(_26_03_2026_Log_Reseau_v15[[#This Row],[province RDC]],_26_03_2026_Client_Churn_v1[Province_Client],_26_03_2026_Client_Churn_v1[Type_Forfait],"non trouvé")</f>
        <v>Bloqué 5Go</v>
      </c>
      <c r="N475">
        <f>_xlfn.XLOOKUP(_26_03_2026_Log_Reseau_v15[[#This Row],[province RDC]],_26_03_2026_Client_Churn_v1[Province_Client],_26_03_2026_Client_Churn_v1[Duree_Cumulee_Panne_Min],"non trouvé")</f>
        <v>176</v>
      </c>
      <c r="O475">
        <f>_xlfn.XLOOKUP(_26_03_2026_Log_Reseau_v15[[#This Row],[province RDC]],_26_03_2026_Client_Churn_v1[Province_Client],_26_03_2026_Client_Churn_v1[Facture_Mensuelle],"non trouvé")</f>
        <v>33.28</v>
      </c>
      <c r="P475">
        <f>_xlfn.XLOOKUP(_26_03_2026_Log_Reseau_v15[[#This Row],[province RDC]],_26_03_2026_Client_Churn_v1[Province_Client],_26_03_2026_Client_Churn_v1[Plaintes_Service_Client],"non trouvé")</f>
        <v>4</v>
      </c>
    </row>
    <row r="476" spans="1:16" x14ac:dyDescent="0.25">
      <c r="A476" s="1">
        <v>45222</v>
      </c>
      <c r="B476" s="2">
        <v>0.94374999999999998</v>
      </c>
      <c r="C476" t="s">
        <v>1109</v>
      </c>
      <c r="D476">
        <v>114</v>
      </c>
      <c r="E476" t="s">
        <v>807</v>
      </c>
      <c r="F476" t="str">
        <f>_xlfn.XLOOKUP(_26_03_2026_Log_Reseau_v15[[#This Row],[Cell_ID]],_26_03_2026_Registre_Maintenance_v1[ID_Antenne],_26_03_2026_Registre_Maintenance_v1[zone],"pas trouvé")</f>
        <v>Haut-Lomami</v>
      </c>
      <c r="G476">
        <f>_xlfn.XLOOKUP(_26_03_2026_Log_Reseau_v15[[#This Row],[Cell_ID]],_26_03_2026_Registre_Maintenance_v1[ID_Antenne],_26_03_2026_Registre_Maintenance_v1[Latitude],"non trouvé")</f>
        <v>-9.6407190000000007</v>
      </c>
      <c r="H476">
        <f>_xlfn.XLOOKUP(_26_03_2026_Log_Reseau_v15[[#This Row],[Cell_ID]],_26_03_2026_Registre_Maintenance_v1[ID_Antenne],_26_03_2026_Registre_Maintenance_v1[Longitude],"pas trouvé")</f>
        <v>21.336704999999998</v>
      </c>
      <c r="I476" t="str">
        <f>_xlfn.XLOOKUP(_26_03_2026_Log_Reseau_v15[[#This Row],[Cell_ID]],_26_03_2026_Registre_Maintenance_v1[ID_Antenne],_26_03_2026_Registre_Maintenance_v1[Technologie],"non trouvé")</f>
        <v>4G</v>
      </c>
      <c r="J476" t="str">
        <f>_xlfn.XLOOKUP(_26_03_2026_Log_Reseau_v15[[#This Row],[Cell_ID]],_26_03_2026_Registre_Maintenance_v1[ID_Antenne],_26_03_2026_Registre_Maintenance_v1[Equipementier],"pas trouvé")</f>
        <v>ZTE</v>
      </c>
      <c r="K476" t="str">
        <f>_xlfn.XLOOKUP(_26_03_2026_Log_Reseau_v15[[#This Row],[province RDC]],_26_03_2026_Client_Churn_v1[Province_Client],_26_03_2026_Client_Churn_v1[ID_Client],"non trouvé")</f>
        <v>CLI-01325</v>
      </c>
      <c r="L476">
        <f>_xlfn.XLOOKUP(_26_03_2026_Log_Reseau_v15[[#This Row],[province RDC]],_26_03_2026_Client_Churn_v1[Province_Client],_26_03_2026_Client_Churn_v1[Anciennete_Mois],"non trouvé")</f>
        <v>44</v>
      </c>
      <c r="M476" t="str">
        <f>_xlfn.XLOOKUP(_26_03_2026_Log_Reseau_v15[[#This Row],[province RDC]],_26_03_2026_Client_Churn_v1[Province_Client],_26_03_2026_Client_Churn_v1[Type_Forfait],"non trouvé")</f>
        <v>Bloqué 5Go</v>
      </c>
      <c r="N476">
        <f>_xlfn.XLOOKUP(_26_03_2026_Log_Reseau_v15[[#This Row],[province RDC]],_26_03_2026_Client_Churn_v1[Province_Client],_26_03_2026_Client_Churn_v1[Duree_Cumulee_Panne_Min],"non trouvé")</f>
        <v>348</v>
      </c>
      <c r="O476">
        <f>_xlfn.XLOOKUP(_26_03_2026_Log_Reseau_v15[[#This Row],[province RDC]],_26_03_2026_Client_Churn_v1[Province_Client],_26_03_2026_Client_Churn_v1[Facture_Mensuelle],"non trouvé")</f>
        <v>58.67</v>
      </c>
      <c r="P476">
        <f>_xlfn.XLOOKUP(_26_03_2026_Log_Reseau_v15[[#This Row],[province RDC]],_26_03_2026_Client_Churn_v1[Province_Client],_26_03_2026_Client_Churn_v1[Plaintes_Service_Client],"non trouvé")</f>
        <v>0</v>
      </c>
    </row>
    <row r="477" spans="1:16" hidden="1" x14ac:dyDescent="0.25">
      <c r="A477" s="1">
        <v>45215</v>
      </c>
      <c r="B477" s="2">
        <v>0.16388888888888889</v>
      </c>
      <c r="C477" t="s">
        <v>1110</v>
      </c>
      <c r="D477">
        <v>109</v>
      </c>
      <c r="E477" t="s">
        <v>808</v>
      </c>
      <c r="F477" t="str">
        <f>_xlfn.XLOOKUP(_26_03_2026_Log_Reseau_v15[[#This Row],[Cell_ID]],_26_03_2026_Registre_Maintenance_v1[ID_Antenne],_26_03_2026_Registre_Maintenance_v1[zone],"pas trouvé")</f>
        <v>pas trouvé</v>
      </c>
      <c r="G477" t="str">
        <f>_xlfn.XLOOKUP(_26_03_2026_Log_Reseau_v15[[#This Row],[Cell_ID]],_26_03_2026_Registre_Maintenance_v1[ID_Antenne],_26_03_2026_Registre_Maintenance_v1[Latitude],"non trouvé")</f>
        <v>non trouvé</v>
      </c>
      <c r="H477" t="str">
        <f>_xlfn.XLOOKUP(_26_03_2026_Log_Reseau_v15[[#This Row],[Cell_ID]],_26_03_2026_Registre_Maintenance_v1[ID_Antenne],_26_03_2026_Registre_Maintenance_v1[Longitude],"pas trouvé")</f>
        <v>pas trouvé</v>
      </c>
      <c r="I477" t="str">
        <f>_xlfn.XLOOKUP(_26_03_2026_Log_Reseau_v15[[#This Row],[Cell_ID]],_26_03_2026_Registre_Maintenance_v1[ID_Antenne],_26_03_2026_Registre_Maintenance_v1[Technologie],"non trouvé")</f>
        <v>non trouvé</v>
      </c>
      <c r="J477" t="str">
        <f>_xlfn.XLOOKUP(_26_03_2026_Log_Reseau_v15[[#This Row],[Cell_ID]],_26_03_2026_Registre_Maintenance_v1[ID_Antenne],_26_03_2026_Registre_Maintenance_v1[Equipementier],"pas trouvé")</f>
        <v>pas trouvé</v>
      </c>
      <c r="K477" t="str">
        <f>_xlfn.XLOOKUP(_26_03_2026_Log_Reseau_v15[[#This Row],[province RDC]],_26_03_2026_Client_Churn_v1[Province_Client],_26_03_2026_Client_Churn_v1[ID_Client],"non trouvé")</f>
        <v>non trouvé</v>
      </c>
      <c r="L477" t="str">
        <f>_xlfn.XLOOKUP(_26_03_2026_Log_Reseau_v15[[#This Row],[province RDC]],_26_03_2026_Client_Churn_v1[Province_Client],_26_03_2026_Client_Churn_v1[Anciennete_Mois],"non trouvé")</f>
        <v>non trouvé</v>
      </c>
      <c r="M477" t="str">
        <f>_xlfn.XLOOKUP(_26_03_2026_Log_Reseau_v15[[#This Row],[province RDC]],_26_03_2026_Client_Churn_v1[Province_Client],_26_03_2026_Client_Churn_v1[Type_Forfait],"non trouvé")</f>
        <v>non trouvé</v>
      </c>
      <c r="N477" t="str">
        <f>_xlfn.XLOOKUP(_26_03_2026_Log_Reseau_v15[[#This Row],[province RDC]],_26_03_2026_Client_Churn_v1[Province_Client],_26_03_2026_Client_Churn_v1[Duree_Cumulee_Panne_Min],"non trouvé")</f>
        <v>non trouvé</v>
      </c>
      <c r="O477" t="str">
        <f>_xlfn.XLOOKUP(_26_03_2026_Log_Reseau_v15[[#This Row],[province RDC]],_26_03_2026_Client_Churn_v1[Province_Client],_26_03_2026_Client_Churn_v1[Facture_Mensuelle],"non trouvé")</f>
        <v>non trouvé</v>
      </c>
      <c r="P477" t="str">
        <f>_xlfn.XLOOKUP(_26_03_2026_Log_Reseau_v15[[#This Row],[province RDC]],_26_03_2026_Client_Churn_v1[Province_Client],_26_03_2026_Client_Churn_v1[Plaintes_Service_Client],"non trouvé")</f>
        <v>non trouvé</v>
      </c>
    </row>
    <row r="478" spans="1:16" hidden="1" x14ac:dyDescent="0.25">
      <c r="A478" s="1">
        <v>45226</v>
      </c>
      <c r="B478" s="2">
        <v>3.472222222222222E-3</v>
      </c>
      <c r="C478" t="s">
        <v>1111</v>
      </c>
      <c r="D478">
        <v>76</v>
      </c>
      <c r="E478" t="s">
        <v>807</v>
      </c>
      <c r="F478" t="str">
        <f>_xlfn.XLOOKUP(_26_03_2026_Log_Reseau_v15[[#This Row],[Cell_ID]],_26_03_2026_Registre_Maintenance_v1[ID_Antenne],_26_03_2026_Registre_Maintenance_v1[zone],"pas trouvé")</f>
        <v>pas trouvé</v>
      </c>
      <c r="G478" t="str">
        <f>_xlfn.XLOOKUP(_26_03_2026_Log_Reseau_v15[[#This Row],[Cell_ID]],_26_03_2026_Registre_Maintenance_v1[ID_Antenne],_26_03_2026_Registre_Maintenance_v1[Latitude],"non trouvé")</f>
        <v>non trouvé</v>
      </c>
      <c r="H478" t="str">
        <f>_xlfn.XLOOKUP(_26_03_2026_Log_Reseau_v15[[#This Row],[Cell_ID]],_26_03_2026_Registre_Maintenance_v1[ID_Antenne],_26_03_2026_Registre_Maintenance_v1[Longitude],"pas trouvé")</f>
        <v>pas trouvé</v>
      </c>
      <c r="I478" t="str">
        <f>_xlfn.XLOOKUP(_26_03_2026_Log_Reseau_v15[[#This Row],[Cell_ID]],_26_03_2026_Registre_Maintenance_v1[ID_Antenne],_26_03_2026_Registre_Maintenance_v1[Technologie],"non trouvé")</f>
        <v>non trouvé</v>
      </c>
      <c r="J478" t="str">
        <f>_xlfn.XLOOKUP(_26_03_2026_Log_Reseau_v15[[#This Row],[Cell_ID]],_26_03_2026_Registre_Maintenance_v1[ID_Antenne],_26_03_2026_Registre_Maintenance_v1[Equipementier],"pas trouvé")</f>
        <v>pas trouvé</v>
      </c>
      <c r="K478" t="str">
        <f>_xlfn.XLOOKUP(_26_03_2026_Log_Reseau_v15[[#This Row],[province RDC]],_26_03_2026_Client_Churn_v1[Province_Client],_26_03_2026_Client_Churn_v1[ID_Client],"non trouvé")</f>
        <v>non trouvé</v>
      </c>
      <c r="L478" t="str">
        <f>_xlfn.XLOOKUP(_26_03_2026_Log_Reseau_v15[[#This Row],[province RDC]],_26_03_2026_Client_Churn_v1[Province_Client],_26_03_2026_Client_Churn_v1[Anciennete_Mois],"non trouvé")</f>
        <v>non trouvé</v>
      </c>
      <c r="M478" t="str">
        <f>_xlfn.XLOOKUP(_26_03_2026_Log_Reseau_v15[[#This Row],[province RDC]],_26_03_2026_Client_Churn_v1[Province_Client],_26_03_2026_Client_Churn_v1[Type_Forfait],"non trouvé")</f>
        <v>non trouvé</v>
      </c>
      <c r="N478" t="str">
        <f>_xlfn.XLOOKUP(_26_03_2026_Log_Reseau_v15[[#This Row],[province RDC]],_26_03_2026_Client_Churn_v1[Province_Client],_26_03_2026_Client_Churn_v1[Duree_Cumulee_Panne_Min],"non trouvé")</f>
        <v>non trouvé</v>
      </c>
      <c r="O478" t="str">
        <f>_xlfn.XLOOKUP(_26_03_2026_Log_Reseau_v15[[#This Row],[province RDC]],_26_03_2026_Client_Churn_v1[Province_Client],_26_03_2026_Client_Churn_v1[Facture_Mensuelle],"non trouvé")</f>
        <v>non trouvé</v>
      </c>
      <c r="P478" t="str">
        <f>_xlfn.XLOOKUP(_26_03_2026_Log_Reseau_v15[[#This Row],[province RDC]],_26_03_2026_Client_Churn_v1[Province_Client],_26_03_2026_Client_Churn_v1[Plaintes_Service_Client],"non trouvé")</f>
        <v>non trouvé</v>
      </c>
    </row>
    <row r="479" spans="1:16" hidden="1" x14ac:dyDescent="0.25">
      <c r="A479" s="1">
        <v>45230</v>
      </c>
      <c r="B479" s="2">
        <v>8.819444444444445E-2</v>
      </c>
      <c r="C479" t="s">
        <v>1111</v>
      </c>
      <c r="D479">
        <v>87</v>
      </c>
      <c r="E479" t="s">
        <v>812</v>
      </c>
      <c r="F479" t="str">
        <f>_xlfn.XLOOKUP(_26_03_2026_Log_Reseau_v15[[#This Row],[Cell_ID]],_26_03_2026_Registre_Maintenance_v1[ID_Antenne],_26_03_2026_Registre_Maintenance_v1[zone],"pas trouvé")</f>
        <v>pas trouvé</v>
      </c>
      <c r="G479" t="str">
        <f>_xlfn.XLOOKUP(_26_03_2026_Log_Reseau_v15[[#This Row],[Cell_ID]],_26_03_2026_Registre_Maintenance_v1[ID_Antenne],_26_03_2026_Registre_Maintenance_v1[Latitude],"non trouvé")</f>
        <v>non trouvé</v>
      </c>
      <c r="H479" t="str">
        <f>_xlfn.XLOOKUP(_26_03_2026_Log_Reseau_v15[[#This Row],[Cell_ID]],_26_03_2026_Registre_Maintenance_v1[ID_Antenne],_26_03_2026_Registre_Maintenance_v1[Longitude],"pas trouvé")</f>
        <v>pas trouvé</v>
      </c>
      <c r="I479" t="str">
        <f>_xlfn.XLOOKUP(_26_03_2026_Log_Reseau_v15[[#This Row],[Cell_ID]],_26_03_2026_Registre_Maintenance_v1[ID_Antenne],_26_03_2026_Registre_Maintenance_v1[Technologie],"non trouvé")</f>
        <v>non trouvé</v>
      </c>
      <c r="J479" t="str">
        <f>_xlfn.XLOOKUP(_26_03_2026_Log_Reseau_v15[[#This Row],[Cell_ID]],_26_03_2026_Registre_Maintenance_v1[ID_Antenne],_26_03_2026_Registre_Maintenance_v1[Equipementier],"pas trouvé")</f>
        <v>pas trouvé</v>
      </c>
      <c r="K479" t="str">
        <f>_xlfn.XLOOKUP(_26_03_2026_Log_Reseau_v15[[#This Row],[province RDC]],_26_03_2026_Client_Churn_v1[Province_Client],_26_03_2026_Client_Churn_v1[ID_Client],"non trouvé")</f>
        <v>non trouvé</v>
      </c>
      <c r="L479" t="str">
        <f>_xlfn.XLOOKUP(_26_03_2026_Log_Reseau_v15[[#This Row],[province RDC]],_26_03_2026_Client_Churn_v1[Province_Client],_26_03_2026_Client_Churn_v1[Anciennete_Mois],"non trouvé")</f>
        <v>non trouvé</v>
      </c>
      <c r="M479" t="str">
        <f>_xlfn.XLOOKUP(_26_03_2026_Log_Reseau_v15[[#This Row],[province RDC]],_26_03_2026_Client_Churn_v1[Province_Client],_26_03_2026_Client_Churn_v1[Type_Forfait],"non trouvé")</f>
        <v>non trouvé</v>
      </c>
      <c r="N479" t="str">
        <f>_xlfn.XLOOKUP(_26_03_2026_Log_Reseau_v15[[#This Row],[province RDC]],_26_03_2026_Client_Churn_v1[Province_Client],_26_03_2026_Client_Churn_v1[Duree_Cumulee_Panne_Min],"non trouvé")</f>
        <v>non trouvé</v>
      </c>
      <c r="O479" t="str">
        <f>_xlfn.XLOOKUP(_26_03_2026_Log_Reseau_v15[[#This Row],[province RDC]],_26_03_2026_Client_Churn_v1[Province_Client],_26_03_2026_Client_Churn_v1[Facture_Mensuelle],"non trouvé")</f>
        <v>non trouvé</v>
      </c>
      <c r="P479" t="str">
        <f>_xlfn.XLOOKUP(_26_03_2026_Log_Reseau_v15[[#This Row],[province RDC]],_26_03_2026_Client_Churn_v1[Province_Client],_26_03_2026_Client_Churn_v1[Plaintes_Service_Client],"non trouvé")</f>
        <v>non trouvé</v>
      </c>
    </row>
    <row r="480" spans="1:16" x14ac:dyDescent="0.25">
      <c r="A480" s="1">
        <v>45211</v>
      </c>
      <c r="B480" s="2">
        <v>0.21944444444444444</v>
      </c>
      <c r="C480" t="s">
        <v>1112</v>
      </c>
      <c r="D480">
        <v>5</v>
      </c>
      <c r="E480" t="s">
        <v>807</v>
      </c>
      <c r="F480" t="str">
        <f>_xlfn.XLOOKUP(_26_03_2026_Log_Reseau_v15[[#This Row],[Cell_ID]],_26_03_2026_Registre_Maintenance_v1[ID_Antenne],_26_03_2026_Registre_Maintenance_v1[zone],"pas trouvé")</f>
        <v>Nord-Kivu</v>
      </c>
      <c r="G480">
        <f>_xlfn.XLOOKUP(_26_03_2026_Log_Reseau_v15[[#This Row],[Cell_ID]],_26_03_2026_Registre_Maintenance_v1[ID_Antenne],_26_03_2026_Registre_Maintenance_v1[Latitude],"non trouvé")</f>
        <v>-8.9586360000000003</v>
      </c>
      <c r="H480">
        <f>_xlfn.XLOOKUP(_26_03_2026_Log_Reseau_v15[[#This Row],[Cell_ID]],_26_03_2026_Registre_Maintenance_v1[ID_Antenne],_26_03_2026_Registre_Maintenance_v1[Longitude],"pas trouvé")</f>
        <v>17.157720000000001</v>
      </c>
      <c r="I480" t="str">
        <f>_xlfn.XLOOKUP(_26_03_2026_Log_Reseau_v15[[#This Row],[Cell_ID]],_26_03_2026_Registre_Maintenance_v1[ID_Antenne],_26_03_2026_Registre_Maintenance_v1[Technologie],"non trouvé")</f>
        <v>3G</v>
      </c>
      <c r="J480" t="str">
        <f>_xlfn.XLOOKUP(_26_03_2026_Log_Reseau_v15[[#This Row],[Cell_ID]],_26_03_2026_Registre_Maintenance_v1[ID_Antenne],_26_03_2026_Registre_Maintenance_v1[Equipementier],"pas trouvé")</f>
        <v>Nokia</v>
      </c>
      <c r="K480" t="str">
        <f>_xlfn.XLOOKUP(_26_03_2026_Log_Reseau_v15[[#This Row],[province RDC]],_26_03_2026_Client_Churn_v1[Province_Client],_26_03_2026_Client_Churn_v1[ID_Client],"non trouvé")</f>
        <v>CLI-00837</v>
      </c>
      <c r="L480">
        <f>_xlfn.XLOOKUP(_26_03_2026_Log_Reseau_v15[[#This Row],[province RDC]],_26_03_2026_Client_Churn_v1[Province_Client],_26_03_2026_Client_Churn_v1[Anciennete_Mois],"non trouvé")</f>
        <v>16</v>
      </c>
      <c r="M480" t="str">
        <f>_xlfn.XLOOKUP(_26_03_2026_Log_Reseau_v15[[#This Row],[province RDC]],_26_03_2026_Client_Churn_v1[Province_Client],_26_03_2026_Client_Churn_v1[Type_Forfait],"non trouvé")</f>
        <v>Bloqué 5Go</v>
      </c>
      <c r="N480">
        <f>_xlfn.XLOOKUP(_26_03_2026_Log_Reseau_v15[[#This Row],[province RDC]],_26_03_2026_Client_Churn_v1[Province_Client],_26_03_2026_Client_Churn_v1[Duree_Cumulee_Panne_Min],"non trouvé")</f>
        <v>390</v>
      </c>
      <c r="O480">
        <f>_xlfn.XLOOKUP(_26_03_2026_Log_Reseau_v15[[#This Row],[province RDC]],_26_03_2026_Client_Churn_v1[Province_Client],_26_03_2026_Client_Churn_v1[Facture_Mensuelle],"non trouvé")</f>
        <v>98.17</v>
      </c>
      <c r="P480">
        <f>_xlfn.XLOOKUP(_26_03_2026_Log_Reseau_v15[[#This Row],[province RDC]],_26_03_2026_Client_Churn_v1[Province_Client],_26_03_2026_Client_Churn_v1[Plaintes_Service_Client],"non trouvé")</f>
        <v>5</v>
      </c>
    </row>
    <row r="481" spans="1:16" hidden="1" x14ac:dyDescent="0.25">
      <c r="A481" s="1">
        <v>45227</v>
      </c>
      <c r="B481" s="2">
        <v>0.32430555555555557</v>
      </c>
      <c r="C481" t="s">
        <v>1113</v>
      </c>
      <c r="D481">
        <v>52</v>
      </c>
      <c r="E481" t="s">
        <v>807</v>
      </c>
      <c r="F481" t="str">
        <f>_xlfn.XLOOKUP(_26_03_2026_Log_Reseau_v15[[#This Row],[Cell_ID]],_26_03_2026_Registre_Maintenance_v1[ID_Antenne],_26_03_2026_Registre_Maintenance_v1[zone],"pas trouvé")</f>
        <v>pas trouvé</v>
      </c>
      <c r="G481" t="str">
        <f>_xlfn.XLOOKUP(_26_03_2026_Log_Reseau_v15[[#This Row],[Cell_ID]],_26_03_2026_Registre_Maintenance_v1[ID_Antenne],_26_03_2026_Registre_Maintenance_v1[Latitude],"non trouvé")</f>
        <v>non trouvé</v>
      </c>
      <c r="H481" t="str">
        <f>_xlfn.XLOOKUP(_26_03_2026_Log_Reseau_v15[[#This Row],[Cell_ID]],_26_03_2026_Registre_Maintenance_v1[ID_Antenne],_26_03_2026_Registre_Maintenance_v1[Longitude],"pas trouvé")</f>
        <v>pas trouvé</v>
      </c>
      <c r="I481" t="str">
        <f>_xlfn.XLOOKUP(_26_03_2026_Log_Reseau_v15[[#This Row],[Cell_ID]],_26_03_2026_Registre_Maintenance_v1[ID_Antenne],_26_03_2026_Registre_Maintenance_v1[Technologie],"non trouvé")</f>
        <v>non trouvé</v>
      </c>
      <c r="J481" t="str">
        <f>_xlfn.XLOOKUP(_26_03_2026_Log_Reseau_v15[[#This Row],[Cell_ID]],_26_03_2026_Registre_Maintenance_v1[ID_Antenne],_26_03_2026_Registre_Maintenance_v1[Equipementier],"pas trouvé")</f>
        <v>pas trouvé</v>
      </c>
      <c r="K481" t="str">
        <f>_xlfn.XLOOKUP(_26_03_2026_Log_Reseau_v15[[#This Row],[province RDC]],_26_03_2026_Client_Churn_v1[Province_Client],_26_03_2026_Client_Churn_v1[ID_Client],"non trouvé")</f>
        <v>non trouvé</v>
      </c>
      <c r="L481" t="str">
        <f>_xlfn.XLOOKUP(_26_03_2026_Log_Reseau_v15[[#This Row],[province RDC]],_26_03_2026_Client_Churn_v1[Province_Client],_26_03_2026_Client_Churn_v1[Anciennete_Mois],"non trouvé")</f>
        <v>non trouvé</v>
      </c>
      <c r="M481" t="str">
        <f>_xlfn.XLOOKUP(_26_03_2026_Log_Reseau_v15[[#This Row],[province RDC]],_26_03_2026_Client_Churn_v1[Province_Client],_26_03_2026_Client_Churn_v1[Type_Forfait],"non trouvé")</f>
        <v>non trouvé</v>
      </c>
      <c r="N481" t="str">
        <f>_xlfn.XLOOKUP(_26_03_2026_Log_Reseau_v15[[#This Row],[province RDC]],_26_03_2026_Client_Churn_v1[Province_Client],_26_03_2026_Client_Churn_v1[Duree_Cumulee_Panne_Min],"non trouvé")</f>
        <v>non trouvé</v>
      </c>
      <c r="O481" t="str">
        <f>_xlfn.XLOOKUP(_26_03_2026_Log_Reseau_v15[[#This Row],[province RDC]],_26_03_2026_Client_Churn_v1[Province_Client],_26_03_2026_Client_Churn_v1[Facture_Mensuelle],"non trouvé")</f>
        <v>non trouvé</v>
      </c>
      <c r="P481" t="str">
        <f>_xlfn.XLOOKUP(_26_03_2026_Log_Reseau_v15[[#This Row],[province RDC]],_26_03_2026_Client_Churn_v1[Province_Client],_26_03_2026_Client_Churn_v1[Plaintes_Service_Client],"non trouvé")</f>
        <v>non trouvé</v>
      </c>
    </row>
    <row r="482" spans="1:16" x14ac:dyDescent="0.25">
      <c r="A482" s="1">
        <v>45218</v>
      </c>
      <c r="B482" s="2">
        <v>0.12708333333333333</v>
      </c>
      <c r="C482" t="s">
        <v>1114</v>
      </c>
      <c r="D482">
        <v>58</v>
      </c>
      <c r="E482" t="s">
        <v>808</v>
      </c>
      <c r="F482" t="str">
        <f>_xlfn.XLOOKUP(_26_03_2026_Log_Reseau_v15[[#This Row],[Cell_ID]],_26_03_2026_Registre_Maintenance_v1[ID_Antenne],_26_03_2026_Registre_Maintenance_v1[zone],"pas trouvé")</f>
        <v>Sud-Kivu</v>
      </c>
      <c r="G482">
        <f>_xlfn.XLOOKUP(_26_03_2026_Log_Reseau_v15[[#This Row],[Cell_ID]],_26_03_2026_Registre_Maintenance_v1[ID_Antenne],_26_03_2026_Registre_Maintenance_v1[Latitude],"non trouvé")</f>
        <v>1.2419519999999999</v>
      </c>
      <c r="H482">
        <f>_xlfn.XLOOKUP(_26_03_2026_Log_Reseau_v15[[#This Row],[Cell_ID]],_26_03_2026_Registre_Maintenance_v1[ID_Antenne],_26_03_2026_Registre_Maintenance_v1[Longitude],"pas trouvé")</f>
        <v>25.261382999999999</v>
      </c>
      <c r="I482" t="str">
        <f>_xlfn.XLOOKUP(_26_03_2026_Log_Reseau_v15[[#This Row],[Cell_ID]],_26_03_2026_Registre_Maintenance_v1[ID_Antenne],_26_03_2026_Registre_Maintenance_v1[Technologie],"non trouvé")</f>
        <v>4G</v>
      </c>
      <c r="J482" t="str">
        <f>_xlfn.XLOOKUP(_26_03_2026_Log_Reseau_v15[[#This Row],[Cell_ID]],_26_03_2026_Registre_Maintenance_v1[ID_Antenne],_26_03_2026_Registre_Maintenance_v1[Equipementier],"pas trouvé")</f>
        <v>Huawei</v>
      </c>
      <c r="K482" t="str">
        <f>_xlfn.XLOOKUP(_26_03_2026_Log_Reseau_v15[[#This Row],[province RDC]],_26_03_2026_Client_Churn_v1[Province_Client],_26_03_2026_Client_Churn_v1[ID_Client],"non trouvé")</f>
        <v>CLI-01855</v>
      </c>
      <c r="L482">
        <f>_xlfn.XLOOKUP(_26_03_2026_Log_Reseau_v15[[#This Row],[province RDC]],_26_03_2026_Client_Churn_v1[Province_Client],_26_03_2026_Client_Churn_v1[Anciennete_Mois],"non trouvé")</f>
        <v>101</v>
      </c>
      <c r="M482" t="str">
        <f>_xlfn.XLOOKUP(_26_03_2026_Log_Reseau_v15[[#This Row],[province RDC]],_26_03_2026_Client_Churn_v1[Province_Client],_26_03_2026_Client_Churn_v1[Type_Forfait],"non trouvé")</f>
        <v>Illimité 50Go</v>
      </c>
      <c r="N482">
        <f>_xlfn.XLOOKUP(_26_03_2026_Log_Reseau_v15[[#This Row],[province RDC]],_26_03_2026_Client_Churn_v1[Province_Client],_26_03_2026_Client_Churn_v1[Duree_Cumulee_Panne_Min],"non trouvé")</f>
        <v>358</v>
      </c>
      <c r="O482">
        <f>_xlfn.XLOOKUP(_26_03_2026_Log_Reseau_v15[[#This Row],[province RDC]],_26_03_2026_Client_Churn_v1[Province_Client],_26_03_2026_Client_Churn_v1[Facture_Mensuelle],"non trouvé")</f>
        <v>29.24</v>
      </c>
      <c r="P482">
        <f>_xlfn.XLOOKUP(_26_03_2026_Log_Reseau_v15[[#This Row],[province RDC]],_26_03_2026_Client_Churn_v1[Province_Client],_26_03_2026_Client_Churn_v1[Plaintes_Service_Client],"non trouvé")</f>
        <v>3</v>
      </c>
    </row>
    <row r="483" spans="1:16" x14ac:dyDescent="0.25">
      <c r="A483" s="1">
        <v>45200</v>
      </c>
      <c r="B483" s="2">
        <v>0.83263888888888893</v>
      </c>
      <c r="C483" t="s">
        <v>1114</v>
      </c>
      <c r="D483">
        <v>27</v>
      </c>
      <c r="E483" t="s">
        <v>807</v>
      </c>
      <c r="F483" t="str">
        <f>_xlfn.XLOOKUP(_26_03_2026_Log_Reseau_v15[[#This Row],[Cell_ID]],_26_03_2026_Registre_Maintenance_v1[ID_Antenne],_26_03_2026_Registre_Maintenance_v1[zone],"pas trouvé")</f>
        <v>Sud-Kivu</v>
      </c>
      <c r="G483">
        <f>_xlfn.XLOOKUP(_26_03_2026_Log_Reseau_v15[[#This Row],[Cell_ID]],_26_03_2026_Registre_Maintenance_v1[ID_Antenne],_26_03_2026_Registre_Maintenance_v1[Latitude],"non trouvé")</f>
        <v>1.2419519999999999</v>
      </c>
      <c r="H483">
        <f>_xlfn.XLOOKUP(_26_03_2026_Log_Reseau_v15[[#This Row],[Cell_ID]],_26_03_2026_Registre_Maintenance_v1[ID_Antenne],_26_03_2026_Registre_Maintenance_v1[Longitude],"pas trouvé")</f>
        <v>25.261382999999999</v>
      </c>
      <c r="I483" t="str">
        <f>_xlfn.XLOOKUP(_26_03_2026_Log_Reseau_v15[[#This Row],[Cell_ID]],_26_03_2026_Registre_Maintenance_v1[ID_Antenne],_26_03_2026_Registre_Maintenance_v1[Technologie],"non trouvé")</f>
        <v>4G</v>
      </c>
      <c r="J483" t="str">
        <f>_xlfn.XLOOKUP(_26_03_2026_Log_Reseau_v15[[#This Row],[Cell_ID]],_26_03_2026_Registre_Maintenance_v1[ID_Antenne],_26_03_2026_Registre_Maintenance_v1[Equipementier],"pas trouvé")</f>
        <v>Huawei</v>
      </c>
      <c r="K483" t="str">
        <f>_xlfn.XLOOKUP(_26_03_2026_Log_Reseau_v15[[#This Row],[province RDC]],_26_03_2026_Client_Churn_v1[Province_Client],_26_03_2026_Client_Churn_v1[ID_Client],"non trouvé")</f>
        <v>CLI-01855</v>
      </c>
      <c r="L483">
        <f>_xlfn.XLOOKUP(_26_03_2026_Log_Reseau_v15[[#This Row],[province RDC]],_26_03_2026_Client_Churn_v1[Province_Client],_26_03_2026_Client_Churn_v1[Anciennete_Mois],"non trouvé")</f>
        <v>101</v>
      </c>
      <c r="M483" t="str">
        <f>_xlfn.XLOOKUP(_26_03_2026_Log_Reseau_v15[[#This Row],[province RDC]],_26_03_2026_Client_Churn_v1[Province_Client],_26_03_2026_Client_Churn_v1[Type_Forfait],"non trouvé")</f>
        <v>Illimité 50Go</v>
      </c>
      <c r="N483">
        <f>_xlfn.XLOOKUP(_26_03_2026_Log_Reseau_v15[[#This Row],[province RDC]],_26_03_2026_Client_Churn_v1[Province_Client],_26_03_2026_Client_Churn_v1[Duree_Cumulee_Panne_Min],"non trouvé")</f>
        <v>358</v>
      </c>
      <c r="O483">
        <f>_xlfn.XLOOKUP(_26_03_2026_Log_Reseau_v15[[#This Row],[province RDC]],_26_03_2026_Client_Churn_v1[Province_Client],_26_03_2026_Client_Churn_v1[Facture_Mensuelle],"non trouvé")</f>
        <v>29.24</v>
      </c>
      <c r="P483">
        <f>_xlfn.XLOOKUP(_26_03_2026_Log_Reseau_v15[[#This Row],[province RDC]],_26_03_2026_Client_Churn_v1[Province_Client],_26_03_2026_Client_Churn_v1[Plaintes_Service_Client],"non trouvé")</f>
        <v>3</v>
      </c>
    </row>
    <row r="484" spans="1:16" hidden="1" x14ac:dyDescent="0.25">
      <c r="A484" s="1">
        <v>45201</v>
      </c>
      <c r="B484" s="2">
        <v>0.24305555555555555</v>
      </c>
      <c r="C484" t="s">
        <v>1115</v>
      </c>
      <c r="D484">
        <v>73</v>
      </c>
      <c r="E484" t="s">
        <v>808</v>
      </c>
      <c r="F484" t="str">
        <f>_xlfn.XLOOKUP(_26_03_2026_Log_Reseau_v15[[#This Row],[Cell_ID]],_26_03_2026_Registre_Maintenance_v1[ID_Antenne],_26_03_2026_Registre_Maintenance_v1[zone],"pas trouvé")</f>
        <v>pas trouvé</v>
      </c>
      <c r="G484" t="str">
        <f>_xlfn.XLOOKUP(_26_03_2026_Log_Reseau_v15[[#This Row],[Cell_ID]],_26_03_2026_Registre_Maintenance_v1[ID_Antenne],_26_03_2026_Registre_Maintenance_v1[Latitude],"non trouvé")</f>
        <v>non trouvé</v>
      </c>
      <c r="H484" t="str">
        <f>_xlfn.XLOOKUP(_26_03_2026_Log_Reseau_v15[[#This Row],[Cell_ID]],_26_03_2026_Registre_Maintenance_v1[ID_Antenne],_26_03_2026_Registre_Maintenance_v1[Longitude],"pas trouvé")</f>
        <v>pas trouvé</v>
      </c>
      <c r="I484" t="str">
        <f>_xlfn.XLOOKUP(_26_03_2026_Log_Reseau_v15[[#This Row],[Cell_ID]],_26_03_2026_Registre_Maintenance_v1[ID_Antenne],_26_03_2026_Registre_Maintenance_v1[Technologie],"non trouvé")</f>
        <v>non trouvé</v>
      </c>
      <c r="J484" t="str">
        <f>_xlfn.XLOOKUP(_26_03_2026_Log_Reseau_v15[[#This Row],[Cell_ID]],_26_03_2026_Registre_Maintenance_v1[ID_Antenne],_26_03_2026_Registre_Maintenance_v1[Equipementier],"pas trouvé")</f>
        <v>pas trouvé</v>
      </c>
      <c r="K484" t="str">
        <f>_xlfn.XLOOKUP(_26_03_2026_Log_Reseau_v15[[#This Row],[province RDC]],_26_03_2026_Client_Churn_v1[Province_Client],_26_03_2026_Client_Churn_v1[ID_Client],"non trouvé")</f>
        <v>non trouvé</v>
      </c>
      <c r="L484" t="str">
        <f>_xlfn.XLOOKUP(_26_03_2026_Log_Reseau_v15[[#This Row],[province RDC]],_26_03_2026_Client_Churn_v1[Province_Client],_26_03_2026_Client_Churn_v1[Anciennete_Mois],"non trouvé")</f>
        <v>non trouvé</v>
      </c>
      <c r="M484" t="str">
        <f>_xlfn.XLOOKUP(_26_03_2026_Log_Reseau_v15[[#This Row],[province RDC]],_26_03_2026_Client_Churn_v1[Province_Client],_26_03_2026_Client_Churn_v1[Type_Forfait],"non trouvé")</f>
        <v>non trouvé</v>
      </c>
      <c r="N484" t="str">
        <f>_xlfn.XLOOKUP(_26_03_2026_Log_Reseau_v15[[#This Row],[province RDC]],_26_03_2026_Client_Churn_v1[Province_Client],_26_03_2026_Client_Churn_v1[Duree_Cumulee_Panne_Min],"non trouvé")</f>
        <v>non trouvé</v>
      </c>
      <c r="O484" t="str">
        <f>_xlfn.XLOOKUP(_26_03_2026_Log_Reseau_v15[[#This Row],[province RDC]],_26_03_2026_Client_Churn_v1[Province_Client],_26_03_2026_Client_Churn_v1[Facture_Mensuelle],"non trouvé")</f>
        <v>non trouvé</v>
      </c>
      <c r="P484" t="str">
        <f>_xlfn.XLOOKUP(_26_03_2026_Log_Reseau_v15[[#This Row],[province RDC]],_26_03_2026_Client_Churn_v1[Province_Client],_26_03_2026_Client_Churn_v1[Plaintes_Service_Client],"non trouvé")</f>
        <v>non trouvé</v>
      </c>
    </row>
    <row r="485" spans="1:16" hidden="1" x14ac:dyDescent="0.25">
      <c r="A485" s="1">
        <v>45200</v>
      </c>
      <c r="B485" s="2">
        <v>0.39444444444444443</v>
      </c>
      <c r="C485" t="s">
        <v>1115</v>
      </c>
      <c r="D485">
        <v>115</v>
      </c>
      <c r="E485" t="s">
        <v>808</v>
      </c>
      <c r="F485" t="str">
        <f>_xlfn.XLOOKUP(_26_03_2026_Log_Reseau_v15[[#This Row],[Cell_ID]],_26_03_2026_Registre_Maintenance_v1[ID_Antenne],_26_03_2026_Registre_Maintenance_v1[zone],"pas trouvé")</f>
        <v>pas trouvé</v>
      </c>
      <c r="G485" t="str">
        <f>_xlfn.XLOOKUP(_26_03_2026_Log_Reseau_v15[[#This Row],[Cell_ID]],_26_03_2026_Registre_Maintenance_v1[ID_Antenne],_26_03_2026_Registre_Maintenance_v1[Latitude],"non trouvé")</f>
        <v>non trouvé</v>
      </c>
      <c r="H485" t="str">
        <f>_xlfn.XLOOKUP(_26_03_2026_Log_Reseau_v15[[#This Row],[Cell_ID]],_26_03_2026_Registre_Maintenance_v1[ID_Antenne],_26_03_2026_Registre_Maintenance_v1[Longitude],"pas trouvé")</f>
        <v>pas trouvé</v>
      </c>
      <c r="I485" t="str">
        <f>_xlfn.XLOOKUP(_26_03_2026_Log_Reseau_v15[[#This Row],[Cell_ID]],_26_03_2026_Registre_Maintenance_v1[ID_Antenne],_26_03_2026_Registre_Maintenance_v1[Technologie],"non trouvé")</f>
        <v>non trouvé</v>
      </c>
      <c r="J485" t="str">
        <f>_xlfn.XLOOKUP(_26_03_2026_Log_Reseau_v15[[#This Row],[Cell_ID]],_26_03_2026_Registre_Maintenance_v1[ID_Antenne],_26_03_2026_Registre_Maintenance_v1[Equipementier],"pas trouvé")</f>
        <v>pas trouvé</v>
      </c>
      <c r="K485" t="str">
        <f>_xlfn.XLOOKUP(_26_03_2026_Log_Reseau_v15[[#This Row],[province RDC]],_26_03_2026_Client_Churn_v1[Province_Client],_26_03_2026_Client_Churn_v1[ID_Client],"non trouvé")</f>
        <v>non trouvé</v>
      </c>
      <c r="L485" t="str">
        <f>_xlfn.XLOOKUP(_26_03_2026_Log_Reseau_v15[[#This Row],[province RDC]],_26_03_2026_Client_Churn_v1[Province_Client],_26_03_2026_Client_Churn_v1[Anciennete_Mois],"non trouvé")</f>
        <v>non trouvé</v>
      </c>
      <c r="M485" t="str">
        <f>_xlfn.XLOOKUP(_26_03_2026_Log_Reseau_v15[[#This Row],[province RDC]],_26_03_2026_Client_Churn_v1[Province_Client],_26_03_2026_Client_Churn_v1[Type_Forfait],"non trouvé")</f>
        <v>non trouvé</v>
      </c>
      <c r="N485" t="str">
        <f>_xlfn.XLOOKUP(_26_03_2026_Log_Reseau_v15[[#This Row],[province RDC]],_26_03_2026_Client_Churn_v1[Province_Client],_26_03_2026_Client_Churn_v1[Duree_Cumulee_Panne_Min],"non trouvé")</f>
        <v>non trouvé</v>
      </c>
      <c r="O485" t="str">
        <f>_xlfn.XLOOKUP(_26_03_2026_Log_Reseau_v15[[#This Row],[province RDC]],_26_03_2026_Client_Churn_v1[Province_Client],_26_03_2026_Client_Churn_v1[Facture_Mensuelle],"non trouvé")</f>
        <v>non trouvé</v>
      </c>
      <c r="P485" t="str">
        <f>_xlfn.XLOOKUP(_26_03_2026_Log_Reseau_v15[[#This Row],[province RDC]],_26_03_2026_Client_Churn_v1[Province_Client],_26_03_2026_Client_Churn_v1[Plaintes_Service_Client],"non trouvé")</f>
        <v>non trouvé</v>
      </c>
    </row>
    <row r="486" spans="1:16" hidden="1" x14ac:dyDescent="0.25">
      <c r="A486" s="1">
        <v>45202</v>
      </c>
      <c r="B486" s="2">
        <v>0.69513888888888886</v>
      </c>
      <c r="C486" t="s">
        <v>1115</v>
      </c>
      <c r="D486">
        <v>21</v>
      </c>
      <c r="E486" t="s">
        <v>807</v>
      </c>
      <c r="F486" t="str">
        <f>_xlfn.XLOOKUP(_26_03_2026_Log_Reseau_v15[[#This Row],[Cell_ID]],_26_03_2026_Registre_Maintenance_v1[ID_Antenne],_26_03_2026_Registre_Maintenance_v1[zone],"pas trouvé")</f>
        <v>pas trouvé</v>
      </c>
      <c r="G486" t="str">
        <f>_xlfn.XLOOKUP(_26_03_2026_Log_Reseau_v15[[#This Row],[Cell_ID]],_26_03_2026_Registre_Maintenance_v1[ID_Antenne],_26_03_2026_Registre_Maintenance_v1[Latitude],"non trouvé")</f>
        <v>non trouvé</v>
      </c>
      <c r="H486" t="str">
        <f>_xlfn.XLOOKUP(_26_03_2026_Log_Reseau_v15[[#This Row],[Cell_ID]],_26_03_2026_Registre_Maintenance_v1[ID_Antenne],_26_03_2026_Registre_Maintenance_v1[Longitude],"pas trouvé")</f>
        <v>pas trouvé</v>
      </c>
      <c r="I486" t="str">
        <f>_xlfn.XLOOKUP(_26_03_2026_Log_Reseau_v15[[#This Row],[Cell_ID]],_26_03_2026_Registre_Maintenance_v1[ID_Antenne],_26_03_2026_Registre_Maintenance_v1[Technologie],"non trouvé")</f>
        <v>non trouvé</v>
      </c>
      <c r="J486" t="str">
        <f>_xlfn.XLOOKUP(_26_03_2026_Log_Reseau_v15[[#This Row],[Cell_ID]],_26_03_2026_Registre_Maintenance_v1[ID_Antenne],_26_03_2026_Registre_Maintenance_v1[Equipementier],"pas trouvé")</f>
        <v>pas trouvé</v>
      </c>
      <c r="K486" t="str">
        <f>_xlfn.XLOOKUP(_26_03_2026_Log_Reseau_v15[[#This Row],[province RDC]],_26_03_2026_Client_Churn_v1[Province_Client],_26_03_2026_Client_Churn_v1[ID_Client],"non trouvé")</f>
        <v>non trouvé</v>
      </c>
      <c r="L486" t="str">
        <f>_xlfn.XLOOKUP(_26_03_2026_Log_Reseau_v15[[#This Row],[province RDC]],_26_03_2026_Client_Churn_v1[Province_Client],_26_03_2026_Client_Churn_v1[Anciennete_Mois],"non trouvé")</f>
        <v>non trouvé</v>
      </c>
      <c r="M486" t="str">
        <f>_xlfn.XLOOKUP(_26_03_2026_Log_Reseau_v15[[#This Row],[province RDC]],_26_03_2026_Client_Churn_v1[Province_Client],_26_03_2026_Client_Churn_v1[Type_Forfait],"non trouvé")</f>
        <v>non trouvé</v>
      </c>
      <c r="N486" t="str">
        <f>_xlfn.XLOOKUP(_26_03_2026_Log_Reseau_v15[[#This Row],[province RDC]],_26_03_2026_Client_Churn_v1[Province_Client],_26_03_2026_Client_Churn_v1[Duree_Cumulee_Panne_Min],"non trouvé")</f>
        <v>non trouvé</v>
      </c>
      <c r="O486" t="str">
        <f>_xlfn.XLOOKUP(_26_03_2026_Log_Reseau_v15[[#This Row],[province RDC]],_26_03_2026_Client_Churn_v1[Province_Client],_26_03_2026_Client_Churn_v1[Facture_Mensuelle],"non trouvé")</f>
        <v>non trouvé</v>
      </c>
      <c r="P486" t="str">
        <f>_xlfn.XLOOKUP(_26_03_2026_Log_Reseau_v15[[#This Row],[province RDC]],_26_03_2026_Client_Churn_v1[Province_Client],_26_03_2026_Client_Churn_v1[Plaintes_Service_Client],"non trouvé")</f>
        <v>non trouvé</v>
      </c>
    </row>
    <row r="487" spans="1:16" hidden="1" x14ac:dyDescent="0.25">
      <c r="A487" s="1">
        <v>45227</v>
      </c>
      <c r="B487" s="2">
        <v>0.76875000000000004</v>
      </c>
      <c r="C487" t="s">
        <v>1116</v>
      </c>
      <c r="D487">
        <v>61</v>
      </c>
      <c r="E487" t="s">
        <v>808</v>
      </c>
      <c r="F487" t="str">
        <f>_xlfn.XLOOKUP(_26_03_2026_Log_Reseau_v15[[#This Row],[Cell_ID]],_26_03_2026_Registre_Maintenance_v1[ID_Antenne],_26_03_2026_Registre_Maintenance_v1[zone],"pas trouvé")</f>
        <v>pas trouvé</v>
      </c>
      <c r="G487" t="str">
        <f>_xlfn.XLOOKUP(_26_03_2026_Log_Reseau_v15[[#This Row],[Cell_ID]],_26_03_2026_Registre_Maintenance_v1[ID_Antenne],_26_03_2026_Registre_Maintenance_v1[Latitude],"non trouvé")</f>
        <v>non trouvé</v>
      </c>
      <c r="H487" t="str">
        <f>_xlfn.XLOOKUP(_26_03_2026_Log_Reseau_v15[[#This Row],[Cell_ID]],_26_03_2026_Registre_Maintenance_v1[ID_Antenne],_26_03_2026_Registre_Maintenance_v1[Longitude],"pas trouvé")</f>
        <v>pas trouvé</v>
      </c>
      <c r="I487" t="str">
        <f>_xlfn.XLOOKUP(_26_03_2026_Log_Reseau_v15[[#This Row],[Cell_ID]],_26_03_2026_Registre_Maintenance_v1[ID_Antenne],_26_03_2026_Registre_Maintenance_v1[Technologie],"non trouvé")</f>
        <v>non trouvé</v>
      </c>
      <c r="J487" t="str">
        <f>_xlfn.XLOOKUP(_26_03_2026_Log_Reseau_v15[[#This Row],[Cell_ID]],_26_03_2026_Registre_Maintenance_v1[ID_Antenne],_26_03_2026_Registre_Maintenance_v1[Equipementier],"pas trouvé")</f>
        <v>pas trouvé</v>
      </c>
      <c r="K487" t="str">
        <f>_xlfn.XLOOKUP(_26_03_2026_Log_Reseau_v15[[#This Row],[province RDC]],_26_03_2026_Client_Churn_v1[Province_Client],_26_03_2026_Client_Churn_v1[ID_Client],"non trouvé")</f>
        <v>non trouvé</v>
      </c>
      <c r="L487" t="str">
        <f>_xlfn.XLOOKUP(_26_03_2026_Log_Reseau_v15[[#This Row],[province RDC]],_26_03_2026_Client_Churn_v1[Province_Client],_26_03_2026_Client_Churn_v1[Anciennete_Mois],"non trouvé")</f>
        <v>non trouvé</v>
      </c>
      <c r="M487" t="str">
        <f>_xlfn.XLOOKUP(_26_03_2026_Log_Reseau_v15[[#This Row],[province RDC]],_26_03_2026_Client_Churn_v1[Province_Client],_26_03_2026_Client_Churn_v1[Type_Forfait],"non trouvé")</f>
        <v>non trouvé</v>
      </c>
      <c r="N487" t="str">
        <f>_xlfn.XLOOKUP(_26_03_2026_Log_Reseau_v15[[#This Row],[province RDC]],_26_03_2026_Client_Churn_v1[Province_Client],_26_03_2026_Client_Churn_v1[Duree_Cumulee_Panne_Min],"non trouvé")</f>
        <v>non trouvé</v>
      </c>
      <c r="O487" t="str">
        <f>_xlfn.XLOOKUP(_26_03_2026_Log_Reseau_v15[[#This Row],[province RDC]],_26_03_2026_Client_Churn_v1[Province_Client],_26_03_2026_Client_Churn_v1[Facture_Mensuelle],"non trouvé")</f>
        <v>non trouvé</v>
      </c>
      <c r="P487" t="str">
        <f>_xlfn.XLOOKUP(_26_03_2026_Log_Reseau_v15[[#This Row],[province RDC]],_26_03_2026_Client_Churn_v1[Province_Client],_26_03_2026_Client_Churn_v1[Plaintes_Service_Client],"non trouvé")</f>
        <v>non trouvé</v>
      </c>
    </row>
    <row r="488" spans="1:16" hidden="1" x14ac:dyDescent="0.25">
      <c r="A488" s="1">
        <v>45230</v>
      </c>
      <c r="B488" s="2">
        <v>0.1875</v>
      </c>
      <c r="C488" t="s">
        <v>1117</v>
      </c>
      <c r="D488">
        <v>9</v>
      </c>
      <c r="E488" t="s">
        <v>812</v>
      </c>
      <c r="F488" t="str">
        <f>_xlfn.XLOOKUP(_26_03_2026_Log_Reseau_v15[[#This Row],[Cell_ID]],_26_03_2026_Registre_Maintenance_v1[ID_Antenne],_26_03_2026_Registre_Maintenance_v1[zone],"pas trouvé")</f>
        <v>pas trouvé</v>
      </c>
      <c r="G488" t="str">
        <f>_xlfn.XLOOKUP(_26_03_2026_Log_Reseau_v15[[#This Row],[Cell_ID]],_26_03_2026_Registre_Maintenance_v1[ID_Antenne],_26_03_2026_Registre_Maintenance_v1[Latitude],"non trouvé")</f>
        <v>non trouvé</v>
      </c>
      <c r="H488" t="str">
        <f>_xlfn.XLOOKUP(_26_03_2026_Log_Reseau_v15[[#This Row],[Cell_ID]],_26_03_2026_Registre_Maintenance_v1[ID_Antenne],_26_03_2026_Registre_Maintenance_v1[Longitude],"pas trouvé")</f>
        <v>pas trouvé</v>
      </c>
      <c r="I488" t="str">
        <f>_xlfn.XLOOKUP(_26_03_2026_Log_Reseau_v15[[#This Row],[Cell_ID]],_26_03_2026_Registre_Maintenance_v1[ID_Antenne],_26_03_2026_Registre_Maintenance_v1[Technologie],"non trouvé")</f>
        <v>non trouvé</v>
      </c>
      <c r="J488" t="str">
        <f>_xlfn.XLOOKUP(_26_03_2026_Log_Reseau_v15[[#This Row],[Cell_ID]],_26_03_2026_Registre_Maintenance_v1[ID_Antenne],_26_03_2026_Registre_Maintenance_v1[Equipementier],"pas trouvé")</f>
        <v>pas trouvé</v>
      </c>
      <c r="K488" t="str">
        <f>_xlfn.XLOOKUP(_26_03_2026_Log_Reseau_v15[[#This Row],[province RDC]],_26_03_2026_Client_Churn_v1[Province_Client],_26_03_2026_Client_Churn_v1[ID_Client],"non trouvé")</f>
        <v>non trouvé</v>
      </c>
      <c r="L488" t="str">
        <f>_xlfn.XLOOKUP(_26_03_2026_Log_Reseau_v15[[#This Row],[province RDC]],_26_03_2026_Client_Churn_v1[Province_Client],_26_03_2026_Client_Churn_v1[Anciennete_Mois],"non trouvé")</f>
        <v>non trouvé</v>
      </c>
      <c r="M488" t="str">
        <f>_xlfn.XLOOKUP(_26_03_2026_Log_Reseau_v15[[#This Row],[province RDC]],_26_03_2026_Client_Churn_v1[Province_Client],_26_03_2026_Client_Churn_v1[Type_Forfait],"non trouvé")</f>
        <v>non trouvé</v>
      </c>
      <c r="N488" t="str">
        <f>_xlfn.XLOOKUP(_26_03_2026_Log_Reseau_v15[[#This Row],[province RDC]],_26_03_2026_Client_Churn_v1[Province_Client],_26_03_2026_Client_Churn_v1[Duree_Cumulee_Panne_Min],"non trouvé")</f>
        <v>non trouvé</v>
      </c>
      <c r="O488" t="str">
        <f>_xlfn.XLOOKUP(_26_03_2026_Log_Reseau_v15[[#This Row],[province RDC]],_26_03_2026_Client_Churn_v1[Province_Client],_26_03_2026_Client_Churn_v1[Facture_Mensuelle],"non trouvé")</f>
        <v>non trouvé</v>
      </c>
      <c r="P488" t="str">
        <f>_xlfn.XLOOKUP(_26_03_2026_Log_Reseau_v15[[#This Row],[province RDC]],_26_03_2026_Client_Churn_v1[Province_Client],_26_03_2026_Client_Churn_v1[Plaintes_Service_Client],"non trouvé")</f>
        <v>non trouvé</v>
      </c>
    </row>
    <row r="489" spans="1:16" hidden="1" x14ac:dyDescent="0.25">
      <c r="A489" s="1">
        <v>45213</v>
      </c>
      <c r="B489" s="2">
        <v>0.82222222222222219</v>
      </c>
      <c r="C489" t="s">
        <v>1118</v>
      </c>
      <c r="D489">
        <v>100</v>
      </c>
      <c r="E489" t="s">
        <v>808</v>
      </c>
      <c r="F489" t="str">
        <f>_xlfn.XLOOKUP(_26_03_2026_Log_Reseau_v15[[#This Row],[Cell_ID]],_26_03_2026_Registre_Maintenance_v1[ID_Antenne],_26_03_2026_Registre_Maintenance_v1[zone],"pas trouvé")</f>
        <v>pas trouvé</v>
      </c>
      <c r="G489" t="str">
        <f>_xlfn.XLOOKUP(_26_03_2026_Log_Reseau_v15[[#This Row],[Cell_ID]],_26_03_2026_Registre_Maintenance_v1[ID_Antenne],_26_03_2026_Registre_Maintenance_v1[Latitude],"non trouvé")</f>
        <v>non trouvé</v>
      </c>
      <c r="H489" t="str">
        <f>_xlfn.XLOOKUP(_26_03_2026_Log_Reseau_v15[[#This Row],[Cell_ID]],_26_03_2026_Registre_Maintenance_v1[ID_Antenne],_26_03_2026_Registre_Maintenance_v1[Longitude],"pas trouvé")</f>
        <v>pas trouvé</v>
      </c>
      <c r="I489" t="str">
        <f>_xlfn.XLOOKUP(_26_03_2026_Log_Reseau_v15[[#This Row],[Cell_ID]],_26_03_2026_Registre_Maintenance_v1[ID_Antenne],_26_03_2026_Registre_Maintenance_v1[Technologie],"non trouvé")</f>
        <v>non trouvé</v>
      </c>
      <c r="J489" t="str">
        <f>_xlfn.XLOOKUP(_26_03_2026_Log_Reseau_v15[[#This Row],[Cell_ID]],_26_03_2026_Registre_Maintenance_v1[ID_Antenne],_26_03_2026_Registre_Maintenance_v1[Equipementier],"pas trouvé")</f>
        <v>pas trouvé</v>
      </c>
      <c r="K489" t="str">
        <f>_xlfn.XLOOKUP(_26_03_2026_Log_Reseau_v15[[#This Row],[province RDC]],_26_03_2026_Client_Churn_v1[Province_Client],_26_03_2026_Client_Churn_v1[ID_Client],"non trouvé")</f>
        <v>non trouvé</v>
      </c>
      <c r="L489" t="str">
        <f>_xlfn.XLOOKUP(_26_03_2026_Log_Reseau_v15[[#This Row],[province RDC]],_26_03_2026_Client_Churn_v1[Province_Client],_26_03_2026_Client_Churn_v1[Anciennete_Mois],"non trouvé")</f>
        <v>non trouvé</v>
      </c>
      <c r="M489" t="str">
        <f>_xlfn.XLOOKUP(_26_03_2026_Log_Reseau_v15[[#This Row],[province RDC]],_26_03_2026_Client_Churn_v1[Province_Client],_26_03_2026_Client_Churn_v1[Type_Forfait],"non trouvé")</f>
        <v>non trouvé</v>
      </c>
      <c r="N489" t="str">
        <f>_xlfn.XLOOKUP(_26_03_2026_Log_Reseau_v15[[#This Row],[province RDC]],_26_03_2026_Client_Churn_v1[Province_Client],_26_03_2026_Client_Churn_v1[Duree_Cumulee_Panne_Min],"non trouvé")</f>
        <v>non trouvé</v>
      </c>
      <c r="O489" t="str">
        <f>_xlfn.XLOOKUP(_26_03_2026_Log_Reseau_v15[[#This Row],[province RDC]],_26_03_2026_Client_Churn_v1[Province_Client],_26_03_2026_Client_Churn_v1[Facture_Mensuelle],"non trouvé")</f>
        <v>non trouvé</v>
      </c>
      <c r="P489" t="str">
        <f>_xlfn.XLOOKUP(_26_03_2026_Log_Reseau_v15[[#This Row],[province RDC]],_26_03_2026_Client_Churn_v1[Province_Client],_26_03_2026_Client_Churn_v1[Plaintes_Service_Client],"non trouvé")</f>
        <v>non trouvé</v>
      </c>
    </row>
    <row r="490" spans="1:16" hidden="1" x14ac:dyDescent="0.25">
      <c r="A490" s="1">
        <v>45209</v>
      </c>
      <c r="B490" s="2">
        <v>9.4444444444444442E-2</v>
      </c>
      <c r="C490" t="s">
        <v>1119</v>
      </c>
      <c r="D490">
        <v>96</v>
      </c>
      <c r="E490" t="s">
        <v>807</v>
      </c>
      <c r="F490" t="str">
        <f>_xlfn.XLOOKUP(_26_03_2026_Log_Reseau_v15[[#This Row],[Cell_ID]],_26_03_2026_Registre_Maintenance_v1[ID_Antenne],_26_03_2026_Registre_Maintenance_v1[zone],"pas trouvé")</f>
        <v>pas trouvé</v>
      </c>
      <c r="G490" t="str">
        <f>_xlfn.XLOOKUP(_26_03_2026_Log_Reseau_v15[[#This Row],[Cell_ID]],_26_03_2026_Registre_Maintenance_v1[ID_Antenne],_26_03_2026_Registre_Maintenance_v1[Latitude],"non trouvé")</f>
        <v>non trouvé</v>
      </c>
      <c r="H490" t="str">
        <f>_xlfn.XLOOKUP(_26_03_2026_Log_Reseau_v15[[#This Row],[Cell_ID]],_26_03_2026_Registre_Maintenance_v1[ID_Antenne],_26_03_2026_Registre_Maintenance_v1[Longitude],"pas trouvé")</f>
        <v>pas trouvé</v>
      </c>
      <c r="I490" t="str">
        <f>_xlfn.XLOOKUP(_26_03_2026_Log_Reseau_v15[[#This Row],[Cell_ID]],_26_03_2026_Registre_Maintenance_v1[ID_Antenne],_26_03_2026_Registre_Maintenance_v1[Technologie],"non trouvé")</f>
        <v>non trouvé</v>
      </c>
      <c r="J490" t="str">
        <f>_xlfn.XLOOKUP(_26_03_2026_Log_Reseau_v15[[#This Row],[Cell_ID]],_26_03_2026_Registre_Maintenance_v1[ID_Antenne],_26_03_2026_Registre_Maintenance_v1[Equipementier],"pas trouvé")</f>
        <v>pas trouvé</v>
      </c>
      <c r="K490" t="str">
        <f>_xlfn.XLOOKUP(_26_03_2026_Log_Reseau_v15[[#This Row],[province RDC]],_26_03_2026_Client_Churn_v1[Province_Client],_26_03_2026_Client_Churn_v1[ID_Client],"non trouvé")</f>
        <v>non trouvé</v>
      </c>
      <c r="L490" t="str">
        <f>_xlfn.XLOOKUP(_26_03_2026_Log_Reseau_v15[[#This Row],[province RDC]],_26_03_2026_Client_Churn_v1[Province_Client],_26_03_2026_Client_Churn_v1[Anciennete_Mois],"non trouvé")</f>
        <v>non trouvé</v>
      </c>
      <c r="M490" t="str">
        <f>_xlfn.XLOOKUP(_26_03_2026_Log_Reseau_v15[[#This Row],[province RDC]],_26_03_2026_Client_Churn_v1[Province_Client],_26_03_2026_Client_Churn_v1[Type_Forfait],"non trouvé")</f>
        <v>non trouvé</v>
      </c>
      <c r="N490" t="str">
        <f>_xlfn.XLOOKUP(_26_03_2026_Log_Reseau_v15[[#This Row],[province RDC]],_26_03_2026_Client_Churn_v1[Province_Client],_26_03_2026_Client_Churn_v1[Duree_Cumulee_Panne_Min],"non trouvé")</f>
        <v>non trouvé</v>
      </c>
      <c r="O490" t="str">
        <f>_xlfn.XLOOKUP(_26_03_2026_Log_Reseau_v15[[#This Row],[province RDC]],_26_03_2026_Client_Churn_v1[Province_Client],_26_03_2026_Client_Churn_v1[Facture_Mensuelle],"non trouvé")</f>
        <v>non trouvé</v>
      </c>
      <c r="P490" t="str">
        <f>_xlfn.XLOOKUP(_26_03_2026_Log_Reseau_v15[[#This Row],[province RDC]],_26_03_2026_Client_Churn_v1[Province_Client],_26_03_2026_Client_Churn_v1[Plaintes_Service_Client],"non trouvé")</f>
        <v>non trouvé</v>
      </c>
    </row>
    <row r="491" spans="1:16" x14ac:dyDescent="0.25">
      <c r="A491" s="1">
        <v>45219</v>
      </c>
      <c r="B491" s="2">
        <v>0.68333333333333335</v>
      </c>
      <c r="C491" t="s">
        <v>1120</v>
      </c>
      <c r="D491">
        <v>99</v>
      </c>
      <c r="E491" t="s">
        <v>808</v>
      </c>
      <c r="F491" t="str">
        <f>_xlfn.XLOOKUP(_26_03_2026_Log_Reseau_v15[[#This Row],[Cell_ID]],_26_03_2026_Registre_Maintenance_v1[ID_Antenne],_26_03_2026_Registre_Maintenance_v1[zone],"pas trouvé")</f>
        <v>Kongo-Central</v>
      </c>
      <c r="G491">
        <f>_xlfn.XLOOKUP(_26_03_2026_Log_Reseau_v15[[#This Row],[Cell_ID]],_26_03_2026_Registre_Maintenance_v1[ID_Antenne],_26_03_2026_Registre_Maintenance_v1[Latitude],"non trouvé")</f>
        <v>-9.5840350000000001</v>
      </c>
      <c r="H491">
        <f>_xlfn.XLOOKUP(_26_03_2026_Log_Reseau_v15[[#This Row],[Cell_ID]],_26_03_2026_Registre_Maintenance_v1[ID_Antenne],_26_03_2026_Registre_Maintenance_v1[Longitude],"pas trouvé")</f>
        <v>15.966024000000001</v>
      </c>
      <c r="I491" t="str">
        <f>_xlfn.XLOOKUP(_26_03_2026_Log_Reseau_v15[[#This Row],[Cell_ID]],_26_03_2026_Registre_Maintenance_v1[ID_Antenne],_26_03_2026_Registre_Maintenance_v1[Technologie],"non trouvé")</f>
        <v>5G</v>
      </c>
      <c r="J491" t="str">
        <f>_xlfn.XLOOKUP(_26_03_2026_Log_Reseau_v15[[#This Row],[Cell_ID]],_26_03_2026_Registre_Maintenance_v1[ID_Antenne],_26_03_2026_Registre_Maintenance_v1[Equipementier],"pas trouvé")</f>
        <v>Nokia</v>
      </c>
      <c r="K491" t="str">
        <f>_xlfn.XLOOKUP(_26_03_2026_Log_Reseau_v15[[#This Row],[province RDC]],_26_03_2026_Client_Churn_v1[Province_Client],_26_03_2026_Client_Churn_v1[ID_Client],"non trouvé")</f>
        <v>CLI-01233</v>
      </c>
      <c r="L491">
        <f>_xlfn.XLOOKUP(_26_03_2026_Log_Reseau_v15[[#This Row],[province RDC]],_26_03_2026_Client_Churn_v1[Province_Client],_26_03_2026_Client_Churn_v1[Anciennete_Mois],"non trouvé")</f>
        <v>101</v>
      </c>
      <c r="M491" t="str">
        <f>_xlfn.XLOOKUP(_26_03_2026_Log_Reseau_v15[[#This Row],[province RDC]],_26_03_2026_Client_Churn_v1[Province_Client],_26_03_2026_Client_Churn_v1[Type_Forfait],"non trouvé")</f>
        <v>Pro Monde</v>
      </c>
      <c r="N491">
        <f>_xlfn.XLOOKUP(_26_03_2026_Log_Reseau_v15[[#This Row],[province RDC]],_26_03_2026_Client_Churn_v1[Province_Client],_26_03_2026_Client_Churn_v1[Duree_Cumulee_Panne_Min],"non trouvé")</f>
        <v>333</v>
      </c>
      <c r="O491">
        <f>_xlfn.XLOOKUP(_26_03_2026_Log_Reseau_v15[[#This Row],[province RDC]],_26_03_2026_Client_Churn_v1[Province_Client],_26_03_2026_Client_Churn_v1[Facture_Mensuelle],"non trouvé")</f>
        <v>74.319999999999993</v>
      </c>
      <c r="P491">
        <f>_xlfn.XLOOKUP(_26_03_2026_Log_Reseau_v15[[#This Row],[province RDC]],_26_03_2026_Client_Churn_v1[Province_Client],_26_03_2026_Client_Churn_v1[Plaintes_Service_Client],"non trouvé")</f>
        <v>1</v>
      </c>
    </row>
    <row r="492" spans="1:16" x14ac:dyDescent="0.25">
      <c r="A492" s="1">
        <v>45210</v>
      </c>
      <c r="B492" s="2">
        <v>0.87986111111111109</v>
      </c>
      <c r="C492" t="s">
        <v>1121</v>
      </c>
      <c r="D492">
        <v>53</v>
      </c>
      <c r="E492" t="s">
        <v>807</v>
      </c>
      <c r="F492" t="str">
        <f>_xlfn.XLOOKUP(_26_03_2026_Log_Reseau_v15[[#This Row],[Cell_ID]],_26_03_2026_Registre_Maintenance_v1[ID_Antenne],_26_03_2026_Registre_Maintenance_v1[zone],"pas trouvé")</f>
        <v>Lomami</v>
      </c>
      <c r="G492">
        <f>_xlfn.XLOOKUP(_26_03_2026_Log_Reseau_v15[[#This Row],[Cell_ID]],_26_03_2026_Registre_Maintenance_v1[ID_Antenne],_26_03_2026_Registre_Maintenance_v1[Latitude],"non trouvé")</f>
        <v>-7.8770429999999996</v>
      </c>
      <c r="H492">
        <f>_xlfn.XLOOKUP(_26_03_2026_Log_Reseau_v15[[#This Row],[Cell_ID]],_26_03_2026_Registre_Maintenance_v1[ID_Antenne],_26_03_2026_Registre_Maintenance_v1[Longitude],"pas trouvé")</f>
        <v>16.357762999999998</v>
      </c>
      <c r="I492" t="str">
        <f>_xlfn.XLOOKUP(_26_03_2026_Log_Reseau_v15[[#This Row],[Cell_ID]],_26_03_2026_Registre_Maintenance_v1[ID_Antenne],_26_03_2026_Registre_Maintenance_v1[Technologie],"non trouvé")</f>
        <v>4G</v>
      </c>
      <c r="J492" t="str">
        <f>_xlfn.XLOOKUP(_26_03_2026_Log_Reseau_v15[[#This Row],[Cell_ID]],_26_03_2026_Registre_Maintenance_v1[ID_Antenne],_26_03_2026_Registre_Maintenance_v1[Equipementier],"pas trouvé")</f>
        <v>Ericsson</v>
      </c>
      <c r="K492" t="str">
        <f>_xlfn.XLOOKUP(_26_03_2026_Log_Reseau_v15[[#This Row],[province RDC]],_26_03_2026_Client_Churn_v1[Province_Client],_26_03_2026_Client_Churn_v1[ID_Client],"non trouvé")</f>
        <v>CLI-00131</v>
      </c>
      <c r="L492">
        <f>_xlfn.XLOOKUP(_26_03_2026_Log_Reseau_v15[[#This Row],[province RDC]],_26_03_2026_Client_Churn_v1[Province_Client],_26_03_2026_Client_Churn_v1[Anciennete_Mois],"non trouvé")</f>
        <v>101</v>
      </c>
      <c r="M492" t="str">
        <f>_xlfn.XLOOKUP(_26_03_2026_Log_Reseau_v15[[#This Row],[province RDC]],_26_03_2026_Client_Churn_v1[Province_Client],_26_03_2026_Client_Churn_v1[Type_Forfait],"non trouvé")</f>
        <v>Pro Monde</v>
      </c>
      <c r="N492">
        <f>_xlfn.XLOOKUP(_26_03_2026_Log_Reseau_v15[[#This Row],[province RDC]],_26_03_2026_Client_Churn_v1[Province_Client],_26_03_2026_Client_Churn_v1[Duree_Cumulee_Panne_Min],"non trouvé")</f>
        <v>176</v>
      </c>
      <c r="O492">
        <f>_xlfn.XLOOKUP(_26_03_2026_Log_Reseau_v15[[#This Row],[province RDC]],_26_03_2026_Client_Churn_v1[Province_Client],_26_03_2026_Client_Churn_v1[Facture_Mensuelle],"non trouvé")</f>
        <v>86</v>
      </c>
      <c r="P492">
        <f>_xlfn.XLOOKUP(_26_03_2026_Log_Reseau_v15[[#This Row],[province RDC]],_26_03_2026_Client_Churn_v1[Province_Client],_26_03_2026_Client_Churn_v1[Plaintes_Service_Client],"non trouvé")</f>
        <v>3</v>
      </c>
    </row>
    <row r="493" spans="1:16" hidden="1" x14ac:dyDescent="0.25">
      <c r="A493" s="1">
        <v>45218</v>
      </c>
      <c r="B493" s="2">
        <v>5.6944444444444443E-2</v>
      </c>
      <c r="C493" t="s">
        <v>1122</v>
      </c>
      <c r="D493">
        <v>46</v>
      </c>
      <c r="E493" t="s">
        <v>812</v>
      </c>
      <c r="F493" t="str">
        <f>_xlfn.XLOOKUP(_26_03_2026_Log_Reseau_v15[[#This Row],[Cell_ID]],_26_03_2026_Registre_Maintenance_v1[ID_Antenne],_26_03_2026_Registre_Maintenance_v1[zone],"pas trouvé")</f>
        <v>pas trouvé</v>
      </c>
      <c r="G493" t="str">
        <f>_xlfn.XLOOKUP(_26_03_2026_Log_Reseau_v15[[#This Row],[Cell_ID]],_26_03_2026_Registre_Maintenance_v1[ID_Antenne],_26_03_2026_Registre_Maintenance_v1[Latitude],"non trouvé")</f>
        <v>non trouvé</v>
      </c>
      <c r="H493" t="str">
        <f>_xlfn.XLOOKUP(_26_03_2026_Log_Reseau_v15[[#This Row],[Cell_ID]],_26_03_2026_Registre_Maintenance_v1[ID_Antenne],_26_03_2026_Registre_Maintenance_v1[Longitude],"pas trouvé")</f>
        <v>pas trouvé</v>
      </c>
      <c r="I493" t="str">
        <f>_xlfn.XLOOKUP(_26_03_2026_Log_Reseau_v15[[#This Row],[Cell_ID]],_26_03_2026_Registre_Maintenance_v1[ID_Antenne],_26_03_2026_Registre_Maintenance_v1[Technologie],"non trouvé")</f>
        <v>non trouvé</v>
      </c>
      <c r="J493" t="str">
        <f>_xlfn.XLOOKUP(_26_03_2026_Log_Reseau_v15[[#This Row],[Cell_ID]],_26_03_2026_Registre_Maintenance_v1[ID_Antenne],_26_03_2026_Registre_Maintenance_v1[Equipementier],"pas trouvé")</f>
        <v>pas trouvé</v>
      </c>
      <c r="K493" t="str">
        <f>_xlfn.XLOOKUP(_26_03_2026_Log_Reseau_v15[[#This Row],[province RDC]],_26_03_2026_Client_Churn_v1[Province_Client],_26_03_2026_Client_Churn_v1[ID_Client],"non trouvé")</f>
        <v>non trouvé</v>
      </c>
      <c r="L493" t="str">
        <f>_xlfn.XLOOKUP(_26_03_2026_Log_Reseau_v15[[#This Row],[province RDC]],_26_03_2026_Client_Churn_v1[Province_Client],_26_03_2026_Client_Churn_v1[Anciennete_Mois],"non trouvé")</f>
        <v>non trouvé</v>
      </c>
      <c r="M493" t="str">
        <f>_xlfn.XLOOKUP(_26_03_2026_Log_Reseau_v15[[#This Row],[province RDC]],_26_03_2026_Client_Churn_v1[Province_Client],_26_03_2026_Client_Churn_v1[Type_Forfait],"non trouvé")</f>
        <v>non trouvé</v>
      </c>
      <c r="N493" t="str">
        <f>_xlfn.XLOOKUP(_26_03_2026_Log_Reseau_v15[[#This Row],[province RDC]],_26_03_2026_Client_Churn_v1[Province_Client],_26_03_2026_Client_Churn_v1[Duree_Cumulee_Panne_Min],"non trouvé")</f>
        <v>non trouvé</v>
      </c>
      <c r="O493" t="str">
        <f>_xlfn.XLOOKUP(_26_03_2026_Log_Reseau_v15[[#This Row],[province RDC]],_26_03_2026_Client_Churn_v1[Province_Client],_26_03_2026_Client_Churn_v1[Facture_Mensuelle],"non trouvé")</f>
        <v>non trouvé</v>
      </c>
      <c r="P493" t="str">
        <f>_xlfn.XLOOKUP(_26_03_2026_Log_Reseau_v15[[#This Row],[province RDC]],_26_03_2026_Client_Churn_v1[Province_Client],_26_03_2026_Client_Churn_v1[Plaintes_Service_Client],"non trouvé")</f>
        <v>non trouvé</v>
      </c>
    </row>
    <row r="494" spans="1:16" hidden="1" x14ac:dyDescent="0.25">
      <c r="A494" s="1">
        <v>45219</v>
      </c>
      <c r="B494" s="2">
        <v>4.1666666666666664E-2</v>
      </c>
      <c r="C494" t="s">
        <v>1122</v>
      </c>
      <c r="D494">
        <v>100</v>
      </c>
      <c r="E494" t="s">
        <v>812</v>
      </c>
      <c r="F494" t="str">
        <f>_xlfn.XLOOKUP(_26_03_2026_Log_Reseau_v15[[#This Row],[Cell_ID]],_26_03_2026_Registre_Maintenance_v1[ID_Antenne],_26_03_2026_Registre_Maintenance_v1[zone],"pas trouvé")</f>
        <v>pas trouvé</v>
      </c>
      <c r="G494" t="str">
        <f>_xlfn.XLOOKUP(_26_03_2026_Log_Reseau_v15[[#This Row],[Cell_ID]],_26_03_2026_Registre_Maintenance_v1[ID_Antenne],_26_03_2026_Registre_Maintenance_v1[Latitude],"non trouvé")</f>
        <v>non trouvé</v>
      </c>
      <c r="H494" t="str">
        <f>_xlfn.XLOOKUP(_26_03_2026_Log_Reseau_v15[[#This Row],[Cell_ID]],_26_03_2026_Registre_Maintenance_v1[ID_Antenne],_26_03_2026_Registre_Maintenance_v1[Longitude],"pas trouvé")</f>
        <v>pas trouvé</v>
      </c>
      <c r="I494" t="str">
        <f>_xlfn.XLOOKUP(_26_03_2026_Log_Reseau_v15[[#This Row],[Cell_ID]],_26_03_2026_Registre_Maintenance_v1[ID_Antenne],_26_03_2026_Registre_Maintenance_v1[Technologie],"non trouvé")</f>
        <v>non trouvé</v>
      </c>
      <c r="J494" t="str">
        <f>_xlfn.XLOOKUP(_26_03_2026_Log_Reseau_v15[[#This Row],[Cell_ID]],_26_03_2026_Registre_Maintenance_v1[ID_Antenne],_26_03_2026_Registre_Maintenance_v1[Equipementier],"pas trouvé")</f>
        <v>pas trouvé</v>
      </c>
      <c r="K494" t="str">
        <f>_xlfn.XLOOKUP(_26_03_2026_Log_Reseau_v15[[#This Row],[province RDC]],_26_03_2026_Client_Churn_v1[Province_Client],_26_03_2026_Client_Churn_v1[ID_Client],"non trouvé")</f>
        <v>non trouvé</v>
      </c>
      <c r="L494" t="str">
        <f>_xlfn.XLOOKUP(_26_03_2026_Log_Reseau_v15[[#This Row],[province RDC]],_26_03_2026_Client_Churn_v1[Province_Client],_26_03_2026_Client_Churn_v1[Anciennete_Mois],"non trouvé")</f>
        <v>non trouvé</v>
      </c>
      <c r="M494" t="str">
        <f>_xlfn.XLOOKUP(_26_03_2026_Log_Reseau_v15[[#This Row],[province RDC]],_26_03_2026_Client_Churn_v1[Province_Client],_26_03_2026_Client_Churn_v1[Type_Forfait],"non trouvé")</f>
        <v>non trouvé</v>
      </c>
      <c r="N494" t="str">
        <f>_xlfn.XLOOKUP(_26_03_2026_Log_Reseau_v15[[#This Row],[province RDC]],_26_03_2026_Client_Churn_v1[Province_Client],_26_03_2026_Client_Churn_v1[Duree_Cumulee_Panne_Min],"non trouvé")</f>
        <v>non trouvé</v>
      </c>
      <c r="O494" t="str">
        <f>_xlfn.XLOOKUP(_26_03_2026_Log_Reseau_v15[[#This Row],[province RDC]],_26_03_2026_Client_Churn_v1[Province_Client],_26_03_2026_Client_Churn_v1[Facture_Mensuelle],"non trouvé")</f>
        <v>non trouvé</v>
      </c>
      <c r="P494" t="str">
        <f>_xlfn.XLOOKUP(_26_03_2026_Log_Reseau_v15[[#This Row],[province RDC]],_26_03_2026_Client_Churn_v1[Province_Client],_26_03_2026_Client_Churn_v1[Plaintes_Service_Client],"non trouvé")</f>
        <v>non trouvé</v>
      </c>
    </row>
    <row r="495" spans="1:16" hidden="1" x14ac:dyDescent="0.25">
      <c r="A495" s="1">
        <v>45216</v>
      </c>
      <c r="B495" s="2">
        <v>0.39305555555555555</v>
      </c>
      <c r="C495" t="s">
        <v>1123</v>
      </c>
      <c r="D495">
        <v>34</v>
      </c>
      <c r="E495" t="s">
        <v>812</v>
      </c>
      <c r="F495" t="str">
        <f>_xlfn.XLOOKUP(_26_03_2026_Log_Reseau_v15[[#This Row],[Cell_ID]],_26_03_2026_Registre_Maintenance_v1[ID_Antenne],_26_03_2026_Registre_Maintenance_v1[zone],"pas trouvé")</f>
        <v>pas trouvé</v>
      </c>
      <c r="G495" t="str">
        <f>_xlfn.XLOOKUP(_26_03_2026_Log_Reseau_v15[[#This Row],[Cell_ID]],_26_03_2026_Registre_Maintenance_v1[ID_Antenne],_26_03_2026_Registre_Maintenance_v1[Latitude],"non trouvé")</f>
        <v>non trouvé</v>
      </c>
      <c r="H495" t="str">
        <f>_xlfn.XLOOKUP(_26_03_2026_Log_Reseau_v15[[#This Row],[Cell_ID]],_26_03_2026_Registre_Maintenance_v1[ID_Antenne],_26_03_2026_Registre_Maintenance_v1[Longitude],"pas trouvé")</f>
        <v>pas trouvé</v>
      </c>
      <c r="I495" t="str">
        <f>_xlfn.XLOOKUP(_26_03_2026_Log_Reseau_v15[[#This Row],[Cell_ID]],_26_03_2026_Registre_Maintenance_v1[ID_Antenne],_26_03_2026_Registre_Maintenance_v1[Technologie],"non trouvé")</f>
        <v>non trouvé</v>
      </c>
      <c r="J495" t="str">
        <f>_xlfn.XLOOKUP(_26_03_2026_Log_Reseau_v15[[#This Row],[Cell_ID]],_26_03_2026_Registre_Maintenance_v1[ID_Antenne],_26_03_2026_Registre_Maintenance_v1[Equipementier],"pas trouvé")</f>
        <v>pas trouvé</v>
      </c>
      <c r="K495" t="str">
        <f>_xlfn.XLOOKUP(_26_03_2026_Log_Reseau_v15[[#This Row],[province RDC]],_26_03_2026_Client_Churn_v1[Province_Client],_26_03_2026_Client_Churn_v1[ID_Client],"non trouvé")</f>
        <v>non trouvé</v>
      </c>
      <c r="L495" t="str">
        <f>_xlfn.XLOOKUP(_26_03_2026_Log_Reseau_v15[[#This Row],[province RDC]],_26_03_2026_Client_Churn_v1[Province_Client],_26_03_2026_Client_Churn_v1[Anciennete_Mois],"non trouvé")</f>
        <v>non trouvé</v>
      </c>
      <c r="M495" t="str">
        <f>_xlfn.XLOOKUP(_26_03_2026_Log_Reseau_v15[[#This Row],[province RDC]],_26_03_2026_Client_Churn_v1[Province_Client],_26_03_2026_Client_Churn_v1[Type_Forfait],"non trouvé")</f>
        <v>non trouvé</v>
      </c>
      <c r="N495" t="str">
        <f>_xlfn.XLOOKUP(_26_03_2026_Log_Reseau_v15[[#This Row],[province RDC]],_26_03_2026_Client_Churn_v1[Province_Client],_26_03_2026_Client_Churn_v1[Duree_Cumulee_Panne_Min],"non trouvé")</f>
        <v>non trouvé</v>
      </c>
      <c r="O495" t="str">
        <f>_xlfn.XLOOKUP(_26_03_2026_Log_Reseau_v15[[#This Row],[province RDC]],_26_03_2026_Client_Churn_v1[Province_Client],_26_03_2026_Client_Churn_v1[Facture_Mensuelle],"non trouvé")</f>
        <v>non trouvé</v>
      </c>
      <c r="P495" t="str">
        <f>_xlfn.XLOOKUP(_26_03_2026_Log_Reseau_v15[[#This Row],[province RDC]],_26_03_2026_Client_Churn_v1[Province_Client],_26_03_2026_Client_Churn_v1[Plaintes_Service_Client],"non trouvé")</f>
        <v>non trouvé</v>
      </c>
    </row>
    <row r="496" spans="1:16" hidden="1" x14ac:dyDescent="0.25">
      <c r="A496" s="1">
        <v>45200</v>
      </c>
      <c r="B496" s="2">
        <v>0.42777777777777776</v>
      </c>
      <c r="C496" t="s">
        <v>1124</v>
      </c>
      <c r="D496">
        <v>16</v>
      </c>
      <c r="E496" t="s">
        <v>808</v>
      </c>
      <c r="F496" t="str">
        <f>_xlfn.XLOOKUP(_26_03_2026_Log_Reseau_v15[[#This Row],[Cell_ID]],_26_03_2026_Registre_Maintenance_v1[ID_Antenne],_26_03_2026_Registre_Maintenance_v1[zone],"pas trouvé")</f>
        <v>pas trouvé</v>
      </c>
      <c r="G496" t="str">
        <f>_xlfn.XLOOKUP(_26_03_2026_Log_Reseau_v15[[#This Row],[Cell_ID]],_26_03_2026_Registre_Maintenance_v1[ID_Antenne],_26_03_2026_Registre_Maintenance_v1[Latitude],"non trouvé")</f>
        <v>non trouvé</v>
      </c>
      <c r="H496" t="str">
        <f>_xlfn.XLOOKUP(_26_03_2026_Log_Reseau_v15[[#This Row],[Cell_ID]],_26_03_2026_Registre_Maintenance_v1[ID_Antenne],_26_03_2026_Registre_Maintenance_v1[Longitude],"pas trouvé")</f>
        <v>pas trouvé</v>
      </c>
      <c r="I496" t="str">
        <f>_xlfn.XLOOKUP(_26_03_2026_Log_Reseau_v15[[#This Row],[Cell_ID]],_26_03_2026_Registre_Maintenance_v1[ID_Antenne],_26_03_2026_Registre_Maintenance_v1[Technologie],"non trouvé")</f>
        <v>non trouvé</v>
      </c>
      <c r="J496" t="str">
        <f>_xlfn.XLOOKUP(_26_03_2026_Log_Reseau_v15[[#This Row],[Cell_ID]],_26_03_2026_Registre_Maintenance_v1[ID_Antenne],_26_03_2026_Registre_Maintenance_v1[Equipementier],"pas trouvé")</f>
        <v>pas trouvé</v>
      </c>
      <c r="K496" t="str">
        <f>_xlfn.XLOOKUP(_26_03_2026_Log_Reseau_v15[[#This Row],[province RDC]],_26_03_2026_Client_Churn_v1[Province_Client],_26_03_2026_Client_Churn_v1[ID_Client],"non trouvé")</f>
        <v>non trouvé</v>
      </c>
      <c r="L496" t="str">
        <f>_xlfn.XLOOKUP(_26_03_2026_Log_Reseau_v15[[#This Row],[province RDC]],_26_03_2026_Client_Churn_v1[Province_Client],_26_03_2026_Client_Churn_v1[Anciennete_Mois],"non trouvé")</f>
        <v>non trouvé</v>
      </c>
      <c r="M496" t="str">
        <f>_xlfn.XLOOKUP(_26_03_2026_Log_Reseau_v15[[#This Row],[province RDC]],_26_03_2026_Client_Churn_v1[Province_Client],_26_03_2026_Client_Churn_v1[Type_Forfait],"non trouvé")</f>
        <v>non trouvé</v>
      </c>
      <c r="N496" t="str">
        <f>_xlfn.XLOOKUP(_26_03_2026_Log_Reseau_v15[[#This Row],[province RDC]],_26_03_2026_Client_Churn_v1[Province_Client],_26_03_2026_Client_Churn_v1[Duree_Cumulee_Panne_Min],"non trouvé")</f>
        <v>non trouvé</v>
      </c>
      <c r="O496" t="str">
        <f>_xlfn.XLOOKUP(_26_03_2026_Log_Reseau_v15[[#This Row],[province RDC]],_26_03_2026_Client_Churn_v1[Province_Client],_26_03_2026_Client_Churn_v1[Facture_Mensuelle],"non trouvé")</f>
        <v>non trouvé</v>
      </c>
      <c r="P496" t="str">
        <f>_xlfn.XLOOKUP(_26_03_2026_Log_Reseau_v15[[#This Row],[province RDC]],_26_03_2026_Client_Churn_v1[Province_Client],_26_03_2026_Client_Churn_v1[Plaintes_Service_Client],"non trouvé")</f>
        <v>non trouvé</v>
      </c>
    </row>
    <row r="497" spans="1:16" hidden="1" x14ac:dyDescent="0.25">
      <c r="A497" s="1">
        <v>45213</v>
      </c>
      <c r="B497" s="2">
        <v>0.89166666666666672</v>
      </c>
      <c r="C497" t="s">
        <v>1124</v>
      </c>
      <c r="D497">
        <v>104</v>
      </c>
      <c r="E497" t="s">
        <v>807</v>
      </c>
      <c r="F497" t="str">
        <f>_xlfn.XLOOKUP(_26_03_2026_Log_Reseau_v15[[#This Row],[Cell_ID]],_26_03_2026_Registre_Maintenance_v1[ID_Antenne],_26_03_2026_Registre_Maintenance_v1[zone],"pas trouvé")</f>
        <v>pas trouvé</v>
      </c>
      <c r="G497" t="str">
        <f>_xlfn.XLOOKUP(_26_03_2026_Log_Reseau_v15[[#This Row],[Cell_ID]],_26_03_2026_Registre_Maintenance_v1[ID_Antenne],_26_03_2026_Registre_Maintenance_v1[Latitude],"non trouvé")</f>
        <v>non trouvé</v>
      </c>
      <c r="H497" t="str">
        <f>_xlfn.XLOOKUP(_26_03_2026_Log_Reseau_v15[[#This Row],[Cell_ID]],_26_03_2026_Registre_Maintenance_v1[ID_Antenne],_26_03_2026_Registre_Maintenance_v1[Longitude],"pas trouvé")</f>
        <v>pas trouvé</v>
      </c>
      <c r="I497" t="str">
        <f>_xlfn.XLOOKUP(_26_03_2026_Log_Reseau_v15[[#This Row],[Cell_ID]],_26_03_2026_Registre_Maintenance_v1[ID_Antenne],_26_03_2026_Registre_Maintenance_v1[Technologie],"non trouvé")</f>
        <v>non trouvé</v>
      </c>
      <c r="J497" t="str">
        <f>_xlfn.XLOOKUP(_26_03_2026_Log_Reseau_v15[[#This Row],[Cell_ID]],_26_03_2026_Registre_Maintenance_v1[ID_Antenne],_26_03_2026_Registre_Maintenance_v1[Equipementier],"pas trouvé")</f>
        <v>pas trouvé</v>
      </c>
      <c r="K497" t="str">
        <f>_xlfn.XLOOKUP(_26_03_2026_Log_Reseau_v15[[#This Row],[province RDC]],_26_03_2026_Client_Churn_v1[Province_Client],_26_03_2026_Client_Churn_v1[ID_Client],"non trouvé")</f>
        <v>non trouvé</v>
      </c>
      <c r="L497" t="str">
        <f>_xlfn.XLOOKUP(_26_03_2026_Log_Reseau_v15[[#This Row],[province RDC]],_26_03_2026_Client_Churn_v1[Province_Client],_26_03_2026_Client_Churn_v1[Anciennete_Mois],"non trouvé")</f>
        <v>non trouvé</v>
      </c>
      <c r="M497" t="str">
        <f>_xlfn.XLOOKUP(_26_03_2026_Log_Reseau_v15[[#This Row],[province RDC]],_26_03_2026_Client_Churn_v1[Province_Client],_26_03_2026_Client_Churn_v1[Type_Forfait],"non trouvé")</f>
        <v>non trouvé</v>
      </c>
      <c r="N497" t="str">
        <f>_xlfn.XLOOKUP(_26_03_2026_Log_Reseau_v15[[#This Row],[province RDC]],_26_03_2026_Client_Churn_v1[Province_Client],_26_03_2026_Client_Churn_v1[Duree_Cumulee_Panne_Min],"non trouvé")</f>
        <v>non trouvé</v>
      </c>
      <c r="O497" t="str">
        <f>_xlfn.XLOOKUP(_26_03_2026_Log_Reseau_v15[[#This Row],[province RDC]],_26_03_2026_Client_Churn_v1[Province_Client],_26_03_2026_Client_Churn_v1[Facture_Mensuelle],"non trouvé")</f>
        <v>non trouvé</v>
      </c>
      <c r="P497" t="str">
        <f>_xlfn.XLOOKUP(_26_03_2026_Log_Reseau_v15[[#This Row],[province RDC]],_26_03_2026_Client_Churn_v1[Province_Client],_26_03_2026_Client_Churn_v1[Plaintes_Service_Client],"non trouvé")</f>
        <v>non trouvé</v>
      </c>
    </row>
    <row r="498" spans="1:16" x14ac:dyDescent="0.25">
      <c r="A498" s="1">
        <v>45204</v>
      </c>
      <c r="B498" s="2">
        <v>0.57222222222222219</v>
      </c>
      <c r="C498" t="s">
        <v>1125</v>
      </c>
      <c r="D498">
        <v>88</v>
      </c>
      <c r="E498" t="s">
        <v>812</v>
      </c>
      <c r="F498" t="str">
        <f>_xlfn.XLOOKUP(_26_03_2026_Log_Reseau_v15[[#This Row],[Cell_ID]],_26_03_2026_Registre_Maintenance_v1[ID_Antenne],_26_03_2026_Registre_Maintenance_v1[zone],"pas trouvé")</f>
        <v>Kasai-Central</v>
      </c>
      <c r="G498">
        <f>_xlfn.XLOOKUP(_26_03_2026_Log_Reseau_v15[[#This Row],[Cell_ID]],_26_03_2026_Registre_Maintenance_v1[ID_Antenne],_26_03_2026_Registre_Maintenance_v1[Latitude],"non trouvé")</f>
        <v>-3.111418</v>
      </c>
      <c r="H498">
        <f>_xlfn.XLOOKUP(_26_03_2026_Log_Reseau_v15[[#This Row],[Cell_ID]],_26_03_2026_Registre_Maintenance_v1[ID_Antenne],_26_03_2026_Registre_Maintenance_v1[Longitude],"pas trouvé")</f>
        <v>14.144854</v>
      </c>
      <c r="I498" t="str">
        <f>_xlfn.XLOOKUP(_26_03_2026_Log_Reseau_v15[[#This Row],[Cell_ID]],_26_03_2026_Registre_Maintenance_v1[ID_Antenne],_26_03_2026_Registre_Maintenance_v1[Technologie],"non trouvé")</f>
        <v>4G</v>
      </c>
      <c r="J498" t="str">
        <f>_xlfn.XLOOKUP(_26_03_2026_Log_Reseau_v15[[#This Row],[Cell_ID]],_26_03_2026_Registre_Maintenance_v1[ID_Antenne],_26_03_2026_Registre_Maintenance_v1[Equipementier],"pas trouvé")</f>
        <v>ZTE</v>
      </c>
      <c r="K498" t="str">
        <f>_xlfn.XLOOKUP(_26_03_2026_Log_Reseau_v15[[#This Row],[province RDC]],_26_03_2026_Client_Churn_v1[Province_Client],_26_03_2026_Client_Churn_v1[ID_Client],"non trouvé")</f>
        <v>CLI-00060</v>
      </c>
      <c r="L498">
        <f>_xlfn.XLOOKUP(_26_03_2026_Log_Reseau_v15[[#This Row],[province RDC]],_26_03_2026_Client_Churn_v1[Province_Client],_26_03_2026_Client_Churn_v1[Anciennete_Mois],"non trouvé")</f>
        <v>72</v>
      </c>
      <c r="M498" t="str">
        <f>_xlfn.XLOOKUP(_26_03_2026_Log_Reseau_v15[[#This Row],[province RDC]],_26_03_2026_Client_Churn_v1[Province_Client],_26_03_2026_Client_Churn_v1[Type_Forfait],"non trouvé")</f>
        <v>Pro Monde</v>
      </c>
      <c r="N498">
        <f>_xlfn.XLOOKUP(_26_03_2026_Log_Reseau_v15[[#This Row],[province RDC]],_26_03_2026_Client_Churn_v1[Province_Client],_26_03_2026_Client_Churn_v1[Duree_Cumulee_Panne_Min],"non trouvé")</f>
        <v>160</v>
      </c>
      <c r="O498">
        <f>_xlfn.XLOOKUP(_26_03_2026_Log_Reseau_v15[[#This Row],[province RDC]],_26_03_2026_Client_Churn_v1[Province_Client],_26_03_2026_Client_Churn_v1[Facture_Mensuelle],"non trouvé")</f>
        <v>90.13</v>
      </c>
      <c r="P498">
        <f>_xlfn.XLOOKUP(_26_03_2026_Log_Reseau_v15[[#This Row],[province RDC]],_26_03_2026_Client_Churn_v1[Province_Client],_26_03_2026_Client_Churn_v1[Plaintes_Service_Client],"non trouvé")</f>
        <v>2</v>
      </c>
    </row>
    <row r="499" spans="1:16" x14ac:dyDescent="0.25">
      <c r="A499" s="1">
        <v>45206</v>
      </c>
      <c r="B499" s="2">
        <v>2.7083333333333334E-2</v>
      </c>
      <c r="C499" t="s">
        <v>1125</v>
      </c>
      <c r="D499">
        <v>36</v>
      </c>
      <c r="E499" t="s">
        <v>812</v>
      </c>
      <c r="F499" t="str">
        <f>_xlfn.XLOOKUP(_26_03_2026_Log_Reseau_v15[[#This Row],[Cell_ID]],_26_03_2026_Registre_Maintenance_v1[ID_Antenne],_26_03_2026_Registre_Maintenance_v1[zone],"pas trouvé")</f>
        <v>Kasai-Central</v>
      </c>
      <c r="G499">
        <f>_xlfn.XLOOKUP(_26_03_2026_Log_Reseau_v15[[#This Row],[Cell_ID]],_26_03_2026_Registre_Maintenance_v1[ID_Antenne],_26_03_2026_Registre_Maintenance_v1[Latitude],"non trouvé")</f>
        <v>-3.111418</v>
      </c>
      <c r="H499">
        <f>_xlfn.XLOOKUP(_26_03_2026_Log_Reseau_v15[[#This Row],[Cell_ID]],_26_03_2026_Registre_Maintenance_v1[ID_Antenne],_26_03_2026_Registre_Maintenance_v1[Longitude],"pas trouvé")</f>
        <v>14.144854</v>
      </c>
      <c r="I499" t="str">
        <f>_xlfn.XLOOKUP(_26_03_2026_Log_Reseau_v15[[#This Row],[Cell_ID]],_26_03_2026_Registre_Maintenance_v1[ID_Antenne],_26_03_2026_Registre_Maintenance_v1[Technologie],"non trouvé")</f>
        <v>4G</v>
      </c>
      <c r="J499" t="str">
        <f>_xlfn.XLOOKUP(_26_03_2026_Log_Reseau_v15[[#This Row],[Cell_ID]],_26_03_2026_Registre_Maintenance_v1[ID_Antenne],_26_03_2026_Registre_Maintenance_v1[Equipementier],"pas trouvé")</f>
        <v>ZTE</v>
      </c>
      <c r="K499" t="str">
        <f>_xlfn.XLOOKUP(_26_03_2026_Log_Reseau_v15[[#This Row],[province RDC]],_26_03_2026_Client_Churn_v1[Province_Client],_26_03_2026_Client_Churn_v1[ID_Client],"non trouvé")</f>
        <v>CLI-00060</v>
      </c>
      <c r="L499">
        <f>_xlfn.XLOOKUP(_26_03_2026_Log_Reseau_v15[[#This Row],[province RDC]],_26_03_2026_Client_Churn_v1[Province_Client],_26_03_2026_Client_Churn_v1[Anciennete_Mois],"non trouvé")</f>
        <v>72</v>
      </c>
      <c r="M499" t="str">
        <f>_xlfn.XLOOKUP(_26_03_2026_Log_Reseau_v15[[#This Row],[province RDC]],_26_03_2026_Client_Churn_v1[Province_Client],_26_03_2026_Client_Churn_v1[Type_Forfait],"non trouvé")</f>
        <v>Pro Monde</v>
      </c>
      <c r="N499">
        <f>_xlfn.XLOOKUP(_26_03_2026_Log_Reseau_v15[[#This Row],[province RDC]],_26_03_2026_Client_Churn_v1[Province_Client],_26_03_2026_Client_Churn_v1[Duree_Cumulee_Panne_Min],"non trouvé")</f>
        <v>160</v>
      </c>
      <c r="O499">
        <f>_xlfn.XLOOKUP(_26_03_2026_Log_Reseau_v15[[#This Row],[province RDC]],_26_03_2026_Client_Churn_v1[Province_Client],_26_03_2026_Client_Churn_v1[Facture_Mensuelle],"non trouvé")</f>
        <v>90.13</v>
      </c>
      <c r="P499">
        <f>_xlfn.XLOOKUP(_26_03_2026_Log_Reseau_v15[[#This Row],[province RDC]],_26_03_2026_Client_Churn_v1[Province_Client],_26_03_2026_Client_Churn_v1[Plaintes_Service_Client],"non trouvé")</f>
        <v>2</v>
      </c>
    </row>
    <row r="500" spans="1:16" x14ac:dyDescent="0.25">
      <c r="A500" s="1">
        <v>45202</v>
      </c>
      <c r="B500" s="2">
        <v>0.74791666666666667</v>
      </c>
      <c r="C500" t="s">
        <v>1125</v>
      </c>
      <c r="D500">
        <v>28</v>
      </c>
      <c r="E500" t="s">
        <v>808</v>
      </c>
      <c r="F500" t="str">
        <f>_xlfn.XLOOKUP(_26_03_2026_Log_Reseau_v15[[#This Row],[Cell_ID]],_26_03_2026_Registre_Maintenance_v1[ID_Antenne],_26_03_2026_Registre_Maintenance_v1[zone],"pas trouvé")</f>
        <v>Kasai-Central</v>
      </c>
      <c r="G500">
        <f>_xlfn.XLOOKUP(_26_03_2026_Log_Reseau_v15[[#This Row],[Cell_ID]],_26_03_2026_Registre_Maintenance_v1[ID_Antenne],_26_03_2026_Registre_Maintenance_v1[Latitude],"non trouvé")</f>
        <v>-3.111418</v>
      </c>
      <c r="H500">
        <f>_xlfn.XLOOKUP(_26_03_2026_Log_Reseau_v15[[#This Row],[Cell_ID]],_26_03_2026_Registre_Maintenance_v1[ID_Antenne],_26_03_2026_Registre_Maintenance_v1[Longitude],"pas trouvé")</f>
        <v>14.144854</v>
      </c>
      <c r="I500" t="str">
        <f>_xlfn.XLOOKUP(_26_03_2026_Log_Reseau_v15[[#This Row],[Cell_ID]],_26_03_2026_Registre_Maintenance_v1[ID_Antenne],_26_03_2026_Registre_Maintenance_v1[Technologie],"non trouvé")</f>
        <v>4G</v>
      </c>
      <c r="J500" t="str">
        <f>_xlfn.XLOOKUP(_26_03_2026_Log_Reseau_v15[[#This Row],[Cell_ID]],_26_03_2026_Registre_Maintenance_v1[ID_Antenne],_26_03_2026_Registre_Maintenance_v1[Equipementier],"pas trouvé")</f>
        <v>ZTE</v>
      </c>
      <c r="K500" t="str">
        <f>_xlfn.XLOOKUP(_26_03_2026_Log_Reseau_v15[[#This Row],[province RDC]],_26_03_2026_Client_Churn_v1[Province_Client],_26_03_2026_Client_Churn_v1[ID_Client],"non trouvé")</f>
        <v>CLI-00060</v>
      </c>
      <c r="L500">
        <f>_xlfn.XLOOKUP(_26_03_2026_Log_Reseau_v15[[#This Row],[province RDC]],_26_03_2026_Client_Churn_v1[Province_Client],_26_03_2026_Client_Churn_v1[Anciennete_Mois],"non trouvé")</f>
        <v>72</v>
      </c>
      <c r="M500" t="str">
        <f>_xlfn.XLOOKUP(_26_03_2026_Log_Reseau_v15[[#This Row],[province RDC]],_26_03_2026_Client_Churn_v1[Province_Client],_26_03_2026_Client_Churn_v1[Type_Forfait],"non trouvé")</f>
        <v>Pro Monde</v>
      </c>
      <c r="N500">
        <f>_xlfn.XLOOKUP(_26_03_2026_Log_Reseau_v15[[#This Row],[province RDC]],_26_03_2026_Client_Churn_v1[Province_Client],_26_03_2026_Client_Churn_v1[Duree_Cumulee_Panne_Min],"non trouvé")</f>
        <v>160</v>
      </c>
      <c r="O500">
        <f>_xlfn.XLOOKUP(_26_03_2026_Log_Reseau_v15[[#This Row],[province RDC]],_26_03_2026_Client_Churn_v1[Province_Client],_26_03_2026_Client_Churn_v1[Facture_Mensuelle],"non trouvé")</f>
        <v>90.13</v>
      </c>
      <c r="P500">
        <f>_xlfn.XLOOKUP(_26_03_2026_Log_Reseau_v15[[#This Row],[province RDC]],_26_03_2026_Client_Churn_v1[Province_Client],_26_03_2026_Client_Churn_v1[Plaintes_Service_Client],"non trouvé")</f>
        <v>2</v>
      </c>
    </row>
    <row r="501" spans="1:16" x14ac:dyDescent="0.25">
      <c r="A501" s="1">
        <v>45206</v>
      </c>
      <c r="B501" s="2">
        <v>0.56388888888888888</v>
      </c>
      <c r="C501" t="s">
        <v>1126</v>
      </c>
      <c r="D501">
        <v>37</v>
      </c>
      <c r="E501" t="s">
        <v>807</v>
      </c>
      <c r="F501" t="str">
        <f>_xlfn.XLOOKUP(_26_03_2026_Log_Reseau_v15[[#This Row],[Cell_ID]],_26_03_2026_Registre_Maintenance_v1[ID_Antenne],_26_03_2026_Registre_Maintenance_v1[zone],"pas trouvé")</f>
        <v>Haut-Uele</v>
      </c>
      <c r="G501">
        <f>_xlfn.XLOOKUP(_26_03_2026_Log_Reseau_v15[[#This Row],[Cell_ID]],_26_03_2026_Registre_Maintenance_v1[ID_Antenne],_26_03_2026_Registre_Maintenance_v1[Latitude],"non trouvé")</f>
        <v>0.20866199999999999</v>
      </c>
      <c r="H501">
        <f>_xlfn.XLOOKUP(_26_03_2026_Log_Reseau_v15[[#This Row],[Cell_ID]],_26_03_2026_Registre_Maintenance_v1[ID_Antenne],_26_03_2026_Registre_Maintenance_v1[Longitude],"pas trouvé")</f>
        <v>18.556439000000001</v>
      </c>
      <c r="I501" t="str">
        <f>_xlfn.XLOOKUP(_26_03_2026_Log_Reseau_v15[[#This Row],[Cell_ID]],_26_03_2026_Registre_Maintenance_v1[ID_Antenne],_26_03_2026_Registre_Maintenance_v1[Technologie],"non trouvé")</f>
        <v>4G</v>
      </c>
      <c r="J501" t="str">
        <f>_xlfn.XLOOKUP(_26_03_2026_Log_Reseau_v15[[#This Row],[Cell_ID]],_26_03_2026_Registre_Maintenance_v1[ID_Antenne],_26_03_2026_Registre_Maintenance_v1[Equipementier],"pas trouvé")</f>
        <v>Nokia</v>
      </c>
      <c r="K501" t="str">
        <f>_xlfn.XLOOKUP(_26_03_2026_Log_Reseau_v15[[#This Row],[province RDC]],_26_03_2026_Client_Churn_v1[Province_Client],_26_03_2026_Client_Churn_v1[ID_Client],"non trouvé")</f>
        <v>CLI-00439</v>
      </c>
      <c r="L501">
        <f>_xlfn.XLOOKUP(_26_03_2026_Log_Reseau_v15[[#This Row],[province RDC]],_26_03_2026_Client_Churn_v1[Province_Client],_26_03_2026_Client_Churn_v1[Anciennete_Mois],"non trouvé")</f>
        <v>40</v>
      </c>
      <c r="M501" t="str">
        <f>_xlfn.XLOOKUP(_26_03_2026_Log_Reseau_v15[[#This Row],[province RDC]],_26_03_2026_Client_Churn_v1[Province_Client],_26_03_2026_Client_Churn_v1[Type_Forfait],"non trouvé")</f>
        <v>Premium 5G 150Go</v>
      </c>
      <c r="N501">
        <f>_xlfn.XLOOKUP(_26_03_2026_Log_Reseau_v15[[#This Row],[province RDC]],_26_03_2026_Client_Churn_v1[Province_Client],_26_03_2026_Client_Churn_v1[Duree_Cumulee_Panne_Min],"non trouvé")</f>
        <v>345</v>
      </c>
      <c r="O501">
        <f>_xlfn.XLOOKUP(_26_03_2026_Log_Reseau_v15[[#This Row],[province RDC]],_26_03_2026_Client_Churn_v1[Province_Client],_26_03_2026_Client_Churn_v1[Facture_Mensuelle],"non trouvé")</f>
        <v>89.55</v>
      </c>
      <c r="P501">
        <f>_xlfn.XLOOKUP(_26_03_2026_Log_Reseau_v15[[#This Row],[province RDC]],_26_03_2026_Client_Churn_v1[Province_Client],_26_03_2026_Client_Churn_v1[Plaintes_Service_Client],"non trouvé")</f>
        <v>3</v>
      </c>
    </row>
    <row r="502" spans="1:16" hidden="1" x14ac:dyDescent="0.25">
      <c r="A502" s="1">
        <v>45210</v>
      </c>
      <c r="B502" s="2">
        <v>0.51180555555555551</v>
      </c>
      <c r="C502" t="s">
        <v>1127</v>
      </c>
      <c r="D502">
        <v>27</v>
      </c>
      <c r="E502" t="s">
        <v>808</v>
      </c>
      <c r="F502" t="str">
        <f>_xlfn.XLOOKUP(_26_03_2026_Log_Reseau_v15[[#This Row],[Cell_ID]],_26_03_2026_Registre_Maintenance_v1[ID_Antenne],_26_03_2026_Registre_Maintenance_v1[zone],"pas trouvé")</f>
        <v>pas trouvé</v>
      </c>
      <c r="G502" t="str">
        <f>_xlfn.XLOOKUP(_26_03_2026_Log_Reseau_v15[[#This Row],[Cell_ID]],_26_03_2026_Registre_Maintenance_v1[ID_Antenne],_26_03_2026_Registre_Maintenance_v1[Latitude],"non trouvé")</f>
        <v>non trouvé</v>
      </c>
      <c r="H502" t="str">
        <f>_xlfn.XLOOKUP(_26_03_2026_Log_Reseau_v15[[#This Row],[Cell_ID]],_26_03_2026_Registre_Maintenance_v1[ID_Antenne],_26_03_2026_Registre_Maintenance_v1[Longitude],"pas trouvé")</f>
        <v>pas trouvé</v>
      </c>
      <c r="I502" t="str">
        <f>_xlfn.XLOOKUP(_26_03_2026_Log_Reseau_v15[[#This Row],[Cell_ID]],_26_03_2026_Registre_Maintenance_v1[ID_Antenne],_26_03_2026_Registre_Maintenance_v1[Technologie],"non trouvé")</f>
        <v>non trouvé</v>
      </c>
      <c r="J502" t="str">
        <f>_xlfn.XLOOKUP(_26_03_2026_Log_Reseau_v15[[#This Row],[Cell_ID]],_26_03_2026_Registre_Maintenance_v1[ID_Antenne],_26_03_2026_Registre_Maintenance_v1[Equipementier],"pas trouvé")</f>
        <v>pas trouvé</v>
      </c>
      <c r="K502" t="str">
        <f>_xlfn.XLOOKUP(_26_03_2026_Log_Reseau_v15[[#This Row],[province RDC]],_26_03_2026_Client_Churn_v1[Province_Client],_26_03_2026_Client_Churn_v1[ID_Client],"non trouvé")</f>
        <v>non trouvé</v>
      </c>
      <c r="L502" t="str">
        <f>_xlfn.XLOOKUP(_26_03_2026_Log_Reseau_v15[[#This Row],[province RDC]],_26_03_2026_Client_Churn_v1[Province_Client],_26_03_2026_Client_Churn_v1[Anciennete_Mois],"non trouvé")</f>
        <v>non trouvé</v>
      </c>
      <c r="M502" t="str">
        <f>_xlfn.XLOOKUP(_26_03_2026_Log_Reseau_v15[[#This Row],[province RDC]],_26_03_2026_Client_Churn_v1[Province_Client],_26_03_2026_Client_Churn_v1[Type_Forfait],"non trouvé")</f>
        <v>non trouvé</v>
      </c>
      <c r="N502" t="str">
        <f>_xlfn.XLOOKUP(_26_03_2026_Log_Reseau_v15[[#This Row],[province RDC]],_26_03_2026_Client_Churn_v1[Province_Client],_26_03_2026_Client_Churn_v1[Duree_Cumulee_Panne_Min],"non trouvé")</f>
        <v>non trouvé</v>
      </c>
      <c r="O502" t="str">
        <f>_xlfn.XLOOKUP(_26_03_2026_Log_Reseau_v15[[#This Row],[province RDC]],_26_03_2026_Client_Churn_v1[Province_Client],_26_03_2026_Client_Churn_v1[Facture_Mensuelle],"non trouvé")</f>
        <v>non trouvé</v>
      </c>
      <c r="P502" t="str">
        <f>_xlfn.XLOOKUP(_26_03_2026_Log_Reseau_v15[[#This Row],[province RDC]],_26_03_2026_Client_Churn_v1[Province_Client],_26_03_2026_Client_Churn_v1[Plaintes_Service_Client],"non trouvé")</f>
        <v>non trouvé</v>
      </c>
    </row>
    <row r="503" spans="1:16" hidden="1" x14ac:dyDescent="0.25">
      <c r="A503" s="1">
        <v>45209</v>
      </c>
      <c r="B503" s="2">
        <v>0.72499999999999998</v>
      </c>
      <c r="C503" t="s">
        <v>1128</v>
      </c>
      <c r="D503">
        <v>97</v>
      </c>
      <c r="E503" t="s">
        <v>812</v>
      </c>
      <c r="F503" t="str">
        <f>_xlfn.XLOOKUP(_26_03_2026_Log_Reseau_v15[[#This Row],[Cell_ID]],_26_03_2026_Registre_Maintenance_v1[ID_Antenne],_26_03_2026_Registre_Maintenance_v1[zone],"pas trouvé")</f>
        <v>pas trouvé</v>
      </c>
      <c r="G503" t="str">
        <f>_xlfn.XLOOKUP(_26_03_2026_Log_Reseau_v15[[#This Row],[Cell_ID]],_26_03_2026_Registre_Maintenance_v1[ID_Antenne],_26_03_2026_Registre_Maintenance_v1[Latitude],"non trouvé")</f>
        <v>non trouvé</v>
      </c>
      <c r="H503" t="str">
        <f>_xlfn.XLOOKUP(_26_03_2026_Log_Reseau_v15[[#This Row],[Cell_ID]],_26_03_2026_Registre_Maintenance_v1[ID_Antenne],_26_03_2026_Registre_Maintenance_v1[Longitude],"pas trouvé")</f>
        <v>pas trouvé</v>
      </c>
      <c r="I503" t="str">
        <f>_xlfn.XLOOKUP(_26_03_2026_Log_Reseau_v15[[#This Row],[Cell_ID]],_26_03_2026_Registre_Maintenance_v1[ID_Antenne],_26_03_2026_Registre_Maintenance_v1[Technologie],"non trouvé")</f>
        <v>non trouvé</v>
      </c>
      <c r="J503" t="str">
        <f>_xlfn.XLOOKUP(_26_03_2026_Log_Reseau_v15[[#This Row],[Cell_ID]],_26_03_2026_Registre_Maintenance_v1[ID_Antenne],_26_03_2026_Registre_Maintenance_v1[Equipementier],"pas trouvé")</f>
        <v>pas trouvé</v>
      </c>
      <c r="K503" t="str">
        <f>_xlfn.XLOOKUP(_26_03_2026_Log_Reseau_v15[[#This Row],[province RDC]],_26_03_2026_Client_Churn_v1[Province_Client],_26_03_2026_Client_Churn_v1[ID_Client],"non trouvé")</f>
        <v>non trouvé</v>
      </c>
      <c r="L503" t="str">
        <f>_xlfn.XLOOKUP(_26_03_2026_Log_Reseau_v15[[#This Row],[province RDC]],_26_03_2026_Client_Churn_v1[Province_Client],_26_03_2026_Client_Churn_v1[Anciennete_Mois],"non trouvé")</f>
        <v>non trouvé</v>
      </c>
      <c r="M503" t="str">
        <f>_xlfn.XLOOKUP(_26_03_2026_Log_Reseau_v15[[#This Row],[province RDC]],_26_03_2026_Client_Churn_v1[Province_Client],_26_03_2026_Client_Churn_v1[Type_Forfait],"non trouvé")</f>
        <v>non trouvé</v>
      </c>
      <c r="N503" t="str">
        <f>_xlfn.XLOOKUP(_26_03_2026_Log_Reseau_v15[[#This Row],[province RDC]],_26_03_2026_Client_Churn_v1[Province_Client],_26_03_2026_Client_Churn_v1[Duree_Cumulee_Panne_Min],"non trouvé")</f>
        <v>non trouvé</v>
      </c>
      <c r="O503" t="str">
        <f>_xlfn.XLOOKUP(_26_03_2026_Log_Reseau_v15[[#This Row],[province RDC]],_26_03_2026_Client_Churn_v1[Province_Client],_26_03_2026_Client_Churn_v1[Facture_Mensuelle],"non trouvé")</f>
        <v>non trouvé</v>
      </c>
      <c r="P503" t="str">
        <f>_xlfn.XLOOKUP(_26_03_2026_Log_Reseau_v15[[#This Row],[province RDC]],_26_03_2026_Client_Churn_v1[Province_Client],_26_03_2026_Client_Churn_v1[Plaintes_Service_Client],"non trouvé")</f>
        <v>non trouvé</v>
      </c>
    </row>
    <row r="504" spans="1:16" x14ac:dyDescent="0.25">
      <c r="A504" s="1">
        <v>45215</v>
      </c>
      <c r="B504" s="2">
        <v>0.70486111111111116</v>
      </c>
      <c r="C504" t="s">
        <v>1129</v>
      </c>
      <c r="D504">
        <v>107</v>
      </c>
      <c r="E504" t="s">
        <v>807</v>
      </c>
      <c r="F504" t="str">
        <f>_xlfn.XLOOKUP(_26_03_2026_Log_Reseau_v15[[#This Row],[Cell_ID]],_26_03_2026_Registre_Maintenance_v1[ID_Antenne],_26_03_2026_Registre_Maintenance_v1[zone],"pas trouvé")</f>
        <v>Kongo-Central</v>
      </c>
      <c r="G504">
        <f>_xlfn.XLOOKUP(_26_03_2026_Log_Reseau_v15[[#This Row],[Cell_ID]],_26_03_2026_Registre_Maintenance_v1[ID_Antenne],_26_03_2026_Registre_Maintenance_v1[Latitude],"non trouvé")</f>
        <v>-12.564277000000001</v>
      </c>
      <c r="H504">
        <f>_xlfn.XLOOKUP(_26_03_2026_Log_Reseau_v15[[#This Row],[Cell_ID]],_26_03_2026_Registre_Maintenance_v1[ID_Antenne],_26_03_2026_Registre_Maintenance_v1[Longitude],"pas trouvé")</f>
        <v>28.480798</v>
      </c>
      <c r="I504" t="str">
        <f>_xlfn.XLOOKUP(_26_03_2026_Log_Reseau_v15[[#This Row],[Cell_ID]],_26_03_2026_Registre_Maintenance_v1[ID_Antenne],_26_03_2026_Registre_Maintenance_v1[Technologie],"non trouvé")</f>
        <v>5G</v>
      </c>
      <c r="J504" t="str">
        <f>_xlfn.XLOOKUP(_26_03_2026_Log_Reseau_v15[[#This Row],[Cell_ID]],_26_03_2026_Registre_Maintenance_v1[ID_Antenne],_26_03_2026_Registre_Maintenance_v1[Equipementier],"pas trouvé")</f>
        <v>ZTE</v>
      </c>
      <c r="K504" t="str">
        <f>_xlfn.XLOOKUP(_26_03_2026_Log_Reseau_v15[[#This Row],[province RDC]],_26_03_2026_Client_Churn_v1[Province_Client],_26_03_2026_Client_Churn_v1[ID_Client],"non trouvé")</f>
        <v>CLI-01233</v>
      </c>
      <c r="L504">
        <f>_xlfn.XLOOKUP(_26_03_2026_Log_Reseau_v15[[#This Row],[province RDC]],_26_03_2026_Client_Churn_v1[Province_Client],_26_03_2026_Client_Churn_v1[Anciennete_Mois],"non trouvé")</f>
        <v>101</v>
      </c>
      <c r="M504" t="str">
        <f>_xlfn.XLOOKUP(_26_03_2026_Log_Reseau_v15[[#This Row],[province RDC]],_26_03_2026_Client_Churn_v1[Province_Client],_26_03_2026_Client_Churn_v1[Type_Forfait],"non trouvé")</f>
        <v>Pro Monde</v>
      </c>
      <c r="N504">
        <f>_xlfn.XLOOKUP(_26_03_2026_Log_Reseau_v15[[#This Row],[province RDC]],_26_03_2026_Client_Churn_v1[Province_Client],_26_03_2026_Client_Churn_v1[Duree_Cumulee_Panne_Min],"non trouvé")</f>
        <v>333</v>
      </c>
      <c r="O504">
        <f>_xlfn.XLOOKUP(_26_03_2026_Log_Reseau_v15[[#This Row],[province RDC]],_26_03_2026_Client_Churn_v1[Province_Client],_26_03_2026_Client_Churn_v1[Facture_Mensuelle],"non trouvé")</f>
        <v>74.319999999999993</v>
      </c>
      <c r="P504">
        <f>_xlfn.XLOOKUP(_26_03_2026_Log_Reseau_v15[[#This Row],[province RDC]],_26_03_2026_Client_Churn_v1[Province_Client],_26_03_2026_Client_Churn_v1[Plaintes_Service_Client],"non trouvé")</f>
        <v>1</v>
      </c>
    </row>
    <row r="505" spans="1:16" x14ac:dyDescent="0.25">
      <c r="A505" s="1">
        <v>45230</v>
      </c>
      <c r="B505" s="2">
        <v>0.48402777777777778</v>
      </c>
      <c r="C505" t="s">
        <v>1129</v>
      </c>
      <c r="D505">
        <v>37</v>
      </c>
      <c r="E505" t="s">
        <v>808</v>
      </c>
      <c r="F505" t="str">
        <f>_xlfn.XLOOKUP(_26_03_2026_Log_Reseau_v15[[#This Row],[Cell_ID]],_26_03_2026_Registre_Maintenance_v1[ID_Antenne],_26_03_2026_Registre_Maintenance_v1[zone],"pas trouvé")</f>
        <v>Kongo-Central</v>
      </c>
      <c r="G505">
        <f>_xlfn.XLOOKUP(_26_03_2026_Log_Reseau_v15[[#This Row],[Cell_ID]],_26_03_2026_Registre_Maintenance_v1[ID_Antenne],_26_03_2026_Registre_Maintenance_v1[Latitude],"non trouvé")</f>
        <v>-12.564277000000001</v>
      </c>
      <c r="H505">
        <f>_xlfn.XLOOKUP(_26_03_2026_Log_Reseau_v15[[#This Row],[Cell_ID]],_26_03_2026_Registre_Maintenance_v1[ID_Antenne],_26_03_2026_Registre_Maintenance_v1[Longitude],"pas trouvé")</f>
        <v>28.480798</v>
      </c>
      <c r="I505" t="str">
        <f>_xlfn.XLOOKUP(_26_03_2026_Log_Reseau_v15[[#This Row],[Cell_ID]],_26_03_2026_Registre_Maintenance_v1[ID_Antenne],_26_03_2026_Registre_Maintenance_v1[Technologie],"non trouvé")</f>
        <v>5G</v>
      </c>
      <c r="J505" t="str">
        <f>_xlfn.XLOOKUP(_26_03_2026_Log_Reseau_v15[[#This Row],[Cell_ID]],_26_03_2026_Registre_Maintenance_v1[ID_Antenne],_26_03_2026_Registre_Maintenance_v1[Equipementier],"pas trouvé")</f>
        <v>ZTE</v>
      </c>
      <c r="K505" t="str">
        <f>_xlfn.XLOOKUP(_26_03_2026_Log_Reseau_v15[[#This Row],[province RDC]],_26_03_2026_Client_Churn_v1[Province_Client],_26_03_2026_Client_Churn_v1[ID_Client],"non trouvé")</f>
        <v>CLI-01233</v>
      </c>
      <c r="L505">
        <f>_xlfn.XLOOKUP(_26_03_2026_Log_Reseau_v15[[#This Row],[province RDC]],_26_03_2026_Client_Churn_v1[Province_Client],_26_03_2026_Client_Churn_v1[Anciennete_Mois],"non trouvé")</f>
        <v>101</v>
      </c>
      <c r="M505" t="str">
        <f>_xlfn.XLOOKUP(_26_03_2026_Log_Reseau_v15[[#This Row],[province RDC]],_26_03_2026_Client_Churn_v1[Province_Client],_26_03_2026_Client_Churn_v1[Type_Forfait],"non trouvé")</f>
        <v>Pro Monde</v>
      </c>
      <c r="N505">
        <f>_xlfn.XLOOKUP(_26_03_2026_Log_Reseau_v15[[#This Row],[province RDC]],_26_03_2026_Client_Churn_v1[Province_Client],_26_03_2026_Client_Churn_v1[Duree_Cumulee_Panne_Min],"non trouvé")</f>
        <v>333</v>
      </c>
      <c r="O505">
        <f>_xlfn.XLOOKUP(_26_03_2026_Log_Reseau_v15[[#This Row],[province RDC]],_26_03_2026_Client_Churn_v1[Province_Client],_26_03_2026_Client_Churn_v1[Facture_Mensuelle],"non trouvé")</f>
        <v>74.319999999999993</v>
      </c>
      <c r="P505">
        <f>_xlfn.XLOOKUP(_26_03_2026_Log_Reseau_v15[[#This Row],[province RDC]],_26_03_2026_Client_Churn_v1[Province_Client],_26_03_2026_Client_Churn_v1[Plaintes_Service_Client],"non trouvé")</f>
        <v>1</v>
      </c>
    </row>
    <row r="506" spans="1:16" hidden="1" x14ac:dyDescent="0.25">
      <c r="A506" s="1">
        <v>45221</v>
      </c>
      <c r="B506" s="2">
        <v>9.583333333333334E-2</v>
      </c>
      <c r="C506" t="s">
        <v>1130</v>
      </c>
      <c r="D506">
        <v>113</v>
      </c>
      <c r="E506" t="s">
        <v>812</v>
      </c>
      <c r="F506" t="str">
        <f>_xlfn.XLOOKUP(_26_03_2026_Log_Reseau_v15[[#This Row],[Cell_ID]],_26_03_2026_Registre_Maintenance_v1[ID_Antenne],_26_03_2026_Registre_Maintenance_v1[zone],"pas trouvé")</f>
        <v>pas trouvé</v>
      </c>
      <c r="G506" t="str">
        <f>_xlfn.XLOOKUP(_26_03_2026_Log_Reseau_v15[[#This Row],[Cell_ID]],_26_03_2026_Registre_Maintenance_v1[ID_Antenne],_26_03_2026_Registre_Maintenance_v1[Latitude],"non trouvé")</f>
        <v>non trouvé</v>
      </c>
      <c r="H506" t="str">
        <f>_xlfn.XLOOKUP(_26_03_2026_Log_Reseau_v15[[#This Row],[Cell_ID]],_26_03_2026_Registre_Maintenance_v1[ID_Antenne],_26_03_2026_Registre_Maintenance_v1[Longitude],"pas trouvé")</f>
        <v>pas trouvé</v>
      </c>
      <c r="I506" t="str">
        <f>_xlfn.XLOOKUP(_26_03_2026_Log_Reseau_v15[[#This Row],[Cell_ID]],_26_03_2026_Registre_Maintenance_v1[ID_Antenne],_26_03_2026_Registre_Maintenance_v1[Technologie],"non trouvé")</f>
        <v>non trouvé</v>
      </c>
      <c r="J506" t="str">
        <f>_xlfn.XLOOKUP(_26_03_2026_Log_Reseau_v15[[#This Row],[Cell_ID]],_26_03_2026_Registre_Maintenance_v1[ID_Antenne],_26_03_2026_Registre_Maintenance_v1[Equipementier],"pas trouvé")</f>
        <v>pas trouvé</v>
      </c>
      <c r="K506" t="str">
        <f>_xlfn.XLOOKUP(_26_03_2026_Log_Reseau_v15[[#This Row],[province RDC]],_26_03_2026_Client_Churn_v1[Province_Client],_26_03_2026_Client_Churn_v1[ID_Client],"non trouvé")</f>
        <v>non trouvé</v>
      </c>
      <c r="L506" t="str">
        <f>_xlfn.XLOOKUP(_26_03_2026_Log_Reseau_v15[[#This Row],[province RDC]],_26_03_2026_Client_Churn_v1[Province_Client],_26_03_2026_Client_Churn_v1[Anciennete_Mois],"non trouvé")</f>
        <v>non trouvé</v>
      </c>
      <c r="M506" t="str">
        <f>_xlfn.XLOOKUP(_26_03_2026_Log_Reseau_v15[[#This Row],[province RDC]],_26_03_2026_Client_Churn_v1[Province_Client],_26_03_2026_Client_Churn_v1[Type_Forfait],"non trouvé")</f>
        <v>non trouvé</v>
      </c>
      <c r="N506" t="str">
        <f>_xlfn.XLOOKUP(_26_03_2026_Log_Reseau_v15[[#This Row],[province RDC]],_26_03_2026_Client_Churn_v1[Province_Client],_26_03_2026_Client_Churn_v1[Duree_Cumulee_Panne_Min],"non trouvé")</f>
        <v>non trouvé</v>
      </c>
      <c r="O506" t="str">
        <f>_xlfn.XLOOKUP(_26_03_2026_Log_Reseau_v15[[#This Row],[province RDC]],_26_03_2026_Client_Churn_v1[Province_Client],_26_03_2026_Client_Churn_v1[Facture_Mensuelle],"non trouvé")</f>
        <v>non trouvé</v>
      </c>
      <c r="P506" t="str">
        <f>_xlfn.XLOOKUP(_26_03_2026_Log_Reseau_v15[[#This Row],[province RDC]],_26_03_2026_Client_Churn_v1[Province_Client],_26_03_2026_Client_Churn_v1[Plaintes_Service_Client],"non trouvé")</f>
        <v>non trouvé</v>
      </c>
    </row>
    <row r="507" spans="1:16" hidden="1" x14ac:dyDescent="0.25">
      <c r="A507" s="1">
        <v>45209</v>
      </c>
      <c r="B507" s="2">
        <v>0.58819444444444446</v>
      </c>
      <c r="C507" t="s">
        <v>1130</v>
      </c>
      <c r="D507">
        <v>41</v>
      </c>
      <c r="E507" t="s">
        <v>808</v>
      </c>
      <c r="F507" t="str">
        <f>_xlfn.XLOOKUP(_26_03_2026_Log_Reseau_v15[[#This Row],[Cell_ID]],_26_03_2026_Registre_Maintenance_v1[ID_Antenne],_26_03_2026_Registre_Maintenance_v1[zone],"pas trouvé")</f>
        <v>pas trouvé</v>
      </c>
      <c r="G507" t="str">
        <f>_xlfn.XLOOKUP(_26_03_2026_Log_Reseau_v15[[#This Row],[Cell_ID]],_26_03_2026_Registre_Maintenance_v1[ID_Antenne],_26_03_2026_Registre_Maintenance_v1[Latitude],"non trouvé")</f>
        <v>non trouvé</v>
      </c>
      <c r="H507" t="str">
        <f>_xlfn.XLOOKUP(_26_03_2026_Log_Reseau_v15[[#This Row],[Cell_ID]],_26_03_2026_Registre_Maintenance_v1[ID_Antenne],_26_03_2026_Registre_Maintenance_v1[Longitude],"pas trouvé")</f>
        <v>pas trouvé</v>
      </c>
      <c r="I507" t="str">
        <f>_xlfn.XLOOKUP(_26_03_2026_Log_Reseau_v15[[#This Row],[Cell_ID]],_26_03_2026_Registre_Maintenance_v1[ID_Antenne],_26_03_2026_Registre_Maintenance_v1[Technologie],"non trouvé")</f>
        <v>non trouvé</v>
      </c>
      <c r="J507" t="str">
        <f>_xlfn.XLOOKUP(_26_03_2026_Log_Reseau_v15[[#This Row],[Cell_ID]],_26_03_2026_Registre_Maintenance_v1[ID_Antenne],_26_03_2026_Registre_Maintenance_v1[Equipementier],"pas trouvé")</f>
        <v>pas trouvé</v>
      </c>
      <c r="K507" t="str">
        <f>_xlfn.XLOOKUP(_26_03_2026_Log_Reseau_v15[[#This Row],[province RDC]],_26_03_2026_Client_Churn_v1[Province_Client],_26_03_2026_Client_Churn_v1[ID_Client],"non trouvé")</f>
        <v>non trouvé</v>
      </c>
      <c r="L507" t="str">
        <f>_xlfn.XLOOKUP(_26_03_2026_Log_Reseau_v15[[#This Row],[province RDC]],_26_03_2026_Client_Churn_v1[Province_Client],_26_03_2026_Client_Churn_v1[Anciennete_Mois],"non trouvé")</f>
        <v>non trouvé</v>
      </c>
      <c r="M507" t="str">
        <f>_xlfn.XLOOKUP(_26_03_2026_Log_Reseau_v15[[#This Row],[province RDC]],_26_03_2026_Client_Churn_v1[Province_Client],_26_03_2026_Client_Churn_v1[Type_Forfait],"non trouvé")</f>
        <v>non trouvé</v>
      </c>
      <c r="N507" t="str">
        <f>_xlfn.XLOOKUP(_26_03_2026_Log_Reseau_v15[[#This Row],[province RDC]],_26_03_2026_Client_Churn_v1[Province_Client],_26_03_2026_Client_Churn_v1[Duree_Cumulee_Panne_Min],"non trouvé")</f>
        <v>non trouvé</v>
      </c>
      <c r="O507" t="str">
        <f>_xlfn.XLOOKUP(_26_03_2026_Log_Reseau_v15[[#This Row],[province RDC]],_26_03_2026_Client_Churn_v1[Province_Client],_26_03_2026_Client_Churn_v1[Facture_Mensuelle],"non trouvé")</f>
        <v>non trouvé</v>
      </c>
      <c r="P507" t="str">
        <f>_xlfn.XLOOKUP(_26_03_2026_Log_Reseau_v15[[#This Row],[province RDC]],_26_03_2026_Client_Churn_v1[Province_Client],_26_03_2026_Client_Churn_v1[Plaintes_Service_Client],"non trouvé")</f>
        <v>non trouvé</v>
      </c>
    </row>
    <row r="508" spans="1:16" x14ac:dyDescent="0.25">
      <c r="A508" s="1">
        <v>45216</v>
      </c>
      <c r="B508" s="2">
        <v>0.13750000000000001</v>
      </c>
      <c r="C508" t="s">
        <v>1131</v>
      </c>
      <c r="D508">
        <v>120</v>
      </c>
      <c r="E508" t="s">
        <v>808</v>
      </c>
      <c r="F508" t="str">
        <f>_xlfn.XLOOKUP(_26_03_2026_Log_Reseau_v15[[#This Row],[Cell_ID]],_26_03_2026_Registre_Maintenance_v1[ID_Antenne],_26_03_2026_Registre_Maintenance_v1[zone],"pas trouvé")</f>
        <v>Mongala</v>
      </c>
      <c r="G508">
        <f>_xlfn.XLOOKUP(_26_03_2026_Log_Reseau_v15[[#This Row],[Cell_ID]],_26_03_2026_Registre_Maintenance_v1[ID_Antenne],_26_03_2026_Registre_Maintenance_v1[Latitude],"non trouvé")</f>
        <v>-7.2267089999999996</v>
      </c>
      <c r="H508">
        <f>_xlfn.XLOOKUP(_26_03_2026_Log_Reseau_v15[[#This Row],[Cell_ID]],_26_03_2026_Registre_Maintenance_v1[ID_Antenne],_26_03_2026_Registre_Maintenance_v1[Longitude],"pas trouvé")</f>
        <v>28.421362999999999</v>
      </c>
      <c r="I508" t="str">
        <f>_xlfn.XLOOKUP(_26_03_2026_Log_Reseau_v15[[#This Row],[Cell_ID]],_26_03_2026_Registre_Maintenance_v1[ID_Antenne],_26_03_2026_Registre_Maintenance_v1[Technologie],"non trouvé")</f>
        <v>5G</v>
      </c>
      <c r="J508" t="str">
        <f>_xlfn.XLOOKUP(_26_03_2026_Log_Reseau_v15[[#This Row],[Cell_ID]],_26_03_2026_Registre_Maintenance_v1[ID_Antenne],_26_03_2026_Registre_Maintenance_v1[Equipementier],"pas trouvé")</f>
        <v>Ericsson</v>
      </c>
      <c r="K508" t="str">
        <f>_xlfn.XLOOKUP(_26_03_2026_Log_Reseau_v15[[#This Row],[province RDC]],_26_03_2026_Client_Churn_v1[Province_Client],_26_03_2026_Client_Churn_v1[ID_Client],"non trouvé")</f>
        <v>CLI-00865</v>
      </c>
      <c r="L508">
        <f>_xlfn.XLOOKUP(_26_03_2026_Log_Reseau_v15[[#This Row],[province RDC]],_26_03_2026_Client_Churn_v1[Province_Client],_26_03_2026_Client_Churn_v1[Anciennete_Mois],"non trouvé")</f>
        <v>34</v>
      </c>
      <c r="M508" t="str">
        <f>_xlfn.XLOOKUP(_26_03_2026_Log_Reseau_v15[[#This Row],[province RDC]],_26_03_2026_Client_Churn_v1[Province_Client],_26_03_2026_Client_Churn_v1[Type_Forfait],"non trouvé")</f>
        <v>Pro Monde</v>
      </c>
      <c r="N508">
        <f>_xlfn.XLOOKUP(_26_03_2026_Log_Reseau_v15[[#This Row],[province RDC]],_26_03_2026_Client_Churn_v1[Province_Client],_26_03_2026_Client_Churn_v1[Duree_Cumulee_Panne_Min],"non trouvé")</f>
        <v>453</v>
      </c>
      <c r="O508">
        <f>_xlfn.XLOOKUP(_26_03_2026_Log_Reseau_v15[[#This Row],[province RDC]],_26_03_2026_Client_Churn_v1[Province_Client],_26_03_2026_Client_Churn_v1[Facture_Mensuelle],"non trouvé")</f>
        <v>56.84</v>
      </c>
      <c r="P508">
        <f>_xlfn.XLOOKUP(_26_03_2026_Log_Reseau_v15[[#This Row],[province RDC]],_26_03_2026_Client_Churn_v1[Province_Client],_26_03_2026_Client_Churn_v1[Plaintes_Service_Client],"non trouvé")</f>
        <v>0</v>
      </c>
    </row>
    <row r="509" spans="1:16" hidden="1" x14ac:dyDescent="0.25">
      <c r="A509" s="1">
        <v>45200</v>
      </c>
      <c r="B509" s="2">
        <v>0.9819444444444444</v>
      </c>
      <c r="C509" t="s">
        <v>1132</v>
      </c>
      <c r="D509">
        <v>98</v>
      </c>
      <c r="E509" t="s">
        <v>807</v>
      </c>
      <c r="F509" t="str">
        <f>_xlfn.XLOOKUP(_26_03_2026_Log_Reseau_v15[[#This Row],[Cell_ID]],_26_03_2026_Registre_Maintenance_v1[ID_Antenne],_26_03_2026_Registre_Maintenance_v1[zone],"pas trouvé")</f>
        <v>pas trouvé</v>
      </c>
      <c r="G509" t="str">
        <f>_xlfn.XLOOKUP(_26_03_2026_Log_Reseau_v15[[#This Row],[Cell_ID]],_26_03_2026_Registre_Maintenance_v1[ID_Antenne],_26_03_2026_Registre_Maintenance_v1[Latitude],"non trouvé")</f>
        <v>non trouvé</v>
      </c>
      <c r="H509" t="str">
        <f>_xlfn.XLOOKUP(_26_03_2026_Log_Reseau_v15[[#This Row],[Cell_ID]],_26_03_2026_Registre_Maintenance_v1[ID_Antenne],_26_03_2026_Registre_Maintenance_v1[Longitude],"pas trouvé")</f>
        <v>pas trouvé</v>
      </c>
      <c r="I509" t="str">
        <f>_xlfn.XLOOKUP(_26_03_2026_Log_Reseau_v15[[#This Row],[Cell_ID]],_26_03_2026_Registre_Maintenance_v1[ID_Antenne],_26_03_2026_Registre_Maintenance_v1[Technologie],"non trouvé")</f>
        <v>non trouvé</v>
      </c>
      <c r="J509" t="str">
        <f>_xlfn.XLOOKUP(_26_03_2026_Log_Reseau_v15[[#This Row],[Cell_ID]],_26_03_2026_Registre_Maintenance_v1[ID_Antenne],_26_03_2026_Registre_Maintenance_v1[Equipementier],"pas trouvé")</f>
        <v>pas trouvé</v>
      </c>
      <c r="K509" t="str">
        <f>_xlfn.XLOOKUP(_26_03_2026_Log_Reseau_v15[[#This Row],[province RDC]],_26_03_2026_Client_Churn_v1[Province_Client],_26_03_2026_Client_Churn_v1[ID_Client],"non trouvé")</f>
        <v>non trouvé</v>
      </c>
      <c r="L509" t="str">
        <f>_xlfn.XLOOKUP(_26_03_2026_Log_Reseau_v15[[#This Row],[province RDC]],_26_03_2026_Client_Churn_v1[Province_Client],_26_03_2026_Client_Churn_v1[Anciennete_Mois],"non trouvé")</f>
        <v>non trouvé</v>
      </c>
      <c r="M509" t="str">
        <f>_xlfn.XLOOKUP(_26_03_2026_Log_Reseau_v15[[#This Row],[province RDC]],_26_03_2026_Client_Churn_v1[Province_Client],_26_03_2026_Client_Churn_v1[Type_Forfait],"non trouvé")</f>
        <v>non trouvé</v>
      </c>
      <c r="N509" t="str">
        <f>_xlfn.XLOOKUP(_26_03_2026_Log_Reseau_v15[[#This Row],[province RDC]],_26_03_2026_Client_Churn_v1[Province_Client],_26_03_2026_Client_Churn_v1[Duree_Cumulee_Panne_Min],"non trouvé")</f>
        <v>non trouvé</v>
      </c>
      <c r="O509" t="str">
        <f>_xlfn.XLOOKUP(_26_03_2026_Log_Reseau_v15[[#This Row],[province RDC]],_26_03_2026_Client_Churn_v1[Province_Client],_26_03_2026_Client_Churn_v1[Facture_Mensuelle],"non trouvé")</f>
        <v>non trouvé</v>
      </c>
      <c r="P509" t="str">
        <f>_xlfn.XLOOKUP(_26_03_2026_Log_Reseau_v15[[#This Row],[province RDC]],_26_03_2026_Client_Churn_v1[Province_Client],_26_03_2026_Client_Churn_v1[Plaintes_Service_Client],"non trouvé")</f>
        <v>non trouvé</v>
      </c>
    </row>
    <row r="510" spans="1:16" hidden="1" x14ac:dyDescent="0.25">
      <c r="A510" s="1">
        <v>45211</v>
      </c>
      <c r="B510" s="2">
        <v>0.55972222222222223</v>
      </c>
      <c r="C510" t="s">
        <v>1132</v>
      </c>
      <c r="D510">
        <v>69</v>
      </c>
      <c r="E510" t="s">
        <v>808</v>
      </c>
      <c r="F510" t="str">
        <f>_xlfn.XLOOKUP(_26_03_2026_Log_Reseau_v15[[#This Row],[Cell_ID]],_26_03_2026_Registre_Maintenance_v1[ID_Antenne],_26_03_2026_Registre_Maintenance_v1[zone],"pas trouvé")</f>
        <v>pas trouvé</v>
      </c>
      <c r="G510" t="str">
        <f>_xlfn.XLOOKUP(_26_03_2026_Log_Reseau_v15[[#This Row],[Cell_ID]],_26_03_2026_Registre_Maintenance_v1[ID_Antenne],_26_03_2026_Registre_Maintenance_v1[Latitude],"non trouvé")</f>
        <v>non trouvé</v>
      </c>
      <c r="H510" t="str">
        <f>_xlfn.XLOOKUP(_26_03_2026_Log_Reseau_v15[[#This Row],[Cell_ID]],_26_03_2026_Registre_Maintenance_v1[ID_Antenne],_26_03_2026_Registre_Maintenance_v1[Longitude],"pas trouvé")</f>
        <v>pas trouvé</v>
      </c>
      <c r="I510" t="str">
        <f>_xlfn.XLOOKUP(_26_03_2026_Log_Reseau_v15[[#This Row],[Cell_ID]],_26_03_2026_Registre_Maintenance_v1[ID_Antenne],_26_03_2026_Registre_Maintenance_v1[Technologie],"non trouvé")</f>
        <v>non trouvé</v>
      </c>
      <c r="J510" t="str">
        <f>_xlfn.XLOOKUP(_26_03_2026_Log_Reseau_v15[[#This Row],[Cell_ID]],_26_03_2026_Registre_Maintenance_v1[ID_Antenne],_26_03_2026_Registre_Maintenance_v1[Equipementier],"pas trouvé")</f>
        <v>pas trouvé</v>
      </c>
      <c r="K510" t="str">
        <f>_xlfn.XLOOKUP(_26_03_2026_Log_Reseau_v15[[#This Row],[province RDC]],_26_03_2026_Client_Churn_v1[Province_Client],_26_03_2026_Client_Churn_v1[ID_Client],"non trouvé")</f>
        <v>non trouvé</v>
      </c>
      <c r="L510" t="str">
        <f>_xlfn.XLOOKUP(_26_03_2026_Log_Reseau_v15[[#This Row],[province RDC]],_26_03_2026_Client_Churn_v1[Province_Client],_26_03_2026_Client_Churn_v1[Anciennete_Mois],"non trouvé")</f>
        <v>non trouvé</v>
      </c>
      <c r="M510" t="str">
        <f>_xlfn.XLOOKUP(_26_03_2026_Log_Reseau_v15[[#This Row],[province RDC]],_26_03_2026_Client_Churn_v1[Province_Client],_26_03_2026_Client_Churn_v1[Type_Forfait],"non trouvé")</f>
        <v>non trouvé</v>
      </c>
      <c r="N510" t="str">
        <f>_xlfn.XLOOKUP(_26_03_2026_Log_Reseau_v15[[#This Row],[province RDC]],_26_03_2026_Client_Churn_v1[Province_Client],_26_03_2026_Client_Churn_v1[Duree_Cumulee_Panne_Min],"non trouvé")</f>
        <v>non trouvé</v>
      </c>
      <c r="O510" t="str">
        <f>_xlfn.XLOOKUP(_26_03_2026_Log_Reseau_v15[[#This Row],[province RDC]],_26_03_2026_Client_Churn_v1[Province_Client],_26_03_2026_Client_Churn_v1[Facture_Mensuelle],"non trouvé")</f>
        <v>non trouvé</v>
      </c>
      <c r="P510" t="str">
        <f>_xlfn.XLOOKUP(_26_03_2026_Log_Reseau_v15[[#This Row],[province RDC]],_26_03_2026_Client_Churn_v1[Province_Client],_26_03_2026_Client_Churn_v1[Plaintes_Service_Client],"non trouvé")</f>
        <v>non trouvé</v>
      </c>
    </row>
    <row r="511" spans="1:16" hidden="1" x14ac:dyDescent="0.25">
      <c r="A511" s="1">
        <v>45219</v>
      </c>
      <c r="B511" s="2">
        <v>0.84027777777777779</v>
      </c>
      <c r="C511" t="s">
        <v>1132</v>
      </c>
      <c r="D511">
        <v>92</v>
      </c>
      <c r="E511" t="s">
        <v>807</v>
      </c>
      <c r="F511" t="str">
        <f>_xlfn.XLOOKUP(_26_03_2026_Log_Reseau_v15[[#This Row],[Cell_ID]],_26_03_2026_Registre_Maintenance_v1[ID_Antenne],_26_03_2026_Registre_Maintenance_v1[zone],"pas trouvé")</f>
        <v>pas trouvé</v>
      </c>
      <c r="G511" t="str">
        <f>_xlfn.XLOOKUP(_26_03_2026_Log_Reseau_v15[[#This Row],[Cell_ID]],_26_03_2026_Registre_Maintenance_v1[ID_Antenne],_26_03_2026_Registre_Maintenance_v1[Latitude],"non trouvé")</f>
        <v>non trouvé</v>
      </c>
      <c r="H511" t="str">
        <f>_xlfn.XLOOKUP(_26_03_2026_Log_Reseau_v15[[#This Row],[Cell_ID]],_26_03_2026_Registre_Maintenance_v1[ID_Antenne],_26_03_2026_Registre_Maintenance_v1[Longitude],"pas trouvé")</f>
        <v>pas trouvé</v>
      </c>
      <c r="I511" t="str">
        <f>_xlfn.XLOOKUP(_26_03_2026_Log_Reseau_v15[[#This Row],[Cell_ID]],_26_03_2026_Registre_Maintenance_v1[ID_Antenne],_26_03_2026_Registre_Maintenance_v1[Technologie],"non trouvé")</f>
        <v>non trouvé</v>
      </c>
      <c r="J511" t="str">
        <f>_xlfn.XLOOKUP(_26_03_2026_Log_Reseau_v15[[#This Row],[Cell_ID]],_26_03_2026_Registre_Maintenance_v1[ID_Antenne],_26_03_2026_Registre_Maintenance_v1[Equipementier],"pas trouvé")</f>
        <v>pas trouvé</v>
      </c>
      <c r="K511" t="str">
        <f>_xlfn.XLOOKUP(_26_03_2026_Log_Reseau_v15[[#This Row],[province RDC]],_26_03_2026_Client_Churn_v1[Province_Client],_26_03_2026_Client_Churn_v1[ID_Client],"non trouvé")</f>
        <v>non trouvé</v>
      </c>
      <c r="L511" t="str">
        <f>_xlfn.XLOOKUP(_26_03_2026_Log_Reseau_v15[[#This Row],[province RDC]],_26_03_2026_Client_Churn_v1[Province_Client],_26_03_2026_Client_Churn_v1[Anciennete_Mois],"non trouvé")</f>
        <v>non trouvé</v>
      </c>
      <c r="M511" t="str">
        <f>_xlfn.XLOOKUP(_26_03_2026_Log_Reseau_v15[[#This Row],[province RDC]],_26_03_2026_Client_Churn_v1[Province_Client],_26_03_2026_Client_Churn_v1[Type_Forfait],"non trouvé")</f>
        <v>non trouvé</v>
      </c>
      <c r="N511" t="str">
        <f>_xlfn.XLOOKUP(_26_03_2026_Log_Reseau_v15[[#This Row],[province RDC]],_26_03_2026_Client_Churn_v1[Province_Client],_26_03_2026_Client_Churn_v1[Duree_Cumulee_Panne_Min],"non trouvé")</f>
        <v>non trouvé</v>
      </c>
      <c r="O511" t="str">
        <f>_xlfn.XLOOKUP(_26_03_2026_Log_Reseau_v15[[#This Row],[province RDC]],_26_03_2026_Client_Churn_v1[Province_Client],_26_03_2026_Client_Churn_v1[Facture_Mensuelle],"non trouvé")</f>
        <v>non trouvé</v>
      </c>
      <c r="P511" t="str">
        <f>_xlfn.XLOOKUP(_26_03_2026_Log_Reseau_v15[[#This Row],[province RDC]],_26_03_2026_Client_Churn_v1[Province_Client],_26_03_2026_Client_Churn_v1[Plaintes_Service_Client],"non trouvé")</f>
        <v>non trouvé</v>
      </c>
    </row>
    <row r="512" spans="1:16" x14ac:dyDescent="0.25">
      <c r="A512" s="1">
        <v>45228</v>
      </c>
      <c r="B512" s="2">
        <v>0.57708333333333328</v>
      </c>
      <c r="C512" t="s">
        <v>1133</v>
      </c>
      <c r="D512">
        <v>80</v>
      </c>
      <c r="E512" t="s">
        <v>812</v>
      </c>
      <c r="F512" t="str">
        <f>_xlfn.XLOOKUP(_26_03_2026_Log_Reseau_v15[[#This Row],[Cell_ID]],_26_03_2026_Registre_Maintenance_v1[ID_Antenne],_26_03_2026_Registre_Maintenance_v1[zone],"pas trouvé")</f>
        <v>Haut-Uele</v>
      </c>
      <c r="G512">
        <f>_xlfn.XLOOKUP(_26_03_2026_Log_Reseau_v15[[#This Row],[Cell_ID]],_26_03_2026_Registre_Maintenance_v1[ID_Antenne],_26_03_2026_Registre_Maintenance_v1[Latitude],"non trouvé")</f>
        <v>-1.8045979999999999</v>
      </c>
      <c r="H512">
        <f>_xlfn.XLOOKUP(_26_03_2026_Log_Reseau_v15[[#This Row],[Cell_ID]],_26_03_2026_Registre_Maintenance_v1[ID_Antenne],_26_03_2026_Registre_Maintenance_v1[Longitude],"pas trouvé")</f>
        <v>12.511096999999999</v>
      </c>
      <c r="I512" t="str">
        <f>_xlfn.XLOOKUP(_26_03_2026_Log_Reseau_v15[[#This Row],[Cell_ID]],_26_03_2026_Registre_Maintenance_v1[ID_Antenne],_26_03_2026_Registre_Maintenance_v1[Technologie],"non trouvé")</f>
        <v>3G</v>
      </c>
      <c r="J512" t="str">
        <f>_xlfn.XLOOKUP(_26_03_2026_Log_Reseau_v15[[#This Row],[Cell_ID]],_26_03_2026_Registre_Maintenance_v1[ID_Antenne],_26_03_2026_Registre_Maintenance_v1[Equipementier],"pas trouvé")</f>
        <v>Huawei</v>
      </c>
      <c r="K512" t="str">
        <f>_xlfn.XLOOKUP(_26_03_2026_Log_Reseau_v15[[#This Row],[province RDC]],_26_03_2026_Client_Churn_v1[Province_Client],_26_03_2026_Client_Churn_v1[ID_Client],"non trouvé")</f>
        <v>CLI-00439</v>
      </c>
      <c r="L512">
        <f>_xlfn.XLOOKUP(_26_03_2026_Log_Reseau_v15[[#This Row],[province RDC]],_26_03_2026_Client_Churn_v1[Province_Client],_26_03_2026_Client_Churn_v1[Anciennete_Mois],"non trouvé")</f>
        <v>40</v>
      </c>
      <c r="M512" t="str">
        <f>_xlfn.XLOOKUP(_26_03_2026_Log_Reseau_v15[[#This Row],[province RDC]],_26_03_2026_Client_Churn_v1[Province_Client],_26_03_2026_Client_Churn_v1[Type_Forfait],"non trouvé")</f>
        <v>Premium 5G 150Go</v>
      </c>
      <c r="N512">
        <f>_xlfn.XLOOKUP(_26_03_2026_Log_Reseau_v15[[#This Row],[province RDC]],_26_03_2026_Client_Churn_v1[Province_Client],_26_03_2026_Client_Churn_v1[Duree_Cumulee_Panne_Min],"non trouvé")</f>
        <v>345</v>
      </c>
      <c r="O512">
        <f>_xlfn.XLOOKUP(_26_03_2026_Log_Reseau_v15[[#This Row],[province RDC]],_26_03_2026_Client_Churn_v1[Province_Client],_26_03_2026_Client_Churn_v1[Facture_Mensuelle],"non trouvé")</f>
        <v>89.55</v>
      </c>
      <c r="P512">
        <f>_xlfn.XLOOKUP(_26_03_2026_Log_Reseau_v15[[#This Row],[province RDC]],_26_03_2026_Client_Churn_v1[Province_Client],_26_03_2026_Client_Churn_v1[Plaintes_Service_Client],"non trouvé")</f>
        <v>3</v>
      </c>
    </row>
    <row r="513" spans="1:16" x14ac:dyDescent="0.25">
      <c r="A513" s="1">
        <v>45217</v>
      </c>
      <c r="B513" s="2">
        <v>0.62708333333333333</v>
      </c>
      <c r="C513" t="s">
        <v>1133</v>
      </c>
      <c r="D513">
        <v>33</v>
      </c>
      <c r="E513" t="s">
        <v>807</v>
      </c>
      <c r="F513" t="str">
        <f>_xlfn.XLOOKUP(_26_03_2026_Log_Reseau_v15[[#This Row],[Cell_ID]],_26_03_2026_Registre_Maintenance_v1[ID_Antenne],_26_03_2026_Registre_Maintenance_v1[zone],"pas trouvé")</f>
        <v>Haut-Uele</v>
      </c>
      <c r="G513">
        <f>_xlfn.XLOOKUP(_26_03_2026_Log_Reseau_v15[[#This Row],[Cell_ID]],_26_03_2026_Registre_Maintenance_v1[ID_Antenne],_26_03_2026_Registre_Maintenance_v1[Latitude],"non trouvé")</f>
        <v>-1.8045979999999999</v>
      </c>
      <c r="H513">
        <f>_xlfn.XLOOKUP(_26_03_2026_Log_Reseau_v15[[#This Row],[Cell_ID]],_26_03_2026_Registre_Maintenance_v1[ID_Antenne],_26_03_2026_Registre_Maintenance_v1[Longitude],"pas trouvé")</f>
        <v>12.511096999999999</v>
      </c>
      <c r="I513" t="str">
        <f>_xlfn.XLOOKUP(_26_03_2026_Log_Reseau_v15[[#This Row],[Cell_ID]],_26_03_2026_Registre_Maintenance_v1[ID_Antenne],_26_03_2026_Registre_Maintenance_v1[Technologie],"non trouvé")</f>
        <v>3G</v>
      </c>
      <c r="J513" t="str">
        <f>_xlfn.XLOOKUP(_26_03_2026_Log_Reseau_v15[[#This Row],[Cell_ID]],_26_03_2026_Registre_Maintenance_v1[ID_Antenne],_26_03_2026_Registre_Maintenance_v1[Equipementier],"pas trouvé")</f>
        <v>Huawei</v>
      </c>
      <c r="K513" t="str">
        <f>_xlfn.XLOOKUP(_26_03_2026_Log_Reseau_v15[[#This Row],[province RDC]],_26_03_2026_Client_Churn_v1[Province_Client],_26_03_2026_Client_Churn_v1[ID_Client],"non trouvé")</f>
        <v>CLI-00439</v>
      </c>
      <c r="L513">
        <f>_xlfn.XLOOKUP(_26_03_2026_Log_Reseau_v15[[#This Row],[province RDC]],_26_03_2026_Client_Churn_v1[Province_Client],_26_03_2026_Client_Churn_v1[Anciennete_Mois],"non trouvé")</f>
        <v>40</v>
      </c>
      <c r="M513" t="str">
        <f>_xlfn.XLOOKUP(_26_03_2026_Log_Reseau_v15[[#This Row],[province RDC]],_26_03_2026_Client_Churn_v1[Province_Client],_26_03_2026_Client_Churn_v1[Type_Forfait],"non trouvé")</f>
        <v>Premium 5G 150Go</v>
      </c>
      <c r="N513">
        <f>_xlfn.XLOOKUP(_26_03_2026_Log_Reseau_v15[[#This Row],[province RDC]],_26_03_2026_Client_Churn_v1[Province_Client],_26_03_2026_Client_Churn_v1[Duree_Cumulee_Panne_Min],"non trouvé")</f>
        <v>345</v>
      </c>
      <c r="O513">
        <f>_xlfn.XLOOKUP(_26_03_2026_Log_Reseau_v15[[#This Row],[province RDC]],_26_03_2026_Client_Churn_v1[Province_Client],_26_03_2026_Client_Churn_v1[Facture_Mensuelle],"non trouvé")</f>
        <v>89.55</v>
      </c>
      <c r="P513">
        <f>_xlfn.XLOOKUP(_26_03_2026_Log_Reseau_v15[[#This Row],[province RDC]],_26_03_2026_Client_Churn_v1[Province_Client],_26_03_2026_Client_Churn_v1[Plaintes_Service_Client],"non trouvé")</f>
        <v>3</v>
      </c>
    </row>
    <row r="514" spans="1:16" x14ac:dyDescent="0.25">
      <c r="A514" s="1">
        <v>45212</v>
      </c>
      <c r="B514" s="2">
        <v>0.59930555555555554</v>
      </c>
      <c r="C514" t="s">
        <v>1133</v>
      </c>
      <c r="D514">
        <v>58</v>
      </c>
      <c r="E514" t="s">
        <v>808</v>
      </c>
      <c r="F514" t="str">
        <f>_xlfn.XLOOKUP(_26_03_2026_Log_Reseau_v15[[#This Row],[Cell_ID]],_26_03_2026_Registre_Maintenance_v1[ID_Antenne],_26_03_2026_Registre_Maintenance_v1[zone],"pas trouvé")</f>
        <v>Haut-Uele</v>
      </c>
      <c r="G514">
        <f>_xlfn.XLOOKUP(_26_03_2026_Log_Reseau_v15[[#This Row],[Cell_ID]],_26_03_2026_Registre_Maintenance_v1[ID_Antenne],_26_03_2026_Registre_Maintenance_v1[Latitude],"non trouvé")</f>
        <v>-1.8045979999999999</v>
      </c>
      <c r="H514">
        <f>_xlfn.XLOOKUP(_26_03_2026_Log_Reseau_v15[[#This Row],[Cell_ID]],_26_03_2026_Registre_Maintenance_v1[ID_Antenne],_26_03_2026_Registre_Maintenance_v1[Longitude],"pas trouvé")</f>
        <v>12.511096999999999</v>
      </c>
      <c r="I514" t="str">
        <f>_xlfn.XLOOKUP(_26_03_2026_Log_Reseau_v15[[#This Row],[Cell_ID]],_26_03_2026_Registre_Maintenance_v1[ID_Antenne],_26_03_2026_Registre_Maintenance_v1[Technologie],"non trouvé")</f>
        <v>3G</v>
      </c>
      <c r="J514" t="str">
        <f>_xlfn.XLOOKUP(_26_03_2026_Log_Reseau_v15[[#This Row],[Cell_ID]],_26_03_2026_Registre_Maintenance_v1[ID_Antenne],_26_03_2026_Registre_Maintenance_v1[Equipementier],"pas trouvé")</f>
        <v>Huawei</v>
      </c>
      <c r="K514" t="str">
        <f>_xlfn.XLOOKUP(_26_03_2026_Log_Reseau_v15[[#This Row],[province RDC]],_26_03_2026_Client_Churn_v1[Province_Client],_26_03_2026_Client_Churn_v1[ID_Client],"non trouvé")</f>
        <v>CLI-00439</v>
      </c>
      <c r="L514">
        <f>_xlfn.XLOOKUP(_26_03_2026_Log_Reseau_v15[[#This Row],[province RDC]],_26_03_2026_Client_Churn_v1[Province_Client],_26_03_2026_Client_Churn_v1[Anciennete_Mois],"non trouvé")</f>
        <v>40</v>
      </c>
      <c r="M514" t="str">
        <f>_xlfn.XLOOKUP(_26_03_2026_Log_Reseau_v15[[#This Row],[province RDC]],_26_03_2026_Client_Churn_v1[Province_Client],_26_03_2026_Client_Churn_v1[Type_Forfait],"non trouvé")</f>
        <v>Premium 5G 150Go</v>
      </c>
      <c r="N514">
        <f>_xlfn.XLOOKUP(_26_03_2026_Log_Reseau_v15[[#This Row],[province RDC]],_26_03_2026_Client_Churn_v1[Province_Client],_26_03_2026_Client_Churn_v1[Duree_Cumulee_Panne_Min],"non trouvé")</f>
        <v>345</v>
      </c>
      <c r="O514">
        <f>_xlfn.XLOOKUP(_26_03_2026_Log_Reseau_v15[[#This Row],[province RDC]],_26_03_2026_Client_Churn_v1[Province_Client],_26_03_2026_Client_Churn_v1[Facture_Mensuelle],"non trouvé")</f>
        <v>89.55</v>
      </c>
      <c r="P514">
        <f>_xlfn.XLOOKUP(_26_03_2026_Log_Reseau_v15[[#This Row],[province RDC]],_26_03_2026_Client_Churn_v1[Province_Client],_26_03_2026_Client_Churn_v1[Plaintes_Service_Client],"non trouvé")</f>
        <v>3</v>
      </c>
    </row>
    <row r="515" spans="1:16" x14ac:dyDescent="0.25">
      <c r="A515" s="1">
        <v>45218</v>
      </c>
      <c r="B515" s="2">
        <v>0.27013888888888887</v>
      </c>
      <c r="C515" t="s">
        <v>1133</v>
      </c>
      <c r="D515">
        <v>40</v>
      </c>
      <c r="E515" t="s">
        <v>808</v>
      </c>
      <c r="F515" t="str">
        <f>_xlfn.XLOOKUP(_26_03_2026_Log_Reseau_v15[[#This Row],[Cell_ID]],_26_03_2026_Registre_Maintenance_v1[ID_Antenne],_26_03_2026_Registre_Maintenance_v1[zone],"pas trouvé")</f>
        <v>Haut-Uele</v>
      </c>
      <c r="G515">
        <f>_xlfn.XLOOKUP(_26_03_2026_Log_Reseau_v15[[#This Row],[Cell_ID]],_26_03_2026_Registre_Maintenance_v1[ID_Antenne],_26_03_2026_Registre_Maintenance_v1[Latitude],"non trouvé")</f>
        <v>-1.8045979999999999</v>
      </c>
      <c r="H515">
        <f>_xlfn.XLOOKUP(_26_03_2026_Log_Reseau_v15[[#This Row],[Cell_ID]],_26_03_2026_Registre_Maintenance_v1[ID_Antenne],_26_03_2026_Registre_Maintenance_v1[Longitude],"pas trouvé")</f>
        <v>12.511096999999999</v>
      </c>
      <c r="I515" t="str">
        <f>_xlfn.XLOOKUP(_26_03_2026_Log_Reseau_v15[[#This Row],[Cell_ID]],_26_03_2026_Registre_Maintenance_v1[ID_Antenne],_26_03_2026_Registre_Maintenance_v1[Technologie],"non trouvé")</f>
        <v>3G</v>
      </c>
      <c r="J515" t="str">
        <f>_xlfn.XLOOKUP(_26_03_2026_Log_Reseau_v15[[#This Row],[Cell_ID]],_26_03_2026_Registre_Maintenance_v1[ID_Antenne],_26_03_2026_Registre_Maintenance_v1[Equipementier],"pas trouvé")</f>
        <v>Huawei</v>
      </c>
      <c r="K515" t="str">
        <f>_xlfn.XLOOKUP(_26_03_2026_Log_Reseau_v15[[#This Row],[province RDC]],_26_03_2026_Client_Churn_v1[Province_Client],_26_03_2026_Client_Churn_v1[ID_Client],"non trouvé")</f>
        <v>CLI-00439</v>
      </c>
      <c r="L515">
        <f>_xlfn.XLOOKUP(_26_03_2026_Log_Reseau_v15[[#This Row],[province RDC]],_26_03_2026_Client_Churn_v1[Province_Client],_26_03_2026_Client_Churn_v1[Anciennete_Mois],"non trouvé")</f>
        <v>40</v>
      </c>
      <c r="M515" t="str">
        <f>_xlfn.XLOOKUP(_26_03_2026_Log_Reseau_v15[[#This Row],[province RDC]],_26_03_2026_Client_Churn_v1[Province_Client],_26_03_2026_Client_Churn_v1[Type_Forfait],"non trouvé")</f>
        <v>Premium 5G 150Go</v>
      </c>
      <c r="N515">
        <f>_xlfn.XLOOKUP(_26_03_2026_Log_Reseau_v15[[#This Row],[province RDC]],_26_03_2026_Client_Churn_v1[Province_Client],_26_03_2026_Client_Churn_v1[Duree_Cumulee_Panne_Min],"non trouvé")</f>
        <v>345</v>
      </c>
      <c r="O515">
        <f>_xlfn.XLOOKUP(_26_03_2026_Log_Reseau_v15[[#This Row],[province RDC]],_26_03_2026_Client_Churn_v1[Province_Client],_26_03_2026_Client_Churn_v1[Facture_Mensuelle],"non trouvé")</f>
        <v>89.55</v>
      </c>
      <c r="P515">
        <f>_xlfn.XLOOKUP(_26_03_2026_Log_Reseau_v15[[#This Row],[province RDC]],_26_03_2026_Client_Churn_v1[Province_Client],_26_03_2026_Client_Churn_v1[Plaintes_Service_Client],"non trouvé")</f>
        <v>3</v>
      </c>
    </row>
    <row r="516" spans="1:16" hidden="1" x14ac:dyDescent="0.25">
      <c r="A516" s="1">
        <v>45219</v>
      </c>
      <c r="B516" s="2">
        <v>0.79374999999999996</v>
      </c>
      <c r="C516" t="s">
        <v>1134</v>
      </c>
      <c r="D516">
        <v>43</v>
      </c>
      <c r="E516" t="s">
        <v>808</v>
      </c>
      <c r="F516" t="str">
        <f>_xlfn.XLOOKUP(_26_03_2026_Log_Reseau_v15[[#This Row],[Cell_ID]],_26_03_2026_Registre_Maintenance_v1[ID_Antenne],_26_03_2026_Registre_Maintenance_v1[zone],"pas trouvé")</f>
        <v>pas trouvé</v>
      </c>
      <c r="G516" t="str">
        <f>_xlfn.XLOOKUP(_26_03_2026_Log_Reseau_v15[[#This Row],[Cell_ID]],_26_03_2026_Registre_Maintenance_v1[ID_Antenne],_26_03_2026_Registre_Maintenance_v1[Latitude],"non trouvé")</f>
        <v>non trouvé</v>
      </c>
      <c r="H516" t="str">
        <f>_xlfn.XLOOKUP(_26_03_2026_Log_Reseau_v15[[#This Row],[Cell_ID]],_26_03_2026_Registre_Maintenance_v1[ID_Antenne],_26_03_2026_Registre_Maintenance_v1[Longitude],"pas trouvé")</f>
        <v>pas trouvé</v>
      </c>
      <c r="I516" t="str">
        <f>_xlfn.XLOOKUP(_26_03_2026_Log_Reseau_v15[[#This Row],[Cell_ID]],_26_03_2026_Registre_Maintenance_v1[ID_Antenne],_26_03_2026_Registre_Maintenance_v1[Technologie],"non trouvé")</f>
        <v>non trouvé</v>
      </c>
      <c r="J516" t="str">
        <f>_xlfn.XLOOKUP(_26_03_2026_Log_Reseau_v15[[#This Row],[Cell_ID]],_26_03_2026_Registre_Maintenance_v1[ID_Antenne],_26_03_2026_Registre_Maintenance_v1[Equipementier],"pas trouvé")</f>
        <v>pas trouvé</v>
      </c>
      <c r="K516" t="str">
        <f>_xlfn.XLOOKUP(_26_03_2026_Log_Reseau_v15[[#This Row],[province RDC]],_26_03_2026_Client_Churn_v1[Province_Client],_26_03_2026_Client_Churn_v1[ID_Client],"non trouvé")</f>
        <v>non trouvé</v>
      </c>
      <c r="L516" t="str">
        <f>_xlfn.XLOOKUP(_26_03_2026_Log_Reseau_v15[[#This Row],[province RDC]],_26_03_2026_Client_Churn_v1[Province_Client],_26_03_2026_Client_Churn_v1[Anciennete_Mois],"non trouvé")</f>
        <v>non trouvé</v>
      </c>
      <c r="M516" t="str">
        <f>_xlfn.XLOOKUP(_26_03_2026_Log_Reseau_v15[[#This Row],[province RDC]],_26_03_2026_Client_Churn_v1[Province_Client],_26_03_2026_Client_Churn_v1[Type_Forfait],"non trouvé")</f>
        <v>non trouvé</v>
      </c>
      <c r="N516" t="str">
        <f>_xlfn.XLOOKUP(_26_03_2026_Log_Reseau_v15[[#This Row],[province RDC]],_26_03_2026_Client_Churn_v1[Province_Client],_26_03_2026_Client_Churn_v1[Duree_Cumulee_Panne_Min],"non trouvé")</f>
        <v>non trouvé</v>
      </c>
      <c r="O516" t="str">
        <f>_xlfn.XLOOKUP(_26_03_2026_Log_Reseau_v15[[#This Row],[province RDC]],_26_03_2026_Client_Churn_v1[Province_Client],_26_03_2026_Client_Churn_v1[Facture_Mensuelle],"non trouvé")</f>
        <v>non trouvé</v>
      </c>
      <c r="P516" t="str">
        <f>_xlfn.XLOOKUP(_26_03_2026_Log_Reseau_v15[[#This Row],[province RDC]],_26_03_2026_Client_Churn_v1[Province_Client],_26_03_2026_Client_Churn_v1[Plaintes_Service_Client],"non trouvé")</f>
        <v>non trouvé</v>
      </c>
    </row>
    <row r="517" spans="1:16" x14ac:dyDescent="0.25">
      <c r="A517" s="1">
        <v>45214</v>
      </c>
      <c r="B517" s="2">
        <v>0.16805555555555557</v>
      </c>
      <c r="C517" t="s">
        <v>1135</v>
      </c>
      <c r="D517">
        <v>106</v>
      </c>
      <c r="E517" t="s">
        <v>807</v>
      </c>
      <c r="F517" t="str">
        <f>_xlfn.XLOOKUP(_26_03_2026_Log_Reseau_v15[[#This Row],[Cell_ID]],_26_03_2026_Registre_Maintenance_v1[ID_Antenne],_26_03_2026_Registre_Maintenance_v1[zone],"pas trouvé")</f>
        <v>Sud-Kivu</v>
      </c>
      <c r="G517">
        <f>_xlfn.XLOOKUP(_26_03_2026_Log_Reseau_v15[[#This Row],[Cell_ID]],_26_03_2026_Registre_Maintenance_v1[ID_Antenne],_26_03_2026_Registre_Maintenance_v1[Latitude],"non trouvé")</f>
        <v>-11.207139</v>
      </c>
      <c r="H517">
        <f>_xlfn.XLOOKUP(_26_03_2026_Log_Reseau_v15[[#This Row],[Cell_ID]],_26_03_2026_Registre_Maintenance_v1[ID_Antenne],_26_03_2026_Registre_Maintenance_v1[Longitude],"pas trouvé")</f>
        <v>18.702511999999999</v>
      </c>
      <c r="I517" t="str">
        <f>_xlfn.XLOOKUP(_26_03_2026_Log_Reseau_v15[[#This Row],[Cell_ID]],_26_03_2026_Registre_Maintenance_v1[ID_Antenne],_26_03_2026_Registre_Maintenance_v1[Technologie],"non trouvé")</f>
        <v>5G</v>
      </c>
      <c r="J517" t="str">
        <f>_xlfn.XLOOKUP(_26_03_2026_Log_Reseau_v15[[#This Row],[Cell_ID]],_26_03_2026_Registre_Maintenance_v1[ID_Antenne],_26_03_2026_Registre_Maintenance_v1[Equipementier],"pas trouvé")</f>
        <v>Ericsson</v>
      </c>
      <c r="K517" t="str">
        <f>_xlfn.XLOOKUP(_26_03_2026_Log_Reseau_v15[[#This Row],[province RDC]],_26_03_2026_Client_Churn_v1[Province_Client],_26_03_2026_Client_Churn_v1[ID_Client],"non trouvé")</f>
        <v>CLI-01855</v>
      </c>
      <c r="L517">
        <f>_xlfn.XLOOKUP(_26_03_2026_Log_Reseau_v15[[#This Row],[province RDC]],_26_03_2026_Client_Churn_v1[Province_Client],_26_03_2026_Client_Churn_v1[Anciennete_Mois],"non trouvé")</f>
        <v>101</v>
      </c>
      <c r="M517" t="str">
        <f>_xlfn.XLOOKUP(_26_03_2026_Log_Reseau_v15[[#This Row],[province RDC]],_26_03_2026_Client_Churn_v1[Province_Client],_26_03_2026_Client_Churn_v1[Type_Forfait],"non trouvé")</f>
        <v>Illimité 50Go</v>
      </c>
      <c r="N517">
        <f>_xlfn.XLOOKUP(_26_03_2026_Log_Reseau_v15[[#This Row],[province RDC]],_26_03_2026_Client_Churn_v1[Province_Client],_26_03_2026_Client_Churn_v1[Duree_Cumulee_Panne_Min],"non trouvé")</f>
        <v>358</v>
      </c>
      <c r="O517">
        <f>_xlfn.XLOOKUP(_26_03_2026_Log_Reseau_v15[[#This Row],[province RDC]],_26_03_2026_Client_Churn_v1[Province_Client],_26_03_2026_Client_Churn_v1[Facture_Mensuelle],"non trouvé")</f>
        <v>29.24</v>
      </c>
      <c r="P517">
        <f>_xlfn.XLOOKUP(_26_03_2026_Log_Reseau_v15[[#This Row],[province RDC]],_26_03_2026_Client_Churn_v1[Province_Client],_26_03_2026_Client_Churn_v1[Plaintes_Service_Client],"non trouvé")</f>
        <v>3</v>
      </c>
    </row>
    <row r="518" spans="1:16" x14ac:dyDescent="0.25">
      <c r="A518" s="1">
        <v>45201</v>
      </c>
      <c r="B518" s="2">
        <v>0.52777777777777779</v>
      </c>
      <c r="C518" t="s">
        <v>1136</v>
      </c>
      <c r="D518">
        <v>20</v>
      </c>
      <c r="E518" t="s">
        <v>808</v>
      </c>
      <c r="F518" t="str">
        <f>_xlfn.XLOOKUP(_26_03_2026_Log_Reseau_v15[[#This Row],[Cell_ID]],_26_03_2026_Registre_Maintenance_v1[ID_Antenne],_26_03_2026_Registre_Maintenance_v1[zone],"pas trouvé")</f>
        <v>Bas-Uele</v>
      </c>
      <c r="G518">
        <f>_xlfn.XLOOKUP(_26_03_2026_Log_Reseau_v15[[#This Row],[Cell_ID]],_26_03_2026_Registre_Maintenance_v1[ID_Antenne],_26_03_2026_Registre_Maintenance_v1[Latitude],"non trouvé")</f>
        <v>0.45116099999999998</v>
      </c>
      <c r="H518">
        <f>_xlfn.XLOOKUP(_26_03_2026_Log_Reseau_v15[[#This Row],[Cell_ID]],_26_03_2026_Registre_Maintenance_v1[ID_Antenne],_26_03_2026_Registre_Maintenance_v1[Longitude],"pas trouvé")</f>
        <v>17.265761000000001</v>
      </c>
      <c r="I518" t="str">
        <f>_xlfn.XLOOKUP(_26_03_2026_Log_Reseau_v15[[#This Row],[Cell_ID]],_26_03_2026_Registre_Maintenance_v1[ID_Antenne],_26_03_2026_Registre_Maintenance_v1[Technologie],"non trouvé")</f>
        <v>4G</v>
      </c>
      <c r="J518" t="str">
        <f>_xlfn.XLOOKUP(_26_03_2026_Log_Reseau_v15[[#This Row],[Cell_ID]],_26_03_2026_Registre_Maintenance_v1[ID_Antenne],_26_03_2026_Registre_Maintenance_v1[Equipementier],"pas trouvé")</f>
        <v>Huawei</v>
      </c>
      <c r="K518" t="str">
        <f>_xlfn.XLOOKUP(_26_03_2026_Log_Reseau_v15[[#This Row],[province RDC]],_26_03_2026_Client_Churn_v1[Province_Client],_26_03_2026_Client_Churn_v1[ID_Client],"non trouvé")</f>
        <v>CLI-00414</v>
      </c>
      <c r="L518">
        <f>_xlfn.XLOOKUP(_26_03_2026_Log_Reseau_v15[[#This Row],[province RDC]],_26_03_2026_Client_Churn_v1[Province_Client],_26_03_2026_Client_Churn_v1[Anciennete_Mois],"non trouvé")</f>
        <v>99</v>
      </c>
      <c r="M518" t="str">
        <f>_xlfn.XLOOKUP(_26_03_2026_Log_Reseau_v15[[#This Row],[province RDC]],_26_03_2026_Client_Churn_v1[Province_Client],_26_03_2026_Client_Churn_v1[Type_Forfait],"non trouvé")</f>
        <v>Premium 5G 150Go</v>
      </c>
      <c r="N518">
        <f>_xlfn.XLOOKUP(_26_03_2026_Log_Reseau_v15[[#This Row],[province RDC]],_26_03_2026_Client_Churn_v1[Province_Client],_26_03_2026_Client_Churn_v1[Duree_Cumulee_Panne_Min],"non trouvé")</f>
        <v>447</v>
      </c>
      <c r="O518">
        <f>_xlfn.XLOOKUP(_26_03_2026_Log_Reseau_v15[[#This Row],[province RDC]],_26_03_2026_Client_Churn_v1[Province_Client],_26_03_2026_Client_Churn_v1[Facture_Mensuelle],"non trouvé")</f>
        <v>38.1</v>
      </c>
      <c r="P518">
        <f>_xlfn.XLOOKUP(_26_03_2026_Log_Reseau_v15[[#This Row],[province RDC]],_26_03_2026_Client_Churn_v1[Province_Client],_26_03_2026_Client_Churn_v1[Plaintes_Service_Client],"non trouvé")</f>
        <v>3</v>
      </c>
    </row>
    <row r="519" spans="1:16" hidden="1" x14ac:dyDescent="0.25">
      <c r="A519" s="1">
        <v>45203</v>
      </c>
      <c r="B519" s="2">
        <v>0.61527777777777781</v>
      </c>
      <c r="C519" t="s">
        <v>1137</v>
      </c>
      <c r="D519">
        <v>41</v>
      </c>
      <c r="E519" t="s">
        <v>807</v>
      </c>
      <c r="F519" t="str">
        <f>_xlfn.XLOOKUP(_26_03_2026_Log_Reseau_v15[[#This Row],[Cell_ID]],_26_03_2026_Registre_Maintenance_v1[ID_Antenne],_26_03_2026_Registre_Maintenance_v1[zone],"pas trouvé")</f>
        <v>pas trouvé</v>
      </c>
      <c r="G519" t="str">
        <f>_xlfn.XLOOKUP(_26_03_2026_Log_Reseau_v15[[#This Row],[Cell_ID]],_26_03_2026_Registre_Maintenance_v1[ID_Antenne],_26_03_2026_Registre_Maintenance_v1[Latitude],"non trouvé")</f>
        <v>non trouvé</v>
      </c>
      <c r="H519" t="str">
        <f>_xlfn.XLOOKUP(_26_03_2026_Log_Reseau_v15[[#This Row],[Cell_ID]],_26_03_2026_Registre_Maintenance_v1[ID_Antenne],_26_03_2026_Registre_Maintenance_v1[Longitude],"pas trouvé")</f>
        <v>pas trouvé</v>
      </c>
      <c r="I519" t="str">
        <f>_xlfn.XLOOKUP(_26_03_2026_Log_Reseau_v15[[#This Row],[Cell_ID]],_26_03_2026_Registre_Maintenance_v1[ID_Antenne],_26_03_2026_Registre_Maintenance_v1[Technologie],"non trouvé")</f>
        <v>non trouvé</v>
      </c>
      <c r="J519" t="str">
        <f>_xlfn.XLOOKUP(_26_03_2026_Log_Reseau_v15[[#This Row],[Cell_ID]],_26_03_2026_Registre_Maintenance_v1[ID_Antenne],_26_03_2026_Registre_Maintenance_v1[Equipementier],"pas trouvé")</f>
        <v>pas trouvé</v>
      </c>
      <c r="K519" t="str">
        <f>_xlfn.XLOOKUP(_26_03_2026_Log_Reseau_v15[[#This Row],[province RDC]],_26_03_2026_Client_Churn_v1[Province_Client],_26_03_2026_Client_Churn_v1[ID_Client],"non trouvé")</f>
        <v>non trouvé</v>
      </c>
      <c r="L519" t="str">
        <f>_xlfn.XLOOKUP(_26_03_2026_Log_Reseau_v15[[#This Row],[province RDC]],_26_03_2026_Client_Churn_v1[Province_Client],_26_03_2026_Client_Churn_v1[Anciennete_Mois],"non trouvé")</f>
        <v>non trouvé</v>
      </c>
      <c r="M519" t="str">
        <f>_xlfn.XLOOKUP(_26_03_2026_Log_Reseau_v15[[#This Row],[province RDC]],_26_03_2026_Client_Churn_v1[Province_Client],_26_03_2026_Client_Churn_v1[Type_Forfait],"non trouvé")</f>
        <v>non trouvé</v>
      </c>
      <c r="N519" t="str">
        <f>_xlfn.XLOOKUP(_26_03_2026_Log_Reseau_v15[[#This Row],[province RDC]],_26_03_2026_Client_Churn_v1[Province_Client],_26_03_2026_Client_Churn_v1[Duree_Cumulee_Panne_Min],"non trouvé")</f>
        <v>non trouvé</v>
      </c>
      <c r="O519" t="str">
        <f>_xlfn.XLOOKUP(_26_03_2026_Log_Reseau_v15[[#This Row],[province RDC]],_26_03_2026_Client_Churn_v1[Province_Client],_26_03_2026_Client_Churn_v1[Facture_Mensuelle],"non trouvé")</f>
        <v>non trouvé</v>
      </c>
      <c r="P519" t="str">
        <f>_xlfn.XLOOKUP(_26_03_2026_Log_Reseau_v15[[#This Row],[province RDC]],_26_03_2026_Client_Churn_v1[Province_Client],_26_03_2026_Client_Churn_v1[Plaintes_Service_Client],"non trouvé")</f>
        <v>non trouvé</v>
      </c>
    </row>
    <row r="520" spans="1:16" hidden="1" x14ac:dyDescent="0.25">
      <c r="A520" s="1">
        <v>45202</v>
      </c>
      <c r="B520" s="2">
        <v>0.69513888888888886</v>
      </c>
      <c r="C520" t="s">
        <v>1138</v>
      </c>
      <c r="D520">
        <v>49</v>
      </c>
      <c r="E520" t="s">
        <v>808</v>
      </c>
      <c r="F520" t="str">
        <f>_xlfn.XLOOKUP(_26_03_2026_Log_Reseau_v15[[#This Row],[Cell_ID]],_26_03_2026_Registre_Maintenance_v1[ID_Antenne],_26_03_2026_Registre_Maintenance_v1[zone],"pas trouvé")</f>
        <v>pas trouvé</v>
      </c>
      <c r="G520" t="str">
        <f>_xlfn.XLOOKUP(_26_03_2026_Log_Reseau_v15[[#This Row],[Cell_ID]],_26_03_2026_Registre_Maintenance_v1[ID_Antenne],_26_03_2026_Registre_Maintenance_v1[Latitude],"non trouvé")</f>
        <v>non trouvé</v>
      </c>
      <c r="H520" t="str">
        <f>_xlfn.XLOOKUP(_26_03_2026_Log_Reseau_v15[[#This Row],[Cell_ID]],_26_03_2026_Registre_Maintenance_v1[ID_Antenne],_26_03_2026_Registre_Maintenance_v1[Longitude],"pas trouvé")</f>
        <v>pas trouvé</v>
      </c>
      <c r="I520" t="str">
        <f>_xlfn.XLOOKUP(_26_03_2026_Log_Reseau_v15[[#This Row],[Cell_ID]],_26_03_2026_Registre_Maintenance_v1[ID_Antenne],_26_03_2026_Registre_Maintenance_v1[Technologie],"non trouvé")</f>
        <v>non trouvé</v>
      </c>
      <c r="J520" t="str">
        <f>_xlfn.XLOOKUP(_26_03_2026_Log_Reseau_v15[[#This Row],[Cell_ID]],_26_03_2026_Registre_Maintenance_v1[ID_Antenne],_26_03_2026_Registre_Maintenance_v1[Equipementier],"pas trouvé")</f>
        <v>pas trouvé</v>
      </c>
      <c r="K520" t="str">
        <f>_xlfn.XLOOKUP(_26_03_2026_Log_Reseau_v15[[#This Row],[province RDC]],_26_03_2026_Client_Churn_v1[Province_Client],_26_03_2026_Client_Churn_v1[ID_Client],"non trouvé")</f>
        <v>non trouvé</v>
      </c>
      <c r="L520" t="str">
        <f>_xlfn.XLOOKUP(_26_03_2026_Log_Reseau_v15[[#This Row],[province RDC]],_26_03_2026_Client_Churn_v1[Province_Client],_26_03_2026_Client_Churn_v1[Anciennete_Mois],"non trouvé")</f>
        <v>non trouvé</v>
      </c>
      <c r="M520" t="str">
        <f>_xlfn.XLOOKUP(_26_03_2026_Log_Reseau_v15[[#This Row],[province RDC]],_26_03_2026_Client_Churn_v1[Province_Client],_26_03_2026_Client_Churn_v1[Type_Forfait],"non trouvé")</f>
        <v>non trouvé</v>
      </c>
      <c r="N520" t="str">
        <f>_xlfn.XLOOKUP(_26_03_2026_Log_Reseau_v15[[#This Row],[province RDC]],_26_03_2026_Client_Churn_v1[Province_Client],_26_03_2026_Client_Churn_v1[Duree_Cumulee_Panne_Min],"non trouvé")</f>
        <v>non trouvé</v>
      </c>
      <c r="O520" t="str">
        <f>_xlfn.XLOOKUP(_26_03_2026_Log_Reseau_v15[[#This Row],[province RDC]],_26_03_2026_Client_Churn_v1[Province_Client],_26_03_2026_Client_Churn_v1[Facture_Mensuelle],"non trouvé")</f>
        <v>non trouvé</v>
      </c>
      <c r="P520" t="str">
        <f>_xlfn.XLOOKUP(_26_03_2026_Log_Reseau_v15[[#This Row],[province RDC]],_26_03_2026_Client_Churn_v1[Province_Client],_26_03_2026_Client_Churn_v1[Plaintes_Service_Client],"non trouvé")</f>
        <v>non trouvé</v>
      </c>
    </row>
    <row r="521" spans="1:16" x14ac:dyDescent="0.25">
      <c r="A521" s="1">
        <v>45214</v>
      </c>
      <c r="B521" s="2">
        <v>0.94305555555555554</v>
      </c>
      <c r="C521" t="s">
        <v>1139</v>
      </c>
      <c r="D521">
        <v>16</v>
      </c>
      <c r="E521" t="s">
        <v>807</v>
      </c>
      <c r="F521" t="str">
        <f>_xlfn.XLOOKUP(_26_03_2026_Log_Reseau_v15[[#This Row],[Cell_ID]],_26_03_2026_Registre_Maintenance_v1[ID_Antenne],_26_03_2026_Registre_Maintenance_v1[zone],"pas trouvé")</f>
        <v>Haut-Lomami</v>
      </c>
      <c r="G521">
        <f>_xlfn.XLOOKUP(_26_03_2026_Log_Reseau_v15[[#This Row],[Cell_ID]],_26_03_2026_Registre_Maintenance_v1[ID_Antenne],_26_03_2026_Registre_Maintenance_v1[Latitude],"non trouvé")</f>
        <v>1.210869</v>
      </c>
      <c r="H521">
        <f>_xlfn.XLOOKUP(_26_03_2026_Log_Reseau_v15[[#This Row],[Cell_ID]],_26_03_2026_Registre_Maintenance_v1[ID_Antenne],_26_03_2026_Registre_Maintenance_v1[Longitude],"pas trouvé")</f>
        <v>25.598741</v>
      </c>
      <c r="I521" t="str">
        <f>_xlfn.XLOOKUP(_26_03_2026_Log_Reseau_v15[[#This Row],[Cell_ID]],_26_03_2026_Registre_Maintenance_v1[ID_Antenne],_26_03_2026_Registre_Maintenance_v1[Technologie],"non trouvé")</f>
        <v>4G</v>
      </c>
      <c r="J521" t="str">
        <f>_xlfn.XLOOKUP(_26_03_2026_Log_Reseau_v15[[#This Row],[Cell_ID]],_26_03_2026_Registre_Maintenance_v1[ID_Antenne],_26_03_2026_Registre_Maintenance_v1[Equipementier],"pas trouvé")</f>
        <v>Ericsson</v>
      </c>
      <c r="K521" t="str">
        <f>_xlfn.XLOOKUP(_26_03_2026_Log_Reseau_v15[[#This Row],[province RDC]],_26_03_2026_Client_Churn_v1[Province_Client],_26_03_2026_Client_Churn_v1[ID_Client],"non trouvé")</f>
        <v>CLI-01325</v>
      </c>
      <c r="L521">
        <f>_xlfn.XLOOKUP(_26_03_2026_Log_Reseau_v15[[#This Row],[province RDC]],_26_03_2026_Client_Churn_v1[Province_Client],_26_03_2026_Client_Churn_v1[Anciennete_Mois],"non trouvé")</f>
        <v>44</v>
      </c>
      <c r="M521" t="str">
        <f>_xlfn.XLOOKUP(_26_03_2026_Log_Reseau_v15[[#This Row],[province RDC]],_26_03_2026_Client_Churn_v1[Province_Client],_26_03_2026_Client_Churn_v1[Type_Forfait],"non trouvé")</f>
        <v>Bloqué 5Go</v>
      </c>
      <c r="N521">
        <f>_xlfn.XLOOKUP(_26_03_2026_Log_Reseau_v15[[#This Row],[province RDC]],_26_03_2026_Client_Churn_v1[Province_Client],_26_03_2026_Client_Churn_v1[Duree_Cumulee_Panne_Min],"non trouvé")</f>
        <v>348</v>
      </c>
      <c r="O521">
        <f>_xlfn.XLOOKUP(_26_03_2026_Log_Reseau_v15[[#This Row],[province RDC]],_26_03_2026_Client_Churn_v1[Province_Client],_26_03_2026_Client_Churn_v1[Facture_Mensuelle],"non trouvé")</f>
        <v>58.67</v>
      </c>
      <c r="P521">
        <f>_xlfn.XLOOKUP(_26_03_2026_Log_Reseau_v15[[#This Row],[province RDC]],_26_03_2026_Client_Churn_v1[Province_Client],_26_03_2026_Client_Churn_v1[Plaintes_Service_Client],"non trouvé")</f>
        <v>0</v>
      </c>
    </row>
    <row r="522" spans="1:16" x14ac:dyDescent="0.25">
      <c r="A522" s="1">
        <v>45206</v>
      </c>
      <c r="B522" s="2">
        <v>0.85763888888888884</v>
      </c>
      <c r="C522" t="s">
        <v>1139</v>
      </c>
      <c r="D522">
        <v>45</v>
      </c>
      <c r="E522" t="s">
        <v>812</v>
      </c>
      <c r="F522" t="str">
        <f>_xlfn.XLOOKUP(_26_03_2026_Log_Reseau_v15[[#This Row],[Cell_ID]],_26_03_2026_Registre_Maintenance_v1[ID_Antenne],_26_03_2026_Registre_Maintenance_v1[zone],"pas trouvé")</f>
        <v>Haut-Lomami</v>
      </c>
      <c r="G522">
        <f>_xlfn.XLOOKUP(_26_03_2026_Log_Reseau_v15[[#This Row],[Cell_ID]],_26_03_2026_Registre_Maintenance_v1[ID_Antenne],_26_03_2026_Registre_Maintenance_v1[Latitude],"non trouvé")</f>
        <v>1.210869</v>
      </c>
      <c r="H522">
        <f>_xlfn.XLOOKUP(_26_03_2026_Log_Reseau_v15[[#This Row],[Cell_ID]],_26_03_2026_Registre_Maintenance_v1[ID_Antenne],_26_03_2026_Registre_Maintenance_v1[Longitude],"pas trouvé")</f>
        <v>25.598741</v>
      </c>
      <c r="I522" t="str">
        <f>_xlfn.XLOOKUP(_26_03_2026_Log_Reseau_v15[[#This Row],[Cell_ID]],_26_03_2026_Registre_Maintenance_v1[ID_Antenne],_26_03_2026_Registre_Maintenance_v1[Technologie],"non trouvé")</f>
        <v>4G</v>
      </c>
      <c r="J522" t="str">
        <f>_xlfn.XLOOKUP(_26_03_2026_Log_Reseau_v15[[#This Row],[Cell_ID]],_26_03_2026_Registre_Maintenance_v1[ID_Antenne],_26_03_2026_Registre_Maintenance_v1[Equipementier],"pas trouvé")</f>
        <v>Ericsson</v>
      </c>
      <c r="K522" t="str">
        <f>_xlfn.XLOOKUP(_26_03_2026_Log_Reseau_v15[[#This Row],[province RDC]],_26_03_2026_Client_Churn_v1[Province_Client],_26_03_2026_Client_Churn_v1[ID_Client],"non trouvé")</f>
        <v>CLI-01325</v>
      </c>
      <c r="L522">
        <f>_xlfn.XLOOKUP(_26_03_2026_Log_Reseau_v15[[#This Row],[province RDC]],_26_03_2026_Client_Churn_v1[Province_Client],_26_03_2026_Client_Churn_v1[Anciennete_Mois],"non trouvé")</f>
        <v>44</v>
      </c>
      <c r="M522" t="str">
        <f>_xlfn.XLOOKUP(_26_03_2026_Log_Reseau_v15[[#This Row],[province RDC]],_26_03_2026_Client_Churn_v1[Province_Client],_26_03_2026_Client_Churn_v1[Type_Forfait],"non trouvé")</f>
        <v>Bloqué 5Go</v>
      </c>
      <c r="N522">
        <f>_xlfn.XLOOKUP(_26_03_2026_Log_Reseau_v15[[#This Row],[province RDC]],_26_03_2026_Client_Churn_v1[Province_Client],_26_03_2026_Client_Churn_v1[Duree_Cumulee_Panne_Min],"non trouvé")</f>
        <v>348</v>
      </c>
      <c r="O522">
        <f>_xlfn.XLOOKUP(_26_03_2026_Log_Reseau_v15[[#This Row],[province RDC]],_26_03_2026_Client_Churn_v1[Province_Client],_26_03_2026_Client_Churn_v1[Facture_Mensuelle],"non trouvé")</f>
        <v>58.67</v>
      </c>
      <c r="P522">
        <f>_xlfn.XLOOKUP(_26_03_2026_Log_Reseau_v15[[#This Row],[province RDC]],_26_03_2026_Client_Churn_v1[Province_Client],_26_03_2026_Client_Churn_v1[Plaintes_Service_Client],"non trouvé")</f>
        <v>0</v>
      </c>
    </row>
    <row r="523" spans="1:16" x14ac:dyDescent="0.25">
      <c r="A523" s="1">
        <v>45210</v>
      </c>
      <c r="B523" s="2">
        <v>0.92638888888888893</v>
      </c>
      <c r="C523" t="s">
        <v>1139</v>
      </c>
      <c r="D523">
        <v>45</v>
      </c>
      <c r="E523" t="s">
        <v>808</v>
      </c>
      <c r="F523" t="str">
        <f>_xlfn.XLOOKUP(_26_03_2026_Log_Reseau_v15[[#This Row],[Cell_ID]],_26_03_2026_Registre_Maintenance_v1[ID_Antenne],_26_03_2026_Registre_Maintenance_v1[zone],"pas trouvé")</f>
        <v>Haut-Lomami</v>
      </c>
      <c r="G523">
        <f>_xlfn.XLOOKUP(_26_03_2026_Log_Reseau_v15[[#This Row],[Cell_ID]],_26_03_2026_Registre_Maintenance_v1[ID_Antenne],_26_03_2026_Registre_Maintenance_v1[Latitude],"non trouvé")</f>
        <v>1.210869</v>
      </c>
      <c r="H523">
        <f>_xlfn.XLOOKUP(_26_03_2026_Log_Reseau_v15[[#This Row],[Cell_ID]],_26_03_2026_Registre_Maintenance_v1[ID_Antenne],_26_03_2026_Registre_Maintenance_v1[Longitude],"pas trouvé")</f>
        <v>25.598741</v>
      </c>
      <c r="I523" t="str">
        <f>_xlfn.XLOOKUP(_26_03_2026_Log_Reseau_v15[[#This Row],[Cell_ID]],_26_03_2026_Registre_Maintenance_v1[ID_Antenne],_26_03_2026_Registre_Maintenance_v1[Technologie],"non trouvé")</f>
        <v>4G</v>
      </c>
      <c r="J523" t="str">
        <f>_xlfn.XLOOKUP(_26_03_2026_Log_Reseau_v15[[#This Row],[Cell_ID]],_26_03_2026_Registre_Maintenance_v1[ID_Antenne],_26_03_2026_Registre_Maintenance_v1[Equipementier],"pas trouvé")</f>
        <v>Ericsson</v>
      </c>
      <c r="K523" t="str">
        <f>_xlfn.XLOOKUP(_26_03_2026_Log_Reseau_v15[[#This Row],[province RDC]],_26_03_2026_Client_Churn_v1[Province_Client],_26_03_2026_Client_Churn_v1[ID_Client],"non trouvé")</f>
        <v>CLI-01325</v>
      </c>
      <c r="L523">
        <f>_xlfn.XLOOKUP(_26_03_2026_Log_Reseau_v15[[#This Row],[province RDC]],_26_03_2026_Client_Churn_v1[Province_Client],_26_03_2026_Client_Churn_v1[Anciennete_Mois],"non trouvé")</f>
        <v>44</v>
      </c>
      <c r="M523" t="str">
        <f>_xlfn.XLOOKUP(_26_03_2026_Log_Reseau_v15[[#This Row],[province RDC]],_26_03_2026_Client_Churn_v1[Province_Client],_26_03_2026_Client_Churn_v1[Type_Forfait],"non trouvé")</f>
        <v>Bloqué 5Go</v>
      </c>
      <c r="N523">
        <f>_xlfn.XLOOKUP(_26_03_2026_Log_Reseau_v15[[#This Row],[province RDC]],_26_03_2026_Client_Churn_v1[Province_Client],_26_03_2026_Client_Churn_v1[Duree_Cumulee_Panne_Min],"non trouvé")</f>
        <v>348</v>
      </c>
      <c r="O523">
        <f>_xlfn.XLOOKUP(_26_03_2026_Log_Reseau_v15[[#This Row],[province RDC]],_26_03_2026_Client_Churn_v1[Province_Client],_26_03_2026_Client_Churn_v1[Facture_Mensuelle],"non trouvé")</f>
        <v>58.67</v>
      </c>
      <c r="P523">
        <f>_xlfn.XLOOKUP(_26_03_2026_Log_Reseau_v15[[#This Row],[province RDC]],_26_03_2026_Client_Churn_v1[Province_Client],_26_03_2026_Client_Churn_v1[Plaintes_Service_Client],"non trouvé")</f>
        <v>0</v>
      </c>
    </row>
    <row r="524" spans="1:16" hidden="1" x14ac:dyDescent="0.25">
      <c r="A524" s="1">
        <v>45204</v>
      </c>
      <c r="B524" s="2">
        <v>9.0277777777777776E-2</v>
      </c>
      <c r="C524" t="s">
        <v>1140</v>
      </c>
      <c r="D524">
        <v>93</v>
      </c>
      <c r="E524" t="s">
        <v>812</v>
      </c>
      <c r="F524" t="str">
        <f>_xlfn.XLOOKUP(_26_03_2026_Log_Reseau_v15[[#This Row],[Cell_ID]],_26_03_2026_Registre_Maintenance_v1[ID_Antenne],_26_03_2026_Registre_Maintenance_v1[zone],"pas trouvé")</f>
        <v>pas trouvé</v>
      </c>
      <c r="G524" t="str">
        <f>_xlfn.XLOOKUP(_26_03_2026_Log_Reseau_v15[[#This Row],[Cell_ID]],_26_03_2026_Registre_Maintenance_v1[ID_Antenne],_26_03_2026_Registre_Maintenance_v1[Latitude],"non trouvé")</f>
        <v>non trouvé</v>
      </c>
      <c r="H524" t="str">
        <f>_xlfn.XLOOKUP(_26_03_2026_Log_Reseau_v15[[#This Row],[Cell_ID]],_26_03_2026_Registre_Maintenance_v1[ID_Antenne],_26_03_2026_Registre_Maintenance_v1[Longitude],"pas trouvé")</f>
        <v>pas trouvé</v>
      </c>
      <c r="I524" t="str">
        <f>_xlfn.XLOOKUP(_26_03_2026_Log_Reseau_v15[[#This Row],[Cell_ID]],_26_03_2026_Registre_Maintenance_v1[ID_Antenne],_26_03_2026_Registre_Maintenance_v1[Technologie],"non trouvé")</f>
        <v>non trouvé</v>
      </c>
      <c r="J524" t="str">
        <f>_xlfn.XLOOKUP(_26_03_2026_Log_Reseau_v15[[#This Row],[Cell_ID]],_26_03_2026_Registre_Maintenance_v1[ID_Antenne],_26_03_2026_Registre_Maintenance_v1[Equipementier],"pas trouvé")</f>
        <v>pas trouvé</v>
      </c>
      <c r="K524" t="str">
        <f>_xlfn.XLOOKUP(_26_03_2026_Log_Reseau_v15[[#This Row],[province RDC]],_26_03_2026_Client_Churn_v1[Province_Client],_26_03_2026_Client_Churn_v1[ID_Client],"non trouvé")</f>
        <v>non trouvé</v>
      </c>
      <c r="L524" t="str">
        <f>_xlfn.XLOOKUP(_26_03_2026_Log_Reseau_v15[[#This Row],[province RDC]],_26_03_2026_Client_Churn_v1[Province_Client],_26_03_2026_Client_Churn_v1[Anciennete_Mois],"non trouvé")</f>
        <v>non trouvé</v>
      </c>
      <c r="M524" t="str">
        <f>_xlfn.XLOOKUP(_26_03_2026_Log_Reseau_v15[[#This Row],[province RDC]],_26_03_2026_Client_Churn_v1[Province_Client],_26_03_2026_Client_Churn_v1[Type_Forfait],"non trouvé")</f>
        <v>non trouvé</v>
      </c>
      <c r="N524" t="str">
        <f>_xlfn.XLOOKUP(_26_03_2026_Log_Reseau_v15[[#This Row],[province RDC]],_26_03_2026_Client_Churn_v1[Province_Client],_26_03_2026_Client_Churn_v1[Duree_Cumulee_Panne_Min],"non trouvé")</f>
        <v>non trouvé</v>
      </c>
      <c r="O524" t="str">
        <f>_xlfn.XLOOKUP(_26_03_2026_Log_Reseau_v15[[#This Row],[province RDC]],_26_03_2026_Client_Churn_v1[Province_Client],_26_03_2026_Client_Churn_v1[Facture_Mensuelle],"non trouvé")</f>
        <v>non trouvé</v>
      </c>
      <c r="P524" t="str">
        <f>_xlfn.XLOOKUP(_26_03_2026_Log_Reseau_v15[[#This Row],[province RDC]],_26_03_2026_Client_Churn_v1[Province_Client],_26_03_2026_Client_Churn_v1[Plaintes_Service_Client],"non trouvé")</f>
        <v>non trouvé</v>
      </c>
    </row>
    <row r="525" spans="1:16" hidden="1" x14ac:dyDescent="0.25">
      <c r="A525" s="1">
        <v>45203</v>
      </c>
      <c r="B525" s="2">
        <v>9.0277777777777769E-3</v>
      </c>
      <c r="C525" t="s">
        <v>1140</v>
      </c>
      <c r="D525">
        <v>49</v>
      </c>
      <c r="E525" t="s">
        <v>807</v>
      </c>
      <c r="F525" t="str">
        <f>_xlfn.XLOOKUP(_26_03_2026_Log_Reseau_v15[[#This Row],[Cell_ID]],_26_03_2026_Registre_Maintenance_v1[ID_Antenne],_26_03_2026_Registre_Maintenance_v1[zone],"pas trouvé")</f>
        <v>pas trouvé</v>
      </c>
      <c r="G525" t="str">
        <f>_xlfn.XLOOKUP(_26_03_2026_Log_Reseau_v15[[#This Row],[Cell_ID]],_26_03_2026_Registre_Maintenance_v1[ID_Antenne],_26_03_2026_Registre_Maintenance_v1[Latitude],"non trouvé")</f>
        <v>non trouvé</v>
      </c>
      <c r="H525" t="str">
        <f>_xlfn.XLOOKUP(_26_03_2026_Log_Reseau_v15[[#This Row],[Cell_ID]],_26_03_2026_Registre_Maintenance_v1[ID_Antenne],_26_03_2026_Registre_Maintenance_v1[Longitude],"pas trouvé")</f>
        <v>pas trouvé</v>
      </c>
      <c r="I525" t="str">
        <f>_xlfn.XLOOKUP(_26_03_2026_Log_Reseau_v15[[#This Row],[Cell_ID]],_26_03_2026_Registre_Maintenance_v1[ID_Antenne],_26_03_2026_Registre_Maintenance_v1[Technologie],"non trouvé")</f>
        <v>non trouvé</v>
      </c>
      <c r="J525" t="str">
        <f>_xlfn.XLOOKUP(_26_03_2026_Log_Reseau_v15[[#This Row],[Cell_ID]],_26_03_2026_Registre_Maintenance_v1[ID_Antenne],_26_03_2026_Registre_Maintenance_v1[Equipementier],"pas trouvé")</f>
        <v>pas trouvé</v>
      </c>
      <c r="K525" t="str">
        <f>_xlfn.XLOOKUP(_26_03_2026_Log_Reseau_v15[[#This Row],[province RDC]],_26_03_2026_Client_Churn_v1[Province_Client],_26_03_2026_Client_Churn_v1[ID_Client],"non trouvé")</f>
        <v>non trouvé</v>
      </c>
      <c r="L525" t="str">
        <f>_xlfn.XLOOKUP(_26_03_2026_Log_Reseau_v15[[#This Row],[province RDC]],_26_03_2026_Client_Churn_v1[Province_Client],_26_03_2026_Client_Churn_v1[Anciennete_Mois],"non trouvé")</f>
        <v>non trouvé</v>
      </c>
      <c r="M525" t="str">
        <f>_xlfn.XLOOKUP(_26_03_2026_Log_Reseau_v15[[#This Row],[province RDC]],_26_03_2026_Client_Churn_v1[Province_Client],_26_03_2026_Client_Churn_v1[Type_Forfait],"non trouvé")</f>
        <v>non trouvé</v>
      </c>
      <c r="N525" t="str">
        <f>_xlfn.XLOOKUP(_26_03_2026_Log_Reseau_v15[[#This Row],[province RDC]],_26_03_2026_Client_Churn_v1[Province_Client],_26_03_2026_Client_Churn_v1[Duree_Cumulee_Panne_Min],"non trouvé")</f>
        <v>non trouvé</v>
      </c>
      <c r="O525" t="str">
        <f>_xlfn.XLOOKUP(_26_03_2026_Log_Reseau_v15[[#This Row],[province RDC]],_26_03_2026_Client_Churn_v1[Province_Client],_26_03_2026_Client_Churn_v1[Facture_Mensuelle],"non trouvé")</f>
        <v>non trouvé</v>
      </c>
      <c r="P525" t="str">
        <f>_xlfn.XLOOKUP(_26_03_2026_Log_Reseau_v15[[#This Row],[province RDC]],_26_03_2026_Client_Churn_v1[Province_Client],_26_03_2026_Client_Churn_v1[Plaintes_Service_Client],"non trouvé")</f>
        <v>non trouvé</v>
      </c>
    </row>
    <row r="526" spans="1:16" hidden="1" x14ac:dyDescent="0.25">
      <c r="A526" s="1">
        <v>45217</v>
      </c>
      <c r="B526" s="2">
        <v>0.28125</v>
      </c>
      <c r="C526" t="s">
        <v>1141</v>
      </c>
      <c r="D526">
        <v>51</v>
      </c>
      <c r="E526" t="s">
        <v>808</v>
      </c>
      <c r="F526" t="str">
        <f>_xlfn.XLOOKUP(_26_03_2026_Log_Reseau_v15[[#This Row],[Cell_ID]],_26_03_2026_Registre_Maintenance_v1[ID_Antenne],_26_03_2026_Registre_Maintenance_v1[zone],"pas trouvé")</f>
        <v>pas trouvé</v>
      </c>
      <c r="G526" t="str">
        <f>_xlfn.XLOOKUP(_26_03_2026_Log_Reseau_v15[[#This Row],[Cell_ID]],_26_03_2026_Registre_Maintenance_v1[ID_Antenne],_26_03_2026_Registre_Maintenance_v1[Latitude],"non trouvé")</f>
        <v>non trouvé</v>
      </c>
      <c r="H526" t="str">
        <f>_xlfn.XLOOKUP(_26_03_2026_Log_Reseau_v15[[#This Row],[Cell_ID]],_26_03_2026_Registre_Maintenance_v1[ID_Antenne],_26_03_2026_Registre_Maintenance_v1[Longitude],"pas trouvé")</f>
        <v>pas trouvé</v>
      </c>
      <c r="I526" t="str">
        <f>_xlfn.XLOOKUP(_26_03_2026_Log_Reseau_v15[[#This Row],[Cell_ID]],_26_03_2026_Registre_Maintenance_v1[ID_Antenne],_26_03_2026_Registre_Maintenance_v1[Technologie],"non trouvé")</f>
        <v>non trouvé</v>
      </c>
      <c r="J526" t="str">
        <f>_xlfn.XLOOKUP(_26_03_2026_Log_Reseau_v15[[#This Row],[Cell_ID]],_26_03_2026_Registre_Maintenance_v1[ID_Antenne],_26_03_2026_Registre_Maintenance_v1[Equipementier],"pas trouvé")</f>
        <v>pas trouvé</v>
      </c>
      <c r="K526" t="str">
        <f>_xlfn.XLOOKUP(_26_03_2026_Log_Reseau_v15[[#This Row],[province RDC]],_26_03_2026_Client_Churn_v1[Province_Client],_26_03_2026_Client_Churn_v1[ID_Client],"non trouvé")</f>
        <v>non trouvé</v>
      </c>
      <c r="L526" t="str">
        <f>_xlfn.XLOOKUP(_26_03_2026_Log_Reseau_v15[[#This Row],[province RDC]],_26_03_2026_Client_Churn_v1[Province_Client],_26_03_2026_Client_Churn_v1[Anciennete_Mois],"non trouvé")</f>
        <v>non trouvé</v>
      </c>
      <c r="M526" t="str">
        <f>_xlfn.XLOOKUP(_26_03_2026_Log_Reseau_v15[[#This Row],[province RDC]],_26_03_2026_Client_Churn_v1[Province_Client],_26_03_2026_Client_Churn_v1[Type_Forfait],"non trouvé")</f>
        <v>non trouvé</v>
      </c>
      <c r="N526" t="str">
        <f>_xlfn.XLOOKUP(_26_03_2026_Log_Reseau_v15[[#This Row],[province RDC]],_26_03_2026_Client_Churn_v1[Province_Client],_26_03_2026_Client_Churn_v1[Duree_Cumulee_Panne_Min],"non trouvé")</f>
        <v>non trouvé</v>
      </c>
      <c r="O526" t="str">
        <f>_xlfn.XLOOKUP(_26_03_2026_Log_Reseau_v15[[#This Row],[province RDC]],_26_03_2026_Client_Churn_v1[Province_Client],_26_03_2026_Client_Churn_v1[Facture_Mensuelle],"non trouvé")</f>
        <v>non trouvé</v>
      </c>
      <c r="P526" t="str">
        <f>_xlfn.XLOOKUP(_26_03_2026_Log_Reseau_v15[[#This Row],[province RDC]],_26_03_2026_Client_Churn_v1[Province_Client],_26_03_2026_Client_Churn_v1[Plaintes_Service_Client],"non trouvé")</f>
        <v>non trouvé</v>
      </c>
    </row>
    <row r="527" spans="1:16" x14ac:dyDescent="0.25">
      <c r="A527" s="1">
        <v>45227</v>
      </c>
      <c r="B527" s="2">
        <v>0.52708333333333335</v>
      </c>
      <c r="C527" t="s">
        <v>1142</v>
      </c>
      <c r="D527">
        <v>107</v>
      </c>
      <c r="E527" t="s">
        <v>808</v>
      </c>
      <c r="F527" t="str">
        <f>_xlfn.XLOOKUP(_26_03_2026_Log_Reseau_v15[[#This Row],[Cell_ID]],_26_03_2026_Registre_Maintenance_v1[ID_Antenne],_26_03_2026_Registre_Maintenance_v1[zone],"pas trouvé")</f>
        <v>Tanganyika</v>
      </c>
      <c r="G527">
        <f>_xlfn.XLOOKUP(_26_03_2026_Log_Reseau_v15[[#This Row],[Cell_ID]],_26_03_2026_Registre_Maintenance_v1[ID_Antenne],_26_03_2026_Registre_Maintenance_v1[Latitude],"non trouvé")</f>
        <v>-1.50664</v>
      </c>
      <c r="H527">
        <f>_xlfn.XLOOKUP(_26_03_2026_Log_Reseau_v15[[#This Row],[Cell_ID]],_26_03_2026_Registre_Maintenance_v1[ID_Antenne],_26_03_2026_Registre_Maintenance_v1[Longitude],"pas trouvé")</f>
        <v>27.795642000000001</v>
      </c>
      <c r="I527" t="str">
        <f>_xlfn.XLOOKUP(_26_03_2026_Log_Reseau_v15[[#This Row],[Cell_ID]],_26_03_2026_Registre_Maintenance_v1[ID_Antenne],_26_03_2026_Registre_Maintenance_v1[Technologie],"non trouvé")</f>
        <v>5G</v>
      </c>
      <c r="J527" t="str">
        <f>_xlfn.XLOOKUP(_26_03_2026_Log_Reseau_v15[[#This Row],[Cell_ID]],_26_03_2026_Registre_Maintenance_v1[ID_Antenne],_26_03_2026_Registre_Maintenance_v1[Equipementier],"pas trouvé")</f>
        <v>ZTE</v>
      </c>
      <c r="K527" t="str">
        <f>_xlfn.XLOOKUP(_26_03_2026_Log_Reseau_v15[[#This Row],[province RDC]],_26_03_2026_Client_Churn_v1[Province_Client],_26_03_2026_Client_Churn_v1[ID_Client],"non trouvé")</f>
        <v>CLI-01618</v>
      </c>
      <c r="L527">
        <f>_xlfn.XLOOKUP(_26_03_2026_Log_Reseau_v15[[#This Row],[province RDC]],_26_03_2026_Client_Churn_v1[Province_Client],_26_03_2026_Client_Churn_v1[Anciennete_Mois],"non trouvé")</f>
        <v>115</v>
      </c>
      <c r="M527" t="str">
        <f>_xlfn.XLOOKUP(_26_03_2026_Log_Reseau_v15[[#This Row],[province RDC]],_26_03_2026_Client_Churn_v1[Province_Client],_26_03_2026_Client_Churn_v1[Type_Forfait],"non trouvé")</f>
        <v>Bloqué 5Go</v>
      </c>
      <c r="N527">
        <f>_xlfn.XLOOKUP(_26_03_2026_Log_Reseau_v15[[#This Row],[province RDC]],_26_03_2026_Client_Churn_v1[Province_Client],_26_03_2026_Client_Churn_v1[Duree_Cumulee_Panne_Min],"non trouvé")</f>
        <v>176</v>
      </c>
      <c r="O527">
        <f>_xlfn.XLOOKUP(_26_03_2026_Log_Reseau_v15[[#This Row],[province RDC]],_26_03_2026_Client_Churn_v1[Province_Client],_26_03_2026_Client_Churn_v1[Facture_Mensuelle],"non trouvé")</f>
        <v>33.28</v>
      </c>
      <c r="P527">
        <f>_xlfn.XLOOKUP(_26_03_2026_Log_Reseau_v15[[#This Row],[province RDC]],_26_03_2026_Client_Churn_v1[Province_Client],_26_03_2026_Client_Churn_v1[Plaintes_Service_Client],"non trouvé")</f>
        <v>4</v>
      </c>
    </row>
    <row r="528" spans="1:16" x14ac:dyDescent="0.25">
      <c r="A528" s="1">
        <v>45229</v>
      </c>
      <c r="B528" s="2">
        <v>0.39166666666666666</v>
      </c>
      <c r="C528" t="s">
        <v>1143</v>
      </c>
      <c r="D528">
        <v>28</v>
      </c>
      <c r="E528" t="s">
        <v>812</v>
      </c>
      <c r="F528" t="str">
        <f>_xlfn.XLOOKUP(_26_03_2026_Log_Reseau_v15[[#This Row],[Cell_ID]],_26_03_2026_Registre_Maintenance_v1[ID_Antenne],_26_03_2026_Registre_Maintenance_v1[zone],"pas trouvé")</f>
        <v>Lualaba</v>
      </c>
      <c r="G528">
        <f>_xlfn.XLOOKUP(_26_03_2026_Log_Reseau_v15[[#This Row],[Cell_ID]],_26_03_2026_Registre_Maintenance_v1[ID_Antenne],_26_03_2026_Registre_Maintenance_v1[Latitude],"non trouvé")</f>
        <v>-10.967288</v>
      </c>
      <c r="H528">
        <f>_xlfn.XLOOKUP(_26_03_2026_Log_Reseau_v15[[#This Row],[Cell_ID]],_26_03_2026_Registre_Maintenance_v1[ID_Antenne],_26_03_2026_Registre_Maintenance_v1[Longitude],"pas trouvé")</f>
        <v>17.617781000000001</v>
      </c>
      <c r="I528" t="str">
        <f>_xlfn.XLOOKUP(_26_03_2026_Log_Reseau_v15[[#This Row],[Cell_ID]],_26_03_2026_Registre_Maintenance_v1[ID_Antenne],_26_03_2026_Registre_Maintenance_v1[Technologie],"non trouvé")</f>
        <v>4G</v>
      </c>
      <c r="J528" t="str">
        <f>_xlfn.XLOOKUP(_26_03_2026_Log_Reseau_v15[[#This Row],[Cell_ID]],_26_03_2026_Registre_Maintenance_v1[ID_Antenne],_26_03_2026_Registre_Maintenance_v1[Equipementier],"pas trouvé")</f>
        <v>Ericsson</v>
      </c>
      <c r="K528" t="str">
        <f>_xlfn.XLOOKUP(_26_03_2026_Log_Reseau_v15[[#This Row],[province RDC]],_26_03_2026_Client_Churn_v1[Province_Client],_26_03_2026_Client_Churn_v1[ID_Client],"non trouvé")</f>
        <v>CLI-01005</v>
      </c>
      <c r="L528">
        <f>_xlfn.XLOOKUP(_26_03_2026_Log_Reseau_v15[[#This Row],[province RDC]],_26_03_2026_Client_Churn_v1[Province_Client],_26_03_2026_Client_Churn_v1[Anciennete_Mois],"non trouvé")</f>
        <v>80</v>
      </c>
      <c r="M528" t="str">
        <f>_xlfn.XLOOKUP(_26_03_2026_Log_Reseau_v15[[#This Row],[province RDC]],_26_03_2026_Client_Churn_v1[Province_Client],_26_03_2026_Client_Churn_v1[Type_Forfait],"non trouvé")</f>
        <v>Illimité 50Go</v>
      </c>
      <c r="N528">
        <f>_xlfn.XLOOKUP(_26_03_2026_Log_Reseau_v15[[#This Row],[province RDC]],_26_03_2026_Client_Churn_v1[Province_Client],_26_03_2026_Client_Churn_v1[Duree_Cumulee_Panne_Min],"non trouvé")</f>
        <v>155</v>
      </c>
      <c r="O528">
        <f>_xlfn.XLOOKUP(_26_03_2026_Log_Reseau_v15[[#This Row],[province RDC]],_26_03_2026_Client_Churn_v1[Province_Client],_26_03_2026_Client_Churn_v1[Facture_Mensuelle],"non trouvé")</f>
        <v>28.96</v>
      </c>
      <c r="P528">
        <f>_xlfn.XLOOKUP(_26_03_2026_Log_Reseau_v15[[#This Row],[province RDC]],_26_03_2026_Client_Churn_v1[Province_Client],_26_03_2026_Client_Churn_v1[Plaintes_Service_Client],"non trouvé")</f>
        <v>2</v>
      </c>
    </row>
    <row r="529" spans="1:16" x14ac:dyDescent="0.25">
      <c r="A529" s="1">
        <v>45216</v>
      </c>
      <c r="B529" s="2">
        <v>0.18333333333333332</v>
      </c>
      <c r="C529" t="s">
        <v>1143</v>
      </c>
      <c r="D529">
        <v>67</v>
      </c>
      <c r="E529" t="s">
        <v>808</v>
      </c>
      <c r="F529" t="str">
        <f>_xlfn.XLOOKUP(_26_03_2026_Log_Reseau_v15[[#This Row],[Cell_ID]],_26_03_2026_Registre_Maintenance_v1[ID_Antenne],_26_03_2026_Registre_Maintenance_v1[zone],"pas trouvé")</f>
        <v>Lualaba</v>
      </c>
      <c r="G529">
        <f>_xlfn.XLOOKUP(_26_03_2026_Log_Reseau_v15[[#This Row],[Cell_ID]],_26_03_2026_Registre_Maintenance_v1[ID_Antenne],_26_03_2026_Registre_Maintenance_v1[Latitude],"non trouvé")</f>
        <v>-10.967288</v>
      </c>
      <c r="H529">
        <f>_xlfn.XLOOKUP(_26_03_2026_Log_Reseau_v15[[#This Row],[Cell_ID]],_26_03_2026_Registre_Maintenance_v1[ID_Antenne],_26_03_2026_Registre_Maintenance_v1[Longitude],"pas trouvé")</f>
        <v>17.617781000000001</v>
      </c>
      <c r="I529" t="str">
        <f>_xlfn.XLOOKUP(_26_03_2026_Log_Reseau_v15[[#This Row],[Cell_ID]],_26_03_2026_Registre_Maintenance_v1[ID_Antenne],_26_03_2026_Registre_Maintenance_v1[Technologie],"non trouvé")</f>
        <v>4G</v>
      </c>
      <c r="J529" t="str">
        <f>_xlfn.XLOOKUP(_26_03_2026_Log_Reseau_v15[[#This Row],[Cell_ID]],_26_03_2026_Registre_Maintenance_v1[ID_Antenne],_26_03_2026_Registre_Maintenance_v1[Equipementier],"pas trouvé")</f>
        <v>Ericsson</v>
      </c>
      <c r="K529" t="str">
        <f>_xlfn.XLOOKUP(_26_03_2026_Log_Reseau_v15[[#This Row],[province RDC]],_26_03_2026_Client_Churn_v1[Province_Client],_26_03_2026_Client_Churn_v1[ID_Client],"non trouvé")</f>
        <v>CLI-01005</v>
      </c>
      <c r="L529">
        <f>_xlfn.XLOOKUP(_26_03_2026_Log_Reseau_v15[[#This Row],[province RDC]],_26_03_2026_Client_Churn_v1[Province_Client],_26_03_2026_Client_Churn_v1[Anciennete_Mois],"non trouvé")</f>
        <v>80</v>
      </c>
      <c r="M529" t="str">
        <f>_xlfn.XLOOKUP(_26_03_2026_Log_Reseau_v15[[#This Row],[province RDC]],_26_03_2026_Client_Churn_v1[Province_Client],_26_03_2026_Client_Churn_v1[Type_Forfait],"non trouvé")</f>
        <v>Illimité 50Go</v>
      </c>
      <c r="N529">
        <f>_xlfn.XLOOKUP(_26_03_2026_Log_Reseau_v15[[#This Row],[province RDC]],_26_03_2026_Client_Churn_v1[Province_Client],_26_03_2026_Client_Churn_v1[Duree_Cumulee_Panne_Min],"non trouvé")</f>
        <v>155</v>
      </c>
      <c r="O529">
        <f>_xlfn.XLOOKUP(_26_03_2026_Log_Reseau_v15[[#This Row],[province RDC]],_26_03_2026_Client_Churn_v1[Province_Client],_26_03_2026_Client_Churn_v1[Facture_Mensuelle],"non trouvé")</f>
        <v>28.96</v>
      </c>
      <c r="P529">
        <f>_xlfn.XLOOKUP(_26_03_2026_Log_Reseau_v15[[#This Row],[province RDC]],_26_03_2026_Client_Churn_v1[Province_Client],_26_03_2026_Client_Churn_v1[Plaintes_Service_Client],"non trouvé")</f>
        <v>2</v>
      </c>
    </row>
    <row r="530" spans="1:16" x14ac:dyDescent="0.25">
      <c r="A530" s="1">
        <v>45217</v>
      </c>
      <c r="B530" s="2">
        <v>0.99930555555555556</v>
      </c>
      <c r="C530" t="s">
        <v>1143</v>
      </c>
      <c r="D530">
        <v>38</v>
      </c>
      <c r="E530" t="s">
        <v>808</v>
      </c>
      <c r="F530" t="str">
        <f>_xlfn.XLOOKUP(_26_03_2026_Log_Reseau_v15[[#This Row],[Cell_ID]],_26_03_2026_Registre_Maintenance_v1[ID_Antenne],_26_03_2026_Registre_Maintenance_v1[zone],"pas trouvé")</f>
        <v>Lualaba</v>
      </c>
      <c r="G530">
        <f>_xlfn.XLOOKUP(_26_03_2026_Log_Reseau_v15[[#This Row],[Cell_ID]],_26_03_2026_Registre_Maintenance_v1[ID_Antenne],_26_03_2026_Registre_Maintenance_v1[Latitude],"non trouvé")</f>
        <v>-10.967288</v>
      </c>
      <c r="H530">
        <f>_xlfn.XLOOKUP(_26_03_2026_Log_Reseau_v15[[#This Row],[Cell_ID]],_26_03_2026_Registre_Maintenance_v1[ID_Antenne],_26_03_2026_Registre_Maintenance_v1[Longitude],"pas trouvé")</f>
        <v>17.617781000000001</v>
      </c>
      <c r="I530" t="str">
        <f>_xlfn.XLOOKUP(_26_03_2026_Log_Reseau_v15[[#This Row],[Cell_ID]],_26_03_2026_Registre_Maintenance_v1[ID_Antenne],_26_03_2026_Registre_Maintenance_v1[Technologie],"non trouvé")</f>
        <v>4G</v>
      </c>
      <c r="J530" t="str">
        <f>_xlfn.XLOOKUP(_26_03_2026_Log_Reseau_v15[[#This Row],[Cell_ID]],_26_03_2026_Registre_Maintenance_v1[ID_Antenne],_26_03_2026_Registre_Maintenance_v1[Equipementier],"pas trouvé")</f>
        <v>Ericsson</v>
      </c>
      <c r="K530" t="str">
        <f>_xlfn.XLOOKUP(_26_03_2026_Log_Reseau_v15[[#This Row],[province RDC]],_26_03_2026_Client_Churn_v1[Province_Client],_26_03_2026_Client_Churn_v1[ID_Client],"non trouvé")</f>
        <v>CLI-01005</v>
      </c>
      <c r="L530">
        <f>_xlfn.XLOOKUP(_26_03_2026_Log_Reseau_v15[[#This Row],[province RDC]],_26_03_2026_Client_Churn_v1[Province_Client],_26_03_2026_Client_Churn_v1[Anciennete_Mois],"non trouvé")</f>
        <v>80</v>
      </c>
      <c r="M530" t="str">
        <f>_xlfn.XLOOKUP(_26_03_2026_Log_Reseau_v15[[#This Row],[province RDC]],_26_03_2026_Client_Churn_v1[Province_Client],_26_03_2026_Client_Churn_v1[Type_Forfait],"non trouvé")</f>
        <v>Illimité 50Go</v>
      </c>
      <c r="N530">
        <f>_xlfn.XLOOKUP(_26_03_2026_Log_Reseau_v15[[#This Row],[province RDC]],_26_03_2026_Client_Churn_v1[Province_Client],_26_03_2026_Client_Churn_v1[Duree_Cumulee_Panne_Min],"non trouvé")</f>
        <v>155</v>
      </c>
      <c r="O530">
        <f>_xlfn.XLOOKUP(_26_03_2026_Log_Reseau_v15[[#This Row],[province RDC]],_26_03_2026_Client_Churn_v1[Province_Client],_26_03_2026_Client_Churn_v1[Facture_Mensuelle],"non trouvé")</f>
        <v>28.96</v>
      </c>
      <c r="P530">
        <f>_xlfn.XLOOKUP(_26_03_2026_Log_Reseau_v15[[#This Row],[province RDC]],_26_03_2026_Client_Churn_v1[Province_Client],_26_03_2026_Client_Churn_v1[Plaintes_Service_Client],"non trouvé")</f>
        <v>2</v>
      </c>
    </row>
    <row r="531" spans="1:16" x14ac:dyDescent="0.25">
      <c r="A531" s="1">
        <v>45223</v>
      </c>
      <c r="B531" s="2">
        <v>0.99097222222222225</v>
      </c>
      <c r="C531" t="s">
        <v>1144</v>
      </c>
      <c r="D531">
        <v>23</v>
      </c>
      <c r="E531" t="s">
        <v>807</v>
      </c>
      <c r="F531" t="str">
        <f>_xlfn.XLOOKUP(_26_03_2026_Log_Reseau_v15[[#This Row],[Cell_ID]],_26_03_2026_Registre_Maintenance_v1[ID_Antenne],_26_03_2026_Registre_Maintenance_v1[zone],"pas trouvé")</f>
        <v>Sankuru</v>
      </c>
      <c r="G531">
        <f>_xlfn.XLOOKUP(_26_03_2026_Log_Reseau_v15[[#This Row],[Cell_ID]],_26_03_2026_Registre_Maintenance_v1[ID_Antenne],_26_03_2026_Registre_Maintenance_v1[Latitude],"non trouvé")</f>
        <v>-8.0922239999999999</v>
      </c>
      <c r="H531">
        <f>_xlfn.XLOOKUP(_26_03_2026_Log_Reseau_v15[[#This Row],[Cell_ID]],_26_03_2026_Registre_Maintenance_v1[ID_Antenne],_26_03_2026_Registre_Maintenance_v1[Longitude],"pas trouvé")</f>
        <v>15.483708</v>
      </c>
      <c r="I531" t="str">
        <f>_xlfn.XLOOKUP(_26_03_2026_Log_Reseau_v15[[#This Row],[Cell_ID]],_26_03_2026_Registre_Maintenance_v1[ID_Antenne],_26_03_2026_Registre_Maintenance_v1[Technologie],"non trouvé")</f>
        <v>5G</v>
      </c>
      <c r="J531" t="str">
        <f>_xlfn.XLOOKUP(_26_03_2026_Log_Reseau_v15[[#This Row],[Cell_ID]],_26_03_2026_Registre_Maintenance_v1[ID_Antenne],_26_03_2026_Registre_Maintenance_v1[Equipementier],"pas trouvé")</f>
        <v>Nokia</v>
      </c>
      <c r="K531" t="str">
        <f>_xlfn.XLOOKUP(_26_03_2026_Log_Reseau_v15[[#This Row],[province RDC]],_26_03_2026_Client_Churn_v1[Province_Client],_26_03_2026_Client_Churn_v1[ID_Client],"non trouvé")</f>
        <v>CLI-00530</v>
      </c>
      <c r="L531">
        <f>_xlfn.XLOOKUP(_26_03_2026_Log_Reseau_v15[[#This Row],[province RDC]],_26_03_2026_Client_Churn_v1[Province_Client],_26_03_2026_Client_Churn_v1[Anciennete_Mois],"non trouvé")</f>
        <v>35</v>
      </c>
      <c r="M531" t="str">
        <f>_xlfn.XLOOKUP(_26_03_2026_Log_Reseau_v15[[#This Row],[province RDC]],_26_03_2026_Client_Churn_v1[Province_Client],_26_03_2026_Client_Churn_v1[Type_Forfait],"non trouvé")</f>
        <v>Pro Monde</v>
      </c>
      <c r="N531">
        <f>_xlfn.XLOOKUP(_26_03_2026_Log_Reseau_v15[[#This Row],[province RDC]],_26_03_2026_Client_Churn_v1[Province_Client],_26_03_2026_Client_Churn_v1[Duree_Cumulee_Panne_Min],"non trouvé")</f>
        <v>465</v>
      </c>
      <c r="O531">
        <f>_xlfn.XLOOKUP(_26_03_2026_Log_Reseau_v15[[#This Row],[province RDC]],_26_03_2026_Client_Churn_v1[Province_Client],_26_03_2026_Client_Churn_v1[Facture_Mensuelle],"non trouvé")</f>
        <v>58.59</v>
      </c>
      <c r="P531">
        <f>_xlfn.XLOOKUP(_26_03_2026_Log_Reseau_v15[[#This Row],[province RDC]],_26_03_2026_Client_Churn_v1[Province_Client],_26_03_2026_Client_Churn_v1[Plaintes_Service_Client],"non trouvé")</f>
        <v>5</v>
      </c>
    </row>
    <row r="532" spans="1:16" hidden="1" x14ac:dyDescent="0.25">
      <c r="A532" s="1">
        <v>45201</v>
      </c>
      <c r="B532" s="2">
        <v>0.64097222222222228</v>
      </c>
      <c r="C532" t="s">
        <v>1145</v>
      </c>
      <c r="D532">
        <v>86</v>
      </c>
      <c r="E532" t="s">
        <v>812</v>
      </c>
      <c r="F532" t="str">
        <f>_xlfn.XLOOKUP(_26_03_2026_Log_Reseau_v15[[#This Row],[Cell_ID]],_26_03_2026_Registre_Maintenance_v1[ID_Antenne],_26_03_2026_Registre_Maintenance_v1[zone],"pas trouvé")</f>
        <v>pas trouvé</v>
      </c>
      <c r="G532" t="str">
        <f>_xlfn.XLOOKUP(_26_03_2026_Log_Reseau_v15[[#This Row],[Cell_ID]],_26_03_2026_Registre_Maintenance_v1[ID_Antenne],_26_03_2026_Registre_Maintenance_v1[Latitude],"non trouvé")</f>
        <v>non trouvé</v>
      </c>
      <c r="H532" t="str">
        <f>_xlfn.XLOOKUP(_26_03_2026_Log_Reseau_v15[[#This Row],[Cell_ID]],_26_03_2026_Registre_Maintenance_v1[ID_Antenne],_26_03_2026_Registre_Maintenance_v1[Longitude],"pas trouvé")</f>
        <v>pas trouvé</v>
      </c>
      <c r="I532" t="str">
        <f>_xlfn.XLOOKUP(_26_03_2026_Log_Reseau_v15[[#This Row],[Cell_ID]],_26_03_2026_Registre_Maintenance_v1[ID_Antenne],_26_03_2026_Registre_Maintenance_v1[Technologie],"non trouvé")</f>
        <v>non trouvé</v>
      </c>
      <c r="J532" t="str">
        <f>_xlfn.XLOOKUP(_26_03_2026_Log_Reseau_v15[[#This Row],[Cell_ID]],_26_03_2026_Registre_Maintenance_v1[ID_Antenne],_26_03_2026_Registre_Maintenance_v1[Equipementier],"pas trouvé")</f>
        <v>pas trouvé</v>
      </c>
      <c r="K532" t="str">
        <f>_xlfn.XLOOKUP(_26_03_2026_Log_Reseau_v15[[#This Row],[province RDC]],_26_03_2026_Client_Churn_v1[Province_Client],_26_03_2026_Client_Churn_v1[ID_Client],"non trouvé")</f>
        <v>non trouvé</v>
      </c>
      <c r="L532" t="str">
        <f>_xlfn.XLOOKUP(_26_03_2026_Log_Reseau_v15[[#This Row],[province RDC]],_26_03_2026_Client_Churn_v1[Province_Client],_26_03_2026_Client_Churn_v1[Anciennete_Mois],"non trouvé")</f>
        <v>non trouvé</v>
      </c>
      <c r="M532" t="str">
        <f>_xlfn.XLOOKUP(_26_03_2026_Log_Reseau_v15[[#This Row],[province RDC]],_26_03_2026_Client_Churn_v1[Province_Client],_26_03_2026_Client_Churn_v1[Type_Forfait],"non trouvé")</f>
        <v>non trouvé</v>
      </c>
      <c r="N532" t="str">
        <f>_xlfn.XLOOKUP(_26_03_2026_Log_Reseau_v15[[#This Row],[province RDC]],_26_03_2026_Client_Churn_v1[Province_Client],_26_03_2026_Client_Churn_v1[Duree_Cumulee_Panne_Min],"non trouvé")</f>
        <v>non trouvé</v>
      </c>
      <c r="O532" t="str">
        <f>_xlfn.XLOOKUP(_26_03_2026_Log_Reseau_v15[[#This Row],[province RDC]],_26_03_2026_Client_Churn_v1[Province_Client],_26_03_2026_Client_Churn_v1[Facture_Mensuelle],"non trouvé")</f>
        <v>non trouvé</v>
      </c>
      <c r="P532" t="str">
        <f>_xlfn.XLOOKUP(_26_03_2026_Log_Reseau_v15[[#This Row],[province RDC]],_26_03_2026_Client_Churn_v1[Province_Client],_26_03_2026_Client_Churn_v1[Plaintes_Service_Client],"non trouvé")</f>
        <v>non trouvé</v>
      </c>
    </row>
    <row r="533" spans="1:16" hidden="1" x14ac:dyDescent="0.25">
      <c r="A533" s="1">
        <v>45203</v>
      </c>
      <c r="B533" s="2">
        <v>0.89375000000000004</v>
      </c>
      <c r="C533" t="s">
        <v>1145</v>
      </c>
      <c r="D533">
        <v>32</v>
      </c>
      <c r="E533" t="s">
        <v>807</v>
      </c>
      <c r="F533" t="str">
        <f>_xlfn.XLOOKUP(_26_03_2026_Log_Reseau_v15[[#This Row],[Cell_ID]],_26_03_2026_Registre_Maintenance_v1[ID_Antenne],_26_03_2026_Registre_Maintenance_v1[zone],"pas trouvé")</f>
        <v>pas trouvé</v>
      </c>
      <c r="G533" t="str">
        <f>_xlfn.XLOOKUP(_26_03_2026_Log_Reseau_v15[[#This Row],[Cell_ID]],_26_03_2026_Registre_Maintenance_v1[ID_Antenne],_26_03_2026_Registre_Maintenance_v1[Latitude],"non trouvé")</f>
        <v>non trouvé</v>
      </c>
      <c r="H533" t="str">
        <f>_xlfn.XLOOKUP(_26_03_2026_Log_Reseau_v15[[#This Row],[Cell_ID]],_26_03_2026_Registre_Maintenance_v1[ID_Antenne],_26_03_2026_Registre_Maintenance_v1[Longitude],"pas trouvé")</f>
        <v>pas trouvé</v>
      </c>
      <c r="I533" t="str">
        <f>_xlfn.XLOOKUP(_26_03_2026_Log_Reseau_v15[[#This Row],[Cell_ID]],_26_03_2026_Registre_Maintenance_v1[ID_Antenne],_26_03_2026_Registre_Maintenance_v1[Technologie],"non trouvé")</f>
        <v>non trouvé</v>
      </c>
      <c r="J533" t="str">
        <f>_xlfn.XLOOKUP(_26_03_2026_Log_Reseau_v15[[#This Row],[Cell_ID]],_26_03_2026_Registre_Maintenance_v1[ID_Antenne],_26_03_2026_Registre_Maintenance_v1[Equipementier],"pas trouvé")</f>
        <v>pas trouvé</v>
      </c>
      <c r="K533" t="str">
        <f>_xlfn.XLOOKUP(_26_03_2026_Log_Reseau_v15[[#This Row],[province RDC]],_26_03_2026_Client_Churn_v1[Province_Client],_26_03_2026_Client_Churn_v1[ID_Client],"non trouvé")</f>
        <v>non trouvé</v>
      </c>
      <c r="L533" t="str">
        <f>_xlfn.XLOOKUP(_26_03_2026_Log_Reseau_v15[[#This Row],[province RDC]],_26_03_2026_Client_Churn_v1[Province_Client],_26_03_2026_Client_Churn_v1[Anciennete_Mois],"non trouvé")</f>
        <v>non trouvé</v>
      </c>
      <c r="M533" t="str">
        <f>_xlfn.XLOOKUP(_26_03_2026_Log_Reseau_v15[[#This Row],[province RDC]],_26_03_2026_Client_Churn_v1[Province_Client],_26_03_2026_Client_Churn_v1[Type_Forfait],"non trouvé")</f>
        <v>non trouvé</v>
      </c>
      <c r="N533" t="str">
        <f>_xlfn.XLOOKUP(_26_03_2026_Log_Reseau_v15[[#This Row],[province RDC]],_26_03_2026_Client_Churn_v1[Province_Client],_26_03_2026_Client_Churn_v1[Duree_Cumulee_Panne_Min],"non trouvé")</f>
        <v>non trouvé</v>
      </c>
      <c r="O533" t="str">
        <f>_xlfn.XLOOKUP(_26_03_2026_Log_Reseau_v15[[#This Row],[province RDC]],_26_03_2026_Client_Churn_v1[Province_Client],_26_03_2026_Client_Churn_v1[Facture_Mensuelle],"non trouvé")</f>
        <v>non trouvé</v>
      </c>
      <c r="P533" t="str">
        <f>_xlfn.XLOOKUP(_26_03_2026_Log_Reseau_v15[[#This Row],[province RDC]],_26_03_2026_Client_Churn_v1[Province_Client],_26_03_2026_Client_Churn_v1[Plaintes_Service_Client],"non trouvé")</f>
        <v>non trouvé</v>
      </c>
    </row>
    <row r="534" spans="1:16" hidden="1" x14ac:dyDescent="0.25">
      <c r="A534" s="1">
        <v>45208</v>
      </c>
      <c r="B534" s="2">
        <v>0.17222222222222222</v>
      </c>
      <c r="C534" t="s">
        <v>1145</v>
      </c>
      <c r="D534">
        <v>87</v>
      </c>
      <c r="E534" t="s">
        <v>807</v>
      </c>
      <c r="F534" t="str">
        <f>_xlfn.XLOOKUP(_26_03_2026_Log_Reseau_v15[[#This Row],[Cell_ID]],_26_03_2026_Registre_Maintenance_v1[ID_Antenne],_26_03_2026_Registre_Maintenance_v1[zone],"pas trouvé")</f>
        <v>pas trouvé</v>
      </c>
      <c r="G534" t="str">
        <f>_xlfn.XLOOKUP(_26_03_2026_Log_Reseau_v15[[#This Row],[Cell_ID]],_26_03_2026_Registre_Maintenance_v1[ID_Antenne],_26_03_2026_Registre_Maintenance_v1[Latitude],"non trouvé")</f>
        <v>non trouvé</v>
      </c>
      <c r="H534" t="str">
        <f>_xlfn.XLOOKUP(_26_03_2026_Log_Reseau_v15[[#This Row],[Cell_ID]],_26_03_2026_Registre_Maintenance_v1[ID_Antenne],_26_03_2026_Registre_Maintenance_v1[Longitude],"pas trouvé")</f>
        <v>pas trouvé</v>
      </c>
      <c r="I534" t="str">
        <f>_xlfn.XLOOKUP(_26_03_2026_Log_Reseau_v15[[#This Row],[Cell_ID]],_26_03_2026_Registre_Maintenance_v1[ID_Antenne],_26_03_2026_Registre_Maintenance_v1[Technologie],"non trouvé")</f>
        <v>non trouvé</v>
      </c>
      <c r="J534" t="str">
        <f>_xlfn.XLOOKUP(_26_03_2026_Log_Reseau_v15[[#This Row],[Cell_ID]],_26_03_2026_Registre_Maintenance_v1[ID_Antenne],_26_03_2026_Registre_Maintenance_v1[Equipementier],"pas trouvé")</f>
        <v>pas trouvé</v>
      </c>
      <c r="K534" t="str">
        <f>_xlfn.XLOOKUP(_26_03_2026_Log_Reseau_v15[[#This Row],[province RDC]],_26_03_2026_Client_Churn_v1[Province_Client],_26_03_2026_Client_Churn_v1[ID_Client],"non trouvé")</f>
        <v>non trouvé</v>
      </c>
      <c r="L534" t="str">
        <f>_xlfn.XLOOKUP(_26_03_2026_Log_Reseau_v15[[#This Row],[province RDC]],_26_03_2026_Client_Churn_v1[Province_Client],_26_03_2026_Client_Churn_v1[Anciennete_Mois],"non trouvé")</f>
        <v>non trouvé</v>
      </c>
      <c r="M534" t="str">
        <f>_xlfn.XLOOKUP(_26_03_2026_Log_Reseau_v15[[#This Row],[province RDC]],_26_03_2026_Client_Churn_v1[Province_Client],_26_03_2026_Client_Churn_v1[Type_Forfait],"non trouvé")</f>
        <v>non trouvé</v>
      </c>
      <c r="N534" t="str">
        <f>_xlfn.XLOOKUP(_26_03_2026_Log_Reseau_v15[[#This Row],[province RDC]],_26_03_2026_Client_Churn_v1[Province_Client],_26_03_2026_Client_Churn_v1[Duree_Cumulee_Panne_Min],"non trouvé")</f>
        <v>non trouvé</v>
      </c>
      <c r="O534" t="str">
        <f>_xlfn.XLOOKUP(_26_03_2026_Log_Reseau_v15[[#This Row],[province RDC]],_26_03_2026_Client_Churn_v1[Province_Client],_26_03_2026_Client_Churn_v1[Facture_Mensuelle],"non trouvé")</f>
        <v>non trouvé</v>
      </c>
      <c r="P534" t="str">
        <f>_xlfn.XLOOKUP(_26_03_2026_Log_Reseau_v15[[#This Row],[province RDC]],_26_03_2026_Client_Churn_v1[Province_Client],_26_03_2026_Client_Churn_v1[Plaintes_Service_Client],"non trouvé")</f>
        <v>non trouvé</v>
      </c>
    </row>
    <row r="535" spans="1:16" x14ac:dyDescent="0.25">
      <c r="A535" s="1">
        <v>45218</v>
      </c>
      <c r="B535" s="2">
        <v>0.36875000000000002</v>
      </c>
      <c r="C535" t="s">
        <v>1146</v>
      </c>
      <c r="D535">
        <v>70</v>
      </c>
      <c r="E535" t="s">
        <v>807</v>
      </c>
      <c r="F535" t="str">
        <f>_xlfn.XLOOKUP(_26_03_2026_Log_Reseau_v15[[#This Row],[Cell_ID]],_26_03_2026_Registre_Maintenance_v1[ID_Antenne],_26_03_2026_Registre_Maintenance_v1[zone],"pas trouvé")</f>
        <v>Lomami</v>
      </c>
      <c r="G535">
        <f>_xlfn.XLOOKUP(_26_03_2026_Log_Reseau_v15[[#This Row],[Cell_ID]],_26_03_2026_Registre_Maintenance_v1[ID_Antenne],_26_03_2026_Registre_Maintenance_v1[Latitude],"non trouvé")</f>
        <v>-8.4227860000000003</v>
      </c>
      <c r="H535">
        <f>_xlfn.XLOOKUP(_26_03_2026_Log_Reseau_v15[[#This Row],[Cell_ID]],_26_03_2026_Registre_Maintenance_v1[ID_Antenne],_26_03_2026_Registre_Maintenance_v1[Longitude],"pas trouvé")</f>
        <v>16.781293000000002</v>
      </c>
      <c r="I535" t="str">
        <f>_xlfn.XLOOKUP(_26_03_2026_Log_Reseau_v15[[#This Row],[Cell_ID]],_26_03_2026_Registre_Maintenance_v1[ID_Antenne],_26_03_2026_Registre_Maintenance_v1[Technologie],"non trouvé")</f>
        <v>4G</v>
      </c>
      <c r="J535" t="str">
        <f>_xlfn.XLOOKUP(_26_03_2026_Log_Reseau_v15[[#This Row],[Cell_ID]],_26_03_2026_Registre_Maintenance_v1[ID_Antenne],_26_03_2026_Registre_Maintenance_v1[Equipementier],"pas trouvé")</f>
        <v>Huawei</v>
      </c>
      <c r="K535" t="str">
        <f>_xlfn.XLOOKUP(_26_03_2026_Log_Reseau_v15[[#This Row],[province RDC]],_26_03_2026_Client_Churn_v1[Province_Client],_26_03_2026_Client_Churn_v1[ID_Client],"non trouvé")</f>
        <v>CLI-00131</v>
      </c>
      <c r="L535">
        <f>_xlfn.XLOOKUP(_26_03_2026_Log_Reseau_v15[[#This Row],[province RDC]],_26_03_2026_Client_Churn_v1[Province_Client],_26_03_2026_Client_Churn_v1[Anciennete_Mois],"non trouvé")</f>
        <v>101</v>
      </c>
      <c r="M535" t="str">
        <f>_xlfn.XLOOKUP(_26_03_2026_Log_Reseau_v15[[#This Row],[province RDC]],_26_03_2026_Client_Churn_v1[Province_Client],_26_03_2026_Client_Churn_v1[Type_Forfait],"non trouvé")</f>
        <v>Pro Monde</v>
      </c>
      <c r="N535">
        <f>_xlfn.XLOOKUP(_26_03_2026_Log_Reseau_v15[[#This Row],[province RDC]],_26_03_2026_Client_Churn_v1[Province_Client],_26_03_2026_Client_Churn_v1[Duree_Cumulee_Panne_Min],"non trouvé")</f>
        <v>176</v>
      </c>
      <c r="O535">
        <f>_xlfn.XLOOKUP(_26_03_2026_Log_Reseau_v15[[#This Row],[province RDC]],_26_03_2026_Client_Churn_v1[Province_Client],_26_03_2026_Client_Churn_v1[Facture_Mensuelle],"non trouvé")</f>
        <v>86</v>
      </c>
      <c r="P535">
        <f>_xlfn.XLOOKUP(_26_03_2026_Log_Reseau_v15[[#This Row],[province RDC]],_26_03_2026_Client_Churn_v1[Province_Client],_26_03_2026_Client_Churn_v1[Plaintes_Service_Client],"non trouvé")</f>
        <v>3</v>
      </c>
    </row>
    <row r="536" spans="1:16" x14ac:dyDescent="0.25">
      <c r="A536" s="1">
        <v>45208</v>
      </c>
      <c r="B536" s="2">
        <v>7.3611111111111113E-2</v>
      </c>
      <c r="C536" t="s">
        <v>1146</v>
      </c>
      <c r="D536">
        <v>85</v>
      </c>
      <c r="E536" t="s">
        <v>808</v>
      </c>
      <c r="F536" t="str">
        <f>_xlfn.XLOOKUP(_26_03_2026_Log_Reseau_v15[[#This Row],[Cell_ID]],_26_03_2026_Registre_Maintenance_v1[ID_Antenne],_26_03_2026_Registre_Maintenance_v1[zone],"pas trouvé")</f>
        <v>Lomami</v>
      </c>
      <c r="G536">
        <f>_xlfn.XLOOKUP(_26_03_2026_Log_Reseau_v15[[#This Row],[Cell_ID]],_26_03_2026_Registre_Maintenance_v1[ID_Antenne],_26_03_2026_Registre_Maintenance_v1[Latitude],"non trouvé")</f>
        <v>-8.4227860000000003</v>
      </c>
      <c r="H536">
        <f>_xlfn.XLOOKUP(_26_03_2026_Log_Reseau_v15[[#This Row],[Cell_ID]],_26_03_2026_Registre_Maintenance_v1[ID_Antenne],_26_03_2026_Registre_Maintenance_v1[Longitude],"pas trouvé")</f>
        <v>16.781293000000002</v>
      </c>
      <c r="I536" t="str">
        <f>_xlfn.XLOOKUP(_26_03_2026_Log_Reseau_v15[[#This Row],[Cell_ID]],_26_03_2026_Registre_Maintenance_v1[ID_Antenne],_26_03_2026_Registre_Maintenance_v1[Technologie],"non trouvé")</f>
        <v>4G</v>
      </c>
      <c r="J536" t="str">
        <f>_xlfn.XLOOKUP(_26_03_2026_Log_Reseau_v15[[#This Row],[Cell_ID]],_26_03_2026_Registre_Maintenance_v1[ID_Antenne],_26_03_2026_Registre_Maintenance_v1[Equipementier],"pas trouvé")</f>
        <v>Huawei</v>
      </c>
      <c r="K536" t="str">
        <f>_xlfn.XLOOKUP(_26_03_2026_Log_Reseau_v15[[#This Row],[province RDC]],_26_03_2026_Client_Churn_v1[Province_Client],_26_03_2026_Client_Churn_v1[ID_Client],"non trouvé")</f>
        <v>CLI-00131</v>
      </c>
      <c r="L536">
        <f>_xlfn.XLOOKUP(_26_03_2026_Log_Reseau_v15[[#This Row],[province RDC]],_26_03_2026_Client_Churn_v1[Province_Client],_26_03_2026_Client_Churn_v1[Anciennete_Mois],"non trouvé")</f>
        <v>101</v>
      </c>
      <c r="M536" t="str">
        <f>_xlfn.XLOOKUP(_26_03_2026_Log_Reseau_v15[[#This Row],[province RDC]],_26_03_2026_Client_Churn_v1[Province_Client],_26_03_2026_Client_Churn_v1[Type_Forfait],"non trouvé")</f>
        <v>Pro Monde</v>
      </c>
      <c r="N536">
        <f>_xlfn.XLOOKUP(_26_03_2026_Log_Reseau_v15[[#This Row],[province RDC]],_26_03_2026_Client_Churn_v1[Province_Client],_26_03_2026_Client_Churn_v1[Duree_Cumulee_Panne_Min],"non trouvé")</f>
        <v>176</v>
      </c>
      <c r="O536">
        <f>_xlfn.XLOOKUP(_26_03_2026_Log_Reseau_v15[[#This Row],[province RDC]],_26_03_2026_Client_Churn_v1[Province_Client],_26_03_2026_Client_Churn_v1[Facture_Mensuelle],"non trouvé")</f>
        <v>86</v>
      </c>
      <c r="P536">
        <f>_xlfn.XLOOKUP(_26_03_2026_Log_Reseau_v15[[#This Row],[province RDC]],_26_03_2026_Client_Churn_v1[Province_Client],_26_03_2026_Client_Churn_v1[Plaintes_Service_Client],"non trouvé")</f>
        <v>3</v>
      </c>
    </row>
    <row r="537" spans="1:16" x14ac:dyDescent="0.25">
      <c r="A537" s="1">
        <v>45214</v>
      </c>
      <c r="B537" s="2">
        <v>0.23541666666666666</v>
      </c>
      <c r="C537" t="s">
        <v>1147</v>
      </c>
      <c r="D537">
        <v>33</v>
      </c>
      <c r="E537" t="s">
        <v>807</v>
      </c>
      <c r="F537" t="str">
        <f>_xlfn.XLOOKUP(_26_03_2026_Log_Reseau_v15[[#This Row],[Cell_ID]],_26_03_2026_Registre_Maintenance_v1[ID_Antenne],_26_03_2026_Registre_Maintenance_v1[zone],"pas trouvé")</f>
        <v>Maniema</v>
      </c>
      <c r="G537">
        <f>_xlfn.XLOOKUP(_26_03_2026_Log_Reseau_v15[[#This Row],[Cell_ID]],_26_03_2026_Registre_Maintenance_v1[ID_Antenne],_26_03_2026_Registre_Maintenance_v1[Latitude],"non trouvé")</f>
        <v>-10.318835</v>
      </c>
      <c r="H537">
        <f>_xlfn.XLOOKUP(_26_03_2026_Log_Reseau_v15[[#This Row],[Cell_ID]],_26_03_2026_Registre_Maintenance_v1[ID_Antenne],_26_03_2026_Registre_Maintenance_v1[Longitude],"pas trouvé")</f>
        <v>21.252382000000001</v>
      </c>
      <c r="I537" t="str">
        <f>_xlfn.XLOOKUP(_26_03_2026_Log_Reseau_v15[[#This Row],[Cell_ID]],_26_03_2026_Registre_Maintenance_v1[ID_Antenne],_26_03_2026_Registre_Maintenance_v1[Technologie],"non trouvé")</f>
        <v>4G</v>
      </c>
      <c r="J537" t="str">
        <f>_xlfn.XLOOKUP(_26_03_2026_Log_Reseau_v15[[#This Row],[Cell_ID]],_26_03_2026_Registre_Maintenance_v1[ID_Antenne],_26_03_2026_Registre_Maintenance_v1[Equipementier],"pas trouvé")</f>
        <v>Ericsson</v>
      </c>
      <c r="K537" t="str">
        <f>_xlfn.XLOOKUP(_26_03_2026_Log_Reseau_v15[[#This Row],[province RDC]],_26_03_2026_Client_Churn_v1[Province_Client],_26_03_2026_Client_Churn_v1[ID_Client],"non trouvé")</f>
        <v>CLI-00185</v>
      </c>
      <c r="L537">
        <f>_xlfn.XLOOKUP(_26_03_2026_Log_Reseau_v15[[#This Row],[province RDC]],_26_03_2026_Client_Churn_v1[Province_Client],_26_03_2026_Client_Churn_v1[Anciennete_Mois],"non trouvé")</f>
        <v>81</v>
      </c>
      <c r="M537" t="str">
        <f>_xlfn.XLOOKUP(_26_03_2026_Log_Reseau_v15[[#This Row],[province RDC]],_26_03_2026_Client_Churn_v1[Province_Client],_26_03_2026_Client_Churn_v1[Type_Forfait],"non trouvé")</f>
        <v>Pro Monde</v>
      </c>
      <c r="N537">
        <f>_xlfn.XLOOKUP(_26_03_2026_Log_Reseau_v15[[#This Row],[province RDC]],_26_03_2026_Client_Churn_v1[Province_Client],_26_03_2026_Client_Churn_v1[Duree_Cumulee_Panne_Min],"non trouvé")</f>
        <v>154</v>
      </c>
      <c r="O537">
        <f>_xlfn.XLOOKUP(_26_03_2026_Log_Reseau_v15[[#This Row],[province RDC]],_26_03_2026_Client_Churn_v1[Province_Client],_26_03_2026_Client_Churn_v1[Facture_Mensuelle],"non trouvé")</f>
        <v>19.47</v>
      </c>
      <c r="P537">
        <f>_xlfn.XLOOKUP(_26_03_2026_Log_Reseau_v15[[#This Row],[province RDC]],_26_03_2026_Client_Churn_v1[Province_Client],_26_03_2026_Client_Churn_v1[Plaintes_Service_Client],"non trouvé")</f>
        <v>3</v>
      </c>
    </row>
    <row r="538" spans="1:16" hidden="1" x14ac:dyDescent="0.25">
      <c r="A538" s="1">
        <v>45218</v>
      </c>
      <c r="B538" s="2">
        <v>0.65972222222222221</v>
      </c>
      <c r="C538" t="s">
        <v>1148</v>
      </c>
      <c r="D538">
        <v>24</v>
      </c>
      <c r="E538" t="s">
        <v>807</v>
      </c>
      <c r="F538" t="str">
        <f>_xlfn.XLOOKUP(_26_03_2026_Log_Reseau_v15[[#This Row],[Cell_ID]],_26_03_2026_Registre_Maintenance_v1[ID_Antenne],_26_03_2026_Registre_Maintenance_v1[zone],"pas trouvé")</f>
        <v>pas trouvé</v>
      </c>
      <c r="G538" t="str">
        <f>_xlfn.XLOOKUP(_26_03_2026_Log_Reseau_v15[[#This Row],[Cell_ID]],_26_03_2026_Registre_Maintenance_v1[ID_Antenne],_26_03_2026_Registre_Maintenance_v1[Latitude],"non trouvé")</f>
        <v>non trouvé</v>
      </c>
      <c r="H538" t="str">
        <f>_xlfn.XLOOKUP(_26_03_2026_Log_Reseau_v15[[#This Row],[Cell_ID]],_26_03_2026_Registre_Maintenance_v1[ID_Antenne],_26_03_2026_Registre_Maintenance_v1[Longitude],"pas trouvé")</f>
        <v>pas trouvé</v>
      </c>
      <c r="I538" t="str">
        <f>_xlfn.XLOOKUP(_26_03_2026_Log_Reseau_v15[[#This Row],[Cell_ID]],_26_03_2026_Registre_Maintenance_v1[ID_Antenne],_26_03_2026_Registre_Maintenance_v1[Technologie],"non trouvé")</f>
        <v>non trouvé</v>
      </c>
      <c r="J538" t="str">
        <f>_xlfn.XLOOKUP(_26_03_2026_Log_Reseau_v15[[#This Row],[Cell_ID]],_26_03_2026_Registre_Maintenance_v1[ID_Antenne],_26_03_2026_Registre_Maintenance_v1[Equipementier],"pas trouvé")</f>
        <v>pas trouvé</v>
      </c>
      <c r="K538" t="str">
        <f>_xlfn.XLOOKUP(_26_03_2026_Log_Reseau_v15[[#This Row],[province RDC]],_26_03_2026_Client_Churn_v1[Province_Client],_26_03_2026_Client_Churn_v1[ID_Client],"non trouvé")</f>
        <v>non trouvé</v>
      </c>
      <c r="L538" t="str">
        <f>_xlfn.XLOOKUP(_26_03_2026_Log_Reseau_v15[[#This Row],[province RDC]],_26_03_2026_Client_Churn_v1[Province_Client],_26_03_2026_Client_Churn_v1[Anciennete_Mois],"non trouvé")</f>
        <v>non trouvé</v>
      </c>
      <c r="M538" t="str">
        <f>_xlfn.XLOOKUP(_26_03_2026_Log_Reseau_v15[[#This Row],[province RDC]],_26_03_2026_Client_Churn_v1[Province_Client],_26_03_2026_Client_Churn_v1[Type_Forfait],"non trouvé")</f>
        <v>non trouvé</v>
      </c>
      <c r="N538" t="str">
        <f>_xlfn.XLOOKUP(_26_03_2026_Log_Reseau_v15[[#This Row],[province RDC]],_26_03_2026_Client_Churn_v1[Province_Client],_26_03_2026_Client_Churn_v1[Duree_Cumulee_Panne_Min],"non trouvé")</f>
        <v>non trouvé</v>
      </c>
      <c r="O538" t="str">
        <f>_xlfn.XLOOKUP(_26_03_2026_Log_Reseau_v15[[#This Row],[province RDC]],_26_03_2026_Client_Churn_v1[Province_Client],_26_03_2026_Client_Churn_v1[Facture_Mensuelle],"non trouvé")</f>
        <v>non trouvé</v>
      </c>
      <c r="P538" t="str">
        <f>_xlfn.XLOOKUP(_26_03_2026_Log_Reseau_v15[[#This Row],[province RDC]],_26_03_2026_Client_Churn_v1[Province_Client],_26_03_2026_Client_Churn_v1[Plaintes_Service_Client],"non trouvé")</f>
        <v>non trouvé</v>
      </c>
    </row>
    <row r="539" spans="1:16" x14ac:dyDescent="0.25">
      <c r="A539" s="1">
        <v>45207</v>
      </c>
      <c r="B539" s="2">
        <v>0.52638888888888891</v>
      </c>
      <c r="C539" t="s">
        <v>1149</v>
      </c>
      <c r="D539">
        <v>78</v>
      </c>
      <c r="E539" t="s">
        <v>812</v>
      </c>
      <c r="F539" t="str">
        <f>_xlfn.XLOOKUP(_26_03_2026_Log_Reseau_v15[[#This Row],[Cell_ID]],_26_03_2026_Registre_Maintenance_v1[ID_Antenne],_26_03_2026_Registre_Maintenance_v1[zone],"pas trouvé")</f>
        <v>Haut-Katanga</v>
      </c>
      <c r="G539">
        <f>_xlfn.XLOOKUP(_26_03_2026_Log_Reseau_v15[[#This Row],[Cell_ID]],_26_03_2026_Registre_Maintenance_v1[ID_Antenne],_26_03_2026_Registre_Maintenance_v1[Latitude],"non trouvé")</f>
        <v>-9.4229749999999992</v>
      </c>
      <c r="H539">
        <f>_xlfn.XLOOKUP(_26_03_2026_Log_Reseau_v15[[#This Row],[Cell_ID]],_26_03_2026_Registre_Maintenance_v1[ID_Antenne],_26_03_2026_Registre_Maintenance_v1[Longitude],"pas trouvé")</f>
        <v>29.375005999999999</v>
      </c>
      <c r="I539" t="str">
        <f>_xlfn.XLOOKUP(_26_03_2026_Log_Reseau_v15[[#This Row],[Cell_ID]],_26_03_2026_Registre_Maintenance_v1[ID_Antenne],_26_03_2026_Registre_Maintenance_v1[Technologie],"non trouvé")</f>
        <v>3G</v>
      </c>
      <c r="J539" t="str">
        <f>_xlfn.XLOOKUP(_26_03_2026_Log_Reseau_v15[[#This Row],[Cell_ID]],_26_03_2026_Registre_Maintenance_v1[ID_Antenne],_26_03_2026_Registre_Maintenance_v1[Equipementier],"pas trouvé")</f>
        <v>Ericsson</v>
      </c>
      <c r="K539" t="str">
        <f>_xlfn.XLOOKUP(_26_03_2026_Log_Reseau_v15[[#This Row],[province RDC]],_26_03_2026_Client_Churn_v1[Province_Client],_26_03_2026_Client_Churn_v1[ID_Client],"non trouvé")</f>
        <v>CLI-00076</v>
      </c>
      <c r="L539">
        <f>_xlfn.XLOOKUP(_26_03_2026_Log_Reseau_v15[[#This Row],[province RDC]],_26_03_2026_Client_Churn_v1[Province_Client],_26_03_2026_Client_Churn_v1[Anciennete_Mois],"non trouvé")</f>
        <v>46</v>
      </c>
      <c r="M539" t="str">
        <f>_xlfn.XLOOKUP(_26_03_2026_Log_Reseau_v15[[#This Row],[province RDC]],_26_03_2026_Client_Churn_v1[Province_Client],_26_03_2026_Client_Churn_v1[Type_Forfait],"non trouvé")</f>
        <v>Premium 5G 150Go</v>
      </c>
      <c r="N539">
        <f>_xlfn.XLOOKUP(_26_03_2026_Log_Reseau_v15[[#This Row],[province RDC]],_26_03_2026_Client_Churn_v1[Province_Client],_26_03_2026_Client_Churn_v1[Duree_Cumulee_Panne_Min],"non trouvé")</f>
        <v>283</v>
      </c>
      <c r="O539">
        <f>_xlfn.XLOOKUP(_26_03_2026_Log_Reseau_v15[[#This Row],[province RDC]],_26_03_2026_Client_Churn_v1[Province_Client],_26_03_2026_Client_Churn_v1[Facture_Mensuelle],"non trouvé")</f>
        <v>56.05</v>
      </c>
      <c r="P539">
        <f>_xlfn.XLOOKUP(_26_03_2026_Log_Reseau_v15[[#This Row],[province RDC]],_26_03_2026_Client_Churn_v1[Province_Client],_26_03_2026_Client_Churn_v1[Plaintes_Service_Client],"non trouvé")</f>
        <v>1</v>
      </c>
    </row>
    <row r="540" spans="1:16" x14ac:dyDescent="0.25">
      <c r="A540" s="1">
        <v>45202</v>
      </c>
      <c r="B540" s="2">
        <v>0.37638888888888888</v>
      </c>
      <c r="C540" t="s">
        <v>1150</v>
      </c>
      <c r="D540">
        <v>28</v>
      </c>
      <c r="E540" t="s">
        <v>807</v>
      </c>
      <c r="F540" t="str">
        <f>_xlfn.XLOOKUP(_26_03_2026_Log_Reseau_v15[[#This Row],[Cell_ID]],_26_03_2026_Registre_Maintenance_v1[ID_Antenne],_26_03_2026_Registre_Maintenance_v1[zone],"pas trouvé")</f>
        <v>Kwilu</v>
      </c>
      <c r="G540">
        <f>_xlfn.XLOOKUP(_26_03_2026_Log_Reseau_v15[[#This Row],[Cell_ID]],_26_03_2026_Registre_Maintenance_v1[ID_Antenne],_26_03_2026_Registre_Maintenance_v1[Latitude],"non trouvé")</f>
        <v>-7.402336</v>
      </c>
      <c r="H540">
        <f>_xlfn.XLOOKUP(_26_03_2026_Log_Reseau_v15[[#This Row],[Cell_ID]],_26_03_2026_Registre_Maintenance_v1[ID_Antenne],_26_03_2026_Registre_Maintenance_v1[Longitude],"pas trouvé")</f>
        <v>27.376697</v>
      </c>
      <c r="I540" t="str">
        <f>_xlfn.XLOOKUP(_26_03_2026_Log_Reseau_v15[[#This Row],[Cell_ID]],_26_03_2026_Registre_Maintenance_v1[ID_Antenne],_26_03_2026_Registre_Maintenance_v1[Technologie],"non trouvé")</f>
        <v>4G</v>
      </c>
      <c r="J540" t="str">
        <f>_xlfn.XLOOKUP(_26_03_2026_Log_Reseau_v15[[#This Row],[Cell_ID]],_26_03_2026_Registre_Maintenance_v1[ID_Antenne],_26_03_2026_Registre_Maintenance_v1[Equipementier],"pas trouvé")</f>
        <v>Huawei</v>
      </c>
      <c r="K540" t="str">
        <f>_xlfn.XLOOKUP(_26_03_2026_Log_Reseau_v15[[#This Row],[province RDC]],_26_03_2026_Client_Churn_v1[Province_Client],_26_03_2026_Client_Churn_v1[ID_Client],"non trouvé")</f>
        <v>CLI-00996</v>
      </c>
      <c r="L540">
        <f>_xlfn.XLOOKUP(_26_03_2026_Log_Reseau_v15[[#This Row],[province RDC]],_26_03_2026_Client_Churn_v1[Province_Client],_26_03_2026_Client_Churn_v1[Anciennete_Mois],"non trouvé")</f>
        <v>119</v>
      </c>
      <c r="M540" t="str">
        <f>_xlfn.XLOOKUP(_26_03_2026_Log_Reseau_v15[[#This Row],[province RDC]],_26_03_2026_Client_Churn_v1[Province_Client],_26_03_2026_Client_Churn_v1[Type_Forfait],"non trouvé")</f>
        <v>Illimité 50Go</v>
      </c>
      <c r="N540">
        <f>_xlfn.XLOOKUP(_26_03_2026_Log_Reseau_v15[[#This Row],[province RDC]],_26_03_2026_Client_Churn_v1[Province_Client],_26_03_2026_Client_Churn_v1[Duree_Cumulee_Panne_Min],"non trouvé")</f>
        <v>228</v>
      </c>
      <c r="O540">
        <f>_xlfn.XLOOKUP(_26_03_2026_Log_Reseau_v15[[#This Row],[province RDC]],_26_03_2026_Client_Churn_v1[Province_Client],_26_03_2026_Client_Churn_v1[Facture_Mensuelle],"non trouvé")</f>
        <v>94.72</v>
      </c>
      <c r="P540">
        <f>_xlfn.XLOOKUP(_26_03_2026_Log_Reseau_v15[[#This Row],[province RDC]],_26_03_2026_Client_Churn_v1[Province_Client],_26_03_2026_Client_Churn_v1[Plaintes_Service_Client],"non trouvé")</f>
        <v>3</v>
      </c>
    </row>
    <row r="541" spans="1:16" x14ac:dyDescent="0.25">
      <c r="A541" s="1">
        <v>45212</v>
      </c>
      <c r="B541" s="2">
        <v>0.44722222222222224</v>
      </c>
      <c r="C541" t="s">
        <v>1150</v>
      </c>
      <c r="D541">
        <v>88</v>
      </c>
      <c r="E541" t="s">
        <v>808</v>
      </c>
      <c r="F541" t="str">
        <f>_xlfn.XLOOKUP(_26_03_2026_Log_Reseau_v15[[#This Row],[Cell_ID]],_26_03_2026_Registre_Maintenance_v1[ID_Antenne],_26_03_2026_Registre_Maintenance_v1[zone],"pas trouvé")</f>
        <v>Kwilu</v>
      </c>
      <c r="G541">
        <f>_xlfn.XLOOKUP(_26_03_2026_Log_Reseau_v15[[#This Row],[Cell_ID]],_26_03_2026_Registre_Maintenance_v1[ID_Antenne],_26_03_2026_Registre_Maintenance_v1[Latitude],"non trouvé")</f>
        <v>-7.402336</v>
      </c>
      <c r="H541">
        <f>_xlfn.XLOOKUP(_26_03_2026_Log_Reseau_v15[[#This Row],[Cell_ID]],_26_03_2026_Registre_Maintenance_v1[ID_Antenne],_26_03_2026_Registre_Maintenance_v1[Longitude],"pas trouvé")</f>
        <v>27.376697</v>
      </c>
      <c r="I541" t="str">
        <f>_xlfn.XLOOKUP(_26_03_2026_Log_Reseau_v15[[#This Row],[Cell_ID]],_26_03_2026_Registre_Maintenance_v1[ID_Antenne],_26_03_2026_Registre_Maintenance_v1[Technologie],"non trouvé")</f>
        <v>4G</v>
      </c>
      <c r="J541" t="str">
        <f>_xlfn.XLOOKUP(_26_03_2026_Log_Reseau_v15[[#This Row],[Cell_ID]],_26_03_2026_Registre_Maintenance_v1[ID_Antenne],_26_03_2026_Registre_Maintenance_v1[Equipementier],"pas trouvé")</f>
        <v>Huawei</v>
      </c>
      <c r="K541" t="str">
        <f>_xlfn.XLOOKUP(_26_03_2026_Log_Reseau_v15[[#This Row],[province RDC]],_26_03_2026_Client_Churn_v1[Province_Client],_26_03_2026_Client_Churn_v1[ID_Client],"non trouvé")</f>
        <v>CLI-00996</v>
      </c>
      <c r="L541">
        <f>_xlfn.XLOOKUP(_26_03_2026_Log_Reseau_v15[[#This Row],[province RDC]],_26_03_2026_Client_Churn_v1[Province_Client],_26_03_2026_Client_Churn_v1[Anciennete_Mois],"non trouvé")</f>
        <v>119</v>
      </c>
      <c r="M541" t="str">
        <f>_xlfn.XLOOKUP(_26_03_2026_Log_Reseau_v15[[#This Row],[province RDC]],_26_03_2026_Client_Churn_v1[Province_Client],_26_03_2026_Client_Churn_v1[Type_Forfait],"non trouvé")</f>
        <v>Illimité 50Go</v>
      </c>
      <c r="N541">
        <f>_xlfn.XLOOKUP(_26_03_2026_Log_Reseau_v15[[#This Row],[province RDC]],_26_03_2026_Client_Churn_v1[Province_Client],_26_03_2026_Client_Churn_v1[Duree_Cumulee_Panne_Min],"non trouvé")</f>
        <v>228</v>
      </c>
      <c r="O541">
        <f>_xlfn.XLOOKUP(_26_03_2026_Log_Reseau_v15[[#This Row],[province RDC]],_26_03_2026_Client_Churn_v1[Province_Client],_26_03_2026_Client_Churn_v1[Facture_Mensuelle],"non trouvé")</f>
        <v>94.72</v>
      </c>
      <c r="P541">
        <f>_xlfn.XLOOKUP(_26_03_2026_Log_Reseau_v15[[#This Row],[province RDC]],_26_03_2026_Client_Churn_v1[Province_Client],_26_03_2026_Client_Churn_v1[Plaintes_Service_Client],"non trouvé")</f>
        <v>3</v>
      </c>
    </row>
    <row r="542" spans="1:16" x14ac:dyDescent="0.25">
      <c r="A542" s="1">
        <v>45203</v>
      </c>
      <c r="B542" s="2">
        <v>0.52222222222222225</v>
      </c>
      <c r="C542" t="s">
        <v>1150</v>
      </c>
      <c r="D542">
        <v>11</v>
      </c>
      <c r="E542" t="s">
        <v>808</v>
      </c>
      <c r="F542" t="str">
        <f>_xlfn.XLOOKUP(_26_03_2026_Log_Reseau_v15[[#This Row],[Cell_ID]],_26_03_2026_Registre_Maintenance_v1[ID_Antenne],_26_03_2026_Registre_Maintenance_v1[zone],"pas trouvé")</f>
        <v>Kwilu</v>
      </c>
      <c r="G542">
        <f>_xlfn.XLOOKUP(_26_03_2026_Log_Reseau_v15[[#This Row],[Cell_ID]],_26_03_2026_Registre_Maintenance_v1[ID_Antenne],_26_03_2026_Registre_Maintenance_v1[Latitude],"non trouvé")</f>
        <v>-7.402336</v>
      </c>
      <c r="H542">
        <f>_xlfn.XLOOKUP(_26_03_2026_Log_Reseau_v15[[#This Row],[Cell_ID]],_26_03_2026_Registre_Maintenance_v1[ID_Antenne],_26_03_2026_Registre_Maintenance_v1[Longitude],"pas trouvé")</f>
        <v>27.376697</v>
      </c>
      <c r="I542" t="str">
        <f>_xlfn.XLOOKUP(_26_03_2026_Log_Reseau_v15[[#This Row],[Cell_ID]],_26_03_2026_Registre_Maintenance_v1[ID_Antenne],_26_03_2026_Registre_Maintenance_v1[Technologie],"non trouvé")</f>
        <v>4G</v>
      </c>
      <c r="J542" t="str">
        <f>_xlfn.XLOOKUP(_26_03_2026_Log_Reseau_v15[[#This Row],[Cell_ID]],_26_03_2026_Registre_Maintenance_v1[ID_Antenne],_26_03_2026_Registre_Maintenance_v1[Equipementier],"pas trouvé")</f>
        <v>Huawei</v>
      </c>
      <c r="K542" t="str">
        <f>_xlfn.XLOOKUP(_26_03_2026_Log_Reseau_v15[[#This Row],[province RDC]],_26_03_2026_Client_Churn_v1[Province_Client],_26_03_2026_Client_Churn_v1[ID_Client],"non trouvé")</f>
        <v>CLI-00996</v>
      </c>
      <c r="L542">
        <f>_xlfn.XLOOKUP(_26_03_2026_Log_Reseau_v15[[#This Row],[province RDC]],_26_03_2026_Client_Churn_v1[Province_Client],_26_03_2026_Client_Churn_v1[Anciennete_Mois],"non trouvé")</f>
        <v>119</v>
      </c>
      <c r="M542" t="str">
        <f>_xlfn.XLOOKUP(_26_03_2026_Log_Reseau_v15[[#This Row],[province RDC]],_26_03_2026_Client_Churn_v1[Province_Client],_26_03_2026_Client_Churn_v1[Type_Forfait],"non trouvé")</f>
        <v>Illimité 50Go</v>
      </c>
      <c r="N542">
        <f>_xlfn.XLOOKUP(_26_03_2026_Log_Reseau_v15[[#This Row],[province RDC]],_26_03_2026_Client_Churn_v1[Province_Client],_26_03_2026_Client_Churn_v1[Duree_Cumulee_Panne_Min],"non trouvé")</f>
        <v>228</v>
      </c>
      <c r="O542">
        <f>_xlfn.XLOOKUP(_26_03_2026_Log_Reseau_v15[[#This Row],[province RDC]],_26_03_2026_Client_Churn_v1[Province_Client],_26_03_2026_Client_Churn_v1[Facture_Mensuelle],"non trouvé")</f>
        <v>94.72</v>
      </c>
      <c r="P542">
        <f>_xlfn.XLOOKUP(_26_03_2026_Log_Reseau_v15[[#This Row],[province RDC]],_26_03_2026_Client_Churn_v1[Province_Client],_26_03_2026_Client_Churn_v1[Plaintes_Service_Client],"non trouvé")</f>
        <v>3</v>
      </c>
    </row>
    <row r="543" spans="1:16" x14ac:dyDescent="0.25">
      <c r="A543" s="1">
        <v>45220</v>
      </c>
      <c r="B543" s="2">
        <v>0.15902777777777777</v>
      </c>
      <c r="C543" t="s">
        <v>1151</v>
      </c>
      <c r="D543">
        <v>60</v>
      </c>
      <c r="E543" t="s">
        <v>812</v>
      </c>
      <c r="F543" t="str">
        <f>_xlfn.XLOOKUP(_26_03_2026_Log_Reseau_v15[[#This Row],[Cell_ID]],_26_03_2026_Registre_Maintenance_v1[ID_Antenne],_26_03_2026_Registre_Maintenance_v1[zone],"pas trouvé")</f>
        <v>Tshopo</v>
      </c>
      <c r="G543">
        <f>_xlfn.XLOOKUP(_26_03_2026_Log_Reseau_v15[[#This Row],[Cell_ID]],_26_03_2026_Registre_Maintenance_v1[ID_Antenne],_26_03_2026_Registre_Maintenance_v1[Latitude],"non trouvé")</f>
        <v>-9.4133639999999996</v>
      </c>
      <c r="H543">
        <f>_xlfn.XLOOKUP(_26_03_2026_Log_Reseau_v15[[#This Row],[Cell_ID]],_26_03_2026_Registre_Maintenance_v1[ID_Antenne],_26_03_2026_Registre_Maintenance_v1[Longitude],"pas trouvé")</f>
        <v>15.682482</v>
      </c>
      <c r="I543" t="str">
        <f>_xlfn.XLOOKUP(_26_03_2026_Log_Reseau_v15[[#This Row],[Cell_ID]],_26_03_2026_Registre_Maintenance_v1[ID_Antenne],_26_03_2026_Registre_Maintenance_v1[Technologie],"non trouvé")</f>
        <v>4G</v>
      </c>
      <c r="J543" t="str">
        <f>_xlfn.XLOOKUP(_26_03_2026_Log_Reseau_v15[[#This Row],[Cell_ID]],_26_03_2026_Registre_Maintenance_v1[ID_Antenne],_26_03_2026_Registre_Maintenance_v1[Equipementier],"pas trouvé")</f>
        <v>Huawei</v>
      </c>
      <c r="K543" t="str">
        <f>_xlfn.XLOOKUP(_26_03_2026_Log_Reseau_v15[[#This Row],[province RDC]],_26_03_2026_Client_Churn_v1[Province_Client],_26_03_2026_Client_Churn_v1[ID_Client],"non trouvé")</f>
        <v>CLI-00745</v>
      </c>
      <c r="L543">
        <f>_xlfn.XLOOKUP(_26_03_2026_Log_Reseau_v15[[#This Row],[province RDC]],_26_03_2026_Client_Churn_v1[Province_Client],_26_03_2026_Client_Churn_v1[Anciennete_Mois],"non trouvé")</f>
        <v>6</v>
      </c>
      <c r="M543" t="str">
        <f>_xlfn.XLOOKUP(_26_03_2026_Log_Reseau_v15[[#This Row],[province RDC]],_26_03_2026_Client_Churn_v1[Province_Client],_26_03_2026_Client_Churn_v1[Type_Forfait],"non trouvé")</f>
        <v>Premium 5G 150Go</v>
      </c>
      <c r="N543">
        <f>_xlfn.XLOOKUP(_26_03_2026_Log_Reseau_v15[[#This Row],[province RDC]],_26_03_2026_Client_Churn_v1[Province_Client],_26_03_2026_Client_Churn_v1[Duree_Cumulee_Panne_Min],"non trouvé")</f>
        <v>207</v>
      </c>
      <c r="O543">
        <f>_xlfn.XLOOKUP(_26_03_2026_Log_Reseau_v15[[#This Row],[province RDC]],_26_03_2026_Client_Churn_v1[Province_Client],_26_03_2026_Client_Churn_v1[Facture_Mensuelle],"non trouvé")</f>
        <v>61.55</v>
      </c>
      <c r="P543">
        <f>_xlfn.XLOOKUP(_26_03_2026_Log_Reseau_v15[[#This Row],[province RDC]],_26_03_2026_Client_Churn_v1[Province_Client],_26_03_2026_Client_Churn_v1[Plaintes_Service_Client],"non trouvé")</f>
        <v>0</v>
      </c>
    </row>
    <row r="544" spans="1:16" x14ac:dyDescent="0.25">
      <c r="A544" s="1">
        <v>45218</v>
      </c>
      <c r="B544" s="2">
        <v>0.37847222222222221</v>
      </c>
      <c r="C544" t="s">
        <v>1152</v>
      </c>
      <c r="D544">
        <v>102</v>
      </c>
      <c r="E544" t="s">
        <v>807</v>
      </c>
      <c r="F544" t="str">
        <f>_xlfn.XLOOKUP(_26_03_2026_Log_Reseau_v15[[#This Row],[Cell_ID]],_26_03_2026_Registre_Maintenance_v1[ID_Antenne],_26_03_2026_Registre_Maintenance_v1[zone],"pas trouvé")</f>
        <v>Kasai-Central</v>
      </c>
      <c r="G544">
        <f>_xlfn.XLOOKUP(_26_03_2026_Log_Reseau_v15[[#This Row],[Cell_ID]],_26_03_2026_Registre_Maintenance_v1[ID_Antenne],_26_03_2026_Registre_Maintenance_v1[Latitude],"non trouvé")</f>
        <v>-4.4451280000000004</v>
      </c>
      <c r="H544">
        <f>_xlfn.XLOOKUP(_26_03_2026_Log_Reseau_v15[[#This Row],[Cell_ID]],_26_03_2026_Registre_Maintenance_v1[ID_Antenne],_26_03_2026_Registre_Maintenance_v1[Longitude],"pas trouvé")</f>
        <v>16.536944999999999</v>
      </c>
      <c r="I544" t="str">
        <f>_xlfn.XLOOKUP(_26_03_2026_Log_Reseau_v15[[#This Row],[Cell_ID]],_26_03_2026_Registre_Maintenance_v1[ID_Antenne],_26_03_2026_Registre_Maintenance_v1[Technologie],"non trouvé")</f>
        <v>4G</v>
      </c>
      <c r="J544" t="str">
        <f>_xlfn.XLOOKUP(_26_03_2026_Log_Reseau_v15[[#This Row],[Cell_ID]],_26_03_2026_Registre_Maintenance_v1[ID_Antenne],_26_03_2026_Registre_Maintenance_v1[Equipementier],"pas trouvé")</f>
        <v>Ericsson</v>
      </c>
      <c r="K544" t="str">
        <f>_xlfn.XLOOKUP(_26_03_2026_Log_Reseau_v15[[#This Row],[province RDC]],_26_03_2026_Client_Churn_v1[Province_Client],_26_03_2026_Client_Churn_v1[ID_Client],"non trouvé")</f>
        <v>CLI-00060</v>
      </c>
      <c r="L544">
        <f>_xlfn.XLOOKUP(_26_03_2026_Log_Reseau_v15[[#This Row],[province RDC]],_26_03_2026_Client_Churn_v1[Province_Client],_26_03_2026_Client_Churn_v1[Anciennete_Mois],"non trouvé")</f>
        <v>72</v>
      </c>
      <c r="M544" t="str">
        <f>_xlfn.XLOOKUP(_26_03_2026_Log_Reseau_v15[[#This Row],[province RDC]],_26_03_2026_Client_Churn_v1[Province_Client],_26_03_2026_Client_Churn_v1[Type_Forfait],"non trouvé")</f>
        <v>Pro Monde</v>
      </c>
      <c r="N544">
        <f>_xlfn.XLOOKUP(_26_03_2026_Log_Reseau_v15[[#This Row],[province RDC]],_26_03_2026_Client_Churn_v1[Province_Client],_26_03_2026_Client_Churn_v1[Duree_Cumulee_Panne_Min],"non trouvé")</f>
        <v>160</v>
      </c>
      <c r="O544">
        <f>_xlfn.XLOOKUP(_26_03_2026_Log_Reseau_v15[[#This Row],[province RDC]],_26_03_2026_Client_Churn_v1[Province_Client],_26_03_2026_Client_Churn_v1[Facture_Mensuelle],"non trouvé")</f>
        <v>90.13</v>
      </c>
      <c r="P544">
        <f>_xlfn.XLOOKUP(_26_03_2026_Log_Reseau_v15[[#This Row],[province RDC]],_26_03_2026_Client_Churn_v1[Province_Client],_26_03_2026_Client_Churn_v1[Plaintes_Service_Client],"non trouvé")</f>
        <v>2</v>
      </c>
    </row>
    <row r="545" spans="1:16" x14ac:dyDescent="0.25">
      <c r="A545" s="1">
        <v>45221</v>
      </c>
      <c r="B545" s="2">
        <v>0.77222222222222225</v>
      </c>
      <c r="C545" t="s">
        <v>1152</v>
      </c>
      <c r="D545">
        <v>107</v>
      </c>
      <c r="E545" t="s">
        <v>807</v>
      </c>
      <c r="F545" t="str">
        <f>_xlfn.XLOOKUP(_26_03_2026_Log_Reseau_v15[[#This Row],[Cell_ID]],_26_03_2026_Registre_Maintenance_v1[ID_Antenne],_26_03_2026_Registre_Maintenance_v1[zone],"pas trouvé")</f>
        <v>Kasai-Central</v>
      </c>
      <c r="G545">
        <f>_xlfn.XLOOKUP(_26_03_2026_Log_Reseau_v15[[#This Row],[Cell_ID]],_26_03_2026_Registre_Maintenance_v1[ID_Antenne],_26_03_2026_Registre_Maintenance_v1[Latitude],"non trouvé")</f>
        <v>-4.4451280000000004</v>
      </c>
      <c r="H545">
        <f>_xlfn.XLOOKUP(_26_03_2026_Log_Reseau_v15[[#This Row],[Cell_ID]],_26_03_2026_Registre_Maintenance_v1[ID_Antenne],_26_03_2026_Registre_Maintenance_v1[Longitude],"pas trouvé")</f>
        <v>16.536944999999999</v>
      </c>
      <c r="I545" t="str">
        <f>_xlfn.XLOOKUP(_26_03_2026_Log_Reseau_v15[[#This Row],[Cell_ID]],_26_03_2026_Registre_Maintenance_v1[ID_Antenne],_26_03_2026_Registre_Maintenance_v1[Technologie],"non trouvé")</f>
        <v>4G</v>
      </c>
      <c r="J545" t="str">
        <f>_xlfn.XLOOKUP(_26_03_2026_Log_Reseau_v15[[#This Row],[Cell_ID]],_26_03_2026_Registre_Maintenance_v1[ID_Antenne],_26_03_2026_Registre_Maintenance_v1[Equipementier],"pas trouvé")</f>
        <v>Ericsson</v>
      </c>
      <c r="K545" t="str">
        <f>_xlfn.XLOOKUP(_26_03_2026_Log_Reseau_v15[[#This Row],[province RDC]],_26_03_2026_Client_Churn_v1[Province_Client],_26_03_2026_Client_Churn_v1[ID_Client],"non trouvé")</f>
        <v>CLI-00060</v>
      </c>
      <c r="L545">
        <f>_xlfn.XLOOKUP(_26_03_2026_Log_Reseau_v15[[#This Row],[province RDC]],_26_03_2026_Client_Churn_v1[Province_Client],_26_03_2026_Client_Churn_v1[Anciennete_Mois],"non trouvé")</f>
        <v>72</v>
      </c>
      <c r="M545" t="str">
        <f>_xlfn.XLOOKUP(_26_03_2026_Log_Reseau_v15[[#This Row],[province RDC]],_26_03_2026_Client_Churn_v1[Province_Client],_26_03_2026_Client_Churn_v1[Type_Forfait],"non trouvé")</f>
        <v>Pro Monde</v>
      </c>
      <c r="N545">
        <f>_xlfn.XLOOKUP(_26_03_2026_Log_Reseau_v15[[#This Row],[province RDC]],_26_03_2026_Client_Churn_v1[Province_Client],_26_03_2026_Client_Churn_v1[Duree_Cumulee_Panne_Min],"non trouvé")</f>
        <v>160</v>
      </c>
      <c r="O545">
        <f>_xlfn.XLOOKUP(_26_03_2026_Log_Reseau_v15[[#This Row],[province RDC]],_26_03_2026_Client_Churn_v1[Province_Client],_26_03_2026_Client_Churn_v1[Facture_Mensuelle],"non trouvé")</f>
        <v>90.13</v>
      </c>
      <c r="P545">
        <f>_xlfn.XLOOKUP(_26_03_2026_Log_Reseau_v15[[#This Row],[province RDC]],_26_03_2026_Client_Churn_v1[Province_Client],_26_03_2026_Client_Churn_v1[Plaintes_Service_Client],"non trouvé")</f>
        <v>2</v>
      </c>
    </row>
    <row r="546" spans="1:16" hidden="1" x14ac:dyDescent="0.25">
      <c r="A546" s="1">
        <v>45211</v>
      </c>
      <c r="B546" s="2">
        <v>0.70625000000000004</v>
      </c>
      <c r="C546" t="s">
        <v>1153</v>
      </c>
      <c r="D546">
        <v>115</v>
      </c>
      <c r="E546" t="s">
        <v>812</v>
      </c>
      <c r="F546" t="str">
        <f>_xlfn.XLOOKUP(_26_03_2026_Log_Reseau_v15[[#This Row],[Cell_ID]],_26_03_2026_Registre_Maintenance_v1[ID_Antenne],_26_03_2026_Registre_Maintenance_v1[zone],"pas trouvé")</f>
        <v>pas trouvé</v>
      </c>
      <c r="G546" t="str">
        <f>_xlfn.XLOOKUP(_26_03_2026_Log_Reseau_v15[[#This Row],[Cell_ID]],_26_03_2026_Registre_Maintenance_v1[ID_Antenne],_26_03_2026_Registre_Maintenance_v1[Latitude],"non trouvé")</f>
        <v>non trouvé</v>
      </c>
      <c r="H546" t="str">
        <f>_xlfn.XLOOKUP(_26_03_2026_Log_Reseau_v15[[#This Row],[Cell_ID]],_26_03_2026_Registre_Maintenance_v1[ID_Antenne],_26_03_2026_Registre_Maintenance_v1[Longitude],"pas trouvé")</f>
        <v>pas trouvé</v>
      </c>
      <c r="I546" t="str">
        <f>_xlfn.XLOOKUP(_26_03_2026_Log_Reseau_v15[[#This Row],[Cell_ID]],_26_03_2026_Registre_Maintenance_v1[ID_Antenne],_26_03_2026_Registre_Maintenance_v1[Technologie],"non trouvé")</f>
        <v>non trouvé</v>
      </c>
      <c r="J546" t="str">
        <f>_xlfn.XLOOKUP(_26_03_2026_Log_Reseau_v15[[#This Row],[Cell_ID]],_26_03_2026_Registre_Maintenance_v1[ID_Antenne],_26_03_2026_Registre_Maintenance_v1[Equipementier],"pas trouvé")</f>
        <v>pas trouvé</v>
      </c>
      <c r="K546" t="str">
        <f>_xlfn.XLOOKUP(_26_03_2026_Log_Reseau_v15[[#This Row],[province RDC]],_26_03_2026_Client_Churn_v1[Province_Client],_26_03_2026_Client_Churn_v1[ID_Client],"non trouvé")</f>
        <v>non trouvé</v>
      </c>
      <c r="L546" t="str">
        <f>_xlfn.XLOOKUP(_26_03_2026_Log_Reseau_v15[[#This Row],[province RDC]],_26_03_2026_Client_Churn_v1[Province_Client],_26_03_2026_Client_Churn_v1[Anciennete_Mois],"non trouvé")</f>
        <v>non trouvé</v>
      </c>
      <c r="M546" t="str">
        <f>_xlfn.XLOOKUP(_26_03_2026_Log_Reseau_v15[[#This Row],[province RDC]],_26_03_2026_Client_Churn_v1[Province_Client],_26_03_2026_Client_Churn_v1[Type_Forfait],"non trouvé")</f>
        <v>non trouvé</v>
      </c>
      <c r="N546" t="str">
        <f>_xlfn.XLOOKUP(_26_03_2026_Log_Reseau_v15[[#This Row],[province RDC]],_26_03_2026_Client_Churn_v1[Province_Client],_26_03_2026_Client_Churn_v1[Duree_Cumulee_Panne_Min],"non trouvé")</f>
        <v>non trouvé</v>
      </c>
      <c r="O546" t="str">
        <f>_xlfn.XLOOKUP(_26_03_2026_Log_Reseau_v15[[#This Row],[province RDC]],_26_03_2026_Client_Churn_v1[Province_Client],_26_03_2026_Client_Churn_v1[Facture_Mensuelle],"non trouvé")</f>
        <v>non trouvé</v>
      </c>
      <c r="P546" t="str">
        <f>_xlfn.XLOOKUP(_26_03_2026_Log_Reseau_v15[[#This Row],[province RDC]],_26_03_2026_Client_Churn_v1[Province_Client],_26_03_2026_Client_Churn_v1[Plaintes_Service_Client],"non trouvé")</f>
        <v>non trouvé</v>
      </c>
    </row>
    <row r="547" spans="1:16" x14ac:dyDescent="0.25">
      <c r="A547" s="1">
        <v>45230</v>
      </c>
      <c r="B547" s="2">
        <v>0.26458333333333334</v>
      </c>
      <c r="C547" t="s">
        <v>1154</v>
      </c>
      <c r="D547">
        <v>62</v>
      </c>
      <c r="E547" t="s">
        <v>807</v>
      </c>
      <c r="F547" t="str">
        <f>_xlfn.XLOOKUP(_26_03_2026_Log_Reseau_v15[[#This Row],[Cell_ID]],_26_03_2026_Registre_Maintenance_v1[ID_Antenne],_26_03_2026_Registre_Maintenance_v1[zone],"pas trouvé")</f>
        <v>Mongala</v>
      </c>
      <c r="G547">
        <f>_xlfn.XLOOKUP(_26_03_2026_Log_Reseau_v15[[#This Row],[Cell_ID]],_26_03_2026_Registre_Maintenance_v1[ID_Antenne],_26_03_2026_Registre_Maintenance_v1[Latitude],"non trouvé")</f>
        <v>3.6344850000000002</v>
      </c>
      <c r="H547">
        <f>_xlfn.XLOOKUP(_26_03_2026_Log_Reseau_v15[[#This Row],[Cell_ID]],_26_03_2026_Registre_Maintenance_v1[ID_Antenne],_26_03_2026_Registre_Maintenance_v1[Longitude],"pas trouvé")</f>
        <v>12.158348999999999</v>
      </c>
      <c r="I547" t="str">
        <f>_xlfn.XLOOKUP(_26_03_2026_Log_Reseau_v15[[#This Row],[Cell_ID]],_26_03_2026_Registre_Maintenance_v1[ID_Antenne],_26_03_2026_Registre_Maintenance_v1[Technologie],"non trouvé")</f>
        <v>5G</v>
      </c>
      <c r="J547" t="str">
        <f>_xlfn.XLOOKUP(_26_03_2026_Log_Reseau_v15[[#This Row],[Cell_ID]],_26_03_2026_Registre_Maintenance_v1[ID_Antenne],_26_03_2026_Registre_Maintenance_v1[Equipementier],"pas trouvé")</f>
        <v>Ericsson</v>
      </c>
      <c r="K547" t="str">
        <f>_xlfn.XLOOKUP(_26_03_2026_Log_Reseau_v15[[#This Row],[province RDC]],_26_03_2026_Client_Churn_v1[Province_Client],_26_03_2026_Client_Churn_v1[ID_Client],"non trouvé")</f>
        <v>CLI-00865</v>
      </c>
      <c r="L547">
        <f>_xlfn.XLOOKUP(_26_03_2026_Log_Reseau_v15[[#This Row],[province RDC]],_26_03_2026_Client_Churn_v1[Province_Client],_26_03_2026_Client_Churn_v1[Anciennete_Mois],"non trouvé")</f>
        <v>34</v>
      </c>
      <c r="M547" t="str">
        <f>_xlfn.XLOOKUP(_26_03_2026_Log_Reseau_v15[[#This Row],[province RDC]],_26_03_2026_Client_Churn_v1[Province_Client],_26_03_2026_Client_Churn_v1[Type_Forfait],"non trouvé")</f>
        <v>Pro Monde</v>
      </c>
      <c r="N547">
        <f>_xlfn.XLOOKUP(_26_03_2026_Log_Reseau_v15[[#This Row],[province RDC]],_26_03_2026_Client_Churn_v1[Province_Client],_26_03_2026_Client_Churn_v1[Duree_Cumulee_Panne_Min],"non trouvé")</f>
        <v>453</v>
      </c>
      <c r="O547">
        <f>_xlfn.XLOOKUP(_26_03_2026_Log_Reseau_v15[[#This Row],[province RDC]],_26_03_2026_Client_Churn_v1[Province_Client],_26_03_2026_Client_Churn_v1[Facture_Mensuelle],"non trouvé")</f>
        <v>56.84</v>
      </c>
      <c r="P547">
        <f>_xlfn.XLOOKUP(_26_03_2026_Log_Reseau_v15[[#This Row],[province RDC]],_26_03_2026_Client_Churn_v1[Province_Client],_26_03_2026_Client_Churn_v1[Plaintes_Service_Client],"non trouvé")</f>
        <v>0</v>
      </c>
    </row>
    <row r="548" spans="1:16" x14ac:dyDescent="0.25">
      <c r="A548" s="1">
        <v>45204</v>
      </c>
      <c r="B548" s="2">
        <v>0.59097222222222223</v>
      </c>
      <c r="C548" t="s">
        <v>1155</v>
      </c>
      <c r="D548">
        <v>108</v>
      </c>
      <c r="E548" t="s">
        <v>808</v>
      </c>
      <c r="F548" t="str">
        <f>_xlfn.XLOOKUP(_26_03_2026_Log_Reseau_v15[[#This Row],[Cell_ID]],_26_03_2026_Registre_Maintenance_v1[ID_Antenne],_26_03_2026_Registre_Maintenance_v1[zone],"pas trouvé")</f>
        <v>Kwilu</v>
      </c>
      <c r="G548">
        <f>_xlfn.XLOOKUP(_26_03_2026_Log_Reseau_v15[[#This Row],[Cell_ID]],_26_03_2026_Registre_Maintenance_v1[ID_Antenne],_26_03_2026_Registre_Maintenance_v1[Latitude],"non trouvé")</f>
        <v>-8.5675749999999997</v>
      </c>
      <c r="H548">
        <f>_xlfn.XLOOKUP(_26_03_2026_Log_Reseau_v15[[#This Row],[Cell_ID]],_26_03_2026_Registre_Maintenance_v1[ID_Antenne],_26_03_2026_Registre_Maintenance_v1[Longitude],"pas trouvé")</f>
        <v>26.994581</v>
      </c>
      <c r="I548" t="str">
        <f>_xlfn.XLOOKUP(_26_03_2026_Log_Reseau_v15[[#This Row],[Cell_ID]],_26_03_2026_Registre_Maintenance_v1[ID_Antenne],_26_03_2026_Registre_Maintenance_v1[Technologie],"non trouvé")</f>
        <v>3G</v>
      </c>
      <c r="J548" t="str">
        <f>_xlfn.XLOOKUP(_26_03_2026_Log_Reseau_v15[[#This Row],[Cell_ID]],_26_03_2026_Registre_Maintenance_v1[ID_Antenne],_26_03_2026_Registre_Maintenance_v1[Equipementier],"pas trouvé")</f>
        <v>Nokia</v>
      </c>
      <c r="K548" t="str">
        <f>_xlfn.XLOOKUP(_26_03_2026_Log_Reseau_v15[[#This Row],[province RDC]],_26_03_2026_Client_Churn_v1[Province_Client],_26_03_2026_Client_Churn_v1[ID_Client],"non trouvé")</f>
        <v>CLI-00996</v>
      </c>
      <c r="L548">
        <f>_xlfn.XLOOKUP(_26_03_2026_Log_Reseau_v15[[#This Row],[province RDC]],_26_03_2026_Client_Churn_v1[Province_Client],_26_03_2026_Client_Churn_v1[Anciennete_Mois],"non trouvé")</f>
        <v>119</v>
      </c>
      <c r="M548" t="str">
        <f>_xlfn.XLOOKUP(_26_03_2026_Log_Reseau_v15[[#This Row],[province RDC]],_26_03_2026_Client_Churn_v1[Province_Client],_26_03_2026_Client_Churn_v1[Type_Forfait],"non trouvé")</f>
        <v>Illimité 50Go</v>
      </c>
      <c r="N548">
        <f>_xlfn.XLOOKUP(_26_03_2026_Log_Reseau_v15[[#This Row],[province RDC]],_26_03_2026_Client_Churn_v1[Province_Client],_26_03_2026_Client_Churn_v1[Duree_Cumulee_Panne_Min],"non trouvé")</f>
        <v>228</v>
      </c>
      <c r="O548">
        <f>_xlfn.XLOOKUP(_26_03_2026_Log_Reseau_v15[[#This Row],[province RDC]],_26_03_2026_Client_Churn_v1[Province_Client],_26_03_2026_Client_Churn_v1[Facture_Mensuelle],"non trouvé")</f>
        <v>94.72</v>
      </c>
      <c r="P548">
        <f>_xlfn.XLOOKUP(_26_03_2026_Log_Reseau_v15[[#This Row],[province RDC]],_26_03_2026_Client_Churn_v1[Province_Client],_26_03_2026_Client_Churn_v1[Plaintes_Service_Client],"non trouvé")</f>
        <v>3</v>
      </c>
    </row>
    <row r="549" spans="1:16" x14ac:dyDescent="0.25">
      <c r="A549" s="1">
        <v>45217</v>
      </c>
      <c r="B549" s="2">
        <v>0.47361111111111109</v>
      </c>
      <c r="C549" t="s">
        <v>1155</v>
      </c>
      <c r="D549">
        <v>37</v>
      </c>
      <c r="E549" t="s">
        <v>812</v>
      </c>
      <c r="F549" t="str">
        <f>_xlfn.XLOOKUP(_26_03_2026_Log_Reseau_v15[[#This Row],[Cell_ID]],_26_03_2026_Registre_Maintenance_v1[ID_Antenne],_26_03_2026_Registre_Maintenance_v1[zone],"pas trouvé")</f>
        <v>Kwilu</v>
      </c>
      <c r="G549">
        <f>_xlfn.XLOOKUP(_26_03_2026_Log_Reseau_v15[[#This Row],[Cell_ID]],_26_03_2026_Registre_Maintenance_v1[ID_Antenne],_26_03_2026_Registre_Maintenance_v1[Latitude],"non trouvé")</f>
        <v>-8.5675749999999997</v>
      </c>
      <c r="H549">
        <f>_xlfn.XLOOKUP(_26_03_2026_Log_Reseau_v15[[#This Row],[Cell_ID]],_26_03_2026_Registre_Maintenance_v1[ID_Antenne],_26_03_2026_Registre_Maintenance_v1[Longitude],"pas trouvé")</f>
        <v>26.994581</v>
      </c>
      <c r="I549" t="str">
        <f>_xlfn.XLOOKUP(_26_03_2026_Log_Reseau_v15[[#This Row],[Cell_ID]],_26_03_2026_Registre_Maintenance_v1[ID_Antenne],_26_03_2026_Registre_Maintenance_v1[Technologie],"non trouvé")</f>
        <v>3G</v>
      </c>
      <c r="J549" t="str">
        <f>_xlfn.XLOOKUP(_26_03_2026_Log_Reseau_v15[[#This Row],[Cell_ID]],_26_03_2026_Registre_Maintenance_v1[ID_Antenne],_26_03_2026_Registre_Maintenance_v1[Equipementier],"pas trouvé")</f>
        <v>Nokia</v>
      </c>
      <c r="K549" t="str">
        <f>_xlfn.XLOOKUP(_26_03_2026_Log_Reseau_v15[[#This Row],[province RDC]],_26_03_2026_Client_Churn_v1[Province_Client],_26_03_2026_Client_Churn_v1[ID_Client],"non trouvé")</f>
        <v>CLI-00996</v>
      </c>
      <c r="L549">
        <f>_xlfn.XLOOKUP(_26_03_2026_Log_Reseau_v15[[#This Row],[province RDC]],_26_03_2026_Client_Churn_v1[Province_Client],_26_03_2026_Client_Churn_v1[Anciennete_Mois],"non trouvé")</f>
        <v>119</v>
      </c>
      <c r="M549" t="str">
        <f>_xlfn.XLOOKUP(_26_03_2026_Log_Reseau_v15[[#This Row],[province RDC]],_26_03_2026_Client_Churn_v1[Province_Client],_26_03_2026_Client_Churn_v1[Type_Forfait],"non trouvé")</f>
        <v>Illimité 50Go</v>
      </c>
      <c r="N549">
        <f>_xlfn.XLOOKUP(_26_03_2026_Log_Reseau_v15[[#This Row],[province RDC]],_26_03_2026_Client_Churn_v1[Province_Client],_26_03_2026_Client_Churn_v1[Duree_Cumulee_Panne_Min],"non trouvé")</f>
        <v>228</v>
      </c>
      <c r="O549">
        <f>_xlfn.XLOOKUP(_26_03_2026_Log_Reseau_v15[[#This Row],[province RDC]],_26_03_2026_Client_Churn_v1[Province_Client],_26_03_2026_Client_Churn_v1[Facture_Mensuelle],"non trouvé")</f>
        <v>94.72</v>
      </c>
      <c r="P549">
        <f>_xlfn.XLOOKUP(_26_03_2026_Log_Reseau_v15[[#This Row],[province RDC]],_26_03_2026_Client_Churn_v1[Province_Client],_26_03_2026_Client_Churn_v1[Plaintes_Service_Client],"non trouvé")</f>
        <v>3</v>
      </c>
    </row>
    <row r="550" spans="1:16" x14ac:dyDescent="0.25">
      <c r="A550" s="1">
        <v>45207</v>
      </c>
      <c r="B550" s="2">
        <v>0.12708333333333333</v>
      </c>
      <c r="C550" t="s">
        <v>1155</v>
      </c>
      <c r="D550">
        <v>38</v>
      </c>
      <c r="E550" t="s">
        <v>807</v>
      </c>
      <c r="F550" t="str">
        <f>_xlfn.XLOOKUP(_26_03_2026_Log_Reseau_v15[[#This Row],[Cell_ID]],_26_03_2026_Registre_Maintenance_v1[ID_Antenne],_26_03_2026_Registre_Maintenance_v1[zone],"pas trouvé")</f>
        <v>Kwilu</v>
      </c>
      <c r="G550">
        <f>_xlfn.XLOOKUP(_26_03_2026_Log_Reseau_v15[[#This Row],[Cell_ID]],_26_03_2026_Registre_Maintenance_v1[ID_Antenne],_26_03_2026_Registre_Maintenance_v1[Latitude],"non trouvé")</f>
        <v>-8.5675749999999997</v>
      </c>
      <c r="H550">
        <f>_xlfn.XLOOKUP(_26_03_2026_Log_Reseau_v15[[#This Row],[Cell_ID]],_26_03_2026_Registre_Maintenance_v1[ID_Antenne],_26_03_2026_Registre_Maintenance_v1[Longitude],"pas trouvé")</f>
        <v>26.994581</v>
      </c>
      <c r="I550" t="str">
        <f>_xlfn.XLOOKUP(_26_03_2026_Log_Reseau_v15[[#This Row],[Cell_ID]],_26_03_2026_Registre_Maintenance_v1[ID_Antenne],_26_03_2026_Registre_Maintenance_v1[Technologie],"non trouvé")</f>
        <v>3G</v>
      </c>
      <c r="J550" t="str">
        <f>_xlfn.XLOOKUP(_26_03_2026_Log_Reseau_v15[[#This Row],[Cell_ID]],_26_03_2026_Registre_Maintenance_v1[ID_Antenne],_26_03_2026_Registre_Maintenance_v1[Equipementier],"pas trouvé")</f>
        <v>Nokia</v>
      </c>
      <c r="K550" t="str">
        <f>_xlfn.XLOOKUP(_26_03_2026_Log_Reseau_v15[[#This Row],[province RDC]],_26_03_2026_Client_Churn_v1[Province_Client],_26_03_2026_Client_Churn_v1[ID_Client],"non trouvé")</f>
        <v>CLI-00996</v>
      </c>
      <c r="L550">
        <f>_xlfn.XLOOKUP(_26_03_2026_Log_Reseau_v15[[#This Row],[province RDC]],_26_03_2026_Client_Churn_v1[Province_Client],_26_03_2026_Client_Churn_v1[Anciennete_Mois],"non trouvé")</f>
        <v>119</v>
      </c>
      <c r="M550" t="str">
        <f>_xlfn.XLOOKUP(_26_03_2026_Log_Reseau_v15[[#This Row],[province RDC]],_26_03_2026_Client_Churn_v1[Province_Client],_26_03_2026_Client_Churn_v1[Type_Forfait],"non trouvé")</f>
        <v>Illimité 50Go</v>
      </c>
      <c r="N550">
        <f>_xlfn.XLOOKUP(_26_03_2026_Log_Reseau_v15[[#This Row],[province RDC]],_26_03_2026_Client_Churn_v1[Province_Client],_26_03_2026_Client_Churn_v1[Duree_Cumulee_Panne_Min],"non trouvé")</f>
        <v>228</v>
      </c>
      <c r="O550">
        <f>_xlfn.XLOOKUP(_26_03_2026_Log_Reseau_v15[[#This Row],[province RDC]],_26_03_2026_Client_Churn_v1[Province_Client],_26_03_2026_Client_Churn_v1[Facture_Mensuelle],"non trouvé")</f>
        <v>94.72</v>
      </c>
      <c r="P550">
        <f>_xlfn.XLOOKUP(_26_03_2026_Log_Reseau_v15[[#This Row],[province RDC]],_26_03_2026_Client_Churn_v1[Province_Client],_26_03_2026_Client_Churn_v1[Plaintes_Service_Client],"non trouvé")</f>
        <v>3</v>
      </c>
    </row>
    <row r="551" spans="1:16" x14ac:dyDescent="0.25">
      <c r="A551" s="1">
        <v>45206</v>
      </c>
      <c r="B551" s="2">
        <v>0.36249999999999999</v>
      </c>
      <c r="C551" t="s">
        <v>1156</v>
      </c>
      <c r="D551">
        <v>60</v>
      </c>
      <c r="E551" t="s">
        <v>812</v>
      </c>
      <c r="F551" t="str">
        <f>_xlfn.XLOOKUP(_26_03_2026_Log_Reseau_v15[[#This Row],[Cell_ID]],_26_03_2026_Registre_Maintenance_v1[ID_Antenne],_26_03_2026_Registre_Maintenance_v1[zone],"pas trouvé")</f>
        <v>Maniema</v>
      </c>
      <c r="G551">
        <f>_xlfn.XLOOKUP(_26_03_2026_Log_Reseau_v15[[#This Row],[Cell_ID]],_26_03_2026_Registre_Maintenance_v1[ID_Antenne],_26_03_2026_Registre_Maintenance_v1[Latitude],"non trouvé")</f>
        <v>-4.2645619999999997</v>
      </c>
      <c r="H551">
        <f>_xlfn.XLOOKUP(_26_03_2026_Log_Reseau_v15[[#This Row],[Cell_ID]],_26_03_2026_Registre_Maintenance_v1[ID_Antenne],_26_03_2026_Registre_Maintenance_v1[Longitude],"pas trouvé")</f>
        <v>18.960726000000001</v>
      </c>
      <c r="I551" t="str">
        <f>_xlfn.XLOOKUP(_26_03_2026_Log_Reseau_v15[[#This Row],[Cell_ID]],_26_03_2026_Registre_Maintenance_v1[ID_Antenne],_26_03_2026_Registre_Maintenance_v1[Technologie],"non trouvé")</f>
        <v>4G</v>
      </c>
      <c r="J551" t="str">
        <f>_xlfn.XLOOKUP(_26_03_2026_Log_Reseau_v15[[#This Row],[Cell_ID]],_26_03_2026_Registre_Maintenance_v1[ID_Antenne],_26_03_2026_Registre_Maintenance_v1[Equipementier],"pas trouvé")</f>
        <v>Huawei</v>
      </c>
      <c r="K551" t="str">
        <f>_xlfn.XLOOKUP(_26_03_2026_Log_Reseau_v15[[#This Row],[province RDC]],_26_03_2026_Client_Churn_v1[Province_Client],_26_03_2026_Client_Churn_v1[ID_Client],"non trouvé")</f>
        <v>CLI-00185</v>
      </c>
      <c r="L551">
        <f>_xlfn.XLOOKUP(_26_03_2026_Log_Reseau_v15[[#This Row],[province RDC]],_26_03_2026_Client_Churn_v1[Province_Client],_26_03_2026_Client_Churn_v1[Anciennete_Mois],"non trouvé")</f>
        <v>81</v>
      </c>
      <c r="M551" t="str">
        <f>_xlfn.XLOOKUP(_26_03_2026_Log_Reseau_v15[[#This Row],[province RDC]],_26_03_2026_Client_Churn_v1[Province_Client],_26_03_2026_Client_Churn_v1[Type_Forfait],"non trouvé")</f>
        <v>Pro Monde</v>
      </c>
      <c r="N551">
        <f>_xlfn.XLOOKUP(_26_03_2026_Log_Reseau_v15[[#This Row],[province RDC]],_26_03_2026_Client_Churn_v1[Province_Client],_26_03_2026_Client_Churn_v1[Duree_Cumulee_Panne_Min],"non trouvé")</f>
        <v>154</v>
      </c>
      <c r="O551">
        <f>_xlfn.XLOOKUP(_26_03_2026_Log_Reseau_v15[[#This Row],[province RDC]],_26_03_2026_Client_Churn_v1[Province_Client],_26_03_2026_Client_Churn_v1[Facture_Mensuelle],"non trouvé")</f>
        <v>19.47</v>
      </c>
      <c r="P551">
        <f>_xlfn.XLOOKUP(_26_03_2026_Log_Reseau_v15[[#This Row],[province RDC]],_26_03_2026_Client_Churn_v1[Province_Client],_26_03_2026_Client_Churn_v1[Plaintes_Service_Client],"non trouvé")</f>
        <v>3</v>
      </c>
    </row>
    <row r="552" spans="1:16" x14ac:dyDescent="0.25">
      <c r="A552" s="1">
        <v>45210</v>
      </c>
      <c r="B552" s="2">
        <v>0.38958333333333334</v>
      </c>
      <c r="C552" t="s">
        <v>1156</v>
      </c>
      <c r="D552">
        <v>85</v>
      </c>
      <c r="E552" t="s">
        <v>807</v>
      </c>
      <c r="F552" t="str">
        <f>_xlfn.XLOOKUP(_26_03_2026_Log_Reseau_v15[[#This Row],[Cell_ID]],_26_03_2026_Registre_Maintenance_v1[ID_Antenne],_26_03_2026_Registre_Maintenance_v1[zone],"pas trouvé")</f>
        <v>Maniema</v>
      </c>
      <c r="G552">
        <f>_xlfn.XLOOKUP(_26_03_2026_Log_Reseau_v15[[#This Row],[Cell_ID]],_26_03_2026_Registre_Maintenance_v1[ID_Antenne],_26_03_2026_Registre_Maintenance_v1[Latitude],"non trouvé")</f>
        <v>-4.2645619999999997</v>
      </c>
      <c r="H552">
        <f>_xlfn.XLOOKUP(_26_03_2026_Log_Reseau_v15[[#This Row],[Cell_ID]],_26_03_2026_Registre_Maintenance_v1[ID_Antenne],_26_03_2026_Registre_Maintenance_v1[Longitude],"pas trouvé")</f>
        <v>18.960726000000001</v>
      </c>
      <c r="I552" t="str">
        <f>_xlfn.XLOOKUP(_26_03_2026_Log_Reseau_v15[[#This Row],[Cell_ID]],_26_03_2026_Registre_Maintenance_v1[ID_Antenne],_26_03_2026_Registre_Maintenance_v1[Technologie],"non trouvé")</f>
        <v>4G</v>
      </c>
      <c r="J552" t="str">
        <f>_xlfn.XLOOKUP(_26_03_2026_Log_Reseau_v15[[#This Row],[Cell_ID]],_26_03_2026_Registre_Maintenance_v1[ID_Antenne],_26_03_2026_Registre_Maintenance_v1[Equipementier],"pas trouvé")</f>
        <v>Huawei</v>
      </c>
      <c r="K552" t="str">
        <f>_xlfn.XLOOKUP(_26_03_2026_Log_Reseau_v15[[#This Row],[province RDC]],_26_03_2026_Client_Churn_v1[Province_Client],_26_03_2026_Client_Churn_v1[ID_Client],"non trouvé")</f>
        <v>CLI-00185</v>
      </c>
      <c r="L552">
        <f>_xlfn.XLOOKUP(_26_03_2026_Log_Reseau_v15[[#This Row],[province RDC]],_26_03_2026_Client_Churn_v1[Province_Client],_26_03_2026_Client_Churn_v1[Anciennete_Mois],"non trouvé")</f>
        <v>81</v>
      </c>
      <c r="M552" t="str">
        <f>_xlfn.XLOOKUP(_26_03_2026_Log_Reseau_v15[[#This Row],[province RDC]],_26_03_2026_Client_Churn_v1[Province_Client],_26_03_2026_Client_Churn_v1[Type_Forfait],"non trouvé")</f>
        <v>Pro Monde</v>
      </c>
      <c r="N552">
        <f>_xlfn.XLOOKUP(_26_03_2026_Log_Reseau_v15[[#This Row],[province RDC]],_26_03_2026_Client_Churn_v1[Province_Client],_26_03_2026_Client_Churn_v1[Duree_Cumulee_Panne_Min],"non trouvé")</f>
        <v>154</v>
      </c>
      <c r="O552">
        <f>_xlfn.XLOOKUP(_26_03_2026_Log_Reseau_v15[[#This Row],[province RDC]],_26_03_2026_Client_Churn_v1[Province_Client],_26_03_2026_Client_Churn_v1[Facture_Mensuelle],"non trouvé")</f>
        <v>19.47</v>
      </c>
      <c r="P552">
        <f>_xlfn.XLOOKUP(_26_03_2026_Log_Reseau_v15[[#This Row],[province RDC]],_26_03_2026_Client_Churn_v1[Province_Client],_26_03_2026_Client_Churn_v1[Plaintes_Service_Client],"non trouvé")</f>
        <v>3</v>
      </c>
    </row>
    <row r="553" spans="1:16" x14ac:dyDescent="0.25">
      <c r="A553" s="1">
        <v>45213</v>
      </c>
      <c r="B553" s="2">
        <v>0.51875000000000004</v>
      </c>
      <c r="C553" t="s">
        <v>1157</v>
      </c>
      <c r="D553">
        <v>88</v>
      </c>
      <c r="E553" t="s">
        <v>808</v>
      </c>
      <c r="F553" t="str">
        <f>_xlfn.XLOOKUP(_26_03_2026_Log_Reseau_v15[[#This Row],[Cell_ID]],_26_03_2026_Registre_Maintenance_v1[ID_Antenne],_26_03_2026_Registre_Maintenance_v1[zone],"pas trouvé")</f>
        <v>Lomami</v>
      </c>
      <c r="G553">
        <f>_xlfn.XLOOKUP(_26_03_2026_Log_Reseau_v15[[#This Row],[Cell_ID]],_26_03_2026_Registre_Maintenance_v1[ID_Antenne],_26_03_2026_Registre_Maintenance_v1[Latitude],"non trouvé")</f>
        <v>4.8265669999999998</v>
      </c>
      <c r="H553">
        <f>_xlfn.XLOOKUP(_26_03_2026_Log_Reseau_v15[[#This Row],[Cell_ID]],_26_03_2026_Registre_Maintenance_v1[ID_Antenne],_26_03_2026_Registre_Maintenance_v1[Longitude],"pas trouvé")</f>
        <v>28.535277000000001</v>
      </c>
      <c r="I553" t="str">
        <f>_xlfn.XLOOKUP(_26_03_2026_Log_Reseau_v15[[#This Row],[Cell_ID]],_26_03_2026_Registre_Maintenance_v1[ID_Antenne],_26_03_2026_Registre_Maintenance_v1[Technologie],"non trouvé")</f>
        <v>3G</v>
      </c>
      <c r="J553" t="str">
        <f>_xlfn.XLOOKUP(_26_03_2026_Log_Reseau_v15[[#This Row],[Cell_ID]],_26_03_2026_Registre_Maintenance_v1[ID_Antenne],_26_03_2026_Registre_Maintenance_v1[Equipementier],"pas trouvé")</f>
        <v>Huawei</v>
      </c>
      <c r="K553" t="str">
        <f>_xlfn.XLOOKUP(_26_03_2026_Log_Reseau_v15[[#This Row],[province RDC]],_26_03_2026_Client_Churn_v1[Province_Client],_26_03_2026_Client_Churn_v1[ID_Client],"non trouvé")</f>
        <v>CLI-00131</v>
      </c>
      <c r="L553">
        <f>_xlfn.XLOOKUP(_26_03_2026_Log_Reseau_v15[[#This Row],[province RDC]],_26_03_2026_Client_Churn_v1[Province_Client],_26_03_2026_Client_Churn_v1[Anciennete_Mois],"non trouvé")</f>
        <v>101</v>
      </c>
      <c r="M553" t="str">
        <f>_xlfn.XLOOKUP(_26_03_2026_Log_Reseau_v15[[#This Row],[province RDC]],_26_03_2026_Client_Churn_v1[Province_Client],_26_03_2026_Client_Churn_v1[Type_Forfait],"non trouvé")</f>
        <v>Pro Monde</v>
      </c>
      <c r="N553">
        <f>_xlfn.XLOOKUP(_26_03_2026_Log_Reseau_v15[[#This Row],[province RDC]],_26_03_2026_Client_Churn_v1[Province_Client],_26_03_2026_Client_Churn_v1[Duree_Cumulee_Panne_Min],"non trouvé")</f>
        <v>176</v>
      </c>
      <c r="O553">
        <f>_xlfn.XLOOKUP(_26_03_2026_Log_Reseau_v15[[#This Row],[province RDC]],_26_03_2026_Client_Churn_v1[Province_Client],_26_03_2026_Client_Churn_v1[Facture_Mensuelle],"non trouvé")</f>
        <v>86</v>
      </c>
      <c r="P553">
        <f>_xlfn.XLOOKUP(_26_03_2026_Log_Reseau_v15[[#This Row],[province RDC]],_26_03_2026_Client_Churn_v1[Province_Client],_26_03_2026_Client_Churn_v1[Plaintes_Service_Client],"non trouvé")</f>
        <v>3</v>
      </c>
    </row>
    <row r="554" spans="1:16" x14ac:dyDescent="0.25">
      <c r="A554" s="1">
        <v>45216</v>
      </c>
      <c r="B554" s="2">
        <v>9.4444444444444442E-2</v>
      </c>
      <c r="C554" t="s">
        <v>1157</v>
      </c>
      <c r="D554">
        <v>74</v>
      </c>
      <c r="E554" t="s">
        <v>807</v>
      </c>
      <c r="F554" t="str">
        <f>_xlfn.XLOOKUP(_26_03_2026_Log_Reseau_v15[[#This Row],[Cell_ID]],_26_03_2026_Registre_Maintenance_v1[ID_Antenne],_26_03_2026_Registre_Maintenance_v1[zone],"pas trouvé")</f>
        <v>Lomami</v>
      </c>
      <c r="G554">
        <f>_xlfn.XLOOKUP(_26_03_2026_Log_Reseau_v15[[#This Row],[Cell_ID]],_26_03_2026_Registre_Maintenance_v1[ID_Antenne],_26_03_2026_Registre_Maintenance_v1[Latitude],"non trouvé")</f>
        <v>4.8265669999999998</v>
      </c>
      <c r="H554">
        <f>_xlfn.XLOOKUP(_26_03_2026_Log_Reseau_v15[[#This Row],[Cell_ID]],_26_03_2026_Registre_Maintenance_v1[ID_Antenne],_26_03_2026_Registre_Maintenance_v1[Longitude],"pas trouvé")</f>
        <v>28.535277000000001</v>
      </c>
      <c r="I554" t="str">
        <f>_xlfn.XLOOKUP(_26_03_2026_Log_Reseau_v15[[#This Row],[Cell_ID]],_26_03_2026_Registre_Maintenance_v1[ID_Antenne],_26_03_2026_Registre_Maintenance_v1[Technologie],"non trouvé")</f>
        <v>3G</v>
      </c>
      <c r="J554" t="str">
        <f>_xlfn.XLOOKUP(_26_03_2026_Log_Reseau_v15[[#This Row],[Cell_ID]],_26_03_2026_Registre_Maintenance_v1[ID_Antenne],_26_03_2026_Registre_Maintenance_v1[Equipementier],"pas trouvé")</f>
        <v>Huawei</v>
      </c>
      <c r="K554" t="str">
        <f>_xlfn.XLOOKUP(_26_03_2026_Log_Reseau_v15[[#This Row],[province RDC]],_26_03_2026_Client_Churn_v1[Province_Client],_26_03_2026_Client_Churn_v1[ID_Client],"non trouvé")</f>
        <v>CLI-00131</v>
      </c>
      <c r="L554">
        <f>_xlfn.XLOOKUP(_26_03_2026_Log_Reseau_v15[[#This Row],[province RDC]],_26_03_2026_Client_Churn_v1[Province_Client],_26_03_2026_Client_Churn_v1[Anciennete_Mois],"non trouvé")</f>
        <v>101</v>
      </c>
      <c r="M554" t="str">
        <f>_xlfn.XLOOKUP(_26_03_2026_Log_Reseau_v15[[#This Row],[province RDC]],_26_03_2026_Client_Churn_v1[Province_Client],_26_03_2026_Client_Churn_v1[Type_Forfait],"non trouvé")</f>
        <v>Pro Monde</v>
      </c>
      <c r="N554">
        <f>_xlfn.XLOOKUP(_26_03_2026_Log_Reseau_v15[[#This Row],[province RDC]],_26_03_2026_Client_Churn_v1[Province_Client],_26_03_2026_Client_Churn_v1[Duree_Cumulee_Panne_Min],"non trouvé")</f>
        <v>176</v>
      </c>
      <c r="O554">
        <f>_xlfn.XLOOKUP(_26_03_2026_Log_Reseau_v15[[#This Row],[province RDC]],_26_03_2026_Client_Churn_v1[Province_Client],_26_03_2026_Client_Churn_v1[Facture_Mensuelle],"non trouvé")</f>
        <v>86</v>
      </c>
      <c r="P554">
        <f>_xlfn.XLOOKUP(_26_03_2026_Log_Reseau_v15[[#This Row],[province RDC]],_26_03_2026_Client_Churn_v1[Province_Client],_26_03_2026_Client_Churn_v1[Plaintes_Service_Client],"non trouvé")</f>
        <v>3</v>
      </c>
    </row>
    <row r="555" spans="1:16" x14ac:dyDescent="0.25">
      <c r="A555" s="1">
        <v>45225</v>
      </c>
      <c r="B555" s="2">
        <v>0.96527777777777779</v>
      </c>
      <c r="C555" t="s">
        <v>1158</v>
      </c>
      <c r="D555">
        <v>36</v>
      </c>
      <c r="E555" t="s">
        <v>807</v>
      </c>
      <c r="F555" t="str">
        <f>_xlfn.XLOOKUP(_26_03_2026_Log_Reseau_v15[[#This Row],[Cell_ID]],_26_03_2026_Registre_Maintenance_v1[ID_Antenne],_26_03_2026_Registre_Maintenance_v1[zone],"pas trouvé")</f>
        <v>Tanganyika</v>
      </c>
      <c r="G555">
        <f>_xlfn.XLOOKUP(_26_03_2026_Log_Reseau_v15[[#This Row],[Cell_ID]],_26_03_2026_Registre_Maintenance_v1[ID_Antenne],_26_03_2026_Registre_Maintenance_v1[Latitude],"non trouvé")</f>
        <v>-9.002459</v>
      </c>
      <c r="H555">
        <f>_xlfn.XLOOKUP(_26_03_2026_Log_Reseau_v15[[#This Row],[Cell_ID]],_26_03_2026_Registre_Maintenance_v1[ID_Antenne],_26_03_2026_Registre_Maintenance_v1[Longitude],"pas trouvé")</f>
        <v>25.182109000000001</v>
      </c>
      <c r="I555" t="str">
        <f>_xlfn.XLOOKUP(_26_03_2026_Log_Reseau_v15[[#This Row],[Cell_ID]],_26_03_2026_Registre_Maintenance_v1[ID_Antenne],_26_03_2026_Registre_Maintenance_v1[Technologie],"non trouvé")</f>
        <v>5G</v>
      </c>
      <c r="J555" t="str">
        <f>_xlfn.XLOOKUP(_26_03_2026_Log_Reseau_v15[[#This Row],[Cell_ID]],_26_03_2026_Registre_Maintenance_v1[ID_Antenne],_26_03_2026_Registre_Maintenance_v1[Equipementier],"pas trouvé")</f>
        <v>Huawei</v>
      </c>
      <c r="K555" t="str">
        <f>_xlfn.XLOOKUP(_26_03_2026_Log_Reseau_v15[[#This Row],[province RDC]],_26_03_2026_Client_Churn_v1[Province_Client],_26_03_2026_Client_Churn_v1[ID_Client],"non trouvé")</f>
        <v>CLI-01618</v>
      </c>
      <c r="L555">
        <f>_xlfn.XLOOKUP(_26_03_2026_Log_Reseau_v15[[#This Row],[province RDC]],_26_03_2026_Client_Churn_v1[Province_Client],_26_03_2026_Client_Churn_v1[Anciennete_Mois],"non trouvé")</f>
        <v>115</v>
      </c>
      <c r="M555" t="str">
        <f>_xlfn.XLOOKUP(_26_03_2026_Log_Reseau_v15[[#This Row],[province RDC]],_26_03_2026_Client_Churn_v1[Province_Client],_26_03_2026_Client_Churn_v1[Type_Forfait],"non trouvé")</f>
        <v>Bloqué 5Go</v>
      </c>
      <c r="N555">
        <f>_xlfn.XLOOKUP(_26_03_2026_Log_Reseau_v15[[#This Row],[province RDC]],_26_03_2026_Client_Churn_v1[Province_Client],_26_03_2026_Client_Churn_v1[Duree_Cumulee_Panne_Min],"non trouvé")</f>
        <v>176</v>
      </c>
      <c r="O555">
        <f>_xlfn.XLOOKUP(_26_03_2026_Log_Reseau_v15[[#This Row],[province RDC]],_26_03_2026_Client_Churn_v1[Province_Client],_26_03_2026_Client_Churn_v1[Facture_Mensuelle],"non trouvé")</f>
        <v>33.28</v>
      </c>
      <c r="P555">
        <f>_xlfn.XLOOKUP(_26_03_2026_Log_Reseau_v15[[#This Row],[province RDC]],_26_03_2026_Client_Churn_v1[Province_Client],_26_03_2026_Client_Churn_v1[Plaintes_Service_Client],"non trouvé")</f>
        <v>4</v>
      </c>
    </row>
    <row r="556" spans="1:16" x14ac:dyDescent="0.25">
      <c r="A556" s="1">
        <v>45220</v>
      </c>
      <c r="B556" s="2">
        <v>0.72499999999999998</v>
      </c>
      <c r="C556" t="s">
        <v>1158</v>
      </c>
      <c r="D556">
        <v>28</v>
      </c>
      <c r="E556" t="s">
        <v>812</v>
      </c>
      <c r="F556" t="str">
        <f>_xlfn.XLOOKUP(_26_03_2026_Log_Reseau_v15[[#This Row],[Cell_ID]],_26_03_2026_Registre_Maintenance_v1[ID_Antenne],_26_03_2026_Registre_Maintenance_v1[zone],"pas trouvé")</f>
        <v>Tanganyika</v>
      </c>
      <c r="G556">
        <f>_xlfn.XLOOKUP(_26_03_2026_Log_Reseau_v15[[#This Row],[Cell_ID]],_26_03_2026_Registre_Maintenance_v1[ID_Antenne],_26_03_2026_Registre_Maintenance_v1[Latitude],"non trouvé")</f>
        <v>-9.002459</v>
      </c>
      <c r="H556">
        <f>_xlfn.XLOOKUP(_26_03_2026_Log_Reseau_v15[[#This Row],[Cell_ID]],_26_03_2026_Registre_Maintenance_v1[ID_Antenne],_26_03_2026_Registre_Maintenance_v1[Longitude],"pas trouvé")</f>
        <v>25.182109000000001</v>
      </c>
      <c r="I556" t="str">
        <f>_xlfn.XLOOKUP(_26_03_2026_Log_Reseau_v15[[#This Row],[Cell_ID]],_26_03_2026_Registre_Maintenance_v1[ID_Antenne],_26_03_2026_Registre_Maintenance_v1[Technologie],"non trouvé")</f>
        <v>5G</v>
      </c>
      <c r="J556" t="str">
        <f>_xlfn.XLOOKUP(_26_03_2026_Log_Reseau_v15[[#This Row],[Cell_ID]],_26_03_2026_Registre_Maintenance_v1[ID_Antenne],_26_03_2026_Registre_Maintenance_v1[Equipementier],"pas trouvé")</f>
        <v>Huawei</v>
      </c>
      <c r="K556" t="str">
        <f>_xlfn.XLOOKUP(_26_03_2026_Log_Reseau_v15[[#This Row],[province RDC]],_26_03_2026_Client_Churn_v1[Province_Client],_26_03_2026_Client_Churn_v1[ID_Client],"non trouvé")</f>
        <v>CLI-01618</v>
      </c>
      <c r="L556">
        <f>_xlfn.XLOOKUP(_26_03_2026_Log_Reseau_v15[[#This Row],[province RDC]],_26_03_2026_Client_Churn_v1[Province_Client],_26_03_2026_Client_Churn_v1[Anciennete_Mois],"non trouvé")</f>
        <v>115</v>
      </c>
      <c r="M556" t="str">
        <f>_xlfn.XLOOKUP(_26_03_2026_Log_Reseau_v15[[#This Row],[province RDC]],_26_03_2026_Client_Churn_v1[Province_Client],_26_03_2026_Client_Churn_v1[Type_Forfait],"non trouvé")</f>
        <v>Bloqué 5Go</v>
      </c>
      <c r="N556">
        <f>_xlfn.XLOOKUP(_26_03_2026_Log_Reseau_v15[[#This Row],[province RDC]],_26_03_2026_Client_Churn_v1[Province_Client],_26_03_2026_Client_Churn_v1[Duree_Cumulee_Panne_Min],"non trouvé")</f>
        <v>176</v>
      </c>
      <c r="O556">
        <f>_xlfn.XLOOKUP(_26_03_2026_Log_Reseau_v15[[#This Row],[province RDC]],_26_03_2026_Client_Churn_v1[Province_Client],_26_03_2026_Client_Churn_v1[Facture_Mensuelle],"non trouvé")</f>
        <v>33.28</v>
      </c>
      <c r="P556">
        <f>_xlfn.XLOOKUP(_26_03_2026_Log_Reseau_v15[[#This Row],[province RDC]],_26_03_2026_Client_Churn_v1[Province_Client],_26_03_2026_Client_Churn_v1[Plaintes_Service_Client],"non trouvé")</f>
        <v>4</v>
      </c>
    </row>
    <row r="557" spans="1:16" x14ac:dyDescent="0.25">
      <c r="A557" s="1">
        <v>45228</v>
      </c>
      <c r="B557" s="2">
        <v>0.51527777777777772</v>
      </c>
      <c r="C557" t="s">
        <v>1159</v>
      </c>
      <c r="D557">
        <v>105</v>
      </c>
      <c r="E557" t="s">
        <v>807</v>
      </c>
      <c r="F557" t="str">
        <f>_xlfn.XLOOKUP(_26_03_2026_Log_Reseau_v15[[#This Row],[Cell_ID]],_26_03_2026_Registre_Maintenance_v1[ID_Antenne],_26_03_2026_Registre_Maintenance_v1[zone],"pas trouvé")</f>
        <v>Tshopo</v>
      </c>
      <c r="G557">
        <f>_xlfn.XLOOKUP(_26_03_2026_Log_Reseau_v15[[#This Row],[Cell_ID]],_26_03_2026_Registre_Maintenance_v1[ID_Antenne],_26_03_2026_Registre_Maintenance_v1[Latitude],"non trouvé")</f>
        <v>-0.919767</v>
      </c>
      <c r="H557">
        <f>_xlfn.XLOOKUP(_26_03_2026_Log_Reseau_v15[[#This Row],[Cell_ID]],_26_03_2026_Registre_Maintenance_v1[ID_Antenne],_26_03_2026_Registre_Maintenance_v1[Longitude],"pas trouvé")</f>
        <v>18.905538</v>
      </c>
      <c r="I557" t="str">
        <f>_xlfn.XLOOKUP(_26_03_2026_Log_Reseau_v15[[#This Row],[Cell_ID]],_26_03_2026_Registre_Maintenance_v1[ID_Antenne],_26_03_2026_Registre_Maintenance_v1[Technologie],"non trouvé")</f>
        <v>5G</v>
      </c>
      <c r="J557" t="str">
        <f>_xlfn.XLOOKUP(_26_03_2026_Log_Reseau_v15[[#This Row],[Cell_ID]],_26_03_2026_Registre_Maintenance_v1[ID_Antenne],_26_03_2026_Registre_Maintenance_v1[Equipementier],"pas trouvé")</f>
        <v>Ericsson</v>
      </c>
      <c r="K557" t="str">
        <f>_xlfn.XLOOKUP(_26_03_2026_Log_Reseau_v15[[#This Row],[province RDC]],_26_03_2026_Client_Churn_v1[Province_Client],_26_03_2026_Client_Churn_v1[ID_Client],"non trouvé")</f>
        <v>CLI-00745</v>
      </c>
      <c r="L557">
        <f>_xlfn.XLOOKUP(_26_03_2026_Log_Reseau_v15[[#This Row],[province RDC]],_26_03_2026_Client_Churn_v1[Province_Client],_26_03_2026_Client_Churn_v1[Anciennete_Mois],"non trouvé")</f>
        <v>6</v>
      </c>
      <c r="M557" t="str">
        <f>_xlfn.XLOOKUP(_26_03_2026_Log_Reseau_v15[[#This Row],[province RDC]],_26_03_2026_Client_Churn_v1[Province_Client],_26_03_2026_Client_Churn_v1[Type_Forfait],"non trouvé")</f>
        <v>Premium 5G 150Go</v>
      </c>
      <c r="N557">
        <f>_xlfn.XLOOKUP(_26_03_2026_Log_Reseau_v15[[#This Row],[province RDC]],_26_03_2026_Client_Churn_v1[Province_Client],_26_03_2026_Client_Churn_v1[Duree_Cumulee_Panne_Min],"non trouvé")</f>
        <v>207</v>
      </c>
      <c r="O557">
        <f>_xlfn.XLOOKUP(_26_03_2026_Log_Reseau_v15[[#This Row],[province RDC]],_26_03_2026_Client_Churn_v1[Province_Client],_26_03_2026_Client_Churn_v1[Facture_Mensuelle],"non trouvé")</f>
        <v>61.55</v>
      </c>
      <c r="P557">
        <f>_xlfn.XLOOKUP(_26_03_2026_Log_Reseau_v15[[#This Row],[province RDC]],_26_03_2026_Client_Churn_v1[Province_Client],_26_03_2026_Client_Churn_v1[Plaintes_Service_Client],"non trouvé")</f>
        <v>0</v>
      </c>
    </row>
    <row r="558" spans="1:16" hidden="1" x14ac:dyDescent="0.25">
      <c r="A558" s="1">
        <v>45230</v>
      </c>
      <c r="B558" s="2">
        <v>0.77638888888888891</v>
      </c>
      <c r="C558" t="s">
        <v>1160</v>
      </c>
      <c r="D558">
        <v>55</v>
      </c>
      <c r="E558" t="s">
        <v>808</v>
      </c>
      <c r="F558" t="str">
        <f>_xlfn.XLOOKUP(_26_03_2026_Log_Reseau_v15[[#This Row],[Cell_ID]],_26_03_2026_Registre_Maintenance_v1[ID_Antenne],_26_03_2026_Registre_Maintenance_v1[zone],"pas trouvé")</f>
        <v>pas trouvé</v>
      </c>
      <c r="G558" t="str">
        <f>_xlfn.XLOOKUP(_26_03_2026_Log_Reseau_v15[[#This Row],[Cell_ID]],_26_03_2026_Registre_Maintenance_v1[ID_Antenne],_26_03_2026_Registre_Maintenance_v1[Latitude],"non trouvé")</f>
        <v>non trouvé</v>
      </c>
      <c r="H558" t="str">
        <f>_xlfn.XLOOKUP(_26_03_2026_Log_Reseau_v15[[#This Row],[Cell_ID]],_26_03_2026_Registre_Maintenance_v1[ID_Antenne],_26_03_2026_Registre_Maintenance_v1[Longitude],"pas trouvé")</f>
        <v>pas trouvé</v>
      </c>
      <c r="I558" t="str">
        <f>_xlfn.XLOOKUP(_26_03_2026_Log_Reseau_v15[[#This Row],[Cell_ID]],_26_03_2026_Registre_Maintenance_v1[ID_Antenne],_26_03_2026_Registre_Maintenance_v1[Technologie],"non trouvé")</f>
        <v>non trouvé</v>
      </c>
      <c r="J558" t="str">
        <f>_xlfn.XLOOKUP(_26_03_2026_Log_Reseau_v15[[#This Row],[Cell_ID]],_26_03_2026_Registre_Maintenance_v1[ID_Antenne],_26_03_2026_Registre_Maintenance_v1[Equipementier],"pas trouvé")</f>
        <v>pas trouvé</v>
      </c>
      <c r="K558" t="str">
        <f>_xlfn.XLOOKUP(_26_03_2026_Log_Reseau_v15[[#This Row],[province RDC]],_26_03_2026_Client_Churn_v1[Province_Client],_26_03_2026_Client_Churn_v1[ID_Client],"non trouvé")</f>
        <v>non trouvé</v>
      </c>
      <c r="L558" t="str">
        <f>_xlfn.XLOOKUP(_26_03_2026_Log_Reseau_v15[[#This Row],[province RDC]],_26_03_2026_Client_Churn_v1[Province_Client],_26_03_2026_Client_Churn_v1[Anciennete_Mois],"non trouvé")</f>
        <v>non trouvé</v>
      </c>
      <c r="M558" t="str">
        <f>_xlfn.XLOOKUP(_26_03_2026_Log_Reseau_v15[[#This Row],[province RDC]],_26_03_2026_Client_Churn_v1[Province_Client],_26_03_2026_Client_Churn_v1[Type_Forfait],"non trouvé")</f>
        <v>non trouvé</v>
      </c>
      <c r="N558" t="str">
        <f>_xlfn.XLOOKUP(_26_03_2026_Log_Reseau_v15[[#This Row],[province RDC]],_26_03_2026_Client_Churn_v1[Province_Client],_26_03_2026_Client_Churn_v1[Duree_Cumulee_Panne_Min],"non trouvé")</f>
        <v>non trouvé</v>
      </c>
      <c r="O558" t="str">
        <f>_xlfn.XLOOKUP(_26_03_2026_Log_Reseau_v15[[#This Row],[province RDC]],_26_03_2026_Client_Churn_v1[Province_Client],_26_03_2026_Client_Churn_v1[Facture_Mensuelle],"non trouvé")</f>
        <v>non trouvé</v>
      </c>
      <c r="P558" t="str">
        <f>_xlfn.XLOOKUP(_26_03_2026_Log_Reseau_v15[[#This Row],[province RDC]],_26_03_2026_Client_Churn_v1[Province_Client],_26_03_2026_Client_Churn_v1[Plaintes_Service_Client],"non trouvé")</f>
        <v>non trouvé</v>
      </c>
    </row>
    <row r="559" spans="1:16" hidden="1" x14ac:dyDescent="0.25">
      <c r="A559" s="1">
        <v>45229</v>
      </c>
      <c r="B559" s="2">
        <v>0.42986111111111114</v>
      </c>
      <c r="C559" t="s">
        <v>1160</v>
      </c>
      <c r="D559">
        <v>90</v>
      </c>
      <c r="E559" t="s">
        <v>807</v>
      </c>
      <c r="F559" t="str">
        <f>_xlfn.XLOOKUP(_26_03_2026_Log_Reseau_v15[[#This Row],[Cell_ID]],_26_03_2026_Registre_Maintenance_v1[ID_Antenne],_26_03_2026_Registre_Maintenance_v1[zone],"pas trouvé")</f>
        <v>pas trouvé</v>
      </c>
      <c r="G559" t="str">
        <f>_xlfn.XLOOKUP(_26_03_2026_Log_Reseau_v15[[#This Row],[Cell_ID]],_26_03_2026_Registre_Maintenance_v1[ID_Antenne],_26_03_2026_Registre_Maintenance_v1[Latitude],"non trouvé")</f>
        <v>non trouvé</v>
      </c>
      <c r="H559" t="str">
        <f>_xlfn.XLOOKUP(_26_03_2026_Log_Reseau_v15[[#This Row],[Cell_ID]],_26_03_2026_Registre_Maintenance_v1[ID_Antenne],_26_03_2026_Registre_Maintenance_v1[Longitude],"pas trouvé")</f>
        <v>pas trouvé</v>
      </c>
      <c r="I559" t="str">
        <f>_xlfn.XLOOKUP(_26_03_2026_Log_Reseau_v15[[#This Row],[Cell_ID]],_26_03_2026_Registre_Maintenance_v1[ID_Antenne],_26_03_2026_Registre_Maintenance_v1[Technologie],"non trouvé")</f>
        <v>non trouvé</v>
      </c>
      <c r="J559" t="str">
        <f>_xlfn.XLOOKUP(_26_03_2026_Log_Reseau_v15[[#This Row],[Cell_ID]],_26_03_2026_Registre_Maintenance_v1[ID_Antenne],_26_03_2026_Registre_Maintenance_v1[Equipementier],"pas trouvé")</f>
        <v>pas trouvé</v>
      </c>
      <c r="K559" t="str">
        <f>_xlfn.XLOOKUP(_26_03_2026_Log_Reseau_v15[[#This Row],[province RDC]],_26_03_2026_Client_Churn_v1[Province_Client],_26_03_2026_Client_Churn_v1[ID_Client],"non trouvé")</f>
        <v>non trouvé</v>
      </c>
      <c r="L559" t="str">
        <f>_xlfn.XLOOKUP(_26_03_2026_Log_Reseau_v15[[#This Row],[province RDC]],_26_03_2026_Client_Churn_v1[Province_Client],_26_03_2026_Client_Churn_v1[Anciennete_Mois],"non trouvé")</f>
        <v>non trouvé</v>
      </c>
      <c r="M559" t="str">
        <f>_xlfn.XLOOKUP(_26_03_2026_Log_Reseau_v15[[#This Row],[province RDC]],_26_03_2026_Client_Churn_v1[Province_Client],_26_03_2026_Client_Churn_v1[Type_Forfait],"non trouvé")</f>
        <v>non trouvé</v>
      </c>
      <c r="N559" t="str">
        <f>_xlfn.XLOOKUP(_26_03_2026_Log_Reseau_v15[[#This Row],[province RDC]],_26_03_2026_Client_Churn_v1[Province_Client],_26_03_2026_Client_Churn_v1[Duree_Cumulee_Panne_Min],"non trouvé")</f>
        <v>non trouvé</v>
      </c>
      <c r="O559" t="str">
        <f>_xlfn.XLOOKUP(_26_03_2026_Log_Reseau_v15[[#This Row],[province RDC]],_26_03_2026_Client_Churn_v1[Province_Client],_26_03_2026_Client_Churn_v1[Facture_Mensuelle],"non trouvé")</f>
        <v>non trouvé</v>
      </c>
      <c r="P559" t="str">
        <f>_xlfn.XLOOKUP(_26_03_2026_Log_Reseau_v15[[#This Row],[province RDC]],_26_03_2026_Client_Churn_v1[Province_Client],_26_03_2026_Client_Churn_v1[Plaintes_Service_Client],"non trouvé")</f>
        <v>non trouvé</v>
      </c>
    </row>
    <row r="560" spans="1:16" hidden="1" x14ac:dyDescent="0.25">
      <c r="A560" s="1">
        <v>45224</v>
      </c>
      <c r="B560" s="2">
        <v>0.70972222222222225</v>
      </c>
      <c r="C560" t="s">
        <v>1161</v>
      </c>
      <c r="D560">
        <v>62</v>
      </c>
      <c r="E560" t="s">
        <v>808</v>
      </c>
      <c r="F560" t="str">
        <f>_xlfn.XLOOKUP(_26_03_2026_Log_Reseau_v15[[#This Row],[Cell_ID]],_26_03_2026_Registre_Maintenance_v1[ID_Antenne],_26_03_2026_Registre_Maintenance_v1[zone],"pas trouvé")</f>
        <v>pas trouvé</v>
      </c>
      <c r="G560" t="str">
        <f>_xlfn.XLOOKUP(_26_03_2026_Log_Reseau_v15[[#This Row],[Cell_ID]],_26_03_2026_Registre_Maintenance_v1[ID_Antenne],_26_03_2026_Registre_Maintenance_v1[Latitude],"non trouvé")</f>
        <v>non trouvé</v>
      </c>
      <c r="H560" t="str">
        <f>_xlfn.XLOOKUP(_26_03_2026_Log_Reseau_v15[[#This Row],[Cell_ID]],_26_03_2026_Registre_Maintenance_v1[ID_Antenne],_26_03_2026_Registre_Maintenance_v1[Longitude],"pas trouvé")</f>
        <v>pas trouvé</v>
      </c>
      <c r="I560" t="str">
        <f>_xlfn.XLOOKUP(_26_03_2026_Log_Reseau_v15[[#This Row],[Cell_ID]],_26_03_2026_Registre_Maintenance_v1[ID_Antenne],_26_03_2026_Registre_Maintenance_v1[Technologie],"non trouvé")</f>
        <v>non trouvé</v>
      </c>
      <c r="J560" t="str">
        <f>_xlfn.XLOOKUP(_26_03_2026_Log_Reseau_v15[[#This Row],[Cell_ID]],_26_03_2026_Registre_Maintenance_v1[ID_Antenne],_26_03_2026_Registre_Maintenance_v1[Equipementier],"pas trouvé")</f>
        <v>pas trouvé</v>
      </c>
      <c r="K560" t="str">
        <f>_xlfn.XLOOKUP(_26_03_2026_Log_Reseau_v15[[#This Row],[province RDC]],_26_03_2026_Client_Churn_v1[Province_Client],_26_03_2026_Client_Churn_v1[ID_Client],"non trouvé")</f>
        <v>non trouvé</v>
      </c>
      <c r="L560" t="str">
        <f>_xlfn.XLOOKUP(_26_03_2026_Log_Reseau_v15[[#This Row],[province RDC]],_26_03_2026_Client_Churn_v1[Province_Client],_26_03_2026_Client_Churn_v1[Anciennete_Mois],"non trouvé")</f>
        <v>non trouvé</v>
      </c>
      <c r="M560" t="str">
        <f>_xlfn.XLOOKUP(_26_03_2026_Log_Reseau_v15[[#This Row],[province RDC]],_26_03_2026_Client_Churn_v1[Province_Client],_26_03_2026_Client_Churn_v1[Type_Forfait],"non trouvé")</f>
        <v>non trouvé</v>
      </c>
      <c r="N560" t="str">
        <f>_xlfn.XLOOKUP(_26_03_2026_Log_Reseau_v15[[#This Row],[province RDC]],_26_03_2026_Client_Churn_v1[Province_Client],_26_03_2026_Client_Churn_v1[Duree_Cumulee_Panne_Min],"non trouvé")</f>
        <v>non trouvé</v>
      </c>
      <c r="O560" t="str">
        <f>_xlfn.XLOOKUP(_26_03_2026_Log_Reseau_v15[[#This Row],[province RDC]],_26_03_2026_Client_Churn_v1[Province_Client],_26_03_2026_Client_Churn_v1[Facture_Mensuelle],"non trouvé")</f>
        <v>non trouvé</v>
      </c>
      <c r="P560" t="str">
        <f>_xlfn.XLOOKUP(_26_03_2026_Log_Reseau_v15[[#This Row],[province RDC]],_26_03_2026_Client_Churn_v1[Province_Client],_26_03_2026_Client_Churn_v1[Plaintes_Service_Client],"non trouvé")</f>
        <v>non trouvé</v>
      </c>
    </row>
    <row r="561" spans="1:16" hidden="1" x14ac:dyDescent="0.25">
      <c r="A561" s="1">
        <v>45229</v>
      </c>
      <c r="B561" s="2">
        <v>0.77222222222222225</v>
      </c>
      <c r="C561" t="s">
        <v>1162</v>
      </c>
      <c r="D561">
        <v>27</v>
      </c>
      <c r="E561" t="s">
        <v>807</v>
      </c>
      <c r="F561" t="str">
        <f>_xlfn.XLOOKUP(_26_03_2026_Log_Reseau_v15[[#This Row],[Cell_ID]],_26_03_2026_Registre_Maintenance_v1[ID_Antenne],_26_03_2026_Registre_Maintenance_v1[zone],"pas trouvé")</f>
        <v>pas trouvé</v>
      </c>
      <c r="G561" t="str">
        <f>_xlfn.XLOOKUP(_26_03_2026_Log_Reseau_v15[[#This Row],[Cell_ID]],_26_03_2026_Registre_Maintenance_v1[ID_Antenne],_26_03_2026_Registre_Maintenance_v1[Latitude],"non trouvé")</f>
        <v>non trouvé</v>
      </c>
      <c r="H561" t="str">
        <f>_xlfn.XLOOKUP(_26_03_2026_Log_Reseau_v15[[#This Row],[Cell_ID]],_26_03_2026_Registre_Maintenance_v1[ID_Antenne],_26_03_2026_Registre_Maintenance_v1[Longitude],"pas trouvé")</f>
        <v>pas trouvé</v>
      </c>
      <c r="I561" t="str">
        <f>_xlfn.XLOOKUP(_26_03_2026_Log_Reseau_v15[[#This Row],[Cell_ID]],_26_03_2026_Registre_Maintenance_v1[ID_Antenne],_26_03_2026_Registre_Maintenance_v1[Technologie],"non trouvé")</f>
        <v>non trouvé</v>
      </c>
      <c r="J561" t="str">
        <f>_xlfn.XLOOKUP(_26_03_2026_Log_Reseau_v15[[#This Row],[Cell_ID]],_26_03_2026_Registre_Maintenance_v1[ID_Antenne],_26_03_2026_Registre_Maintenance_v1[Equipementier],"pas trouvé")</f>
        <v>pas trouvé</v>
      </c>
      <c r="K561" t="str">
        <f>_xlfn.XLOOKUP(_26_03_2026_Log_Reseau_v15[[#This Row],[province RDC]],_26_03_2026_Client_Churn_v1[Province_Client],_26_03_2026_Client_Churn_v1[ID_Client],"non trouvé")</f>
        <v>non trouvé</v>
      </c>
      <c r="L561" t="str">
        <f>_xlfn.XLOOKUP(_26_03_2026_Log_Reseau_v15[[#This Row],[province RDC]],_26_03_2026_Client_Churn_v1[Province_Client],_26_03_2026_Client_Churn_v1[Anciennete_Mois],"non trouvé")</f>
        <v>non trouvé</v>
      </c>
      <c r="M561" t="str">
        <f>_xlfn.XLOOKUP(_26_03_2026_Log_Reseau_v15[[#This Row],[province RDC]],_26_03_2026_Client_Churn_v1[Province_Client],_26_03_2026_Client_Churn_v1[Type_Forfait],"non trouvé")</f>
        <v>non trouvé</v>
      </c>
      <c r="N561" t="str">
        <f>_xlfn.XLOOKUP(_26_03_2026_Log_Reseau_v15[[#This Row],[province RDC]],_26_03_2026_Client_Churn_v1[Province_Client],_26_03_2026_Client_Churn_v1[Duree_Cumulee_Panne_Min],"non trouvé")</f>
        <v>non trouvé</v>
      </c>
      <c r="O561" t="str">
        <f>_xlfn.XLOOKUP(_26_03_2026_Log_Reseau_v15[[#This Row],[province RDC]],_26_03_2026_Client_Churn_v1[Province_Client],_26_03_2026_Client_Churn_v1[Facture_Mensuelle],"non trouvé")</f>
        <v>non trouvé</v>
      </c>
      <c r="P561" t="str">
        <f>_xlfn.XLOOKUP(_26_03_2026_Log_Reseau_v15[[#This Row],[province RDC]],_26_03_2026_Client_Churn_v1[Province_Client],_26_03_2026_Client_Churn_v1[Plaintes_Service_Client],"non trouvé")</f>
        <v>non trouvé</v>
      </c>
    </row>
    <row r="562" spans="1:16" hidden="1" x14ac:dyDescent="0.25">
      <c r="A562" s="1">
        <v>45219</v>
      </c>
      <c r="B562" s="2">
        <v>0.92569444444444449</v>
      </c>
      <c r="C562" t="s">
        <v>1162</v>
      </c>
      <c r="D562">
        <v>22</v>
      </c>
      <c r="E562" t="s">
        <v>807</v>
      </c>
      <c r="F562" t="str">
        <f>_xlfn.XLOOKUP(_26_03_2026_Log_Reseau_v15[[#This Row],[Cell_ID]],_26_03_2026_Registre_Maintenance_v1[ID_Antenne],_26_03_2026_Registre_Maintenance_v1[zone],"pas trouvé")</f>
        <v>pas trouvé</v>
      </c>
      <c r="G562" t="str">
        <f>_xlfn.XLOOKUP(_26_03_2026_Log_Reseau_v15[[#This Row],[Cell_ID]],_26_03_2026_Registre_Maintenance_v1[ID_Antenne],_26_03_2026_Registre_Maintenance_v1[Latitude],"non trouvé")</f>
        <v>non trouvé</v>
      </c>
      <c r="H562" t="str">
        <f>_xlfn.XLOOKUP(_26_03_2026_Log_Reseau_v15[[#This Row],[Cell_ID]],_26_03_2026_Registre_Maintenance_v1[ID_Antenne],_26_03_2026_Registre_Maintenance_v1[Longitude],"pas trouvé")</f>
        <v>pas trouvé</v>
      </c>
      <c r="I562" t="str">
        <f>_xlfn.XLOOKUP(_26_03_2026_Log_Reseau_v15[[#This Row],[Cell_ID]],_26_03_2026_Registre_Maintenance_v1[ID_Antenne],_26_03_2026_Registre_Maintenance_v1[Technologie],"non trouvé")</f>
        <v>non trouvé</v>
      </c>
      <c r="J562" t="str">
        <f>_xlfn.XLOOKUP(_26_03_2026_Log_Reseau_v15[[#This Row],[Cell_ID]],_26_03_2026_Registre_Maintenance_v1[ID_Antenne],_26_03_2026_Registre_Maintenance_v1[Equipementier],"pas trouvé")</f>
        <v>pas trouvé</v>
      </c>
      <c r="K562" t="str">
        <f>_xlfn.XLOOKUP(_26_03_2026_Log_Reseau_v15[[#This Row],[province RDC]],_26_03_2026_Client_Churn_v1[Province_Client],_26_03_2026_Client_Churn_v1[ID_Client],"non trouvé")</f>
        <v>non trouvé</v>
      </c>
      <c r="L562" t="str">
        <f>_xlfn.XLOOKUP(_26_03_2026_Log_Reseau_v15[[#This Row],[province RDC]],_26_03_2026_Client_Churn_v1[Province_Client],_26_03_2026_Client_Churn_v1[Anciennete_Mois],"non trouvé")</f>
        <v>non trouvé</v>
      </c>
      <c r="M562" t="str">
        <f>_xlfn.XLOOKUP(_26_03_2026_Log_Reseau_v15[[#This Row],[province RDC]],_26_03_2026_Client_Churn_v1[Province_Client],_26_03_2026_Client_Churn_v1[Type_Forfait],"non trouvé")</f>
        <v>non trouvé</v>
      </c>
      <c r="N562" t="str">
        <f>_xlfn.XLOOKUP(_26_03_2026_Log_Reseau_v15[[#This Row],[province RDC]],_26_03_2026_Client_Churn_v1[Province_Client],_26_03_2026_Client_Churn_v1[Duree_Cumulee_Panne_Min],"non trouvé")</f>
        <v>non trouvé</v>
      </c>
      <c r="O562" t="str">
        <f>_xlfn.XLOOKUP(_26_03_2026_Log_Reseau_v15[[#This Row],[province RDC]],_26_03_2026_Client_Churn_v1[Province_Client],_26_03_2026_Client_Churn_v1[Facture_Mensuelle],"non trouvé")</f>
        <v>non trouvé</v>
      </c>
      <c r="P562" t="str">
        <f>_xlfn.XLOOKUP(_26_03_2026_Log_Reseau_v15[[#This Row],[province RDC]],_26_03_2026_Client_Churn_v1[Province_Client],_26_03_2026_Client_Churn_v1[Plaintes_Service_Client],"non trouvé")</f>
        <v>non trouvé</v>
      </c>
    </row>
    <row r="563" spans="1:16" hidden="1" x14ac:dyDescent="0.25">
      <c r="A563" s="1">
        <v>45200</v>
      </c>
      <c r="B563" s="2">
        <v>0.93125000000000002</v>
      </c>
      <c r="C563" t="s">
        <v>1163</v>
      </c>
      <c r="D563">
        <v>22</v>
      </c>
      <c r="E563" t="s">
        <v>807</v>
      </c>
      <c r="F563" t="str">
        <f>_xlfn.XLOOKUP(_26_03_2026_Log_Reseau_v15[[#This Row],[Cell_ID]],_26_03_2026_Registre_Maintenance_v1[ID_Antenne],_26_03_2026_Registre_Maintenance_v1[zone],"pas trouvé")</f>
        <v>pas trouvé</v>
      </c>
      <c r="G563" t="str">
        <f>_xlfn.XLOOKUP(_26_03_2026_Log_Reseau_v15[[#This Row],[Cell_ID]],_26_03_2026_Registre_Maintenance_v1[ID_Antenne],_26_03_2026_Registre_Maintenance_v1[Latitude],"non trouvé")</f>
        <v>non trouvé</v>
      </c>
      <c r="H563" t="str">
        <f>_xlfn.XLOOKUP(_26_03_2026_Log_Reseau_v15[[#This Row],[Cell_ID]],_26_03_2026_Registre_Maintenance_v1[ID_Antenne],_26_03_2026_Registre_Maintenance_v1[Longitude],"pas trouvé")</f>
        <v>pas trouvé</v>
      </c>
      <c r="I563" t="str">
        <f>_xlfn.XLOOKUP(_26_03_2026_Log_Reseau_v15[[#This Row],[Cell_ID]],_26_03_2026_Registre_Maintenance_v1[ID_Antenne],_26_03_2026_Registre_Maintenance_v1[Technologie],"non trouvé")</f>
        <v>non trouvé</v>
      </c>
      <c r="J563" t="str">
        <f>_xlfn.XLOOKUP(_26_03_2026_Log_Reseau_v15[[#This Row],[Cell_ID]],_26_03_2026_Registre_Maintenance_v1[ID_Antenne],_26_03_2026_Registre_Maintenance_v1[Equipementier],"pas trouvé")</f>
        <v>pas trouvé</v>
      </c>
      <c r="K563" t="str">
        <f>_xlfn.XLOOKUP(_26_03_2026_Log_Reseau_v15[[#This Row],[province RDC]],_26_03_2026_Client_Churn_v1[Province_Client],_26_03_2026_Client_Churn_v1[ID_Client],"non trouvé")</f>
        <v>non trouvé</v>
      </c>
      <c r="L563" t="str">
        <f>_xlfn.XLOOKUP(_26_03_2026_Log_Reseau_v15[[#This Row],[province RDC]],_26_03_2026_Client_Churn_v1[Province_Client],_26_03_2026_Client_Churn_v1[Anciennete_Mois],"non trouvé")</f>
        <v>non trouvé</v>
      </c>
      <c r="M563" t="str">
        <f>_xlfn.XLOOKUP(_26_03_2026_Log_Reseau_v15[[#This Row],[province RDC]],_26_03_2026_Client_Churn_v1[Province_Client],_26_03_2026_Client_Churn_v1[Type_Forfait],"non trouvé")</f>
        <v>non trouvé</v>
      </c>
      <c r="N563" t="str">
        <f>_xlfn.XLOOKUP(_26_03_2026_Log_Reseau_v15[[#This Row],[province RDC]],_26_03_2026_Client_Churn_v1[Province_Client],_26_03_2026_Client_Churn_v1[Duree_Cumulee_Panne_Min],"non trouvé")</f>
        <v>non trouvé</v>
      </c>
      <c r="O563" t="str">
        <f>_xlfn.XLOOKUP(_26_03_2026_Log_Reseau_v15[[#This Row],[province RDC]],_26_03_2026_Client_Churn_v1[Province_Client],_26_03_2026_Client_Churn_v1[Facture_Mensuelle],"non trouvé")</f>
        <v>non trouvé</v>
      </c>
      <c r="P563" t="str">
        <f>_xlfn.XLOOKUP(_26_03_2026_Log_Reseau_v15[[#This Row],[province RDC]],_26_03_2026_Client_Churn_v1[Province_Client],_26_03_2026_Client_Churn_v1[Plaintes_Service_Client],"non trouvé")</f>
        <v>non trouvé</v>
      </c>
    </row>
    <row r="564" spans="1:16" hidden="1" x14ac:dyDescent="0.25">
      <c r="A564" s="1">
        <v>45213</v>
      </c>
      <c r="B564" s="2">
        <v>0.4465277777777778</v>
      </c>
      <c r="C564" t="s">
        <v>1163</v>
      </c>
      <c r="D564">
        <v>111</v>
      </c>
      <c r="E564" t="s">
        <v>807</v>
      </c>
      <c r="F564" t="str">
        <f>_xlfn.XLOOKUP(_26_03_2026_Log_Reseau_v15[[#This Row],[Cell_ID]],_26_03_2026_Registre_Maintenance_v1[ID_Antenne],_26_03_2026_Registre_Maintenance_v1[zone],"pas trouvé")</f>
        <v>pas trouvé</v>
      </c>
      <c r="G564" t="str">
        <f>_xlfn.XLOOKUP(_26_03_2026_Log_Reseau_v15[[#This Row],[Cell_ID]],_26_03_2026_Registre_Maintenance_v1[ID_Antenne],_26_03_2026_Registre_Maintenance_v1[Latitude],"non trouvé")</f>
        <v>non trouvé</v>
      </c>
      <c r="H564" t="str">
        <f>_xlfn.XLOOKUP(_26_03_2026_Log_Reseau_v15[[#This Row],[Cell_ID]],_26_03_2026_Registre_Maintenance_v1[ID_Antenne],_26_03_2026_Registre_Maintenance_v1[Longitude],"pas trouvé")</f>
        <v>pas trouvé</v>
      </c>
      <c r="I564" t="str">
        <f>_xlfn.XLOOKUP(_26_03_2026_Log_Reseau_v15[[#This Row],[Cell_ID]],_26_03_2026_Registre_Maintenance_v1[ID_Antenne],_26_03_2026_Registre_Maintenance_v1[Technologie],"non trouvé")</f>
        <v>non trouvé</v>
      </c>
      <c r="J564" t="str">
        <f>_xlfn.XLOOKUP(_26_03_2026_Log_Reseau_v15[[#This Row],[Cell_ID]],_26_03_2026_Registre_Maintenance_v1[ID_Antenne],_26_03_2026_Registre_Maintenance_v1[Equipementier],"pas trouvé")</f>
        <v>pas trouvé</v>
      </c>
      <c r="K564" t="str">
        <f>_xlfn.XLOOKUP(_26_03_2026_Log_Reseau_v15[[#This Row],[province RDC]],_26_03_2026_Client_Churn_v1[Province_Client],_26_03_2026_Client_Churn_v1[ID_Client],"non trouvé")</f>
        <v>non trouvé</v>
      </c>
      <c r="L564" t="str">
        <f>_xlfn.XLOOKUP(_26_03_2026_Log_Reseau_v15[[#This Row],[province RDC]],_26_03_2026_Client_Churn_v1[Province_Client],_26_03_2026_Client_Churn_v1[Anciennete_Mois],"non trouvé")</f>
        <v>non trouvé</v>
      </c>
      <c r="M564" t="str">
        <f>_xlfn.XLOOKUP(_26_03_2026_Log_Reseau_v15[[#This Row],[province RDC]],_26_03_2026_Client_Churn_v1[Province_Client],_26_03_2026_Client_Churn_v1[Type_Forfait],"non trouvé")</f>
        <v>non trouvé</v>
      </c>
      <c r="N564" t="str">
        <f>_xlfn.XLOOKUP(_26_03_2026_Log_Reseau_v15[[#This Row],[province RDC]],_26_03_2026_Client_Churn_v1[Province_Client],_26_03_2026_Client_Churn_v1[Duree_Cumulee_Panne_Min],"non trouvé")</f>
        <v>non trouvé</v>
      </c>
      <c r="O564" t="str">
        <f>_xlfn.XLOOKUP(_26_03_2026_Log_Reseau_v15[[#This Row],[province RDC]],_26_03_2026_Client_Churn_v1[Province_Client],_26_03_2026_Client_Churn_v1[Facture_Mensuelle],"non trouvé")</f>
        <v>non trouvé</v>
      </c>
      <c r="P564" t="str">
        <f>_xlfn.XLOOKUP(_26_03_2026_Log_Reseau_v15[[#This Row],[province RDC]],_26_03_2026_Client_Churn_v1[Province_Client],_26_03_2026_Client_Churn_v1[Plaintes_Service_Client],"non trouvé")</f>
        <v>non trouvé</v>
      </c>
    </row>
    <row r="565" spans="1:16" hidden="1" x14ac:dyDescent="0.25">
      <c r="A565" s="1">
        <v>45218</v>
      </c>
      <c r="B565" s="2">
        <v>1.1111111111111112E-2</v>
      </c>
      <c r="C565" t="s">
        <v>1164</v>
      </c>
      <c r="D565">
        <v>59</v>
      </c>
      <c r="E565" t="s">
        <v>807</v>
      </c>
      <c r="F565" t="str">
        <f>_xlfn.XLOOKUP(_26_03_2026_Log_Reseau_v15[[#This Row],[Cell_ID]],_26_03_2026_Registre_Maintenance_v1[ID_Antenne],_26_03_2026_Registre_Maintenance_v1[zone],"pas trouvé")</f>
        <v>pas trouvé</v>
      </c>
      <c r="G565" t="str">
        <f>_xlfn.XLOOKUP(_26_03_2026_Log_Reseau_v15[[#This Row],[Cell_ID]],_26_03_2026_Registre_Maintenance_v1[ID_Antenne],_26_03_2026_Registre_Maintenance_v1[Latitude],"non trouvé")</f>
        <v>non trouvé</v>
      </c>
      <c r="H565" t="str">
        <f>_xlfn.XLOOKUP(_26_03_2026_Log_Reseau_v15[[#This Row],[Cell_ID]],_26_03_2026_Registre_Maintenance_v1[ID_Antenne],_26_03_2026_Registre_Maintenance_v1[Longitude],"pas trouvé")</f>
        <v>pas trouvé</v>
      </c>
      <c r="I565" t="str">
        <f>_xlfn.XLOOKUP(_26_03_2026_Log_Reseau_v15[[#This Row],[Cell_ID]],_26_03_2026_Registre_Maintenance_v1[ID_Antenne],_26_03_2026_Registre_Maintenance_v1[Technologie],"non trouvé")</f>
        <v>non trouvé</v>
      </c>
      <c r="J565" t="str">
        <f>_xlfn.XLOOKUP(_26_03_2026_Log_Reseau_v15[[#This Row],[Cell_ID]],_26_03_2026_Registre_Maintenance_v1[ID_Antenne],_26_03_2026_Registre_Maintenance_v1[Equipementier],"pas trouvé")</f>
        <v>pas trouvé</v>
      </c>
      <c r="K565" t="str">
        <f>_xlfn.XLOOKUP(_26_03_2026_Log_Reseau_v15[[#This Row],[province RDC]],_26_03_2026_Client_Churn_v1[Province_Client],_26_03_2026_Client_Churn_v1[ID_Client],"non trouvé")</f>
        <v>non trouvé</v>
      </c>
      <c r="L565" t="str">
        <f>_xlfn.XLOOKUP(_26_03_2026_Log_Reseau_v15[[#This Row],[province RDC]],_26_03_2026_Client_Churn_v1[Province_Client],_26_03_2026_Client_Churn_v1[Anciennete_Mois],"non trouvé")</f>
        <v>non trouvé</v>
      </c>
      <c r="M565" t="str">
        <f>_xlfn.XLOOKUP(_26_03_2026_Log_Reseau_v15[[#This Row],[province RDC]],_26_03_2026_Client_Churn_v1[Province_Client],_26_03_2026_Client_Churn_v1[Type_Forfait],"non trouvé")</f>
        <v>non trouvé</v>
      </c>
      <c r="N565" t="str">
        <f>_xlfn.XLOOKUP(_26_03_2026_Log_Reseau_v15[[#This Row],[province RDC]],_26_03_2026_Client_Churn_v1[Province_Client],_26_03_2026_Client_Churn_v1[Duree_Cumulee_Panne_Min],"non trouvé")</f>
        <v>non trouvé</v>
      </c>
      <c r="O565" t="str">
        <f>_xlfn.XLOOKUP(_26_03_2026_Log_Reseau_v15[[#This Row],[province RDC]],_26_03_2026_Client_Churn_v1[Province_Client],_26_03_2026_Client_Churn_v1[Facture_Mensuelle],"non trouvé")</f>
        <v>non trouvé</v>
      </c>
      <c r="P565" t="str">
        <f>_xlfn.XLOOKUP(_26_03_2026_Log_Reseau_v15[[#This Row],[province RDC]],_26_03_2026_Client_Churn_v1[Province_Client],_26_03_2026_Client_Churn_v1[Plaintes_Service_Client],"non trouvé")</f>
        <v>non trouvé</v>
      </c>
    </row>
    <row r="566" spans="1:16" x14ac:dyDescent="0.25">
      <c r="A566" s="1">
        <v>45223</v>
      </c>
      <c r="B566" s="2">
        <v>0.29375000000000001</v>
      </c>
      <c r="C566" t="s">
        <v>1165</v>
      </c>
      <c r="D566">
        <v>42</v>
      </c>
      <c r="E566" t="s">
        <v>812</v>
      </c>
      <c r="F566" t="str">
        <f>_xlfn.XLOOKUP(_26_03_2026_Log_Reseau_v15[[#This Row],[Cell_ID]],_26_03_2026_Registre_Maintenance_v1[ID_Antenne],_26_03_2026_Registre_Maintenance_v1[zone],"pas trouvé")</f>
        <v>Haut-Katanga</v>
      </c>
      <c r="G566">
        <f>_xlfn.XLOOKUP(_26_03_2026_Log_Reseau_v15[[#This Row],[Cell_ID]],_26_03_2026_Registre_Maintenance_v1[ID_Antenne],_26_03_2026_Registre_Maintenance_v1[Latitude],"non trouvé")</f>
        <v>-4.4958720000000003</v>
      </c>
      <c r="H566">
        <f>_xlfn.XLOOKUP(_26_03_2026_Log_Reseau_v15[[#This Row],[Cell_ID]],_26_03_2026_Registre_Maintenance_v1[ID_Antenne],_26_03_2026_Registre_Maintenance_v1[Longitude],"pas trouvé")</f>
        <v>18.514112000000001</v>
      </c>
      <c r="I566" t="str">
        <f>_xlfn.XLOOKUP(_26_03_2026_Log_Reseau_v15[[#This Row],[Cell_ID]],_26_03_2026_Registre_Maintenance_v1[ID_Antenne],_26_03_2026_Registre_Maintenance_v1[Technologie],"non trouvé")</f>
        <v>4G</v>
      </c>
      <c r="J566" t="str">
        <f>_xlfn.XLOOKUP(_26_03_2026_Log_Reseau_v15[[#This Row],[Cell_ID]],_26_03_2026_Registre_Maintenance_v1[ID_Antenne],_26_03_2026_Registre_Maintenance_v1[Equipementier],"pas trouvé")</f>
        <v>Nokia</v>
      </c>
      <c r="K566" t="str">
        <f>_xlfn.XLOOKUP(_26_03_2026_Log_Reseau_v15[[#This Row],[province RDC]],_26_03_2026_Client_Churn_v1[Province_Client],_26_03_2026_Client_Churn_v1[ID_Client],"non trouvé")</f>
        <v>CLI-00076</v>
      </c>
      <c r="L566">
        <f>_xlfn.XLOOKUP(_26_03_2026_Log_Reseau_v15[[#This Row],[province RDC]],_26_03_2026_Client_Churn_v1[Province_Client],_26_03_2026_Client_Churn_v1[Anciennete_Mois],"non trouvé")</f>
        <v>46</v>
      </c>
      <c r="M566" t="str">
        <f>_xlfn.XLOOKUP(_26_03_2026_Log_Reseau_v15[[#This Row],[province RDC]],_26_03_2026_Client_Churn_v1[Province_Client],_26_03_2026_Client_Churn_v1[Type_Forfait],"non trouvé")</f>
        <v>Premium 5G 150Go</v>
      </c>
      <c r="N566">
        <f>_xlfn.XLOOKUP(_26_03_2026_Log_Reseau_v15[[#This Row],[province RDC]],_26_03_2026_Client_Churn_v1[Province_Client],_26_03_2026_Client_Churn_v1[Duree_Cumulee_Panne_Min],"non trouvé")</f>
        <v>283</v>
      </c>
      <c r="O566">
        <f>_xlfn.XLOOKUP(_26_03_2026_Log_Reseau_v15[[#This Row],[province RDC]],_26_03_2026_Client_Churn_v1[Province_Client],_26_03_2026_Client_Churn_v1[Facture_Mensuelle],"non trouvé")</f>
        <v>56.05</v>
      </c>
      <c r="P566">
        <f>_xlfn.XLOOKUP(_26_03_2026_Log_Reseau_v15[[#This Row],[province RDC]],_26_03_2026_Client_Churn_v1[Province_Client],_26_03_2026_Client_Churn_v1[Plaintes_Service_Client],"non trouvé")</f>
        <v>1</v>
      </c>
    </row>
    <row r="567" spans="1:16" x14ac:dyDescent="0.25">
      <c r="A567" s="1">
        <v>45205</v>
      </c>
      <c r="B567" s="2">
        <v>0.72916666666666663</v>
      </c>
      <c r="C567" t="s">
        <v>1165</v>
      </c>
      <c r="D567">
        <v>106</v>
      </c>
      <c r="E567" t="s">
        <v>812</v>
      </c>
      <c r="F567" t="str">
        <f>_xlfn.XLOOKUP(_26_03_2026_Log_Reseau_v15[[#This Row],[Cell_ID]],_26_03_2026_Registre_Maintenance_v1[ID_Antenne],_26_03_2026_Registre_Maintenance_v1[zone],"pas trouvé")</f>
        <v>Haut-Katanga</v>
      </c>
      <c r="G567">
        <f>_xlfn.XLOOKUP(_26_03_2026_Log_Reseau_v15[[#This Row],[Cell_ID]],_26_03_2026_Registre_Maintenance_v1[ID_Antenne],_26_03_2026_Registre_Maintenance_v1[Latitude],"non trouvé")</f>
        <v>-4.4958720000000003</v>
      </c>
      <c r="H567">
        <f>_xlfn.XLOOKUP(_26_03_2026_Log_Reseau_v15[[#This Row],[Cell_ID]],_26_03_2026_Registre_Maintenance_v1[ID_Antenne],_26_03_2026_Registre_Maintenance_v1[Longitude],"pas trouvé")</f>
        <v>18.514112000000001</v>
      </c>
      <c r="I567" t="str">
        <f>_xlfn.XLOOKUP(_26_03_2026_Log_Reseau_v15[[#This Row],[Cell_ID]],_26_03_2026_Registre_Maintenance_v1[ID_Antenne],_26_03_2026_Registre_Maintenance_v1[Technologie],"non trouvé")</f>
        <v>4G</v>
      </c>
      <c r="J567" t="str">
        <f>_xlfn.XLOOKUP(_26_03_2026_Log_Reseau_v15[[#This Row],[Cell_ID]],_26_03_2026_Registre_Maintenance_v1[ID_Antenne],_26_03_2026_Registre_Maintenance_v1[Equipementier],"pas trouvé")</f>
        <v>Nokia</v>
      </c>
      <c r="K567" t="str">
        <f>_xlfn.XLOOKUP(_26_03_2026_Log_Reseau_v15[[#This Row],[province RDC]],_26_03_2026_Client_Churn_v1[Province_Client],_26_03_2026_Client_Churn_v1[ID_Client],"non trouvé")</f>
        <v>CLI-00076</v>
      </c>
      <c r="L567">
        <f>_xlfn.XLOOKUP(_26_03_2026_Log_Reseau_v15[[#This Row],[province RDC]],_26_03_2026_Client_Churn_v1[Province_Client],_26_03_2026_Client_Churn_v1[Anciennete_Mois],"non trouvé")</f>
        <v>46</v>
      </c>
      <c r="M567" t="str">
        <f>_xlfn.XLOOKUP(_26_03_2026_Log_Reseau_v15[[#This Row],[province RDC]],_26_03_2026_Client_Churn_v1[Province_Client],_26_03_2026_Client_Churn_v1[Type_Forfait],"non trouvé")</f>
        <v>Premium 5G 150Go</v>
      </c>
      <c r="N567">
        <f>_xlfn.XLOOKUP(_26_03_2026_Log_Reseau_v15[[#This Row],[province RDC]],_26_03_2026_Client_Churn_v1[Province_Client],_26_03_2026_Client_Churn_v1[Duree_Cumulee_Panne_Min],"non trouvé")</f>
        <v>283</v>
      </c>
      <c r="O567">
        <f>_xlfn.XLOOKUP(_26_03_2026_Log_Reseau_v15[[#This Row],[province RDC]],_26_03_2026_Client_Churn_v1[Province_Client],_26_03_2026_Client_Churn_v1[Facture_Mensuelle],"non trouvé")</f>
        <v>56.05</v>
      </c>
      <c r="P567">
        <f>_xlfn.XLOOKUP(_26_03_2026_Log_Reseau_v15[[#This Row],[province RDC]],_26_03_2026_Client_Churn_v1[Province_Client],_26_03_2026_Client_Churn_v1[Plaintes_Service_Client],"non trouvé")</f>
        <v>1</v>
      </c>
    </row>
    <row r="568" spans="1:16" hidden="1" x14ac:dyDescent="0.25">
      <c r="A568" s="1">
        <v>45214</v>
      </c>
      <c r="B568" s="2">
        <v>0.19305555555555556</v>
      </c>
      <c r="C568" t="s">
        <v>1166</v>
      </c>
      <c r="D568">
        <v>76</v>
      </c>
      <c r="E568" t="s">
        <v>812</v>
      </c>
      <c r="F568" t="str">
        <f>_xlfn.XLOOKUP(_26_03_2026_Log_Reseau_v15[[#This Row],[Cell_ID]],_26_03_2026_Registre_Maintenance_v1[ID_Antenne],_26_03_2026_Registre_Maintenance_v1[zone],"pas trouvé")</f>
        <v>pas trouvé</v>
      </c>
      <c r="G568" t="str">
        <f>_xlfn.XLOOKUP(_26_03_2026_Log_Reseau_v15[[#This Row],[Cell_ID]],_26_03_2026_Registre_Maintenance_v1[ID_Antenne],_26_03_2026_Registre_Maintenance_v1[Latitude],"non trouvé")</f>
        <v>non trouvé</v>
      </c>
      <c r="H568" t="str">
        <f>_xlfn.XLOOKUP(_26_03_2026_Log_Reseau_v15[[#This Row],[Cell_ID]],_26_03_2026_Registre_Maintenance_v1[ID_Antenne],_26_03_2026_Registre_Maintenance_v1[Longitude],"pas trouvé")</f>
        <v>pas trouvé</v>
      </c>
      <c r="I568" t="str">
        <f>_xlfn.XLOOKUP(_26_03_2026_Log_Reseau_v15[[#This Row],[Cell_ID]],_26_03_2026_Registre_Maintenance_v1[ID_Antenne],_26_03_2026_Registre_Maintenance_v1[Technologie],"non trouvé")</f>
        <v>non trouvé</v>
      </c>
      <c r="J568" t="str">
        <f>_xlfn.XLOOKUP(_26_03_2026_Log_Reseau_v15[[#This Row],[Cell_ID]],_26_03_2026_Registre_Maintenance_v1[ID_Antenne],_26_03_2026_Registre_Maintenance_v1[Equipementier],"pas trouvé")</f>
        <v>pas trouvé</v>
      </c>
      <c r="K568" t="str">
        <f>_xlfn.XLOOKUP(_26_03_2026_Log_Reseau_v15[[#This Row],[province RDC]],_26_03_2026_Client_Churn_v1[Province_Client],_26_03_2026_Client_Churn_v1[ID_Client],"non trouvé")</f>
        <v>non trouvé</v>
      </c>
      <c r="L568" t="str">
        <f>_xlfn.XLOOKUP(_26_03_2026_Log_Reseau_v15[[#This Row],[province RDC]],_26_03_2026_Client_Churn_v1[Province_Client],_26_03_2026_Client_Churn_v1[Anciennete_Mois],"non trouvé")</f>
        <v>non trouvé</v>
      </c>
      <c r="M568" t="str">
        <f>_xlfn.XLOOKUP(_26_03_2026_Log_Reseau_v15[[#This Row],[province RDC]],_26_03_2026_Client_Churn_v1[Province_Client],_26_03_2026_Client_Churn_v1[Type_Forfait],"non trouvé")</f>
        <v>non trouvé</v>
      </c>
      <c r="N568" t="str">
        <f>_xlfn.XLOOKUP(_26_03_2026_Log_Reseau_v15[[#This Row],[province RDC]],_26_03_2026_Client_Churn_v1[Province_Client],_26_03_2026_Client_Churn_v1[Duree_Cumulee_Panne_Min],"non trouvé")</f>
        <v>non trouvé</v>
      </c>
      <c r="O568" t="str">
        <f>_xlfn.XLOOKUP(_26_03_2026_Log_Reseau_v15[[#This Row],[province RDC]],_26_03_2026_Client_Churn_v1[Province_Client],_26_03_2026_Client_Churn_v1[Facture_Mensuelle],"non trouvé")</f>
        <v>non trouvé</v>
      </c>
      <c r="P568" t="str">
        <f>_xlfn.XLOOKUP(_26_03_2026_Log_Reseau_v15[[#This Row],[province RDC]],_26_03_2026_Client_Churn_v1[Province_Client],_26_03_2026_Client_Churn_v1[Plaintes_Service_Client],"non trouvé")</f>
        <v>non trouvé</v>
      </c>
    </row>
    <row r="569" spans="1:16" hidden="1" x14ac:dyDescent="0.25">
      <c r="A569" s="1">
        <v>45211</v>
      </c>
      <c r="B569" s="2">
        <v>0.10555555555555556</v>
      </c>
      <c r="C569" t="s">
        <v>1166</v>
      </c>
      <c r="D569">
        <v>67</v>
      </c>
      <c r="E569" t="s">
        <v>807</v>
      </c>
      <c r="F569" t="str">
        <f>_xlfn.XLOOKUP(_26_03_2026_Log_Reseau_v15[[#This Row],[Cell_ID]],_26_03_2026_Registre_Maintenance_v1[ID_Antenne],_26_03_2026_Registre_Maintenance_v1[zone],"pas trouvé")</f>
        <v>pas trouvé</v>
      </c>
      <c r="G569" t="str">
        <f>_xlfn.XLOOKUP(_26_03_2026_Log_Reseau_v15[[#This Row],[Cell_ID]],_26_03_2026_Registre_Maintenance_v1[ID_Antenne],_26_03_2026_Registre_Maintenance_v1[Latitude],"non trouvé")</f>
        <v>non trouvé</v>
      </c>
      <c r="H569" t="str">
        <f>_xlfn.XLOOKUP(_26_03_2026_Log_Reseau_v15[[#This Row],[Cell_ID]],_26_03_2026_Registre_Maintenance_v1[ID_Antenne],_26_03_2026_Registre_Maintenance_v1[Longitude],"pas trouvé")</f>
        <v>pas trouvé</v>
      </c>
      <c r="I569" t="str">
        <f>_xlfn.XLOOKUP(_26_03_2026_Log_Reseau_v15[[#This Row],[Cell_ID]],_26_03_2026_Registre_Maintenance_v1[ID_Antenne],_26_03_2026_Registre_Maintenance_v1[Technologie],"non trouvé")</f>
        <v>non trouvé</v>
      </c>
      <c r="J569" t="str">
        <f>_xlfn.XLOOKUP(_26_03_2026_Log_Reseau_v15[[#This Row],[Cell_ID]],_26_03_2026_Registre_Maintenance_v1[ID_Antenne],_26_03_2026_Registre_Maintenance_v1[Equipementier],"pas trouvé")</f>
        <v>pas trouvé</v>
      </c>
      <c r="K569" t="str">
        <f>_xlfn.XLOOKUP(_26_03_2026_Log_Reseau_v15[[#This Row],[province RDC]],_26_03_2026_Client_Churn_v1[Province_Client],_26_03_2026_Client_Churn_v1[ID_Client],"non trouvé")</f>
        <v>non trouvé</v>
      </c>
      <c r="L569" t="str">
        <f>_xlfn.XLOOKUP(_26_03_2026_Log_Reseau_v15[[#This Row],[province RDC]],_26_03_2026_Client_Churn_v1[Province_Client],_26_03_2026_Client_Churn_v1[Anciennete_Mois],"non trouvé")</f>
        <v>non trouvé</v>
      </c>
      <c r="M569" t="str">
        <f>_xlfn.XLOOKUP(_26_03_2026_Log_Reseau_v15[[#This Row],[province RDC]],_26_03_2026_Client_Churn_v1[Province_Client],_26_03_2026_Client_Churn_v1[Type_Forfait],"non trouvé")</f>
        <v>non trouvé</v>
      </c>
      <c r="N569" t="str">
        <f>_xlfn.XLOOKUP(_26_03_2026_Log_Reseau_v15[[#This Row],[province RDC]],_26_03_2026_Client_Churn_v1[Province_Client],_26_03_2026_Client_Churn_v1[Duree_Cumulee_Panne_Min],"non trouvé")</f>
        <v>non trouvé</v>
      </c>
      <c r="O569" t="str">
        <f>_xlfn.XLOOKUP(_26_03_2026_Log_Reseau_v15[[#This Row],[province RDC]],_26_03_2026_Client_Churn_v1[Province_Client],_26_03_2026_Client_Churn_v1[Facture_Mensuelle],"non trouvé")</f>
        <v>non trouvé</v>
      </c>
      <c r="P569" t="str">
        <f>_xlfn.XLOOKUP(_26_03_2026_Log_Reseau_v15[[#This Row],[province RDC]],_26_03_2026_Client_Churn_v1[Province_Client],_26_03_2026_Client_Churn_v1[Plaintes_Service_Client],"non trouvé")</f>
        <v>non trouvé</v>
      </c>
    </row>
    <row r="570" spans="1:16" hidden="1" x14ac:dyDescent="0.25">
      <c r="A570" s="1">
        <v>45227</v>
      </c>
      <c r="B570" s="2">
        <v>0.30625000000000002</v>
      </c>
      <c r="C570" t="s">
        <v>1166</v>
      </c>
      <c r="D570">
        <v>71</v>
      </c>
      <c r="E570" t="s">
        <v>808</v>
      </c>
      <c r="F570" t="str">
        <f>_xlfn.XLOOKUP(_26_03_2026_Log_Reseau_v15[[#This Row],[Cell_ID]],_26_03_2026_Registre_Maintenance_v1[ID_Antenne],_26_03_2026_Registre_Maintenance_v1[zone],"pas trouvé")</f>
        <v>pas trouvé</v>
      </c>
      <c r="G570" t="str">
        <f>_xlfn.XLOOKUP(_26_03_2026_Log_Reseau_v15[[#This Row],[Cell_ID]],_26_03_2026_Registre_Maintenance_v1[ID_Antenne],_26_03_2026_Registre_Maintenance_v1[Latitude],"non trouvé")</f>
        <v>non trouvé</v>
      </c>
      <c r="H570" t="str">
        <f>_xlfn.XLOOKUP(_26_03_2026_Log_Reseau_v15[[#This Row],[Cell_ID]],_26_03_2026_Registre_Maintenance_v1[ID_Antenne],_26_03_2026_Registre_Maintenance_v1[Longitude],"pas trouvé")</f>
        <v>pas trouvé</v>
      </c>
      <c r="I570" t="str">
        <f>_xlfn.XLOOKUP(_26_03_2026_Log_Reseau_v15[[#This Row],[Cell_ID]],_26_03_2026_Registre_Maintenance_v1[ID_Antenne],_26_03_2026_Registre_Maintenance_v1[Technologie],"non trouvé")</f>
        <v>non trouvé</v>
      </c>
      <c r="J570" t="str">
        <f>_xlfn.XLOOKUP(_26_03_2026_Log_Reseau_v15[[#This Row],[Cell_ID]],_26_03_2026_Registre_Maintenance_v1[ID_Antenne],_26_03_2026_Registre_Maintenance_v1[Equipementier],"pas trouvé")</f>
        <v>pas trouvé</v>
      </c>
      <c r="K570" t="str">
        <f>_xlfn.XLOOKUP(_26_03_2026_Log_Reseau_v15[[#This Row],[province RDC]],_26_03_2026_Client_Churn_v1[Province_Client],_26_03_2026_Client_Churn_v1[ID_Client],"non trouvé")</f>
        <v>non trouvé</v>
      </c>
      <c r="L570" t="str">
        <f>_xlfn.XLOOKUP(_26_03_2026_Log_Reseau_v15[[#This Row],[province RDC]],_26_03_2026_Client_Churn_v1[Province_Client],_26_03_2026_Client_Churn_v1[Anciennete_Mois],"non trouvé")</f>
        <v>non trouvé</v>
      </c>
      <c r="M570" t="str">
        <f>_xlfn.XLOOKUP(_26_03_2026_Log_Reseau_v15[[#This Row],[province RDC]],_26_03_2026_Client_Churn_v1[Province_Client],_26_03_2026_Client_Churn_v1[Type_Forfait],"non trouvé")</f>
        <v>non trouvé</v>
      </c>
      <c r="N570" t="str">
        <f>_xlfn.XLOOKUP(_26_03_2026_Log_Reseau_v15[[#This Row],[province RDC]],_26_03_2026_Client_Churn_v1[Province_Client],_26_03_2026_Client_Churn_v1[Duree_Cumulee_Panne_Min],"non trouvé")</f>
        <v>non trouvé</v>
      </c>
      <c r="O570" t="str">
        <f>_xlfn.XLOOKUP(_26_03_2026_Log_Reseau_v15[[#This Row],[province RDC]],_26_03_2026_Client_Churn_v1[Province_Client],_26_03_2026_Client_Churn_v1[Facture_Mensuelle],"non trouvé")</f>
        <v>non trouvé</v>
      </c>
      <c r="P570" t="str">
        <f>_xlfn.XLOOKUP(_26_03_2026_Log_Reseau_v15[[#This Row],[province RDC]],_26_03_2026_Client_Churn_v1[Province_Client],_26_03_2026_Client_Churn_v1[Plaintes_Service_Client],"non trouvé")</f>
        <v>non trouvé</v>
      </c>
    </row>
    <row r="571" spans="1:16" hidden="1" x14ac:dyDescent="0.25">
      <c r="A571" s="1">
        <v>45214</v>
      </c>
      <c r="B571" s="2">
        <v>0.87013888888888891</v>
      </c>
      <c r="C571" t="s">
        <v>1166</v>
      </c>
      <c r="D571">
        <v>72</v>
      </c>
      <c r="E571" t="s">
        <v>807</v>
      </c>
      <c r="F571" t="str">
        <f>_xlfn.XLOOKUP(_26_03_2026_Log_Reseau_v15[[#This Row],[Cell_ID]],_26_03_2026_Registre_Maintenance_v1[ID_Antenne],_26_03_2026_Registre_Maintenance_v1[zone],"pas trouvé")</f>
        <v>pas trouvé</v>
      </c>
      <c r="G571" t="str">
        <f>_xlfn.XLOOKUP(_26_03_2026_Log_Reseau_v15[[#This Row],[Cell_ID]],_26_03_2026_Registre_Maintenance_v1[ID_Antenne],_26_03_2026_Registre_Maintenance_v1[Latitude],"non trouvé")</f>
        <v>non trouvé</v>
      </c>
      <c r="H571" t="str">
        <f>_xlfn.XLOOKUP(_26_03_2026_Log_Reseau_v15[[#This Row],[Cell_ID]],_26_03_2026_Registre_Maintenance_v1[ID_Antenne],_26_03_2026_Registre_Maintenance_v1[Longitude],"pas trouvé")</f>
        <v>pas trouvé</v>
      </c>
      <c r="I571" t="str">
        <f>_xlfn.XLOOKUP(_26_03_2026_Log_Reseau_v15[[#This Row],[Cell_ID]],_26_03_2026_Registre_Maintenance_v1[ID_Antenne],_26_03_2026_Registre_Maintenance_v1[Technologie],"non trouvé")</f>
        <v>non trouvé</v>
      </c>
      <c r="J571" t="str">
        <f>_xlfn.XLOOKUP(_26_03_2026_Log_Reseau_v15[[#This Row],[Cell_ID]],_26_03_2026_Registre_Maintenance_v1[ID_Antenne],_26_03_2026_Registre_Maintenance_v1[Equipementier],"pas trouvé")</f>
        <v>pas trouvé</v>
      </c>
      <c r="K571" t="str">
        <f>_xlfn.XLOOKUP(_26_03_2026_Log_Reseau_v15[[#This Row],[province RDC]],_26_03_2026_Client_Churn_v1[Province_Client],_26_03_2026_Client_Churn_v1[ID_Client],"non trouvé")</f>
        <v>non trouvé</v>
      </c>
      <c r="L571" t="str">
        <f>_xlfn.XLOOKUP(_26_03_2026_Log_Reseau_v15[[#This Row],[province RDC]],_26_03_2026_Client_Churn_v1[Province_Client],_26_03_2026_Client_Churn_v1[Anciennete_Mois],"non trouvé")</f>
        <v>non trouvé</v>
      </c>
      <c r="M571" t="str">
        <f>_xlfn.XLOOKUP(_26_03_2026_Log_Reseau_v15[[#This Row],[province RDC]],_26_03_2026_Client_Churn_v1[Province_Client],_26_03_2026_Client_Churn_v1[Type_Forfait],"non trouvé")</f>
        <v>non trouvé</v>
      </c>
      <c r="N571" t="str">
        <f>_xlfn.XLOOKUP(_26_03_2026_Log_Reseau_v15[[#This Row],[province RDC]],_26_03_2026_Client_Churn_v1[Province_Client],_26_03_2026_Client_Churn_v1[Duree_Cumulee_Panne_Min],"non trouvé")</f>
        <v>non trouvé</v>
      </c>
      <c r="O571" t="str">
        <f>_xlfn.XLOOKUP(_26_03_2026_Log_Reseau_v15[[#This Row],[province RDC]],_26_03_2026_Client_Churn_v1[Province_Client],_26_03_2026_Client_Churn_v1[Facture_Mensuelle],"non trouvé")</f>
        <v>non trouvé</v>
      </c>
      <c r="P571" t="str">
        <f>_xlfn.XLOOKUP(_26_03_2026_Log_Reseau_v15[[#This Row],[province RDC]],_26_03_2026_Client_Churn_v1[Province_Client],_26_03_2026_Client_Churn_v1[Plaintes_Service_Client],"non trouvé")</f>
        <v>non trouvé</v>
      </c>
    </row>
    <row r="572" spans="1:16" hidden="1" x14ac:dyDescent="0.25">
      <c r="A572" s="1">
        <v>45205</v>
      </c>
      <c r="B572" s="2">
        <v>0.11041666666666666</v>
      </c>
      <c r="C572" t="s">
        <v>1166</v>
      </c>
      <c r="D572">
        <v>104</v>
      </c>
      <c r="E572" t="s">
        <v>807</v>
      </c>
      <c r="F572" t="str">
        <f>_xlfn.XLOOKUP(_26_03_2026_Log_Reseau_v15[[#This Row],[Cell_ID]],_26_03_2026_Registre_Maintenance_v1[ID_Antenne],_26_03_2026_Registre_Maintenance_v1[zone],"pas trouvé")</f>
        <v>pas trouvé</v>
      </c>
      <c r="G572" t="str">
        <f>_xlfn.XLOOKUP(_26_03_2026_Log_Reseau_v15[[#This Row],[Cell_ID]],_26_03_2026_Registre_Maintenance_v1[ID_Antenne],_26_03_2026_Registre_Maintenance_v1[Latitude],"non trouvé")</f>
        <v>non trouvé</v>
      </c>
      <c r="H572" t="str">
        <f>_xlfn.XLOOKUP(_26_03_2026_Log_Reseau_v15[[#This Row],[Cell_ID]],_26_03_2026_Registre_Maintenance_v1[ID_Antenne],_26_03_2026_Registre_Maintenance_v1[Longitude],"pas trouvé")</f>
        <v>pas trouvé</v>
      </c>
      <c r="I572" t="str">
        <f>_xlfn.XLOOKUP(_26_03_2026_Log_Reseau_v15[[#This Row],[Cell_ID]],_26_03_2026_Registre_Maintenance_v1[ID_Antenne],_26_03_2026_Registre_Maintenance_v1[Technologie],"non trouvé")</f>
        <v>non trouvé</v>
      </c>
      <c r="J572" t="str">
        <f>_xlfn.XLOOKUP(_26_03_2026_Log_Reseau_v15[[#This Row],[Cell_ID]],_26_03_2026_Registre_Maintenance_v1[ID_Antenne],_26_03_2026_Registre_Maintenance_v1[Equipementier],"pas trouvé")</f>
        <v>pas trouvé</v>
      </c>
      <c r="K572" t="str">
        <f>_xlfn.XLOOKUP(_26_03_2026_Log_Reseau_v15[[#This Row],[province RDC]],_26_03_2026_Client_Churn_v1[Province_Client],_26_03_2026_Client_Churn_v1[ID_Client],"non trouvé")</f>
        <v>non trouvé</v>
      </c>
      <c r="L572" t="str">
        <f>_xlfn.XLOOKUP(_26_03_2026_Log_Reseau_v15[[#This Row],[province RDC]],_26_03_2026_Client_Churn_v1[Province_Client],_26_03_2026_Client_Churn_v1[Anciennete_Mois],"non trouvé")</f>
        <v>non trouvé</v>
      </c>
      <c r="M572" t="str">
        <f>_xlfn.XLOOKUP(_26_03_2026_Log_Reseau_v15[[#This Row],[province RDC]],_26_03_2026_Client_Churn_v1[Province_Client],_26_03_2026_Client_Churn_v1[Type_Forfait],"non trouvé")</f>
        <v>non trouvé</v>
      </c>
      <c r="N572" t="str">
        <f>_xlfn.XLOOKUP(_26_03_2026_Log_Reseau_v15[[#This Row],[province RDC]],_26_03_2026_Client_Churn_v1[Province_Client],_26_03_2026_Client_Churn_v1[Duree_Cumulee_Panne_Min],"non trouvé")</f>
        <v>non trouvé</v>
      </c>
      <c r="O572" t="str">
        <f>_xlfn.XLOOKUP(_26_03_2026_Log_Reseau_v15[[#This Row],[province RDC]],_26_03_2026_Client_Churn_v1[Province_Client],_26_03_2026_Client_Churn_v1[Facture_Mensuelle],"non trouvé")</f>
        <v>non trouvé</v>
      </c>
      <c r="P572" t="str">
        <f>_xlfn.XLOOKUP(_26_03_2026_Log_Reseau_v15[[#This Row],[province RDC]],_26_03_2026_Client_Churn_v1[Province_Client],_26_03_2026_Client_Churn_v1[Plaintes_Service_Client],"non trouvé")</f>
        <v>non trouvé</v>
      </c>
    </row>
    <row r="573" spans="1:16" x14ac:dyDescent="0.25">
      <c r="A573" s="1">
        <v>45221</v>
      </c>
      <c r="B573" s="2">
        <v>0.28333333333333333</v>
      </c>
      <c r="C573" t="s">
        <v>1167</v>
      </c>
      <c r="D573">
        <v>22</v>
      </c>
      <c r="E573" t="s">
        <v>807</v>
      </c>
      <c r="F573" t="str">
        <f>_xlfn.XLOOKUP(_26_03_2026_Log_Reseau_v15[[#This Row],[Cell_ID]],_26_03_2026_Registre_Maintenance_v1[ID_Antenne],_26_03_2026_Registre_Maintenance_v1[zone],"pas trouvé")</f>
        <v>Kinshasa</v>
      </c>
      <c r="G573">
        <f>_xlfn.XLOOKUP(_26_03_2026_Log_Reseau_v15[[#This Row],[Cell_ID]],_26_03_2026_Registre_Maintenance_v1[ID_Antenne],_26_03_2026_Registre_Maintenance_v1[Latitude],"non trouvé")</f>
        <v>-2.6665070000000002</v>
      </c>
      <c r="H573">
        <f>_xlfn.XLOOKUP(_26_03_2026_Log_Reseau_v15[[#This Row],[Cell_ID]],_26_03_2026_Registre_Maintenance_v1[ID_Antenne],_26_03_2026_Registre_Maintenance_v1[Longitude],"pas trouvé")</f>
        <v>18.623692999999999</v>
      </c>
      <c r="I573" t="str">
        <f>_xlfn.XLOOKUP(_26_03_2026_Log_Reseau_v15[[#This Row],[Cell_ID]],_26_03_2026_Registre_Maintenance_v1[ID_Antenne],_26_03_2026_Registre_Maintenance_v1[Technologie],"non trouvé")</f>
        <v>3G</v>
      </c>
      <c r="J573" t="str">
        <f>_xlfn.XLOOKUP(_26_03_2026_Log_Reseau_v15[[#This Row],[Cell_ID]],_26_03_2026_Registre_Maintenance_v1[ID_Antenne],_26_03_2026_Registre_Maintenance_v1[Equipementier],"pas trouvé")</f>
        <v>ZTE</v>
      </c>
      <c r="K573" t="str">
        <f>_xlfn.XLOOKUP(_26_03_2026_Log_Reseau_v15[[#This Row],[province RDC]],_26_03_2026_Client_Churn_v1[Province_Client],_26_03_2026_Client_Churn_v1[ID_Client],"non trouvé")</f>
        <v>CLI-00611</v>
      </c>
      <c r="L573">
        <f>_xlfn.XLOOKUP(_26_03_2026_Log_Reseau_v15[[#This Row],[province RDC]],_26_03_2026_Client_Churn_v1[Province_Client],_26_03_2026_Client_Churn_v1[Anciennete_Mois],"non trouvé")</f>
        <v>79</v>
      </c>
      <c r="M573" t="str">
        <f>_xlfn.XLOOKUP(_26_03_2026_Log_Reseau_v15[[#This Row],[province RDC]],_26_03_2026_Client_Churn_v1[Province_Client],_26_03_2026_Client_Churn_v1[Type_Forfait],"non trouvé")</f>
        <v>Premium 5G 150Go</v>
      </c>
      <c r="N573">
        <f>_xlfn.XLOOKUP(_26_03_2026_Log_Reseau_v15[[#This Row],[province RDC]],_26_03_2026_Client_Churn_v1[Province_Client],_26_03_2026_Client_Churn_v1[Duree_Cumulee_Panne_Min],"non trouvé")</f>
        <v>226</v>
      </c>
      <c r="O573">
        <f>_xlfn.XLOOKUP(_26_03_2026_Log_Reseau_v15[[#This Row],[province RDC]],_26_03_2026_Client_Churn_v1[Province_Client],_26_03_2026_Client_Churn_v1[Facture_Mensuelle],"non trouvé")</f>
        <v>94.38</v>
      </c>
      <c r="P573">
        <f>_xlfn.XLOOKUP(_26_03_2026_Log_Reseau_v15[[#This Row],[province RDC]],_26_03_2026_Client_Churn_v1[Province_Client],_26_03_2026_Client_Churn_v1[Plaintes_Service_Client],"non trouvé")</f>
        <v>3</v>
      </c>
    </row>
    <row r="574" spans="1:16" x14ac:dyDescent="0.25">
      <c r="A574" s="1">
        <v>45215</v>
      </c>
      <c r="B574" s="2">
        <v>5.6944444444444443E-2</v>
      </c>
      <c r="C574" t="s">
        <v>1167</v>
      </c>
      <c r="D574">
        <v>99</v>
      </c>
      <c r="E574" t="s">
        <v>808</v>
      </c>
      <c r="F574" t="str">
        <f>_xlfn.XLOOKUP(_26_03_2026_Log_Reseau_v15[[#This Row],[Cell_ID]],_26_03_2026_Registre_Maintenance_v1[ID_Antenne],_26_03_2026_Registre_Maintenance_v1[zone],"pas trouvé")</f>
        <v>Kinshasa</v>
      </c>
      <c r="G574">
        <f>_xlfn.XLOOKUP(_26_03_2026_Log_Reseau_v15[[#This Row],[Cell_ID]],_26_03_2026_Registre_Maintenance_v1[ID_Antenne],_26_03_2026_Registre_Maintenance_v1[Latitude],"non trouvé")</f>
        <v>-2.6665070000000002</v>
      </c>
      <c r="H574">
        <f>_xlfn.XLOOKUP(_26_03_2026_Log_Reseau_v15[[#This Row],[Cell_ID]],_26_03_2026_Registre_Maintenance_v1[ID_Antenne],_26_03_2026_Registre_Maintenance_v1[Longitude],"pas trouvé")</f>
        <v>18.623692999999999</v>
      </c>
      <c r="I574" t="str">
        <f>_xlfn.XLOOKUP(_26_03_2026_Log_Reseau_v15[[#This Row],[Cell_ID]],_26_03_2026_Registre_Maintenance_v1[ID_Antenne],_26_03_2026_Registre_Maintenance_v1[Technologie],"non trouvé")</f>
        <v>3G</v>
      </c>
      <c r="J574" t="str">
        <f>_xlfn.XLOOKUP(_26_03_2026_Log_Reseau_v15[[#This Row],[Cell_ID]],_26_03_2026_Registre_Maintenance_v1[ID_Antenne],_26_03_2026_Registre_Maintenance_v1[Equipementier],"pas trouvé")</f>
        <v>ZTE</v>
      </c>
      <c r="K574" t="str">
        <f>_xlfn.XLOOKUP(_26_03_2026_Log_Reseau_v15[[#This Row],[province RDC]],_26_03_2026_Client_Churn_v1[Province_Client],_26_03_2026_Client_Churn_v1[ID_Client],"non trouvé")</f>
        <v>CLI-00611</v>
      </c>
      <c r="L574">
        <f>_xlfn.XLOOKUP(_26_03_2026_Log_Reseau_v15[[#This Row],[province RDC]],_26_03_2026_Client_Churn_v1[Province_Client],_26_03_2026_Client_Churn_v1[Anciennete_Mois],"non trouvé")</f>
        <v>79</v>
      </c>
      <c r="M574" t="str">
        <f>_xlfn.XLOOKUP(_26_03_2026_Log_Reseau_v15[[#This Row],[province RDC]],_26_03_2026_Client_Churn_v1[Province_Client],_26_03_2026_Client_Churn_v1[Type_Forfait],"non trouvé")</f>
        <v>Premium 5G 150Go</v>
      </c>
      <c r="N574">
        <f>_xlfn.XLOOKUP(_26_03_2026_Log_Reseau_v15[[#This Row],[province RDC]],_26_03_2026_Client_Churn_v1[Province_Client],_26_03_2026_Client_Churn_v1[Duree_Cumulee_Panne_Min],"non trouvé")</f>
        <v>226</v>
      </c>
      <c r="O574">
        <f>_xlfn.XLOOKUP(_26_03_2026_Log_Reseau_v15[[#This Row],[province RDC]],_26_03_2026_Client_Churn_v1[Province_Client],_26_03_2026_Client_Churn_v1[Facture_Mensuelle],"non trouvé")</f>
        <v>94.38</v>
      </c>
      <c r="P574">
        <f>_xlfn.XLOOKUP(_26_03_2026_Log_Reseau_v15[[#This Row],[province RDC]],_26_03_2026_Client_Churn_v1[Province_Client],_26_03_2026_Client_Churn_v1[Plaintes_Service_Client],"non trouvé")</f>
        <v>3</v>
      </c>
    </row>
    <row r="575" spans="1:16" hidden="1" x14ac:dyDescent="0.25">
      <c r="A575" s="1">
        <v>45209</v>
      </c>
      <c r="B575" s="2">
        <v>0.92569444444444449</v>
      </c>
      <c r="C575" t="s">
        <v>1168</v>
      </c>
      <c r="D575">
        <v>35</v>
      </c>
      <c r="E575" t="s">
        <v>807</v>
      </c>
      <c r="F575" t="str">
        <f>_xlfn.XLOOKUP(_26_03_2026_Log_Reseau_v15[[#This Row],[Cell_ID]],_26_03_2026_Registre_Maintenance_v1[ID_Antenne],_26_03_2026_Registre_Maintenance_v1[zone],"pas trouvé")</f>
        <v>pas trouvé</v>
      </c>
      <c r="G575" t="str">
        <f>_xlfn.XLOOKUP(_26_03_2026_Log_Reseau_v15[[#This Row],[Cell_ID]],_26_03_2026_Registre_Maintenance_v1[ID_Antenne],_26_03_2026_Registre_Maintenance_v1[Latitude],"non trouvé")</f>
        <v>non trouvé</v>
      </c>
      <c r="H575" t="str">
        <f>_xlfn.XLOOKUP(_26_03_2026_Log_Reseau_v15[[#This Row],[Cell_ID]],_26_03_2026_Registre_Maintenance_v1[ID_Antenne],_26_03_2026_Registre_Maintenance_v1[Longitude],"pas trouvé")</f>
        <v>pas trouvé</v>
      </c>
      <c r="I575" t="str">
        <f>_xlfn.XLOOKUP(_26_03_2026_Log_Reseau_v15[[#This Row],[Cell_ID]],_26_03_2026_Registre_Maintenance_v1[ID_Antenne],_26_03_2026_Registre_Maintenance_v1[Technologie],"non trouvé")</f>
        <v>non trouvé</v>
      </c>
      <c r="J575" t="str">
        <f>_xlfn.XLOOKUP(_26_03_2026_Log_Reseau_v15[[#This Row],[Cell_ID]],_26_03_2026_Registre_Maintenance_v1[ID_Antenne],_26_03_2026_Registre_Maintenance_v1[Equipementier],"pas trouvé")</f>
        <v>pas trouvé</v>
      </c>
      <c r="K575" t="str">
        <f>_xlfn.XLOOKUP(_26_03_2026_Log_Reseau_v15[[#This Row],[province RDC]],_26_03_2026_Client_Churn_v1[Province_Client],_26_03_2026_Client_Churn_v1[ID_Client],"non trouvé")</f>
        <v>non trouvé</v>
      </c>
      <c r="L575" t="str">
        <f>_xlfn.XLOOKUP(_26_03_2026_Log_Reseau_v15[[#This Row],[province RDC]],_26_03_2026_Client_Churn_v1[Province_Client],_26_03_2026_Client_Churn_v1[Anciennete_Mois],"non trouvé")</f>
        <v>non trouvé</v>
      </c>
      <c r="M575" t="str">
        <f>_xlfn.XLOOKUP(_26_03_2026_Log_Reseau_v15[[#This Row],[province RDC]],_26_03_2026_Client_Churn_v1[Province_Client],_26_03_2026_Client_Churn_v1[Type_Forfait],"non trouvé")</f>
        <v>non trouvé</v>
      </c>
      <c r="N575" t="str">
        <f>_xlfn.XLOOKUP(_26_03_2026_Log_Reseau_v15[[#This Row],[province RDC]],_26_03_2026_Client_Churn_v1[Province_Client],_26_03_2026_Client_Churn_v1[Duree_Cumulee_Panne_Min],"non trouvé")</f>
        <v>non trouvé</v>
      </c>
      <c r="O575" t="str">
        <f>_xlfn.XLOOKUP(_26_03_2026_Log_Reseau_v15[[#This Row],[province RDC]],_26_03_2026_Client_Churn_v1[Province_Client],_26_03_2026_Client_Churn_v1[Facture_Mensuelle],"non trouvé")</f>
        <v>non trouvé</v>
      </c>
      <c r="P575" t="str">
        <f>_xlfn.XLOOKUP(_26_03_2026_Log_Reseau_v15[[#This Row],[province RDC]],_26_03_2026_Client_Churn_v1[Province_Client],_26_03_2026_Client_Churn_v1[Plaintes_Service_Client],"non trouvé")</f>
        <v>non trouvé</v>
      </c>
    </row>
    <row r="576" spans="1:16" x14ac:dyDescent="0.25">
      <c r="A576" s="1">
        <v>45225</v>
      </c>
      <c r="B576" s="2">
        <v>0.62361111111111112</v>
      </c>
      <c r="C576" t="s">
        <v>1169</v>
      </c>
      <c r="D576">
        <v>22</v>
      </c>
      <c r="E576" t="s">
        <v>807</v>
      </c>
      <c r="F576" t="str">
        <f>_xlfn.XLOOKUP(_26_03_2026_Log_Reseau_v15[[#This Row],[Cell_ID]],_26_03_2026_Registre_Maintenance_v1[ID_Antenne],_26_03_2026_Registre_Maintenance_v1[zone],"pas trouvé")</f>
        <v>Mai-Ndombe</v>
      </c>
      <c r="G576">
        <f>_xlfn.XLOOKUP(_26_03_2026_Log_Reseau_v15[[#This Row],[Cell_ID]],_26_03_2026_Registre_Maintenance_v1[ID_Antenne],_26_03_2026_Registre_Maintenance_v1[Latitude],"non trouvé")</f>
        <v>-0.47411900000000001</v>
      </c>
      <c r="H576">
        <f>_xlfn.XLOOKUP(_26_03_2026_Log_Reseau_v15[[#This Row],[Cell_ID]],_26_03_2026_Registre_Maintenance_v1[ID_Antenne],_26_03_2026_Registre_Maintenance_v1[Longitude],"pas trouvé")</f>
        <v>27.184329000000002</v>
      </c>
      <c r="I576" t="str">
        <f>_xlfn.XLOOKUP(_26_03_2026_Log_Reseau_v15[[#This Row],[Cell_ID]],_26_03_2026_Registre_Maintenance_v1[ID_Antenne],_26_03_2026_Registre_Maintenance_v1[Technologie],"non trouvé")</f>
        <v>5G</v>
      </c>
      <c r="J576" t="str">
        <f>_xlfn.XLOOKUP(_26_03_2026_Log_Reseau_v15[[#This Row],[Cell_ID]],_26_03_2026_Registre_Maintenance_v1[ID_Antenne],_26_03_2026_Registre_Maintenance_v1[Equipementier],"pas trouvé")</f>
        <v>ZTE</v>
      </c>
      <c r="K576" t="str">
        <f>_xlfn.XLOOKUP(_26_03_2026_Log_Reseau_v15[[#This Row],[province RDC]],_26_03_2026_Client_Churn_v1[Province_Client],_26_03_2026_Client_Churn_v1[ID_Client],"non trouvé")</f>
        <v>CLI-00361</v>
      </c>
      <c r="L576">
        <f>_xlfn.XLOOKUP(_26_03_2026_Log_Reseau_v15[[#This Row],[province RDC]],_26_03_2026_Client_Churn_v1[Province_Client],_26_03_2026_Client_Churn_v1[Anciennete_Mois],"non trouvé")</f>
        <v>66</v>
      </c>
      <c r="M576" t="str">
        <f>_xlfn.XLOOKUP(_26_03_2026_Log_Reseau_v15[[#This Row],[province RDC]],_26_03_2026_Client_Churn_v1[Province_Client],_26_03_2026_Client_Churn_v1[Type_Forfait],"non trouvé")</f>
        <v>Illimité 50Go</v>
      </c>
      <c r="N576">
        <f>_xlfn.XLOOKUP(_26_03_2026_Log_Reseau_v15[[#This Row],[province RDC]],_26_03_2026_Client_Churn_v1[Province_Client],_26_03_2026_Client_Churn_v1[Duree_Cumulee_Panne_Min],"non trouvé")</f>
        <v>270</v>
      </c>
      <c r="O576">
        <f>_xlfn.XLOOKUP(_26_03_2026_Log_Reseau_v15[[#This Row],[province RDC]],_26_03_2026_Client_Churn_v1[Province_Client],_26_03_2026_Client_Churn_v1[Facture_Mensuelle],"non trouvé")</f>
        <v>75.88</v>
      </c>
      <c r="P576">
        <f>_xlfn.XLOOKUP(_26_03_2026_Log_Reseau_v15[[#This Row],[province RDC]],_26_03_2026_Client_Churn_v1[Province_Client],_26_03_2026_Client_Churn_v1[Plaintes_Service_Client],"non trouvé")</f>
        <v>3</v>
      </c>
    </row>
    <row r="577" spans="1:16" x14ac:dyDescent="0.25">
      <c r="A577" s="1">
        <v>45227</v>
      </c>
      <c r="B577" s="2">
        <v>0.77847222222222223</v>
      </c>
      <c r="C577" t="s">
        <v>1169</v>
      </c>
      <c r="D577">
        <v>67</v>
      </c>
      <c r="E577" t="s">
        <v>812</v>
      </c>
      <c r="F577" t="str">
        <f>_xlfn.XLOOKUP(_26_03_2026_Log_Reseau_v15[[#This Row],[Cell_ID]],_26_03_2026_Registre_Maintenance_v1[ID_Antenne],_26_03_2026_Registre_Maintenance_v1[zone],"pas trouvé")</f>
        <v>Mai-Ndombe</v>
      </c>
      <c r="G577">
        <f>_xlfn.XLOOKUP(_26_03_2026_Log_Reseau_v15[[#This Row],[Cell_ID]],_26_03_2026_Registre_Maintenance_v1[ID_Antenne],_26_03_2026_Registre_Maintenance_v1[Latitude],"non trouvé")</f>
        <v>-0.47411900000000001</v>
      </c>
      <c r="H577">
        <f>_xlfn.XLOOKUP(_26_03_2026_Log_Reseau_v15[[#This Row],[Cell_ID]],_26_03_2026_Registre_Maintenance_v1[ID_Antenne],_26_03_2026_Registre_Maintenance_v1[Longitude],"pas trouvé")</f>
        <v>27.184329000000002</v>
      </c>
      <c r="I577" t="str">
        <f>_xlfn.XLOOKUP(_26_03_2026_Log_Reseau_v15[[#This Row],[Cell_ID]],_26_03_2026_Registre_Maintenance_v1[ID_Antenne],_26_03_2026_Registre_Maintenance_v1[Technologie],"non trouvé")</f>
        <v>5G</v>
      </c>
      <c r="J577" t="str">
        <f>_xlfn.XLOOKUP(_26_03_2026_Log_Reseau_v15[[#This Row],[Cell_ID]],_26_03_2026_Registre_Maintenance_v1[ID_Antenne],_26_03_2026_Registre_Maintenance_v1[Equipementier],"pas trouvé")</f>
        <v>ZTE</v>
      </c>
      <c r="K577" t="str">
        <f>_xlfn.XLOOKUP(_26_03_2026_Log_Reseau_v15[[#This Row],[province RDC]],_26_03_2026_Client_Churn_v1[Province_Client],_26_03_2026_Client_Churn_v1[ID_Client],"non trouvé")</f>
        <v>CLI-00361</v>
      </c>
      <c r="L577">
        <f>_xlfn.XLOOKUP(_26_03_2026_Log_Reseau_v15[[#This Row],[province RDC]],_26_03_2026_Client_Churn_v1[Province_Client],_26_03_2026_Client_Churn_v1[Anciennete_Mois],"non trouvé")</f>
        <v>66</v>
      </c>
      <c r="M577" t="str">
        <f>_xlfn.XLOOKUP(_26_03_2026_Log_Reseau_v15[[#This Row],[province RDC]],_26_03_2026_Client_Churn_v1[Province_Client],_26_03_2026_Client_Churn_v1[Type_Forfait],"non trouvé")</f>
        <v>Illimité 50Go</v>
      </c>
      <c r="N577">
        <f>_xlfn.XLOOKUP(_26_03_2026_Log_Reseau_v15[[#This Row],[province RDC]],_26_03_2026_Client_Churn_v1[Province_Client],_26_03_2026_Client_Churn_v1[Duree_Cumulee_Panne_Min],"non trouvé")</f>
        <v>270</v>
      </c>
      <c r="O577">
        <f>_xlfn.XLOOKUP(_26_03_2026_Log_Reseau_v15[[#This Row],[province RDC]],_26_03_2026_Client_Churn_v1[Province_Client],_26_03_2026_Client_Churn_v1[Facture_Mensuelle],"non trouvé")</f>
        <v>75.88</v>
      </c>
      <c r="P577">
        <f>_xlfn.XLOOKUP(_26_03_2026_Log_Reseau_v15[[#This Row],[province RDC]],_26_03_2026_Client_Churn_v1[Province_Client],_26_03_2026_Client_Churn_v1[Plaintes_Service_Client],"non trouvé")</f>
        <v>3</v>
      </c>
    </row>
    <row r="578" spans="1:16" x14ac:dyDescent="0.25">
      <c r="A578" s="1">
        <v>45221</v>
      </c>
      <c r="B578" s="2">
        <v>0.78055555555555556</v>
      </c>
      <c r="C578" t="s">
        <v>1170</v>
      </c>
      <c r="D578">
        <v>67</v>
      </c>
      <c r="E578" t="s">
        <v>807</v>
      </c>
      <c r="F578" t="str">
        <f>_xlfn.XLOOKUP(_26_03_2026_Log_Reseau_v15[[#This Row],[Cell_ID]],_26_03_2026_Registre_Maintenance_v1[ID_Antenne],_26_03_2026_Registre_Maintenance_v1[zone],"pas trouvé")</f>
        <v>Tshuapa</v>
      </c>
      <c r="G578">
        <f>_xlfn.XLOOKUP(_26_03_2026_Log_Reseau_v15[[#This Row],[Cell_ID]],_26_03_2026_Registre_Maintenance_v1[ID_Antenne],_26_03_2026_Registre_Maintenance_v1[Latitude],"non trouvé")</f>
        <v>-7.789663</v>
      </c>
      <c r="H578">
        <f>_xlfn.XLOOKUP(_26_03_2026_Log_Reseau_v15[[#This Row],[Cell_ID]],_26_03_2026_Registre_Maintenance_v1[ID_Antenne],_26_03_2026_Registre_Maintenance_v1[Longitude],"pas trouvé")</f>
        <v>26.529098000000001</v>
      </c>
      <c r="I578" t="str">
        <f>_xlfn.XLOOKUP(_26_03_2026_Log_Reseau_v15[[#This Row],[Cell_ID]],_26_03_2026_Registre_Maintenance_v1[ID_Antenne],_26_03_2026_Registre_Maintenance_v1[Technologie],"non trouvé")</f>
        <v>5G</v>
      </c>
      <c r="J578" t="str">
        <f>_xlfn.XLOOKUP(_26_03_2026_Log_Reseau_v15[[#This Row],[Cell_ID]],_26_03_2026_Registre_Maintenance_v1[ID_Antenne],_26_03_2026_Registre_Maintenance_v1[Equipementier],"pas trouvé")</f>
        <v>Nokia</v>
      </c>
      <c r="K578" t="str">
        <f>_xlfn.XLOOKUP(_26_03_2026_Log_Reseau_v15[[#This Row],[province RDC]],_26_03_2026_Client_Churn_v1[Province_Client],_26_03_2026_Client_Churn_v1[ID_Client],"non trouvé")</f>
        <v>CLI-00894</v>
      </c>
      <c r="L578">
        <f>_xlfn.XLOOKUP(_26_03_2026_Log_Reseau_v15[[#This Row],[province RDC]],_26_03_2026_Client_Churn_v1[Province_Client],_26_03_2026_Client_Churn_v1[Anciennete_Mois],"non trouvé")</f>
        <v>63</v>
      </c>
      <c r="M578" t="str">
        <f>_xlfn.XLOOKUP(_26_03_2026_Log_Reseau_v15[[#This Row],[province RDC]],_26_03_2026_Client_Churn_v1[Province_Client],_26_03_2026_Client_Churn_v1[Type_Forfait],"non trouvé")</f>
        <v>Pro Monde</v>
      </c>
      <c r="N578">
        <f>_xlfn.XLOOKUP(_26_03_2026_Log_Reseau_v15[[#This Row],[province RDC]],_26_03_2026_Client_Churn_v1[Province_Client],_26_03_2026_Client_Churn_v1[Duree_Cumulee_Panne_Min],"non trouvé")</f>
        <v>205</v>
      </c>
      <c r="O578">
        <f>_xlfn.XLOOKUP(_26_03_2026_Log_Reseau_v15[[#This Row],[province RDC]],_26_03_2026_Client_Churn_v1[Province_Client],_26_03_2026_Client_Churn_v1[Facture_Mensuelle],"non trouvé")</f>
        <v>89.19</v>
      </c>
      <c r="P578">
        <f>_xlfn.XLOOKUP(_26_03_2026_Log_Reseau_v15[[#This Row],[province RDC]],_26_03_2026_Client_Churn_v1[Province_Client],_26_03_2026_Client_Churn_v1[Plaintes_Service_Client],"non trouvé")</f>
        <v>0</v>
      </c>
    </row>
    <row r="579" spans="1:16" x14ac:dyDescent="0.25">
      <c r="A579" s="1">
        <v>45224</v>
      </c>
      <c r="B579" s="2">
        <v>0.34791666666666665</v>
      </c>
      <c r="C579" t="s">
        <v>1170</v>
      </c>
      <c r="D579">
        <v>14</v>
      </c>
      <c r="E579" t="s">
        <v>807</v>
      </c>
      <c r="F579" t="str">
        <f>_xlfn.XLOOKUP(_26_03_2026_Log_Reseau_v15[[#This Row],[Cell_ID]],_26_03_2026_Registre_Maintenance_v1[ID_Antenne],_26_03_2026_Registre_Maintenance_v1[zone],"pas trouvé")</f>
        <v>Tshuapa</v>
      </c>
      <c r="G579">
        <f>_xlfn.XLOOKUP(_26_03_2026_Log_Reseau_v15[[#This Row],[Cell_ID]],_26_03_2026_Registre_Maintenance_v1[ID_Antenne],_26_03_2026_Registre_Maintenance_v1[Latitude],"non trouvé")</f>
        <v>-7.789663</v>
      </c>
      <c r="H579">
        <f>_xlfn.XLOOKUP(_26_03_2026_Log_Reseau_v15[[#This Row],[Cell_ID]],_26_03_2026_Registre_Maintenance_v1[ID_Antenne],_26_03_2026_Registre_Maintenance_v1[Longitude],"pas trouvé")</f>
        <v>26.529098000000001</v>
      </c>
      <c r="I579" t="str">
        <f>_xlfn.XLOOKUP(_26_03_2026_Log_Reseau_v15[[#This Row],[Cell_ID]],_26_03_2026_Registre_Maintenance_v1[ID_Antenne],_26_03_2026_Registre_Maintenance_v1[Technologie],"non trouvé")</f>
        <v>5G</v>
      </c>
      <c r="J579" t="str">
        <f>_xlfn.XLOOKUP(_26_03_2026_Log_Reseau_v15[[#This Row],[Cell_ID]],_26_03_2026_Registre_Maintenance_v1[ID_Antenne],_26_03_2026_Registre_Maintenance_v1[Equipementier],"pas trouvé")</f>
        <v>Nokia</v>
      </c>
      <c r="K579" t="str">
        <f>_xlfn.XLOOKUP(_26_03_2026_Log_Reseau_v15[[#This Row],[province RDC]],_26_03_2026_Client_Churn_v1[Province_Client],_26_03_2026_Client_Churn_v1[ID_Client],"non trouvé")</f>
        <v>CLI-00894</v>
      </c>
      <c r="L579">
        <f>_xlfn.XLOOKUP(_26_03_2026_Log_Reseau_v15[[#This Row],[province RDC]],_26_03_2026_Client_Churn_v1[Province_Client],_26_03_2026_Client_Churn_v1[Anciennete_Mois],"non trouvé")</f>
        <v>63</v>
      </c>
      <c r="M579" t="str">
        <f>_xlfn.XLOOKUP(_26_03_2026_Log_Reseau_v15[[#This Row],[province RDC]],_26_03_2026_Client_Churn_v1[Province_Client],_26_03_2026_Client_Churn_v1[Type_Forfait],"non trouvé")</f>
        <v>Pro Monde</v>
      </c>
      <c r="N579">
        <f>_xlfn.XLOOKUP(_26_03_2026_Log_Reseau_v15[[#This Row],[province RDC]],_26_03_2026_Client_Churn_v1[Province_Client],_26_03_2026_Client_Churn_v1[Duree_Cumulee_Panne_Min],"non trouvé")</f>
        <v>205</v>
      </c>
      <c r="O579">
        <f>_xlfn.XLOOKUP(_26_03_2026_Log_Reseau_v15[[#This Row],[province RDC]],_26_03_2026_Client_Churn_v1[Province_Client],_26_03_2026_Client_Churn_v1[Facture_Mensuelle],"non trouvé")</f>
        <v>89.19</v>
      </c>
      <c r="P579">
        <f>_xlfn.XLOOKUP(_26_03_2026_Log_Reseau_v15[[#This Row],[province RDC]],_26_03_2026_Client_Churn_v1[Province_Client],_26_03_2026_Client_Churn_v1[Plaintes_Service_Client],"non trouvé")</f>
        <v>0</v>
      </c>
    </row>
    <row r="580" spans="1:16" x14ac:dyDescent="0.25">
      <c r="A580" s="1">
        <v>45201</v>
      </c>
      <c r="B580" s="2">
        <v>0.88472222222222219</v>
      </c>
      <c r="C580" t="s">
        <v>1171</v>
      </c>
      <c r="D580">
        <v>54</v>
      </c>
      <c r="E580" t="s">
        <v>812</v>
      </c>
      <c r="F580" t="str">
        <f>_xlfn.XLOOKUP(_26_03_2026_Log_Reseau_v15[[#This Row],[Cell_ID]],_26_03_2026_Registre_Maintenance_v1[ID_Antenne],_26_03_2026_Registre_Maintenance_v1[zone],"pas trouvé")</f>
        <v>Nord-Kivu</v>
      </c>
      <c r="G580">
        <f>_xlfn.XLOOKUP(_26_03_2026_Log_Reseau_v15[[#This Row],[Cell_ID]],_26_03_2026_Registre_Maintenance_v1[ID_Antenne],_26_03_2026_Registre_Maintenance_v1[Latitude],"non trouvé")</f>
        <v>4.6287159999999998</v>
      </c>
      <c r="H580">
        <f>_xlfn.XLOOKUP(_26_03_2026_Log_Reseau_v15[[#This Row],[Cell_ID]],_26_03_2026_Registre_Maintenance_v1[ID_Antenne],_26_03_2026_Registre_Maintenance_v1[Longitude],"pas trouvé")</f>
        <v>19.407077999999998</v>
      </c>
      <c r="I580" t="str">
        <f>_xlfn.XLOOKUP(_26_03_2026_Log_Reseau_v15[[#This Row],[Cell_ID]],_26_03_2026_Registre_Maintenance_v1[ID_Antenne],_26_03_2026_Registre_Maintenance_v1[Technologie],"non trouvé")</f>
        <v>4G</v>
      </c>
      <c r="J580" t="str">
        <f>_xlfn.XLOOKUP(_26_03_2026_Log_Reseau_v15[[#This Row],[Cell_ID]],_26_03_2026_Registre_Maintenance_v1[ID_Antenne],_26_03_2026_Registre_Maintenance_v1[Equipementier],"pas trouvé")</f>
        <v>Ericsson</v>
      </c>
      <c r="K580" t="str">
        <f>_xlfn.XLOOKUP(_26_03_2026_Log_Reseau_v15[[#This Row],[province RDC]],_26_03_2026_Client_Churn_v1[Province_Client],_26_03_2026_Client_Churn_v1[ID_Client],"non trouvé")</f>
        <v>CLI-00837</v>
      </c>
      <c r="L580">
        <f>_xlfn.XLOOKUP(_26_03_2026_Log_Reseau_v15[[#This Row],[province RDC]],_26_03_2026_Client_Churn_v1[Province_Client],_26_03_2026_Client_Churn_v1[Anciennete_Mois],"non trouvé")</f>
        <v>16</v>
      </c>
      <c r="M580" t="str">
        <f>_xlfn.XLOOKUP(_26_03_2026_Log_Reseau_v15[[#This Row],[province RDC]],_26_03_2026_Client_Churn_v1[Province_Client],_26_03_2026_Client_Churn_v1[Type_Forfait],"non trouvé")</f>
        <v>Bloqué 5Go</v>
      </c>
      <c r="N580">
        <f>_xlfn.XLOOKUP(_26_03_2026_Log_Reseau_v15[[#This Row],[province RDC]],_26_03_2026_Client_Churn_v1[Province_Client],_26_03_2026_Client_Churn_v1[Duree_Cumulee_Panne_Min],"non trouvé")</f>
        <v>390</v>
      </c>
      <c r="O580">
        <f>_xlfn.XLOOKUP(_26_03_2026_Log_Reseau_v15[[#This Row],[province RDC]],_26_03_2026_Client_Churn_v1[Province_Client],_26_03_2026_Client_Churn_v1[Facture_Mensuelle],"non trouvé")</f>
        <v>98.17</v>
      </c>
      <c r="P580">
        <f>_xlfn.XLOOKUP(_26_03_2026_Log_Reseau_v15[[#This Row],[province RDC]],_26_03_2026_Client_Churn_v1[Province_Client],_26_03_2026_Client_Churn_v1[Plaintes_Service_Client],"non trouvé")</f>
        <v>5</v>
      </c>
    </row>
    <row r="581" spans="1:16" x14ac:dyDescent="0.25">
      <c r="A581" s="1">
        <v>45211</v>
      </c>
      <c r="B581" s="2">
        <v>0.47708333333333336</v>
      </c>
      <c r="C581" t="s">
        <v>1171</v>
      </c>
      <c r="D581">
        <v>111</v>
      </c>
      <c r="E581" t="s">
        <v>807</v>
      </c>
      <c r="F581" t="str">
        <f>_xlfn.XLOOKUP(_26_03_2026_Log_Reseau_v15[[#This Row],[Cell_ID]],_26_03_2026_Registre_Maintenance_v1[ID_Antenne],_26_03_2026_Registre_Maintenance_v1[zone],"pas trouvé")</f>
        <v>Nord-Kivu</v>
      </c>
      <c r="G581">
        <f>_xlfn.XLOOKUP(_26_03_2026_Log_Reseau_v15[[#This Row],[Cell_ID]],_26_03_2026_Registre_Maintenance_v1[ID_Antenne],_26_03_2026_Registre_Maintenance_v1[Latitude],"non trouvé")</f>
        <v>4.6287159999999998</v>
      </c>
      <c r="H581">
        <f>_xlfn.XLOOKUP(_26_03_2026_Log_Reseau_v15[[#This Row],[Cell_ID]],_26_03_2026_Registre_Maintenance_v1[ID_Antenne],_26_03_2026_Registre_Maintenance_v1[Longitude],"pas trouvé")</f>
        <v>19.407077999999998</v>
      </c>
      <c r="I581" t="str">
        <f>_xlfn.XLOOKUP(_26_03_2026_Log_Reseau_v15[[#This Row],[Cell_ID]],_26_03_2026_Registre_Maintenance_v1[ID_Antenne],_26_03_2026_Registre_Maintenance_v1[Technologie],"non trouvé")</f>
        <v>4G</v>
      </c>
      <c r="J581" t="str">
        <f>_xlfn.XLOOKUP(_26_03_2026_Log_Reseau_v15[[#This Row],[Cell_ID]],_26_03_2026_Registre_Maintenance_v1[ID_Antenne],_26_03_2026_Registre_Maintenance_v1[Equipementier],"pas trouvé")</f>
        <v>Ericsson</v>
      </c>
      <c r="K581" t="str">
        <f>_xlfn.XLOOKUP(_26_03_2026_Log_Reseau_v15[[#This Row],[province RDC]],_26_03_2026_Client_Churn_v1[Province_Client],_26_03_2026_Client_Churn_v1[ID_Client],"non trouvé")</f>
        <v>CLI-00837</v>
      </c>
      <c r="L581">
        <f>_xlfn.XLOOKUP(_26_03_2026_Log_Reseau_v15[[#This Row],[province RDC]],_26_03_2026_Client_Churn_v1[Province_Client],_26_03_2026_Client_Churn_v1[Anciennete_Mois],"non trouvé")</f>
        <v>16</v>
      </c>
      <c r="M581" t="str">
        <f>_xlfn.XLOOKUP(_26_03_2026_Log_Reseau_v15[[#This Row],[province RDC]],_26_03_2026_Client_Churn_v1[Province_Client],_26_03_2026_Client_Churn_v1[Type_Forfait],"non trouvé")</f>
        <v>Bloqué 5Go</v>
      </c>
      <c r="N581">
        <f>_xlfn.XLOOKUP(_26_03_2026_Log_Reseau_v15[[#This Row],[province RDC]],_26_03_2026_Client_Churn_v1[Province_Client],_26_03_2026_Client_Churn_v1[Duree_Cumulee_Panne_Min],"non trouvé")</f>
        <v>390</v>
      </c>
      <c r="O581">
        <f>_xlfn.XLOOKUP(_26_03_2026_Log_Reseau_v15[[#This Row],[province RDC]],_26_03_2026_Client_Churn_v1[Province_Client],_26_03_2026_Client_Churn_v1[Facture_Mensuelle],"non trouvé")</f>
        <v>98.17</v>
      </c>
      <c r="P581">
        <f>_xlfn.XLOOKUP(_26_03_2026_Log_Reseau_v15[[#This Row],[province RDC]],_26_03_2026_Client_Churn_v1[Province_Client],_26_03_2026_Client_Churn_v1[Plaintes_Service_Client],"non trouvé")</f>
        <v>5</v>
      </c>
    </row>
    <row r="582" spans="1:16" hidden="1" x14ac:dyDescent="0.25">
      <c r="A582" s="1">
        <v>45205</v>
      </c>
      <c r="B582" s="2">
        <v>0.87222222222222223</v>
      </c>
      <c r="C582" t="s">
        <v>1172</v>
      </c>
      <c r="D582">
        <v>17</v>
      </c>
      <c r="E582" t="s">
        <v>807</v>
      </c>
      <c r="F582" t="str">
        <f>_xlfn.XLOOKUP(_26_03_2026_Log_Reseau_v15[[#This Row],[Cell_ID]],_26_03_2026_Registre_Maintenance_v1[ID_Antenne],_26_03_2026_Registre_Maintenance_v1[zone],"pas trouvé")</f>
        <v>pas trouvé</v>
      </c>
      <c r="G582" t="str">
        <f>_xlfn.XLOOKUP(_26_03_2026_Log_Reseau_v15[[#This Row],[Cell_ID]],_26_03_2026_Registre_Maintenance_v1[ID_Antenne],_26_03_2026_Registre_Maintenance_v1[Latitude],"non trouvé")</f>
        <v>non trouvé</v>
      </c>
      <c r="H582" t="str">
        <f>_xlfn.XLOOKUP(_26_03_2026_Log_Reseau_v15[[#This Row],[Cell_ID]],_26_03_2026_Registre_Maintenance_v1[ID_Antenne],_26_03_2026_Registre_Maintenance_v1[Longitude],"pas trouvé")</f>
        <v>pas trouvé</v>
      </c>
      <c r="I582" t="str">
        <f>_xlfn.XLOOKUP(_26_03_2026_Log_Reseau_v15[[#This Row],[Cell_ID]],_26_03_2026_Registre_Maintenance_v1[ID_Antenne],_26_03_2026_Registre_Maintenance_v1[Technologie],"non trouvé")</f>
        <v>non trouvé</v>
      </c>
      <c r="J582" t="str">
        <f>_xlfn.XLOOKUP(_26_03_2026_Log_Reseau_v15[[#This Row],[Cell_ID]],_26_03_2026_Registre_Maintenance_v1[ID_Antenne],_26_03_2026_Registre_Maintenance_v1[Equipementier],"pas trouvé")</f>
        <v>pas trouvé</v>
      </c>
      <c r="K582" t="str">
        <f>_xlfn.XLOOKUP(_26_03_2026_Log_Reseau_v15[[#This Row],[province RDC]],_26_03_2026_Client_Churn_v1[Province_Client],_26_03_2026_Client_Churn_v1[ID_Client],"non trouvé")</f>
        <v>non trouvé</v>
      </c>
      <c r="L582" t="str">
        <f>_xlfn.XLOOKUP(_26_03_2026_Log_Reseau_v15[[#This Row],[province RDC]],_26_03_2026_Client_Churn_v1[Province_Client],_26_03_2026_Client_Churn_v1[Anciennete_Mois],"non trouvé")</f>
        <v>non trouvé</v>
      </c>
      <c r="M582" t="str">
        <f>_xlfn.XLOOKUP(_26_03_2026_Log_Reseau_v15[[#This Row],[province RDC]],_26_03_2026_Client_Churn_v1[Province_Client],_26_03_2026_Client_Churn_v1[Type_Forfait],"non trouvé")</f>
        <v>non trouvé</v>
      </c>
      <c r="N582" t="str">
        <f>_xlfn.XLOOKUP(_26_03_2026_Log_Reseau_v15[[#This Row],[province RDC]],_26_03_2026_Client_Churn_v1[Province_Client],_26_03_2026_Client_Churn_v1[Duree_Cumulee_Panne_Min],"non trouvé")</f>
        <v>non trouvé</v>
      </c>
      <c r="O582" t="str">
        <f>_xlfn.XLOOKUP(_26_03_2026_Log_Reseau_v15[[#This Row],[province RDC]],_26_03_2026_Client_Churn_v1[Province_Client],_26_03_2026_Client_Churn_v1[Facture_Mensuelle],"non trouvé")</f>
        <v>non trouvé</v>
      </c>
      <c r="P582" t="str">
        <f>_xlfn.XLOOKUP(_26_03_2026_Log_Reseau_v15[[#This Row],[province RDC]],_26_03_2026_Client_Churn_v1[Province_Client],_26_03_2026_Client_Churn_v1[Plaintes_Service_Client],"non trouvé")</f>
        <v>non trouvé</v>
      </c>
    </row>
    <row r="583" spans="1:16" hidden="1" x14ac:dyDescent="0.25">
      <c r="A583" s="1">
        <v>45214</v>
      </c>
      <c r="B583" s="2">
        <v>0.59652777777777777</v>
      </c>
      <c r="C583" t="s">
        <v>1173</v>
      </c>
      <c r="D583">
        <v>88</v>
      </c>
      <c r="E583" t="s">
        <v>812</v>
      </c>
      <c r="F583" t="str">
        <f>_xlfn.XLOOKUP(_26_03_2026_Log_Reseau_v15[[#This Row],[Cell_ID]],_26_03_2026_Registre_Maintenance_v1[ID_Antenne],_26_03_2026_Registre_Maintenance_v1[zone],"pas trouvé")</f>
        <v>pas trouvé</v>
      </c>
      <c r="G583" t="str">
        <f>_xlfn.XLOOKUP(_26_03_2026_Log_Reseau_v15[[#This Row],[Cell_ID]],_26_03_2026_Registre_Maintenance_v1[ID_Antenne],_26_03_2026_Registre_Maintenance_v1[Latitude],"non trouvé")</f>
        <v>non trouvé</v>
      </c>
      <c r="H583" t="str">
        <f>_xlfn.XLOOKUP(_26_03_2026_Log_Reseau_v15[[#This Row],[Cell_ID]],_26_03_2026_Registre_Maintenance_v1[ID_Antenne],_26_03_2026_Registre_Maintenance_v1[Longitude],"pas trouvé")</f>
        <v>pas trouvé</v>
      </c>
      <c r="I583" t="str">
        <f>_xlfn.XLOOKUP(_26_03_2026_Log_Reseau_v15[[#This Row],[Cell_ID]],_26_03_2026_Registre_Maintenance_v1[ID_Antenne],_26_03_2026_Registre_Maintenance_v1[Technologie],"non trouvé")</f>
        <v>non trouvé</v>
      </c>
      <c r="J583" t="str">
        <f>_xlfn.XLOOKUP(_26_03_2026_Log_Reseau_v15[[#This Row],[Cell_ID]],_26_03_2026_Registre_Maintenance_v1[ID_Antenne],_26_03_2026_Registre_Maintenance_v1[Equipementier],"pas trouvé")</f>
        <v>pas trouvé</v>
      </c>
      <c r="K583" t="str">
        <f>_xlfn.XLOOKUP(_26_03_2026_Log_Reseau_v15[[#This Row],[province RDC]],_26_03_2026_Client_Churn_v1[Province_Client],_26_03_2026_Client_Churn_v1[ID_Client],"non trouvé")</f>
        <v>non trouvé</v>
      </c>
      <c r="L583" t="str">
        <f>_xlfn.XLOOKUP(_26_03_2026_Log_Reseau_v15[[#This Row],[province RDC]],_26_03_2026_Client_Churn_v1[Province_Client],_26_03_2026_Client_Churn_v1[Anciennete_Mois],"non trouvé")</f>
        <v>non trouvé</v>
      </c>
      <c r="M583" t="str">
        <f>_xlfn.XLOOKUP(_26_03_2026_Log_Reseau_v15[[#This Row],[province RDC]],_26_03_2026_Client_Churn_v1[Province_Client],_26_03_2026_Client_Churn_v1[Type_Forfait],"non trouvé")</f>
        <v>non trouvé</v>
      </c>
      <c r="N583" t="str">
        <f>_xlfn.XLOOKUP(_26_03_2026_Log_Reseau_v15[[#This Row],[province RDC]],_26_03_2026_Client_Churn_v1[Province_Client],_26_03_2026_Client_Churn_v1[Duree_Cumulee_Panne_Min],"non trouvé")</f>
        <v>non trouvé</v>
      </c>
      <c r="O583" t="str">
        <f>_xlfn.XLOOKUP(_26_03_2026_Log_Reseau_v15[[#This Row],[province RDC]],_26_03_2026_Client_Churn_v1[Province_Client],_26_03_2026_Client_Churn_v1[Facture_Mensuelle],"non trouvé")</f>
        <v>non trouvé</v>
      </c>
      <c r="P583" t="str">
        <f>_xlfn.XLOOKUP(_26_03_2026_Log_Reseau_v15[[#This Row],[province RDC]],_26_03_2026_Client_Churn_v1[Province_Client],_26_03_2026_Client_Churn_v1[Plaintes_Service_Client],"non trouvé")</f>
        <v>non trouvé</v>
      </c>
    </row>
    <row r="584" spans="1:16" hidden="1" x14ac:dyDescent="0.25">
      <c r="A584" s="1">
        <v>45219</v>
      </c>
      <c r="B584" s="2">
        <v>0.81874999999999998</v>
      </c>
      <c r="C584" t="s">
        <v>1173</v>
      </c>
      <c r="D584">
        <v>99</v>
      </c>
      <c r="E584" t="s">
        <v>812</v>
      </c>
      <c r="F584" t="str">
        <f>_xlfn.XLOOKUP(_26_03_2026_Log_Reseau_v15[[#This Row],[Cell_ID]],_26_03_2026_Registre_Maintenance_v1[ID_Antenne],_26_03_2026_Registre_Maintenance_v1[zone],"pas trouvé")</f>
        <v>pas trouvé</v>
      </c>
      <c r="G584" t="str">
        <f>_xlfn.XLOOKUP(_26_03_2026_Log_Reseau_v15[[#This Row],[Cell_ID]],_26_03_2026_Registre_Maintenance_v1[ID_Antenne],_26_03_2026_Registre_Maintenance_v1[Latitude],"non trouvé")</f>
        <v>non trouvé</v>
      </c>
      <c r="H584" t="str">
        <f>_xlfn.XLOOKUP(_26_03_2026_Log_Reseau_v15[[#This Row],[Cell_ID]],_26_03_2026_Registre_Maintenance_v1[ID_Antenne],_26_03_2026_Registre_Maintenance_v1[Longitude],"pas trouvé")</f>
        <v>pas trouvé</v>
      </c>
      <c r="I584" t="str">
        <f>_xlfn.XLOOKUP(_26_03_2026_Log_Reseau_v15[[#This Row],[Cell_ID]],_26_03_2026_Registre_Maintenance_v1[ID_Antenne],_26_03_2026_Registre_Maintenance_v1[Technologie],"non trouvé")</f>
        <v>non trouvé</v>
      </c>
      <c r="J584" t="str">
        <f>_xlfn.XLOOKUP(_26_03_2026_Log_Reseau_v15[[#This Row],[Cell_ID]],_26_03_2026_Registre_Maintenance_v1[ID_Antenne],_26_03_2026_Registre_Maintenance_v1[Equipementier],"pas trouvé")</f>
        <v>pas trouvé</v>
      </c>
      <c r="K584" t="str">
        <f>_xlfn.XLOOKUP(_26_03_2026_Log_Reseau_v15[[#This Row],[province RDC]],_26_03_2026_Client_Churn_v1[Province_Client],_26_03_2026_Client_Churn_v1[ID_Client],"non trouvé")</f>
        <v>non trouvé</v>
      </c>
      <c r="L584" t="str">
        <f>_xlfn.XLOOKUP(_26_03_2026_Log_Reseau_v15[[#This Row],[province RDC]],_26_03_2026_Client_Churn_v1[Province_Client],_26_03_2026_Client_Churn_v1[Anciennete_Mois],"non trouvé")</f>
        <v>non trouvé</v>
      </c>
      <c r="M584" t="str">
        <f>_xlfn.XLOOKUP(_26_03_2026_Log_Reseau_v15[[#This Row],[province RDC]],_26_03_2026_Client_Churn_v1[Province_Client],_26_03_2026_Client_Churn_v1[Type_Forfait],"non trouvé")</f>
        <v>non trouvé</v>
      </c>
      <c r="N584" t="str">
        <f>_xlfn.XLOOKUP(_26_03_2026_Log_Reseau_v15[[#This Row],[province RDC]],_26_03_2026_Client_Churn_v1[Province_Client],_26_03_2026_Client_Churn_v1[Duree_Cumulee_Panne_Min],"non trouvé")</f>
        <v>non trouvé</v>
      </c>
      <c r="O584" t="str">
        <f>_xlfn.XLOOKUP(_26_03_2026_Log_Reseau_v15[[#This Row],[province RDC]],_26_03_2026_Client_Churn_v1[Province_Client],_26_03_2026_Client_Churn_v1[Facture_Mensuelle],"non trouvé")</f>
        <v>non trouvé</v>
      </c>
      <c r="P584" t="str">
        <f>_xlfn.XLOOKUP(_26_03_2026_Log_Reseau_v15[[#This Row],[province RDC]],_26_03_2026_Client_Churn_v1[Province_Client],_26_03_2026_Client_Churn_v1[Plaintes_Service_Client],"non trouvé")</f>
        <v>non trouvé</v>
      </c>
    </row>
    <row r="585" spans="1:16" hidden="1" x14ac:dyDescent="0.25">
      <c r="A585" s="1">
        <v>45205</v>
      </c>
      <c r="B585" s="2">
        <v>0.2361111111111111</v>
      </c>
      <c r="C585" t="s">
        <v>1173</v>
      </c>
      <c r="D585">
        <v>67</v>
      </c>
      <c r="E585" t="s">
        <v>808</v>
      </c>
      <c r="F585" t="str">
        <f>_xlfn.XLOOKUP(_26_03_2026_Log_Reseau_v15[[#This Row],[Cell_ID]],_26_03_2026_Registre_Maintenance_v1[ID_Antenne],_26_03_2026_Registre_Maintenance_v1[zone],"pas trouvé")</f>
        <v>pas trouvé</v>
      </c>
      <c r="G585" t="str">
        <f>_xlfn.XLOOKUP(_26_03_2026_Log_Reseau_v15[[#This Row],[Cell_ID]],_26_03_2026_Registre_Maintenance_v1[ID_Antenne],_26_03_2026_Registre_Maintenance_v1[Latitude],"non trouvé")</f>
        <v>non trouvé</v>
      </c>
      <c r="H585" t="str">
        <f>_xlfn.XLOOKUP(_26_03_2026_Log_Reseau_v15[[#This Row],[Cell_ID]],_26_03_2026_Registre_Maintenance_v1[ID_Antenne],_26_03_2026_Registre_Maintenance_v1[Longitude],"pas trouvé")</f>
        <v>pas trouvé</v>
      </c>
      <c r="I585" t="str">
        <f>_xlfn.XLOOKUP(_26_03_2026_Log_Reseau_v15[[#This Row],[Cell_ID]],_26_03_2026_Registre_Maintenance_v1[ID_Antenne],_26_03_2026_Registre_Maintenance_v1[Technologie],"non trouvé")</f>
        <v>non trouvé</v>
      </c>
      <c r="J585" t="str">
        <f>_xlfn.XLOOKUP(_26_03_2026_Log_Reseau_v15[[#This Row],[Cell_ID]],_26_03_2026_Registre_Maintenance_v1[ID_Antenne],_26_03_2026_Registre_Maintenance_v1[Equipementier],"pas trouvé")</f>
        <v>pas trouvé</v>
      </c>
      <c r="K585" t="str">
        <f>_xlfn.XLOOKUP(_26_03_2026_Log_Reseau_v15[[#This Row],[province RDC]],_26_03_2026_Client_Churn_v1[Province_Client],_26_03_2026_Client_Churn_v1[ID_Client],"non trouvé")</f>
        <v>non trouvé</v>
      </c>
      <c r="L585" t="str">
        <f>_xlfn.XLOOKUP(_26_03_2026_Log_Reseau_v15[[#This Row],[province RDC]],_26_03_2026_Client_Churn_v1[Province_Client],_26_03_2026_Client_Churn_v1[Anciennete_Mois],"non trouvé")</f>
        <v>non trouvé</v>
      </c>
      <c r="M585" t="str">
        <f>_xlfn.XLOOKUP(_26_03_2026_Log_Reseau_v15[[#This Row],[province RDC]],_26_03_2026_Client_Churn_v1[Province_Client],_26_03_2026_Client_Churn_v1[Type_Forfait],"non trouvé")</f>
        <v>non trouvé</v>
      </c>
      <c r="N585" t="str">
        <f>_xlfn.XLOOKUP(_26_03_2026_Log_Reseau_v15[[#This Row],[province RDC]],_26_03_2026_Client_Churn_v1[Province_Client],_26_03_2026_Client_Churn_v1[Duree_Cumulee_Panne_Min],"non trouvé")</f>
        <v>non trouvé</v>
      </c>
      <c r="O585" t="str">
        <f>_xlfn.XLOOKUP(_26_03_2026_Log_Reseau_v15[[#This Row],[province RDC]],_26_03_2026_Client_Churn_v1[Province_Client],_26_03_2026_Client_Churn_v1[Facture_Mensuelle],"non trouvé")</f>
        <v>non trouvé</v>
      </c>
      <c r="P585" t="str">
        <f>_xlfn.XLOOKUP(_26_03_2026_Log_Reseau_v15[[#This Row],[province RDC]],_26_03_2026_Client_Churn_v1[Province_Client],_26_03_2026_Client_Churn_v1[Plaintes_Service_Client],"non trouvé")</f>
        <v>non trouvé</v>
      </c>
    </row>
    <row r="586" spans="1:16" x14ac:dyDescent="0.25">
      <c r="A586" s="1">
        <v>45205</v>
      </c>
      <c r="B586" s="2">
        <v>0.44097222222222221</v>
      </c>
      <c r="C586" t="s">
        <v>1174</v>
      </c>
      <c r="D586">
        <v>115</v>
      </c>
      <c r="E586" t="s">
        <v>808</v>
      </c>
      <c r="F586" t="str">
        <f>_xlfn.XLOOKUP(_26_03_2026_Log_Reseau_v15[[#This Row],[Cell_ID]],_26_03_2026_Registre_Maintenance_v1[ID_Antenne],_26_03_2026_Registre_Maintenance_v1[zone],"pas trouvé")</f>
        <v>Sud-Kivu</v>
      </c>
      <c r="G586">
        <f>_xlfn.XLOOKUP(_26_03_2026_Log_Reseau_v15[[#This Row],[Cell_ID]],_26_03_2026_Registre_Maintenance_v1[ID_Antenne],_26_03_2026_Registre_Maintenance_v1[Latitude],"non trouvé")</f>
        <v>-1.3024210000000001</v>
      </c>
      <c r="H586">
        <f>_xlfn.XLOOKUP(_26_03_2026_Log_Reseau_v15[[#This Row],[Cell_ID]],_26_03_2026_Registre_Maintenance_v1[ID_Antenne],_26_03_2026_Registre_Maintenance_v1[Longitude],"pas trouvé")</f>
        <v>13.601914000000001</v>
      </c>
      <c r="I586" t="str">
        <f>_xlfn.XLOOKUP(_26_03_2026_Log_Reseau_v15[[#This Row],[Cell_ID]],_26_03_2026_Registre_Maintenance_v1[ID_Antenne],_26_03_2026_Registre_Maintenance_v1[Technologie],"non trouvé")</f>
        <v>3G</v>
      </c>
      <c r="J586" t="str">
        <f>_xlfn.XLOOKUP(_26_03_2026_Log_Reseau_v15[[#This Row],[Cell_ID]],_26_03_2026_Registre_Maintenance_v1[ID_Antenne],_26_03_2026_Registre_Maintenance_v1[Equipementier],"pas trouvé")</f>
        <v>Huawei</v>
      </c>
      <c r="K586" t="str">
        <f>_xlfn.XLOOKUP(_26_03_2026_Log_Reseau_v15[[#This Row],[province RDC]],_26_03_2026_Client_Churn_v1[Province_Client],_26_03_2026_Client_Churn_v1[ID_Client],"non trouvé")</f>
        <v>CLI-01855</v>
      </c>
      <c r="L586">
        <f>_xlfn.XLOOKUP(_26_03_2026_Log_Reseau_v15[[#This Row],[province RDC]],_26_03_2026_Client_Churn_v1[Province_Client],_26_03_2026_Client_Churn_v1[Anciennete_Mois],"non trouvé")</f>
        <v>101</v>
      </c>
      <c r="M586" t="str">
        <f>_xlfn.XLOOKUP(_26_03_2026_Log_Reseau_v15[[#This Row],[province RDC]],_26_03_2026_Client_Churn_v1[Province_Client],_26_03_2026_Client_Churn_v1[Type_Forfait],"non trouvé")</f>
        <v>Illimité 50Go</v>
      </c>
      <c r="N586">
        <f>_xlfn.XLOOKUP(_26_03_2026_Log_Reseau_v15[[#This Row],[province RDC]],_26_03_2026_Client_Churn_v1[Province_Client],_26_03_2026_Client_Churn_v1[Duree_Cumulee_Panne_Min],"non trouvé")</f>
        <v>358</v>
      </c>
      <c r="O586">
        <f>_xlfn.XLOOKUP(_26_03_2026_Log_Reseau_v15[[#This Row],[province RDC]],_26_03_2026_Client_Churn_v1[Province_Client],_26_03_2026_Client_Churn_v1[Facture_Mensuelle],"non trouvé")</f>
        <v>29.24</v>
      </c>
      <c r="P586">
        <f>_xlfn.XLOOKUP(_26_03_2026_Log_Reseau_v15[[#This Row],[province RDC]],_26_03_2026_Client_Churn_v1[Province_Client],_26_03_2026_Client_Churn_v1[Plaintes_Service_Client],"non trouvé")</f>
        <v>3</v>
      </c>
    </row>
    <row r="587" spans="1:16" x14ac:dyDescent="0.25">
      <c r="A587" s="1">
        <v>45222</v>
      </c>
      <c r="B587" s="2">
        <v>0.74861111111111112</v>
      </c>
      <c r="C587" t="s">
        <v>1175</v>
      </c>
      <c r="D587">
        <v>28</v>
      </c>
      <c r="E587" t="s">
        <v>808</v>
      </c>
      <c r="F587" t="str">
        <f>_xlfn.XLOOKUP(_26_03_2026_Log_Reseau_v15[[#This Row],[Cell_ID]],_26_03_2026_Registre_Maintenance_v1[ID_Antenne],_26_03_2026_Registre_Maintenance_v1[zone],"pas trouvé")</f>
        <v>Haut-Katanga</v>
      </c>
      <c r="G587">
        <f>_xlfn.XLOOKUP(_26_03_2026_Log_Reseau_v15[[#This Row],[Cell_ID]],_26_03_2026_Registre_Maintenance_v1[ID_Antenne],_26_03_2026_Registre_Maintenance_v1[Latitude],"non trouvé")</f>
        <v>-11.468578000000001</v>
      </c>
      <c r="H587">
        <f>_xlfn.XLOOKUP(_26_03_2026_Log_Reseau_v15[[#This Row],[Cell_ID]],_26_03_2026_Registre_Maintenance_v1[ID_Antenne],_26_03_2026_Registre_Maintenance_v1[Longitude],"pas trouvé")</f>
        <v>16.914501999999999</v>
      </c>
      <c r="I587" t="str">
        <f>_xlfn.XLOOKUP(_26_03_2026_Log_Reseau_v15[[#This Row],[Cell_ID]],_26_03_2026_Registre_Maintenance_v1[ID_Antenne],_26_03_2026_Registre_Maintenance_v1[Technologie],"non trouvé")</f>
        <v>4G</v>
      </c>
      <c r="J587" t="str">
        <f>_xlfn.XLOOKUP(_26_03_2026_Log_Reseau_v15[[#This Row],[Cell_ID]],_26_03_2026_Registre_Maintenance_v1[ID_Antenne],_26_03_2026_Registre_Maintenance_v1[Equipementier],"pas trouvé")</f>
        <v>Ericsson</v>
      </c>
      <c r="K587" t="str">
        <f>_xlfn.XLOOKUP(_26_03_2026_Log_Reseau_v15[[#This Row],[province RDC]],_26_03_2026_Client_Churn_v1[Province_Client],_26_03_2026_Client_Churn_v1[ID_Client],"non trouvé")</f>
        <v>CLI-00076</v>
      </c>
      <c r="L587">
        <f>_xlfn.XLOOKUP(_26_03_2026_Log_Reseau_v15[[#This Row],[province RDC]],_26_03_2026_Client_Churn_v1[Province_Client],_26_03_2026_Client_Churn_v1[Anciennete_Mois],"non trouvé")</f>
        <v>46</v>
      </c>
      <c r="M587" t="str">
        <f>_xlfn.XLOOKUP(_26_03_2026_Log_Reseau_v15[[#This Row],[province RDC]],_26_03_2026_Client_Churn_v1[Province_Client],_26_03_2026_Client_Churn_v1[Type_Forfait],"non trouvé")</f>
        <v>Premium 5G 150Go</v>
      </c>
      <c r="N587">
        <f>_xlfn.XLOOKUP(_26_03_2026_Log_Reseau_v15[[#This Row],[province RDC]],_26_03_2026_Client_Churn_v1[Province_Client],_26_03_2026_Client_Churn_v1[Duree_Cumulee_Panne_Min],"non trouvé")</f>
        <v>283</v>
      </c>
      <c r="O587">
        <f>_xlfn.XLOOKUP(_26_03_2026_Log_Reseau_v15[[#This Row],[province RDC]],_26_03_2026_Client_Churn_v1[Province_Client],_26_03_2026_Client_Churn_v1[Facture_Mensuelle],"non trouvé")</f>
        <v>56.05</v>
      </c>
      <c r="P587">
        <f>_xlfn.XLOOKUP(_26_03_2026_Log_Reseau_v15[[#This Row],[province RDC]],_26_03_2026_Client_Churn_v1[Province_Client],_26_03_2026_Client_Churn_v1[Plaintes_Service_Client],"non trouvé")</f>
        <v>1</v>
      </c>
    </row>
    <row r="588" spans="1:16" hidden="1" x14ac:dyDescent="0.25">
      <c r="A588" s="1">
        <v>45218</v>
      </c>
      <c r="B588" s="2">
        <v>0.79305555555555551</v>
      </c>
      <c r="C588" t="s">
        <v>1176</v>
      </c>
      <c r="D588">
        <v>100</v>
      </c>
      <c r="E588" t="s">
        <v>812</v>
      </c>
      <c r="F588" t="str">
        <f>_xlfn.XLOOKUP(_26_03_2026_Log_Reseau_v15[[#This Row],[Cell_ID]],_26_03_2026_Registre_Maintenance_v1[ID_Antenne],_26_03_2026_Registre_Maintenance_v1[zone],"pas trouvé")</f>
        <v>pas trouvé</v>
      </c>
      <c r="G588" t="str">
        <f>_xlfn.XLOOKUP(_26_03_2026_Log_Reseau_v15[[#This Row],[Cell_ID]],_26_03_2026_Registre_Maintenance_v1[ID_Antenne],_26_03_2026_Registre_Maintenance_v1[Latitude],"non trouvé")</f>
        <v>non trouvé</v>
      </c>
      <c r="H588" t="str">
        <f>_xlfn.XLOOKUP(_26_03_2026_Log_Reseau_v15[[#This Row],[Cell_ID]],_26_03_2026_Registre_Maintenance_v1[ID_Antenne],_26_03_2026_Registre_Maintenance_v1[Longitude],"pas trouvé")</f>
        <v>pas trouvé</v>
      </c>
      <c r="I588" t="str">
        <f>_xlfn.XLOOKUP(_26_03_2026_Log_Reseau_v15[[#This Row],[Cell_ID]],_26_03_2026_Registre_Maintenance_v1[ID_Antenne],_26_03_2026_Registre_Maintenance_v1[Technologie],"non trouvé")</f>
        <v>non trouvé</v>
      </c>
      <c r="J588" t="str">
        <f>_xlfn.XLOOKUP(_26_03_2026_Log_Reseau_v15[[#This Row],[Cell_ID]],_26_03_2026_Registre_Maintenance_v1[ID_Antenne],_26_03_2026_Registre_Maintenance_v1[Equipementier],"pas trouvé")</f>
        <v>pas trouvé</v>
      </c>
      <c r="K588" t="str">
        <f>_xlfn.XLOOKUP(_26_03_2026_Log_Reseau_v15[[#This Row],[province RDC]],_26_03_2026_Client_Churn_v1[Province_Client],_26_03_2026_Client_Churn_v1[ID_Client],"non trouvé")</f>
        <v>non trouvé</v>
      </c>
      <c r="L588" t="str">
        <f>_xlfn.XLOOKUP(_26_03_2026_Log_Reseau_v15[[#This Row],[province RDC]],_26_03_2026_Client_Churn_v1[Province_Client],_26_03_2026_Client_Churn_v1[Anciennete_Mois],"non trouvé")</f>
        <v>non trouvé</v>
      </c>
      <c r="M588" t="str">
        <f>_xlfn.XLOOKUP(_26_03_2026_Log_Reseau_v15[[#This Row],[province RDC]],_26_03_2026_Client_Churn_v1[Province_Client],_26_03_2026_Client_Churn_v1[Type_Forfait],"non trouvé")</f>
        <v>non trouvé</v>
      </c>
      <c r="N588" t="str">
        <f>_xlfn.XLOOKUP(_26_03_2026_Log_Reseau_v15[[#This Row],[province RDC]],_26_03_2026_Client_Churn_v1[Province_Client],_26_03_2026_Client_Churn_v1[Duree_Cumulee_Panne_Min],"non trouvé")</f>
        <v>non trouvé</v>
      </c>
      <c r="O588" t="str">
        <f>_xlfn.XLOOKUP(_26_03_2026_Log_Reseau_v15[[#This Row],[province RDC]],_26_03_2026_Client_Churn_v1[Province_Client],_26_03_2026_Client_Churn_v1[Facture_Mensuelle],"non trouvé")</f>
        <v>non trouvé</v>
      </c>
      <c r="P588" t="str">
        <f>_xlfn.XLOOKUP(_26_03_2026_Log_Reseau_v15[[#This Row],[province RDC]],_26_03_2026_Client_Churn_v1[Province_Client],_26_03_2026_Client_Churn_v1[Plaintes_Service_Client],"non trouvé")</f>
        <v>non trouvé</v>
      </c>
    </row>
    <row r="589" spans="1:16" hidden="1" x14ac:dyDescent="0.25">
      <c r="A589" s="1">
        <v>45218</v>
      </c>
      <c r="B589" s="2">
        <v>0.89166666666666672</v>
      </c>
      <c r="C589" t="s">
        <v>1176</v>
      </c>
      <c r="D589">
        <v>107</v>
      </c>
      <c r="E589" t="s">
        <v>808</v>
      </c>
      <c r="F589" t="str">
        <f>_xlfn.XLOOKUP(_26_03_2026_Log_Reseau_v15[[#This Row],[Cell_ID]],_26_03_2026_Registre_Maintenance_v1[ID_Antenne],_26_03_2026_Registre_Maintenance_v1[zone],"pas trouvé")</f>
        <v>pas trouvé</v>
      </c>
      <c r="G589" t="str">
        <f>_xlfn.XLOOKUP(_26_03_2026_Log_Reseau_v15[[#This Row],[Cell_ID]],_26_03_2026_Registre_Maintenance_v1[ID_Antenne],_26_03_2026_Registre_Maintenance_v1[Latitude],"non trouvé")</f>
        <v>non trouvé</v>
      </c>
      <c r="H589" t="str">
        <f>_xlfn.XLOOKUP(_26_03_2026_Log_Reseau_v15[[#This Row],[Cell_ID]],_26_03_2026_Registre_Maintenance_v1[ID_Antenne],_26_03_2026_Registre_Maintenance_v1[Longitude],"pas trouvé")</f>
        <v>pas trouvé</v>
      </c>
      <c r="I589" t="str">
        <f>_xlfn.XLOOKUP(_26_03_2026_Log_Reseau_v15[[#This Row],[Cell_ID]],_26_03_2026_Registre_Maintenance_v1[ID_Antenne],_26_03_2026_Registre_Maintenance_v1[Technologie],"non trouvé")</f>
        <v>non trouvé</v>
      </c>
      <c r="J589" t="str">
        <f>_xlfn.XLOOKUP(_26_03_2026_Log_Reseau_v15[[#This Row],[Cell_ID]],_26_03_2026_Registre_Maintenance_v1[ID_Antenne],_26_03_2026_Registre_Maintenance_v1[Equipementier],"pas trouvé")</f>
        <v>pas trouvé</v>
      </c>
      <c r="K589" t="str">
        <f>_xlfn.XLOOKUP(_26_03_2026_Log_Reseau_v15[[#This Row],[province RDC]],_26_03_2026_Client_Churn_v1[Province_Client],_26_03_2026_Client_Churn_v1[ID_Client],"non trouvé")</f>
        <v>non trouvé</v>
      </c>
      <c r="L589" t="str">
        <f>_xlfn.XLOOKUP(_26_03_2026_Log_Reseau_v15[[#This Row],[province RDC]],_26_03_2026_Client_Churn_v1[Province_Client],_26_03_2026_Client_Churn_v1[Anciennete_Mois],"non trouvé")</f>
        <v>non trouvé</v>
      </c>
      <c r="M589" t="str">
        <f>_xlfn.XLOOKUP(_26_03_2026_Log_Reseau_v15[[#This Row],[province RDC]],_26_03_2026_Client_Churn_v1[Province_Client],_26_03_2026_Client_Churn_v1[Type_Forfait],"non trouvé")</f>
        <v>non trouvé</v>
      </c>
      <c r="N589" t="str">
        <f>_xlfn.XLOOKUP(_26_03_2026_Log_Reseau_v15[[#This Row],[province RDC]],_26_03_2026_Client_Churn_v1[Province_Client],_26_03_2026_Client_Churn_v1[Duree_Cumulee_Panne_Min],"non trouvé")</f>
        <v>non trouvé</v>
      </c>
      <c r="O589" t="str">
        <f>_xlfn.XLOOKUP(_26_03_2026_Log_Reseau_v15[[#This Row],[province RDC]],_26_03_2026_Client_Churn_v1[Province_Client],_26_03_2026_Client_Churn_v1[Facture_Mensuelle],"non trouvé")</f>
        <v>non trouvé</v>
      </c>
      <c r="P589" t="str">
        <f>_xlfn.XLOOKUP(_26_03_2026_Log_Reseau_v15[[#This Row],[province RDC]],_26_03_2026_Client_Churn_v1[Province_Client],_26_03_2026_Client_Churn_v1[Plaintes_Service_Client],"non trouvé")</f>
        <v>non trouvé</v>
      </c>
    </row>
    <row r="590" spans="1:16" hidden="1" x14ac:dyDescent="0.25">
      <c r="A590" s="1">
        <v>45222</v>
      </c>
      <c r="B590" s="2">
        <v>0.10833333333333334</v>
      </c>
      <c r="C590" t="s">
        <v>1177</v>
      </c>
      <c r="D590">
        <v>88</v>
      </c>
      <c r="E590" t="s">
        <v>812</v>
      </c>
      <c r="F590" t="str">
        <f>_xlfn.XLOOKUP(_26_03_2026_Log_Reseau_v15[[#This Row],[Cell_ID]],_26_03_2026_Registre_Maintenance_v1[ID_Antenne],_26_03_2026_Registre_Maintenance_v1[zone],"pas trouvé")</f>
        <v>pas trouvé</v>
      </c>
      <c r="G590" t="str">
        <f>_xlfn.XLOOKUP(_26_03_2026_Log_Reseau_v15[[#This Row],[Cell_ID]],_26_03_2026_Registre_Maintenance_v1[ID_Antenne],_26_03_2026_Registre_Maintenance_v1[Latitude],"non trouvé")</f>
        <v>non trouvé</v>
      </c>
      <c r="H590" t="str">
        <f>_xlfn.XLOOKUP(_26_03_2026_Log_Reseau_v15[[#This Row],[Cell_ID]],_26_03_2026_Registre_Maintenance_v1[ID_Antenne],_26_03_2026_Registre_Maintenance_v1[Longitude],"pas trouvé")</f>
        <v>pas trouvé</v>
      </c>
      <c r="I590" t="str">
        <f>_xlfn.XLOOKUP(_26_03_2026_Log_Reseau_v15[[#This Row],[Cell_ID]],_26_03_2026_Registre_Maintenance_v1[ID_Antenne],_26_03_2026_Registre_Maintenance_v1[Technologie],"non trouvé")</f>
        <v>non trouvé</v>
      </c>
      <c r="J590" t="str">
        <f>_xlfn.XLOOKUP(_26_03_2026_Log_Reseau_v15[[#This Row],[Cell_ID]],_26_03_2026_Registre_Maintenance_v1[ID_Antenne],_26_03_2026_Registre_Maintenance_v1[Equipementier],"pas trouvé")</f>
        <v>pas trouvé</v>
      </c>
      <c r="K590" t="str">
        <f>_xlfn.XLOOKUP(_26_03_2026_Log_Reseau_v15[[#This Row],[province RDC]],_26_03_2026_Client_Churn_v1[Province_Client],_26_03_2026_Client_Churn_v1[ID_Client],"non trouvé")</f>
        <v>non trouvé</v>
      </c>
      <c r="L590" t="str">
        <f>_xlfn.XLOOKUP(_26_03_2026_Log_Reseau_v15[[#This Row],[province RDC]],_26_03_2026_Client_Churn_v1[Province_Client],_26_03_2026_Client_Churn_v1[Anciennete_Mois],"non trouvé")</f>
        <v>non trouvé</v>
      </c>
      <c r="M590" t="str">
        <f>_xlfn.XLOOKUP(_26_03_2026_Log_Reseau_v15[[#This Row],[province RDC]],_26_03_2026_Client_Churn_v1[Province_Client],_26_03_2026_Client_Churn_v1[Type_Forfait],"non trouvé")</f>
        <v>non trouvé</v>
      </c>
      <c r="N590" t="str">
        <f>_xlfn.XLOOKUP(_26_03_2026_Log_Reseau_v15[[#This Row],[province RDC]],_26_03_2026_Client_Churn_v1[Province_Client],_26_03_2026_Client_Churn_v1[Duree_Cumulee_Panne_Min],"non trouvé")</f>
        <v>non trouvé</v>
      </c>
      <c r="O590" t="str">
        <f>_xlfn.XLOOKUP(_26_03_2026_Log_Reseau_v15[[#This Row],[province RDC]],_26_03_2026_Client_Churn_v1[Province_Client],_26_03_2026_Client_Churn_v1[Facture_Mensuelle],"non trouvé")</f>
        <v>non trouvé</v>
      </c>
      <c r="P590" t="str">
        <f>_xlfn.XLOOKUP(_26_03_2026_Log_Reseau_v15[[#This Row],[province RDC]],_26_03_2026_Client_Churn_v1[Province_Client],_26_03_2026_Client_Churn_v1[Plaintes_Service_Client],"non trouvé")</f>
        <v>non trouvé</v>
      </c>
    </row>
    <row r="591" spans="1:16" hidden="1" x14ac:dyDescent="0.25">
      <c r="A591" s="1">
        <v>45215</v>
      </c>
      <c r="B591" s="2">
        <v>0.2722222222222222</v>
      </c>
      <c r="C591" t="s">
        <v>1178</v>
      </c>
      <c r="D591">
        <v>56</v>
      </c>
      <c r="E591" t="s">
        <v>812</v>
      </c>
      <c r="F591" t="str">
        <f>_xlfn.XLOOKUP(_26_03_2026_Log_Reseau_v15[[#This Row],[Cell_ID]],_26_03_2026_Registre_Maintenance_v1[ID_Antenne],_26_03_2026_Registre_Maintenance_v1[zone],"pas trouvé")</f>
        <v>pas trouvé</v>
      </c>
      <c r="G591" t="str">
        <f>_xlfn.XLOOKUP(_26_03_2026_Log_Reseau_v15[[#This Row],[Cell_ID]],_26_03_2026_Registre_Maintenance_v1[ID_Antenne],_26_03_2026_Registre_Maintenance_v1[Latitude],"non trouvé")</f>
        <v>non trouvé</v>
      </c>
      <c r="H591" t="str">
        <f>_xlfn.XLOOKUP(_26_03_2026_Log_Reseau_v15[[#This Row],[Cell_ID]],_26_03_2026_Registre_Maintenance_v1[ID_Antenne],_26_03_2026_Registre_Maintenance_v1[Longitude],"pas trouvé")</f>
        <v>pas trouvé</v>
      </c>
      <c r="I591" t="str">
        <f>_xlfn.XLOOKUP(_26_03_2026_Log_Reseau_v15[[#This Row],[Cell_ID]],_26_03_2026_Registre_Maintenance_v1[ID_Antenne],_26_03_2026_Registre_Maintenance_v1[Technologie],"non trouvé")</f>
        <v>non trouvé</v>
      </c>
      <c r="J591" t="str">
        <f>_xlfn.XLOOKUP(_26_03_2026_Log_Reseau_v15[[#This Row],[Cell_ID]],_26_03_2026_Registre_Maintenance_v1[ID_Antenne],_26_03_2026_Registre_Maintenance_v1[Equipementier],"pas trouvé")</f>
        <v>pas trouvé</v>
      </c>
      <c r="K591" t="str">
        <f>_xlfn.XLOOKUP(_26_03_2026_Log_Reseau_v15[[#This Row],[province RDC]],_26_03_2026_Client_Churn_v1[Province_Client],_26_03_2026_Client_Churn_v1[ID_Client],"non trouvé")</f>
        <v>non trouvé</v>
      </c>
      <c r="L591" t="str">
        <f>_xlfn.XLOOKUP(_26_03_2026_Log_Reseau_v15[[#This Row],[province RDC]],_26_03_2026_Client_Churn_v1[Province_Client],_26_03_2026_Client_Churn_v1[Anciennete_Mois],"non trouvé")</f>
        <v>non trouvé</v>
      </c>
      <c r="M591" t="str">
        <f>_xlfn.XLOOKUP(_26_03_2026_Log_Reseau_v15[[#This Row],[province RDC]],_26_03_2026_Client_Churn_v1[Province_Client],_26_03_2026_Client_Churn_v1[Type_Forfait],"non trouvé")</f>
        <v>non trouvé</v>
      </c>
      <c r="N591" t="str">
        <f>_xlfn.XLOOKUP(_26_03_2026_Log_Reseau_v15[[#This Row],[province RDC]],_26_03_2026_Client_Churn_v1[Province_Client],_26_03_2026_Client_Churn_v1[Duree_Cumulee_Panne_Min],"non trouvé")</f>
        <v>non trouvé</v>
      </c>
      <c r="O591" t="str">
        <f>_xlfn.XLOOKUP(_26_03_2026_Log_Reseau_v15[[#This Row],[province RDC]],_26_03_2026_Client_Churn_v1[Province_Client],_26_03_2026_Client_Churn_v1[Facture_Mensuelle],"non trouvé")</f>
        <v>non trouvé</v>
      </c>
      <c r="P591" t="str">
        <f>_xlfn.XLOOKUP(_26_03_2026_Log_Reseau_v15[[#This Row],[province RDC]],_26_03_2026_Client_Churn_v1[Province_Client],_26_03_2026_Client_Churn_v1[Plaintes_Service_Client],"non trouvé")</f>
        <v>non trouvé</v>
      </c>
    </row>
    <row r="592" spans="1:16" hidden="1" x14ac:dyDescent="0.25">
      <c r="A592" s="1">
        <v>45210</v>
      </c>
      <c r="B592" s="2">
        <v>0.91249999999999998</v>
      </c>
      <c r="C592" t="s">
        <v>1179</v>
      </c>
      <c r="D592">
        <v>119</v>
      </c>
      <c r="E592" t="s">
        <v>812</v>
      </c>
      <c r="F592" t="str">
        <f>_xlfn.XLOOKUP(_26_03_2026_Log_Reseau_v15[[#This Row],[Cell_ID]],_26_03_2026_Registre_Maintenance_v1[ID_Antenne],_26_03_2026_Registre_Maintenance_v1[zone],"pas trouvé")</f>
        <v>pas trouvé</v>
      </c>
      <c r="G592" t="str">
        <f>_xlfn.XLOOKUP(_26_03_2026_Log_Reseau_v15[[#This Row],[Cell_ID]],_26_03_2026_Registre_Maintenance_v1[ID_Antenne],_26_03_2026_Registre_Maintenance_v1[Latitude],"non trouvé")</f>
        <v>non trouvé</v>
      </c>
      <c r="H592" t="str">
        <f>_xlfn.XLOOKUP(_26_03_2026_Log_Reseau_v15[[#This Row],[Cell_ID]],_26_03_2026_Registre_Maintenance_v1[ID_Antenne],_26_03_2026_Registre_Maintenance_v1[Longitude],"pas trouvé")</f>
        <v>pas trouvé</v>
      </c>
      <c r="I592" t="str">
        <f>_xlfn.XLOOKUP(_26_03_2026_Log_Reseau_v15[[#This Row],[Cell_ID]],_26_03_2026_Registre_Maintenance_v1[ID_Antenne],_26_03_2026_Registre_Maintenance_v1[Technologie],"non trouvé")</f>
        <v>non trouvé</v>
      </c>
      <c r="J592" t="str">
        <f>_xlfn.XLOOKUP(_26_03_2026_Log_Reseau_v15[[#This Row],[Cell_ID]],_26_03_2026_Registre_Maintenance_v1[ID_Antenne],_26_03_2026_Registre_Maintenance_v1[Equipementier],"pas trouvé")</f>
        <v>pas trouvé</v>
      </c>
      <c r="K592" t="str">
        <f>_xlfn.XLOOKUP(_26_03_2026_Log_Reseau_v15[[#This Row],[province RDC]],_26_03_2026_Client_Churn_v1[Province_Client],_26_03_2026_Client_Churn_v1[ID_Client],"non trouvé")</f>
        <v>non trouvé</v>
      </c>
      <c r="L592" t="str">
        <f>_xlfn.XLOOKUP(_26_03_2026_Log_Reseau_v15[[#This Row],[province RDC]],_26_03_2026_Client_Churn_v1[Province_Client],_26_03_2026_Client_Churn_v1[Anciennete_Mois],"non trouvé")</f>
        <v>non trouvé</v>
      </c>
      <c r="M592" t="str">
        <f>_xlfn.XLOOKUP(_26_03_2026_Log_Reseau_v15[[#This Row],[province RDC]],_26_03_2026_Client_Churn_v1[Province_Client],_26_03_2026_Client_Churn_v1[Type_Forfait],"non trouvé")</f>
        <v>non trouvé</v>
      </c>
      <c r="N592" t="str">
        <f>_xlfn.XLOOKUP(_26_03_2026_Log_Reseau_v15[[#This Row],[province RDC]],_26_03_2026_Client_Churn_v1[Province_Client],_26_03_2026_Client_Churn_v1[Duree_Cumulee_Panne_Min],"non trouvé")</f>
        <v>non trouvé</v>
      </c>
      <c r="O592" t="str">
        <f>_xlfn.XLOOKUP(_26_03_2026_Log_Reseau_v15[[#This Row],[province RDC]],_26_03_2026_Client_Churn_v1[Province_Client],_26_03_2026_Client_Churn_v1[Facture_Mensuelle],"non trouvé")</f>
        <v>non trouvé</v>
      </c>
      <c r="P592" t="str">
        <f>_xlfn.XLOOKUP(_26_03_2026_Log_Reseau_v15[[#This Row],[province RDC]],_26_03_2026_Client_Churn_v1[Province_Client],_26_03_2026_Client_Churn_v1[Plaintes_Service_Client],"non trouvé")</f>
        <v>non trouvé</v>
      </c>
    </row>
    <row r="593" spans="1:16" hidden="1" x14ac:dyDescent="0.25">
      <c r="A593" s="1">
        <v>45220</v>
      </c>
      <c r="B593" s="2">
        <v>0.79236111111111107</v>
      </c>
      <c r="C593" t="s">
        <v>1179</v>
      </c>
      <c r="D593">
        <v>10</v>
      </c>
      <c r="E593" t="s">
        <v>812</v>
      </c>
      <c r="F593" t="str">
        <f>_xlfn.XLOOKUP(_26_03_2026_Log_Reseau_v15[[#This Row],[Cell_ID]],_26_03_2026_Registre_Maintenance_v1[ID_Antenne],_26_03_2026_Registre_Maintenance_v1[zone],"pas trouvé")</f>
        <v>pas trouvé</v>
      </c>
      <c r="G593" t="str">
        <f>_xlfn.XLOOKUP(_26_03_2026_Log_Reseau_v15[[#This Row],[Cell_ID]],_26_03_2026_Registre_Maintenance_v1[ID_Antenne],_26_03_2026_Registre_Maintenance_v1[Latitude],"non trouvé")</f>
        <v>non trouvé</v>
      </c>
      <c r="H593" t="str">
        <f>_xlfn.XLOOKUP(_26_03_2026_Log_Reseau_v15[[#This Row],[Cell_ID]],_26_03_2026_Registre_Maintenance_v1[ID_Antenne],_26_03_2026_Registre_Maintenance_v1[Longitude],"pas trouvé")</f>
        <v>pas trouvé</v>
      </c>
      <c r="I593" t="str">
        <f>_xlfn.XLOOKUP(_26_03_2026_Log_Reseau_v15[[#This Row],[Cell_ID]],_26_03_2026_Registre_Maintenance_v1[ID_Antenne],_26_03_2026_Registre_Maintenance_v1[Technologie],"non trouvé")</f>
        <v>non trouvé</v>
      </c>
      <c r="J593" t="str">
        <f>_xlfn.XLOOKUP(_26_03_2026_Log_Reseau_v15[[#This Row],[Cell_ID]],_26_03_2026_Registre_Maintenance_v1[ID_Antenne],_26_03_2026_Registre_Maintenance_v1[Equipementier],"pas trouvé")</f>
        <v>pas trouvé</v>
      </c>
      <c r="K593" t="str">
        <f>_xlfn.XLOOKUP(_26_03_2026_Log_Reseau_v15[[#This Row],[province RDC]],_26_03_2026_Client_Churn_v1[Province_Client],_26_03_2026_Client_Churn_v1[ID_Client],"non trouvé")</f>
        <v>non trouvé</v>
      </c>
      <c r="L593" t="str">
        <f>_xlfn.XLOOKUP(_26_03_2026_Log_Reseau_v15[[#This Row],[province RDC]],_26_03_2026_Client_Churn_v1[Province_Client],_26_03_2026_Client_Churn_v1[Anciennete_Mois],"non trouvé")</f>
        <v>non trouvé</v>
      </c>
      <c r="M593" t="str">
        <f>_xlfn.XLOOKUP(_26_03_2026_Log_Reseau_v15[[#This Row],[province RDC]],_26_03_2026_Client_Churn_v1[Province_Client],_26_03_2026_Client_Churn_v1[Type_Forfait],"non trouvé")</f>
        <v>non trouvé</v>
      </c>
      <c r="N593" t="str">
        <f>_xlfn.XLOOKUP(_26_03_2026_Log_Reseau_v15[[#This Row],[province RDC]],_26_03_2026_Client_Churn_v1[Province_Client],_26_03_2026_Client_Churn_v1[Duree_Cumulee_Panne_Min],"non trouvé")</f>
        <v>non trouvé</v>
      </c>
      <c r="O593" t="str">
        <f>_xlfn.XLOOKUP(_26_03_2026_Log_Reseau_v15[[#This Row],[province RDC]],_26_03_2026_Client_Churn_v1[Province_Client],_26_03_2026_Client_Churn_v1[Facture_Mensuelle],"non trouvé")</f>
        <v>non trouvé</v>
      </c>
      <c r="P593" t="str">
        <f>_xlfn.XLOOKUP(_26_03_2026_Log_Reseau_v15[[#This Row],[province RDC]],_26_03_2026_Client_Churn_v1[Province_Client],_26_03_2026_Client_Churn_v1[Plaintes_Service_Client],"non trouvé")</f>
        <v>non trouvé</v>
      </c>
    </row>
    <row r="594" spans="1:16" x14ac:dyDescent="0.25">
      <c r="A594" s="1">
        <v>45218</v>
      </c>
      <c r="B594" s="2">
        <v>0.33194444444444443</v>
      </c>
      <c r="C594" t="s">
        <v>1180</v>
      </c>
      <c r="D594">
        <v>15</v>
      </c>
      <c r="E594" t="s">
        <v>812</v>
      </c>
      <c r="F594" t="str">
        <f>_xlfn.XLOOKUP(_26_03_2026_Log_Reseau_v15[[#This Row],[Cell_ID]],_26_03_2026_Registre_Maintenance_v1[ID_Antenne],_26_03_2026_Registre_Maintenance_v1[zone],"pas trouvé")</f>
        <v>Nord-Kivu</v>
      </c>
      <c r="G594">
        <f>_xlfn.XLOOKUP(_26_03_2026_Log_Reseau_v15[[#This Row],[Cell_ID]],_26_03_2026_Registre_Maintenance_v1[ID_Antenne],_26_03_2026_Registre_Maintenance_v1[Latitude],"non trouvé")</f>
        <v>-1.8555980000000001</v>
      </c>
      <c r="H594">
        <f>_xlfn.XLOOKUP(_26_03_2026_Log_Reseau_v15[[#This Row],[Cell_ID]],_26_03_2026_Registre_Maintenance_v1[ID_Antenne],_26_03_2026_Registre_Maintenance_v1[Longitude],"pas trouvé")</f>
        <v>30.421918000000002</v>
      </c>
      <c r="I594" t="str">
        <f>_xlfn.XLOOKUP(_26_03_2026_Log_Reseau_v15[[#This Row],[Cell_ID]],_26_03_2026_Registre_Maintenance_v1[ID_Antenne],_26_03_2026_Registre_Maintenance_v1[Technologie],"non trouvé")</f>
        <v>3G</v>
      </c>
      <c r="J594" t="str">
        <f>_xlfn.XLOOKUP(_26_03_2026_Log_Reseau_v15[[#This Row],[Cell_ID]],_26_03_2026_Registre_Maintenance_v1[ID_Antenne],_26_03_2026_Registre_Maintenance_v1[Equipementier],"pas trouvé")</f>
        <v>ZTE</v>
      </c>
      <c r="K594" t="str">
        <f>_xlfn.XLOOKUP(_26_03_2026_Log_Reseau_v15[[#This Row],[province RDC]],_26_03_2026_Client_Churn_v1[Province_Client],_26_03_2026_Client_Churn_v1[ID_Client],"non trouvé")</f>
        <v>CLI-00837</v>
      </c>
      <c r="L594">
        <f>_xlfn.XLOOKUP(_26_03_2026_Log_Reseau_v15[[#This Row],[province RDC]],_26_03_2026_Client_Churn_v1[Province_Client],_26_03_2026_Client_Churn_v1[Anciennete_Mois],"non trouvé")</f>
        <v>16</v>
      </c>
      <c r="M594" t="str">
        <f>_xlfn.XLOOKUP(_26_03_2026_Log_Reseau_v15[[#This Row],[province RDC]],_26_03_2026_Client_Churn_v1[Province_Client],_26_03_2026_Client_Churn_v1[Type_Forfait],"non trouvé")</f>
        <v>Bloqué 5Go</v>
      </c>
      <c r="N594">
        <f>_xlfn.XLOOKUP(_26_03_2026_Log_Reseau_v15[[#This Row],[province RDC]],_26_03_2026_Client_Churn_v1[Province_Client],_26_03_2026_Client_Churn_v1[Duree_Cumulee_Panne_Min],"non trouvé")</f>
        <v>390</v>
      </c>
      <c r="O594">
        <f>_xlfn.XLOOKUP(_26_03_2026_Log_Reseau_v15[[#This Row],[province RDC]],_26_03_2026_Client_Churn_v1[Province_Client],_26_03_2026_Client_Churn_v1[Facture_Mensuelle],"non trouvé")</f>
        <v>98.17</v>
      </c>
      <c r="P594">
        <f>_xlfn.XLOOKUP(_26_03_2026_Log_Reseau_v15[[#This Row],[province RDC]],_26_03_2026_Client_Churn_v1[Province_Client],_26_03_2026_Client_Churn_v1[Plaintes_Service_Client],"non trouvé")</f>
        <v>5</v>
      </c>
    </row>
    <row r="595" spans="1:16" x14ac:dyDescent="0.25">
      <c r="A595" s="1">
        <v>45222</v>
      </c>
      <c r="B595" s="2">
        <v>0.59722222222222221</v>
      </c>
      <c r="C595" t="s">
        <v>1180</v>
      </c>
      <c r="D595">
        <v>22</v>
      </c>
      <c r="E595" t="s">
        <v>808</v>
      </c>
      <c r="F595" t="str">
        <f>_xlfn.XLOOKUP(_26_03_2026_Log_Reseau_v15[[#This Row],[Cell_ID]],_26_03_2026_Registre_Maintenance_v1[ID_Antenne],_26_03_2026_Registre_Maintenance_v1[zone],"pas trouvé")</f>
        <v>Nord-Kivu</v>
      </c>
      <c r="G595">
        <f>_xlfn.XLOOKUP(_26_03_2026_Log_Reseau_v15[[#This Row],[Cell_ID]],_26_03_2026_Registre_Maintenance_v1[ID_Antenne],_26_03_2026_Registre_Maintenance_v1[Latitude],"non trouvé")</f>
        <v>-1.8555980000000001</v>
      </c>
      <c r="H595">
        <f>_xlfn.XLOOKUP(_26_03_2026_Log_Reseau_v15[[#This Row],[Cell_ID]],_26_03_2026_Registre_Maintenance_v1[ID_Antenne],_26_03_2026_Registre_Maintenance_v1[Longitude],"pas trouvé")</f>
        <v>30.421918000000002</v>
      </c>
      <c r="I595" t="str">
        <f>_xlfn.XLOOKUP(_26_03_2026_Log_Reseau_v15[[#This Row],[Cell_ID]],_26_03_2026_Registre_Maintenance_v1[ID_Antenne],_26_03_2026_Registre_Maintenance_v1[Technologie],"non trouvé")</f>
        <v>3G</v>
      </c>
      <c r="J595" t="str">
        <f>_xlfn.XLOOKUP(_26_03_2026_Log_Reseau_v15[[#This Row],[Cell_ID]],_26_03_2026_Registre_Maintenance_v1[ID_Antenne],_26_03_2026_Registre_Maintenance_v1[Equipementier],"pas trouvé")</f>
        <v>ZTE</v>
      </c>
      <c r="K595" t="str">
        <f>_xlfn.XLOOKUP(_26_03_2026_Log_Reseau_v15[[#This Row],[province RDC]],_26_03_2026_Client_Churn_v1[Province_Client],_26_03_2026_Client_Churn_v1[ID_Client],"non trouvé")</f>
        <v>CLI-00837</v>
      </c>
      <c r="L595">
        <f>_xlfn.XLOOKUP(_26_03_2026_Log_Reseau_v15[[#This Row],[province RDC]],_26_03_2026_Client_Churn_v1[Province_Client],_26_03_2026_Client_Churn_v1[Anciennete_Mois],"non trouvé")</f>
        <v>16</v>
      </c>
      <c r="M595" t="str">
        <f>_xlfn.XLOOKUP(_26_03_2026_Log_Reseau_v15[[#This Row],[province RDC]],_26_03_2026_Client_Churn_v1[Province_Client],_26_03_2026_Client_Churn_v1[Type_Forfait],"non trouvé")</f>
        <v>Bloqué 5Go</v>
      </c>
      <c r="N595">
        <f>_xlfn.XLOOKUP(_26_03_2026_Log_Reseau_v15[[#This Row],[province RDC]],_26_03_2026_Client_Churn_v1[Province_Client],_26_03_2026_Client_Churn_v1[Duree_Cumulee_Panne_Min],"non trouvé")</f>
        <v>390</v>
      </c>
      <c r="O595">
        <f>_xlfn.XLOOKUP(_26_03_2026_Log_Reseau_v15[[#This Row],[province RDC]],_26_03_2026_Client_Churn_v1[Province_Client],_26_03_2026_Client_Churn_v1[Facture_Mensuelle],"non trouvé")</f>
        <v>98.17</v>
      </c>
      <c r="P595">
        <f>_xlfn.XLOOKUP(_26_03_2026_Log_Reseau_v15[[#This Row],[province RDC]],_26_03_2026_Client_Churn_v1[Province_Client],_26_03_2026_Client_Churn_v1[Plaintes_Service_Client],"non trouvé")</f>
        <v>5</v>
      </c>
    </row>
    <row r="596" spans="1:16" x14ac:dyDescent="0.25">
      <c r="A596" s="1">
        <v>45201</v>
      </c>
      <c r="B596" s="2">
        <v>8.611111111111111E-2</v>
      </c>
      <c r="C596" t="s">
        <v>1180</v>
      </c>
      <c r="D596">
        <v>55</v>
      </c>
      <c r="E596" t="s">
        <v>807</v>
      </c>
      <c r="F596" t="str">
        <f>_xlfn.XLOOKUP(_26_03_2026_Log_Reseau_v15[[#This Row],[Cell_ID]],_26_03_2026_Registre_Maintenance_v1[ID_Antenne],_26_03_2026_Registre_Maintenance_v1[zone],"pas trouvé")</f>
        <v>Nord-Kivu</v>
      </c>
      <c r="G596">
        <f>_xlfn.XLOOKUP(_26_03_2026_Log_Reseau_v15[[#This Row],[Cell_ID]],_26_03_2026_Registre_Maintenance_v1[ID_Antenne],_26_03_2026_Registre_Maintenance_v1[Latitude],"non trouvé")</f>
        <v>-1.8555980000000001</v>
      </c>
      <c r="H596">
        <f>_xlfn.XLOOKUP(_26_03_2026_Log_Reseau_v15[[#This Row],[Cell_ID]],_26_03_2026_Registre_Maintenance_v1[ID_Antenne],_26_03_2026_Registre_Maintenance_v1[Longitude],"pas trouvé")</f>
        <v>30.421918000000002</v>
      </c>
      <c r="I596" t="str">
        <f>_xlfn.XLOOKUP(_26_03_2026_Log_Reseau_v15[[#This Row],[Cell_ID]],_26_03_2026_Registre_Maintenance_v1[ID_Antenne],_26_03_2026_Registre_Maintenance_v1[Technologie],"non trouvé")</f>
        <v>3G</v>
      </c>
      <c r="J596" t="str">
        <f>_xlfn.XLOOKUP(_26_03_2026_Log_Reseau_v15[[#This Row],[Cell_ID]],_26_03_2026_Registre_Maintenance_v1[ID_Antenne],_26_03_2026_Registre_Maintenance_v1[Equipementier],"pas trouvé")</f>
        <v>ZTE</v>
      </c>
      <c r="K596" t="str">
        <f>_xlfn.XLOOKUP(_26_03_2026_Log_Reseau_v15[[#This Row],[province RDC]],_26_03_2026_Client_Churn_v1[Province_Client],_26_03_2026_Client_Churn_v1[ID_Client],"non trouvé")</f>
        <v>CLI-00837</v>
      </c>
      <c r="L596">
        <f>_xlfn.XLOOKUP(_26_03_2026_Log_Reseau_v15[[#This Row],[province RDC]],_26_03_2026_Client_Churn_v1[Province_Client],_26_03_2026_Client_Churn_v1[Anciennete_Mois],"non trouvé")</f>
        <v>16</v>
      </c>
      <c r="M596" t="str">
        <f>_xlfn.XLOOKUP(_26_03_2026_Log_Reseau_v15[[#This Row],[province RDC]],_26_03_2026_Client_Churn_v1[Province_Client],_26_03_2026_Client_Churn_v1[Type_Forfait],"non trouvé")</f>
        <v>Bloqué 5Go</v>
      </c>
      <c r="N596">
        <f>_xlfn.XLOOKUP(_26_03_2026_Log_Reseau_v15[[#This Row],[province RDC]],_26_03_2026_Client_Churn_v1[Province_Client],_26_03_2026_Client_Churn_v1[Duree_Cumulee_Panne_Min],"non trouvé")</f>
        <v>390</v>
      </c>
      <c r="O596">
        <f>_xlfn.XLOOKUP(_26_03_2026_Log_Reseau_v15[[#This Row],[province RDC]],_26_03_2026_Client_Churn_v1[Province_Client],_26_03_2026_Client_Churn_v1[Facture_Mensuelle],"non trouvé")</f>
        <v>98.17</v>
      </c>
      <c r="P596">
        <f>_xlfn.XLOOKUP(_26_03_2026_Log_Reseau_v15[[#This Row],[province RDC]],_26_03_2026_Client_Churn_v1[Province_Client],_26_03_2026_Client_Churn_v1[Plaintes_Service_Client],"non trouvé")</f>
        <v>5</v>
      </c>
    </row>
    <row r="597" spans="1:16" x14ac:dyDescent="0.25">
      <c r="A597" s="1">
        <v>45221</v>
      </c>
      <c r="B597" s="2">
        <v>0.26874999999999999</v>
      </c>
      <c r="C597" t="s">
        <v>1180</v>
      </c>
      <c r="D597">
        <v>18</v>
      </c>
      <c r="E597" t="s">
        <v>808</v>
      </c>
      <c r="F597" t="str">
        <f>_xlfn.XLOOKUP(_26_03_2026_Log_Reseau_v15[[#This Row],[Cell_ID]],_26_03_2026_Registre_Maintenance_v1[ID_Antenne],_26_03_2026_Registre_Maintenance_v1[zone],"pas trouvé")</f>
        <v>Nord-Kivu</v>
      </c>
      <c r="G597">
        <f>_xlfn.XLOOKUP(_26_03_2026_Log_Reseau_v15[[#This Row],[Cell_ID]],_26_03_2026_Registre_Maintenance_v1[ID_Antenne],_26_03_2026_Registre_Maintenance_v1[Latitude],"non trouvé")</f>
        <v>-1.8555980000000001</v>
      </c>
      <c r="H597">
        <f>_xlfn.XLOOKUP(_26_03_2026_Log_Reseau_v15[[#This Row],[Cell_ID]],_26_03_2026_Registre_Maintenance_v1[ID_Antenne],_26_03_2026_Registre_Maintenance_v1[Longitude],"pas trouvé")</f>
        <v>30.421918000000002</v>
      </c>
      <c r="I597" t="str">
        <f>_xlfn.XLOOKUP(_26_03_2026_Log_Reseau_v15[[#This Row],[Cell_ID]],_26_03_2026_Registre_Maintenance_v1[ID_Antenne],_26_03_2026_Registre_Maintenance_v1[Technologie],"non trouvé")</f>
        <v>3G</v>
      </c>
      <c r="J597" t="str">
        <f>_xlfn.XLOOKUP(_26_03_2026_Log_Reseau_v15[[#This Row],[Cell_ID]],_26_03_2026_Registre_Maintenance_v1[ID_Antenne],_26_03_2026_Registre_Maintenance_v1[Equipementier],"pas trouvé")</f>
        <v>ZTE</v>
      </c>
      <c r="K597" t="str">
        <f>_xlfn.XLOOKUP(_26_03_2026_Log_Reseau_v15[[#This Row],[province RDC]],_26_03_2026_Client_Churn_v1[Province_Client],_26_03_2026_Client_Churn_v1[ID_Client],"non trouvé")</f>
        <v>CLI-00837</v>
      </c>
      <c r="L597">
        <f>_xlfn.XLOOKUP(_26_03_2026_Log_Reseau_v15[[#This Row],[province RDC]],_26_03_2026_Client_Churn_v1[Province_Client],_26_03_2026_Client_Churn_v1[Anciennete_Mois],"non trouvé")</f>
        <v>16</v>
      </c>
      <c r="M597" t="str">
        <f>_xlfn.XLOOKUP(_26_03_2026_Log_Reseau_v15[[#This Row],[province RDC]],_26_03_2026_Client_Churn_v1[Province_Client],_26_03_2026_Client_Churn_v1[Type_Forfait],"non trouvé")</f>
        <v>Bloqué 5Go</v>
      </c>
      <c r="N597">
        <f>_xlfn.XLOOKUP(_26_03_2026_Log_Reseau_v15[[#This Row],[province RDC]],_26_03_2026_Client_Churn_v1[Province_Client],_26_03_2026_Client_Churn_v1[Duree_Cumulee_Panne_Min],"non trouvé")</f>
        <v>390</v>
      </c>
      <c r="O597">
        <f>_xlfn.XLOOKUP(_26_03_2026_Log_Reseau_v15[[#This Row],[province RDC]],_26_03_2026_Client_Churn_v1[Province_Client],_26_03_2026_Client_Churn_v1[Facture_Mensuelle],"non trouvé")</f>
        <v>98.17</v>
      </c>
      <c r="P597">
        <f>_xlfn.XLOOKUP(_26_03_2026_Log_Reseau_v15[[#This Row],[province RDC]],_26_03_2026_Client_Churn_v1[Province_Client],_26_03_2026_Client_Churn_v1[Plaintes_Service_Client],"non trouvé")</f>
        <v>5</v>
      </c>
    </row>
    <row r="598" spans="1:16" x14ac:dyDescent="0.25">
      <c r="A598" s="1">
        <v>45211</v>
      </c>
      <c r="B598" s="2">
        <v>0.42430555555555555</v>
      </c>
      <c r="C598" t="s">
        <v>1180</v>
      </c>
      <c r="D598">
        <v>116</v>
      </c>
      <c r="E598" t="s">
        <v>808</v>
      </c>
      <c r="F598" t="str">
        <f>_xlfn.XLOOKUP(_26_03_2026_Log_Reseau_v15[[#This Row],[Cell_ID]],_26_03_2026_Registre_Maintenance_v1[ID_Antenne],_26_03_2026_Registre_Maintenance_v1[zone],"pas trouvé")</f>
        <v>Nord-Kivu</v>
      </c>
      <c r="G598">
        <f>_xlfn.XLOOKUP(_26_03_2026_Log_Reseau_v15[[#This Row],[Cell_ID]],_26_03_2026_Registre_Maintenance_v1[ID_Antenne],_26_03_2026_Registre_Maintenance_v1[Latitude],"non trouvé")</f>
        <v>-1.8555980000000001</v>
      </c>
      <c r="H598">
        <f>_xlfn.XLOOKUP(_26_03_2026_Log_Reseau_v15[[#This Row],[Cell_ID]],_26_03_2026_Registre_Maintenance_v1[ID_Antenne],_26_03_2026_Registre_Maintenance_v1[Longitude],"pas trouvé")</f>
        <v>30.421918000000002</v>
      </c>
      <c r="I598" t="str">
        <f>_xlfn.XLOOKUP(_26_03_2026_Log_Reseau_v15[[#This Row],[Cell_ID]],_26_03_2026_Registre_Maintenance_v1[ID_Antenne],_26_03_2026_Registre_Maintenance_v1[Technologie],"non trouvé")</f>
        <v>3G</v>
      </c>
      <c r="J598" t="str">
        <f>_xlfn.XLOOKUP(_26_03_2026_Log_Reseau_v15[[#This Row],[Cell_ID]],_26_03_2026_Registre_Maintenance_v1[ID_Antenne],_26_03_2026_Registre_Maintenance_v1[Equipementier],"pas trouvé")</f>
        <v>ZTE</v>
      </c>
      <c r="K598" t="str">
        <f>_xlfn.XLOOKUP(_26_03_2026_Log_Reseau_v15[[#This Row],[province RDC]],_26_03_2026_Client_Churn_v1[Province_Client],_26_03_2026_Client_Churn_v1[ID_Client],"non trouvé")</f>
        <v>CLI-00837</v>
      </c>
      <c r="L598">
        <f>_xlfn.XLOOKUP(_26_03_2026_Log_Reseau_v15[[#This Row],[province RDC]],_26_03_2026_Client_Churn_v1[Province_Client],_26_03_2026_Client_Churn_v1[Anciennete_Mois],"non trouvé")</f>
        <v>16</v>
      </c>
      <c r="M598" t="str">
        <f>_xlfn.XLOOKUP(_26_03_2026_Log_Reseau_v15[[#This Row],[province RDC]],_26_03_2026_Client_Churn_v1[Province_Client],_26_03_2026_Client_Churn_v1[Type_Forfait],"non trouvé")</f>
        <v>Bloqué 5Go</v>
      </c>
      <c r="N598">
        <f>_xlfn.XLOOKUP(_26_03_2026_Log_Reseau_v15[[#This Row],[province RDC]],_26_03_2026_Client_Churn_v1[Province_Client],_26_03_2026_Client_Churn_v1[Duree_Cumulee_Panne_Min],"non trouvé")</f>
        <v>390</v>
      </c>
      <c r="O598">
        <f>_xlfn.XLOOKUP(_26_03_2026_Log_Reseau_v15[[#This Row],[province RDC]],_26_03_2026_Client_Churn_v1[Province_Client],_26_03_2026_Client_Churn_v1[Facture_Mensuelle],"non trouvé")</f>
        <v>98.17</v>
      </c>
      <c r="P598">
        <f>_xlfn.XLOOKUP(_26_03_2026_Log_Reseau_v15[[#This Row],[province RDC]],_26_03_2026_Client_Churn_v1[Province_Client],_26_03_2026_Client_Churn_v1[Plaintes_Service_Client],"non trouvé")</f>
        <v>5</v>
      </c>
    </row>
    <row r="599" spans="1:16" x14ac:dyDescent="0.25">
      <c r="A599" s="1">
        <v>45230</v>
      </c>
      <c r="B599" s="2">
        <v>0.4861111111111111</v>
      </c>
      <c r="C599" t="s">
        <v>1181</v>
      </c>
      <c r="D599">
        <v>38</v>
      </c>
      <c r="E599" t="s">
        <v>807</v>
      </c>
      <c r="F599" t="str">
        <f>_xlfn.XLOOKUP(_26_03_2026_Log_Reseau_v15[[#This Row],[Cell_ID]],_26_03_2026_Registre_Maintenance_v1[ID_Antenne],_26_03_2026_Registre_Maintenance_v1[zone],"pas trouvé")</f>
        <v>Nord-Kivu</v>
      </c>
      <c r="G599">
        <f>_xlfn.XLOOKUP(_26_03_2026_Log_Reseau_v15[[#This Row],[Cell_ID]],_26_03_2026_Registre_Maintenance_v1[ID_Antenne],_26_03_2026_Registre_Maintenance_v1[Latitude],"non trouvé")</f>
        <v>-12.336202</v>
      </c>
      <c r="H599">
        <f>_xlfn.XLOOKUP(_26_03_2026_Log_Reseau_v15[[#This Row],[Cell_ID]],_26_03_2026_Registre_Maintenance_v1[ID_Antenne],_26_03_2026_Registre_Maintenance_v1[Longitude],"pas trouvé")</f>
        <v>13.693683999999999</v>
      </c>
      <c r="I599" t="str">
        <f>_xlfn.XLOOKUP(_26_03_2026_Log_Reseau_v15[[#This Row],[Cell_ID]],_26_03_2026_Registre_Maintenance_v1[ID_Antenne],_26_03_2026_Registre_Maintenance_v1[Technologie],"non trouvé")</f>
        <v>5G</v>
      </c>
      <c r="J599" t="str">
        <f>_xlfn.XLOOKUP(_26_03_2026_Log_Reseau_v15[[#This Row],[Cell_ID]],_26_03_2026_Registre_Maintenance_v1[ID_Antenne],_26_03_2026_Registre_Maintenance_v1[Equipementier],"pas trouvé")</f>
        <v>Huawei</v>
      </c>
      <c r="K599" t="str">
        <f>_xlfn.XLOOKUP(_26_03_2026_Log_Reseau_v15[[#This Row],[province RDC]],_26_03_2026_Client_Churn_v1[Province_Client],_26_03_2026_Client_Churn_v1[ID_Client],"non trouvé")</f>
        <v>CLI-00837</v>
      </c>
      <c r="L599">
        <f>_xlfn.XLOOKUP(_26_03_2026_Log_Reseau_v15[[#This Row],[province RDC]],_26_03_2026_Client_Churn_v1[Province_Client],_26_03_2026_Client_Churn_v1[Anciennete_Mois],"non trouvé")</f>
        <v>16</v>
      </c>
      <c r="M599" t="str">
        <f>_xlfn.XLOOKUP(_26_03_2026_Log_Reseau_v15[[#This Row],[province RDC]],_26_03_2026_Client_Churn_v1[Province_Client],_26_03_2026_Client_Churn_v1[Type_Forfait],"non trouvé")</f>
        <v>Bloqué 5Go</v>
      </c>
      <c r="N599">
        <f>_xlfn.XLOOKUP(_26_03_2026_Log_Reseau_v15[[#This Row],[province RDC]],_26_03_2026_Client_Churn_v1[Province_Client],_26_03_2026_Client_Churn_v1[Duree_Cumulee_Panne_Min],"non trouvé")</f>
        <v>390</v>
      </c>
      <c r="O599">
        <f>_xlfn.XLOOKUP(_26_03_2026_Log_Reseau_v15[[#This Row],[province RDC]],_26_03_2026_Client_Churn_v1[Province_Client],_26_03_2026_Client_Churn_v1[Facture_Mensuelle],"non trouvé")</f>
        <v>98.17</v>
      </c>
      <c r="P599">
        <f>_xlfn.XLOOKUP(_26_03_2026_Log_Reseau_v15[[#This Row],[province RDC]],_26_03_2026_Client_Churn_v1[Province_Client],_26_03_2026_Client_Churn_v1[Plaintes_Service_Client],"non trouvé")</f>
        <v>5</v>
      </c>
    </row>
    <row r="600" spans="1:16" x14ac:dyDescent="0.25">
      <c r="A600" s="1">
        <v>45207</v>
      </c>
      <c r="B600" s="2">
        <v>0.9604166666666667</v>
      </c>
      <c r="C600" t="s">
        <v>1181</v>
      </c>
      <c r="D600">
        <v>23</v>
      </c>
      <c r="E600" t="s">
        <v>812</v>
      </c>
      <c r="F600" t="str">
        <f>_xlfn.XLOOKUP(_26_03_2026_Log_Reseau_v15[[#This Row],[Cell_ID]],_26_03_2026_Registre_Maintenance_v1[ID_Antenne],_26_03_2026_Registre_Maintenance_v1[zone],"pas trouvé")</f>
        <v>Nord-Kivu</v>
      </c>
      <c r="G600">
        <f>_xlfn.XLOOKUP(_26_03_2026_Log_Reseau_v15[[#This Row],[Cell_ID]],_26_03_2026_Registre_Maintenance_v1[ID_Antenne],_26_03_2026_Registre_Maintenance_v1[Latitude],"non trouvé")</f>
        <v>-12.336202</v>
      </c>
      <c r="H600">
        <f>_xlfn.XLOOKUP(_26_03_2026_Log_Reseau_v15[[#This Row],[Cell_ID]],_26_03_2026_Registre_Maintenance_v1[ID_Antenne],_26_03_2026_Registre_Maintenance_v1[Longitude],"pas trouvé")</f>
        <v>13.693683999999999</v>
      </c>
      <c r="I600" t="str">
        <f>_xlfn.XLOOKUP(_26_03_2026_Log_Reseau_v15[[#This Row],[Cell_ID]],_26_03_2026_Registre_Maintenance_v1[ID_Antenne],_26_03_2026_Registre_Maintenance_v1[Technologie],"non trouvé")</f>
        <v>5G</v>
      </c>
      <c r="J600" t="str">
        <f>_xlfn.XLOOKUP(_26_03_2026_Log_Reseau_v15[[#This Row],[Cell_ID]],_26_03_2026_Registre_Maintenance_v1[ID_Antenne],_26_03_2026_Registre_Maintenance_v1[Equipementier],"pas trouvé")</f>
        <v>Huawei</v>
      </c>
      <c r="K600" t="str">
        <f>_xlfn.XLOOKUP(_26_03_2026_Log_Reseau_v15[[#This Row],[province RDC]],_26_03_2026_Client_Churn_v1[Province_Client],_26_03_2026_Client_Churn_v1[ID_Client],"non trouvé")</f>
        <v>CLI-00837</v>
      </c>
      <c r="L600">
        <f>_xlfn.XLOOKUP(_26_03_2026_Log_Reseau_v15[[#This Row],[province RDC]],_26_03_2026_Client_Churn_v1[Province_Client],_26_03_2026_Client_Churn_v1[Anciennete_Mois],"non trouvé")</f>
        <v>16</v>
      </c>
      <c r="M600" t="str">
        <f>_xlfn.XLOOKUP(_26_03_2026_Log_Reseau_v15[[#This Row],[province RDC]],_26_03_2026_Client_Churn_v1[Province_Client],_26_03_2026_Client_Churn_v1[Type_Forfait],"non trouvé")</f>
        <v>Bloqué 5Go</v>
      </c>
      <c r="N600">
        <f>_xlfn.XLOOKUP(_26_03_2026_Log_Reseau_v15[[#This Row],[province RDC]],_26_03_2026_Client_Churn_v1[Province_Client],_26_03_2026_Client_Churn_v1[Duree_Cumulee_Panne_Min],"non trouvé")</f>
        <v>390</v>
      </c>
      <c r="O600">
        <f>_xlfn.XLOOKUP(_26_03_2026_Log_Reseau_v15[[#This Row],[province RDC]],_26_03_2026_Client_Churn_v1[Province_Client],_26_03_2026_Client_Churn_v1[Facture_Mensuelle],"non trouvé")</f>
        <v>98.17</v>
      </c>
      <c r="P600">
        <f>_xlfn.XLOOKUP(_26_03_2026_Log_Reseau_v15[[#This Row],[province RDC]],_26_03_2026_Client_Churn_v1[Province_Client],_26_03_2026_Client_Churn_v1[Plaintes_Service_Client],"non trouvé")</f>
        <v>5</v>
      </c>
    </row>
    <row r="601" spans="1:16" x14ac:dyDescent="0.25">
      <c r="A601" s="1">
        <v>45204</v>
      </c>
      <c r="B601" s="2">
        <v>0.53125</v>
      </c>
      <c r="C601" t="s">
        <v>1181</v>
      </c>
      <c r="D601">
        <v>47</v>
      </c>
      <c r="E601" t="s">
        <v>807</v>
      </c>
      <c r="F601" t="str">
        <f>_xlfn.XLOOKUP(_26_03_2026_Log_Reseau_v15[[#This Row],[Cell_ID]],_26_03_2026_Registre_Maintenance_v1[ID_Antenne],_26_03_2026_Registre_Maintenance_v1[zone],"pas trouvé")</f>
        <v>Nord-Kivu</v>
      </c>
      <c r="G601">
        <f>_xlfn.XLOOKUP(_26_03_2026_Log_Reseau_v15[[#This Row],[Cell_ID]],_26_03_2026_Registre_Maintenance_v1[ID_Antenne],_26_03_2026_Registre_Maintenance_v1[Latitude],"non trouvé")</f>
        <v>-12.336202</v>
      </c>
      <c r="H601">
        <f>_xlfn.XLOOKUP(_26_03_2026_Log_Reseau_v15[[#This Row],[Cell_ID]],_26_03_2026_Registre_Maintenance_v1[ID_Antenne],_26_03_2026_Registre_Maintenance_v1[Longitude],"pas trouvé")</f>
        <v>13.693683999999999</v>
      </c>
      <c r="I601" t="str">
        <f>_xlfn.XLOOKUP(_26_03_2026_Log_Reseau_v15[[#This Row],[Cell_ID]],_26_03_2026_Registre_Maintenance_v1[ID_Antenne],_26_03_2026_Registre_Maintenance_v1[Technologie],"non trouvé")</f>
        <v>5G</v>
      </c>
      <c r="J601" t="str">
        <f>_xlfn.XLOOKUP(_26_03_2026_Log_Reseau_v15[[#This Row],[Cell_ID]],_26_03_2026_Registre_Maintenance_v1[ID_Antenne],_26_03_2026_Registre_Maintenance_v1[Equipementier],"pas trouvé")</f>
        <v>Huawei</v>
      </c>
      <c r="K601" t="str">
        <f>_xlfn.XLOOKUP(_26_03_2026_Log_Reseau_v15[[#This Row],[province RDC]],_26_03_2026_Client_Churn_v1[Province_Client],_26_03_2026_Client_Churn_v1[ID_Client],"non trouvé")</f>
        <v>CLI-00837</v>
      </c>
      <c r="L601">
        <f>_xlfn.XLOOKUP(_26_03_2026_Log_Reseau_v15[[#This Row],[province RDC]],_26_03_2026_Client_Churn_v1[Province_Client],_26_03_2026_Client_Churn_v1[Anciennete_Mois],"non trouvé")</f>
        <v>16</v>
      </c>
      <c r="M601" t="str">
        <f>_xlfn.XLOOKUP(_26_03_2026_Log_Reseau_v15[[#This Row],[province RDC]],_26_03_2026_Client_Churn_v1[Province_Client],_26_03_2026_Client_Churn_v1[Type_Forfait],"non trouvé")</f>
        <v>Bloqué 5Go</v>
      </c>
      <c r="N601">
        <f>_xlfn.XLOOKUP(_26_03_2026_Log_Reseau_v15[[#This Row],[province RDC]],_26_03_2026_Client_Churn_v1[Province_Client],_26_03_2026_Client_Churn_v1[Duree_Cumulee_Panne_Min],"non trouvé")</f>
        <v>390</v>
      </c>
      <c r="O601">
        <f>_xlfn.XLOOKUP(_26_03_2026_Log_Reseau_v15[[#This Row],[province RDC]],_26_03_2026_Client_Churn_v1[Province_Client],_26_03_2026_Client_Churn_v1[Facture_Mensuelle],"non trouvé")</f>
        <v>98.17</v>
      </c>
      <c r="P601">
        <f>_xlfn.XLOOKUP(_26_03_2026_Log_Reseau_v15[[#This Row],[province RDC]],_26_03_2026_Client_Churn_v1[Province_Client],_26_03_2026_Client_Churn_v1[Plaintes_Service_Client],"non trouvé")</f>
        <v>5</v>
      </c>
    </row>
    <row r="602" spans="1:16" x14ac:dyDescent="0.25">
      <c r="A602" s="1">
        <v>45201</v>
      </c>
      <c r="B602" s="2">
        <v>0.87708333333333333</v>
      </c>
      <c r="C602" t="s">
        <v>1181</v>
      </c>
      <c r="D602">
        <v>82</v>
      </c>
      <c r="E602" t="s">
        <v>812</v>
      </c>
      <c r="F602" t="str">
        <f>_xlfn.XLOOKUP(_26_03_2026_Log_Reseau_v15[[#This Row],[Cell_ID]],_26_03_2026_Registre_Maintenance_v1[ID_Antenne],_26_03_2026_Registre_Maintenance_v1[zone],"pas trouvé")</f>
        <v>Nord-Kivu</v>
      </c>
      <c r="G602">
        <f>_xlfn.XLOOKUP(_26_03_2026_Log_Reseau_v15[[#This Row],[Cell_ID]],_26_03_2026_Registre_Maintenance_v1[ID_Antenne],_26_03_2026_Registre_Maintenance_v1[Latitude],"non trouvé")</f>
        <v>-12.336202</v>
      </c>
      <c r="H602">
        <f>_xlfn.XLOOKUP(_26_03_2026_Log_Reseau_v15[[#This Row],[Cell_ID]],_26_03_2026_Registre_Maintenance_v1[ID_Antenne],_26_03_2026_Registre_Maintenance_v1[Longitude],"pas trouvé")</f>
        <v>13.693683999999999</v>
      </c>
      <c r="I602" t="str">
        <f>_xlfn.XLOOKUP(_26_03_2026_Log_Reseau_v15[[#This Row],[Cell_ID]],_26_03_2026_Registre_Maintenance_v1[ID_Antenne],_26_03_2026_Registre_Maintenance_v1[Technologie],"non trouvé")</f>
        <v>5G</v>
      </c>
      <c r="J602" t="str">
        <f>_xlfn.XLOOKUP(_26_03_2026_Log_Reseau_v15[[#This Row],[Cell_ID]],_26_03_2026_Registre_Maintenance_v1[ID_Antenne],_26_03_2026_Registre_Maintenance_v1[Equipementier],"pas trouvé")</f>
        <v>Huawei</v>
      </c>
      <c r="K602" t="str">
        <f>_xlfn.XLOOKUP(_26_03_2026_Log_Reseau_v15[[#This Row],[province RDC]],_26_03_2026_Client_Churn_v1[Province_Client],_26_03_2026_Client_Churn_v1[ID_Client],"non trouvé")</f>
        <v>CLI-00837</v>
      </c>
      <c r="L602">
        <f>_xlfn.XLOOKUP(_26_03_2026_Log_Reseau_v15[[#This Row],[province RDC]],_26_03_2026_Client_Churn_v1[Province_Client],_26_03_2026_Client_Churn_v1[Anciennete_Mois],"non trouvé")</f>
        <v>16</v>
      </c>
      <c r="M602" t="str">
        <f>_xlfn.XLOOKUP(_26_03_2026_Log_Reseau_v15[[#This Row],[province RDC]],_26_03_2026_Client_Churn_v1[Province_Client],_26_03_2026_Client_Churn_v1[Type_Forfait],"non trouvé")</f>
        <v>Bloqué 5Go</v>
      </c>
      <c r="N602">
        <f>_xlfn.XLOOKUP(_26_03_2026_Log_Reseau_v15[[#This Row],[province RDC]],_26_03_2026_Client_Churn_v1[Province_Client],_26_03_2026_Client_Churn_v1[Duree_Cumulee_Panne_Min],"non trouvé")</f>
        <v>390</v>
      </c>
      <c r="O602">
        <f>_xlfn.XLOOKUP(_26_03_2026_Log_Reseau_v15[[#This Row],[province RDC]],_26_03_2026_Client_Churn_v1[Province_Client],_26_03_2026_Client_Churn_v1[Facture_Mensuelle],"non trouvé")</f>
        <v>98.17</v>
      </c>
      <c r="P602">
        <f>_xlfn.XLOOKUP(_26_03_2026_Log_Reseau_v15[[#This Row],[province RDC]],_26_03_2026_Client_Churn_v1[Province_Client],_26_03_2026_Client_Churn_v1[Plaintes_Service_Client],"non trouvé")</f>
        <v>5</v>
      </c>
    </row>
    <row r="603" spans="1:16" x14ac:dyDescent="0.25">
      <c r="A603" s="1">
        <v>45230</v>
      </c>
      <c r="B603" s="2">
        <v>0.86250000000000004</v>
      </c>
      <c r="C603" t="s">
        <v>1182</v>
      </c>
      <c r="D603">
        <v>67</v>
      </c>
      <c r="E603" t="s">
        <v>807</v>
      </c>
      <c r="F603" t="str">
        <f>_xlfn.XLOOKUP(_26_03_2026_Log_Reseau_v15[[#This Row],[Cell_ID]],_26_03_2026_Registre_Maintenance_v1[ID_Antenne],_26_03_2026_Registre_Maintenance_v1[zone],"pas trouvé")</f>
        <v>Tanganyika</v>
      </c>
      <c r="G603">
        <f>_xlfn.XLOOKUP(_26_03_2026_Log_Reseau_v15[[#This Row],[Cell_ID]],_26_03_2026_Registre_Maintenance_v1[ID_Antenne],_26_03_2026_Registre_Maintenance_v1[Latitude],"non trouvé")</f>
        <v>-2.099631</v>
      </c>
      <c r="H603">
        <f>_xlfn.XLOOKUP(_26_03_2026_Log_Reseau_v15[[#This Row],[Cell_ID]],_26_03_2026_Registre_Maintenance_v1[ID_Antenne],_26_03_2026_Registre_Maintenance_v1[Longitude],"pas trouvé")</f>
        <v>13.974640000000001</v>
      </c>
      <c r="I603" t="str">
        <f>_xlfn.XLOOKUP(_26_03_2026_Log_Reseau_v15[[#This Row],[Cell_ID]],_26_03_2026_Registre_Maintenance_v1[ID_Antenne],_26_03_2026_Registre_Maintenance_v1[Technologie],"non trouvé")</f>
        <v>3G</v>
      </c>
      <c r="J603" t="str">
        <f>_xlfn.XLOOKUP(_26_03_2026_Log_Reseau_v15[[#This Row],[Cell_ID]],_26_03_2026_Registre_Maintenance_v1[ID_Antenne],_26_03_2026_Registre_Maintenance_v1[Equipementier],"pas trouvé")</f>
        <v>Nokia</v>
      </c>
      <c r="K603" t="str">
        <f>_xlfn.XLOOKUP(_26_03_2026_Log_Reseau_v15[[#This Row],[province RDC]],_26_03_2026_Client_Churn_v1[Province_Client],_26_03_2026_Client_Churn_v1[ID_Client],"non trouvé")</f>
        <v>CLI-01618</v>
      </c>
      <c r="L603">
        <f>_xlfn.XLOOKUP(_26_03_2026_Log_Reseau_v15[[#This Row],[province RDC]],_26_03_2026_Client_Churn_v1[Province_Client],_26_03_2026_Client_Churn_v1[Anciennete_Mois],"non trouvé")</f>
        <v>115</v>
      </c>
      <c r="M603" t="str">
        <f>_xlfn.XLOOKUP(_26_03_2026_Log_Reseau_v15[[#This Row],[province RDC]],_26_03_2026_Client_Churn_v1[Province_Client],_26_03_2026_Client_Churn_v1[Type_Forfait],"non trouvé")</f>
        <v>Bloqué 5Go</v>
      </c>
      <c r="N603">
        <f>_xlfn.XLOOKUP(_26_03_2026_Log_Reseau_v15[[#This Row],[province RDC]],_26_03_2026_Client_Churn_v1[Province_Client],_26_03_2026_Client_Churn_v1[Duree_Cumulee_Panne_Min],"non trouvé")</f>
        <v>176</v>
      </c>
      <c r="O603">
        <f>_xlfn.XLOOKUP(_26_03_2026_Log_Reseau_v15[[#This Row],[province RDC]],_26_03_2026_Client_Churn_v1[Province_Client],_26_03_2026_Client_Churn_v1[Facture_Mensuelle],"non trouvé")</f>
        <v>33.28</v>
      </c>
      <c r="P603">
        <f>_xlfn.XLOOKUP(_26_03_2026_Log_Reseau_v15[[#This Row],[province RDC]],_26_03_2026_Client_Churn_v1[Province_Client],_26_03_2026_Client_Churn_v1[Plaintes_Service_Client],"non trouvé")</f>
        <v>4</v>
      </c>
    </row>
    <row r="604" spans="1:16" x14ac:dyDescent="0.25">
      <c r="A604" s="1">
        <v>45222</v>
      </c>
      <c r="B604" s="2">
        <v>0.63124999999999998</v>
      </c>
      <c r="C604" t="s">
        <v>1182</v>
      </c>
      <c r="D604">
        <v>90</v>
      </c>
      <c r="E604" t="s">
        <v>807</v>
      </c>
      <c r="F604" t="str">
        <f>_xlfn.XLOOKUP(_26_03_2026_Log_Reseau_v15[[#This Row],[Cell_ID]],_26_03_2026_Registre_Maintenance_v1[ID_Antenne],_26_03_2026_Registre_Maintenance_v1[zone],"pas trouvé")</f>
        <v>Tanganyika</v>
      </c>
      <c r="G604">
        <f>_xlfn.XLOOKUP(_26_03_2026_Log_Reseau_v15[[#This Row],[Cell_ID]],_26_03_2026_Registre_Maintenance_v1[ID_Antenne],_26_03_2026_Registre_Maintenance_v1[Latitude],"non trouvé")</f>
        <v>-2.099631</v>
      </c>
      <c r="H604">
        <f>_xlfn.XLOOKUP(_26_03_2026_Log_Reseau_v15[[#This Row],[Cell_ID]],_26_03_2026_Registre_Maintenance_v1[ID_Antenne],_26_03_2026_Registre_Maintenance_v1[Longitude],"pas trouvé")</f>
        <v>13.974640000000001</v>
      </c>
      <c r="I604" t="str">
        <f>_xlfn.XLOOKUP(_26_03_2026_Log_Reseau_v15[[#This Row],[Cell_ID]],_26_03_2026_Registre_Maintenance_v1[ID_Antenne],_26_03_2026_Registre_Maintenance_v1[Technologie],"non trouvé")</f>
        <v>3G</v>
      </c>
      <c r="J604" t="str">
        <f>_xlfn.XLOOKUP(_26_03_2026_Log_Reseau_v15[[#This Row],[Cell_ID]],_26_03_2026_Registre_Maintenance_v1[ID_Antenne],_26_03_2026_Registre_Maintenance_v1[Equipementier],"pas trouvé")</f>
        <v>Nokia</v>
      </c>
      <c r="K604" t="str">
        <f>_xlfn.XLOOKUP(_26_03_2026_Log_Reseau_v15[[#This Row],[province RDC]],_26_03_2026_Client_Churn_v1[Province_Client],_26_03_2026_Client_Churn_v1[ID_Client],"non trouvé")</f>
        <v>CLI-01618</v>
      </c>
      <c r="L604">
        <f>_xlfn.XLOOKUP(_26_03_2026_Log_Reseau_v15[[#This Row],[province RDC]],_26_03_2026_Client_Churn_v1[Province_Client],_26_03_2026_Client_Churn_v1[Anciennete_Mois],"non trouvé")</f>
        <v>115</v>
      </c>
      <c r="M604" t="str">
        <f>_xlfn.XLOOKUP(_26_03_2026_Log_Reseau_v15[[#This Row],[province RDC]],_26_03_2026_Client_Churn_v1[Province_Client],_26_03_2026_Client_Churn_v1[Type_Forfait],"non trouvé")</f>
        <v>Bloqué 5Go</v>
      </c>
      <c r="N604">
        <f>_xlfn.XLOOKUP(_26_03_2026_Log_Reseau_v15[[#This Row],[province RDC]],_26_03_2026_Client_Churn_v1[Province_Client],_26_03_2026_Client_Churn_v1[Duree_Cumulee_Panne_Min],"non trouvé")</f>
        <v>176</v>
      </c>
      <c r="O604">
        <f>_xlfn.XLOOKUP(_26_03_2026_Log_Reseau_v15[[#This Row],[province RDC]],_26_03_2026_Client_Churn_v1[Province_Client],_26_03_2026_Client_Churn_v1[Facture_Mensuelle],"non trouvé")</f>
        <v>33.28</v>
      </c>
      <c r="P604">
        <f>_xlfn.XLOOKUP(_26_03_2026_Log_Reseau_v15[[#This Row],[province RDC]],_26_03_2026_Client_Churn_v1[Province_Client],_26_03_2026_Client_Churn_v1[Plaintes_Service_Client],"non trouvé")</f>
        <v>4</v>
      </c>
    </row>
    <row r="605" spans="1:16" x14ac:dyDescent="0.25">
      <c r="A605" s="1">
        <v>45222</v>
      </c>
      <c r="B605" s="2">
        <v>0.42708333333333331</v>
      </c>
      <c r="C605" t="s">
        <v>1183</v>
      </c>
      <c r="D605">
        <v>82</v>
      </c>
      <c r="E605" t="s">
        <v>807</v>
      </c>
      <c r="F605" t="str">
        <f>_xlfn.XLOOKUP(_26_03_2026_Log_Reseau_v15[[#This Row],[Cell_ID]],_26_03_2026_Registre_Maintenance_v1[ID_Antenne],_26_03_2026_Registre_Maintenance_v1[zone],"pas trouvé")</f>
        <v>Bas-Uele</v>
      </c>
      <c r="G605">
        <f>_xlfn.XLOOKUP(_26_03_2026_Log_Reseau_v15[[#This Row],[Cell_ID]],_26_03_2026_Registre_Maintenance_v1[ID_Antenne],_26_03_2026_Registre_Maintenance_v1[Latitude],"non trouvé")</f>
        <v>-4.4697000000000001E-2</v>
      </c>
      <c r="H605">
        <f>_xlfn.XLOOKUP(_26_03_2026_Log_Reseau_v15[[#This Row],[Cell_ID]],_26_03_2026_Registre_Maintenance_v1[ID_Antenne],_26_03_2026_Registre_Maintenance_v1[Longitude],"pas trouvé")</f>
        <v>22.943373000000001</v>
      </c>
      <c r="I605" t="str">
        <f>_xlfn.XLOOKUP(_26_03_2026_Log_Reseau_v15[[#This Row],[Cell_ID]],_26_03_2026_Registre_Maintenance_v1[ID_Antenne],_26_03_2026_Registre_Maintenance_v1[Technologie],"non trouvé")</f>
        <v>3G</v>
      </c>
      <c r="J605" t="str">
        <f>_xlfn.XLOOKUP(_26_03_2026_Log_Reseau_v15[[#This Row],[Cell_ID]],_26_03_2026_Registre_Maintenance_v1[ID_Antenne],_26_03_2026_Registre_Maintenance_v1[Equipementier],"pas trouvé")</f>
        <v>Huawei</v>
      </c>
      <c r="K605" t="str">
        <f>_xlfn.XLOOKUP(_26_03_2026_Log_Reseau_v15[[#This Row],[province RDC]],_26_03_2026_Client_Churn_v1[Province_Client],_26_03_2026_Client_Churn_v1[ID_Client],"non trouvé")</f>
        <v>CLI-00414</v>
      </c>
      <c r="L605">
        <f>_xlfn.XLOOKUP(_26_03_2026_Log_Reseau_v15[[#This Row],[province RDC]],_26_03_2026_Client_Churn_v1[Province_Client],_26_03_2026_Client_Churn_v1[Anciennete_Mois],"non trouvé")</f>
        <v>99</v>
      </c>
      <c r="M605" t="str">
        <f>_xlfn.XLOOKUP(_26_03_2026_Log_Reseau_v15[[#This Row],[province RDC]],_26_03_2026_Client_Churn_v1[Province_Client],_26_03_2026_Client_Churn_v1[Type_Forfait],"non trouvé")</f>
        <v>Premium 5G 150Go</v>
      </c>
      <c r="N605">
        <f>_xlfn.XLOOKUP(_26_03_2026_Log_Reseau_v15[[#This Row],[province RDC]],_26_03_2026_Client_Churn_v1[Province_Client],_26_03_2026_Client_Churn_v1[Duree_Cumulee_Panne_Min],"non trouvé")</f>
        <v>447</v>
      </c>
      <c r="O605">
        <f>_xlfn.XLOOKUP(_26_03_2026_Log_Reseau_v15[[#This Row],[province RDC]],_26_03_2026_Client_Churn_v1[Province_Client],_26_03_2026_Client_Churn_v1[Facture_Mensuelle],"non trouvé")</f>
        <v>38.1</v>
      </c>
      <c r="P605">
        <f>_xlfn.XLOOKUP(_26_03_2026_Log_Reseau_v15[[#This Row],[province RDC]],_26_03_2026_Client_Churn_v1[Province_Client],_26_03_2026_Client_Churn_v1[Plaintes_Service_Client],"non trouvé")</f>
        <v>3</v>
      </c>
    </row>
    <row r="606" spans="1:16" hidden="1" x14ac:dyDescent="0.25">
      <c r="A606" s="1">
        <v>45211</v>
      </c>
      <c r="B606" s="2">
        <v>0.36805555555555558</v>
      </c>
      <c r="C606" t="s">
        <v>1184</v>
      </c>
      <c r="D606">
        <v>15</v>
      </c>
      <c r="E606" t="s">
        <v>808</v>
      </c>
      <c r="F606" t="str">
        <f>_xlfn.XLOOKUP(_26_03_2026_Log_Reseau_v15[[#This Row],[Cell_ID]],_26_03_2026_Registre_Maintenance_v1[ID_Antenne],_26_03_2026_Registre_Maintenance_v1[zone],"pas trouvé")</f>
        <v>pas trouvé</v>
      </c>
      <c r="G606" t="str">
        <f>_xlfn.XLOOKUP(_26_03_2026_Log_Reseau_v15[[#This Row],[Cell_ID]],_26_03_2026_Registre_Maintenance_v1[ID_Antenne],_26_03_2026_Registre_Maintenance_v1[Latitude],"non trouvé")</f>
        <v>non trouvé</v>
      </c>
      <c r="H606" t="str">
        <f>_xlfn.XLOOKUP(_26_03_2026_Log_Reseau_v15[[#This Row],[Cell_ID]],_26_03_2026_Registre_Maintenance_v1[ID_Antenne],_26_03_2026_Registre_Maintenance_v1[Longitude],"pas trouvé")</f>
        <v>pas trouvé</v>
      </c>
      <c r="I606" t="str">
        <f>_xlfn.XLOOKUP(_26_03_2026_Log_Reseau_v15[[#This Row],[Cell_ID]],_26_03_2026_Registre_Maintenance_v1[ID_Antenne],_26_03_2026_Registre_Maintenance_v1[Technologie],"non trouvé")</f>
        <v>non trouvé</v>
      </c>
      <c r="J606" t="str">
        <f>_xlfn.XLOOKUP(_26_03_2026_Log_Reseau_v15[[#This Row],[Cell_ID]],_26_03_2026_Registre_Maintenance_v1[ID_Antenne],_26_03_2026_Registre_Maintenance_v1[Equipementier],"pas trouvé")</f>
        <v>pas trouvé</v>
      </c>
      <c r="K606" t="str">
        <f>_xlfn.XLOOKUP(_26_03_2026_Log_Reseau_v15[[#This Row],[province RDC]],_26_03_2026_Client_Churn_v1[Province_Client],_26_03_2026_Client_Churn_v1[ID_Client],"non trouvé")</f>
        <v>non trouvé</v>
      </c>
      <c r="L606" t="str">
        <f>_xlfn.XLOOKUP(_26_03_2026_Log_Reseau_v15[[#This Row],[province RDC]],_26_03_2026_Client_Churn_v1[Province_Client],_26_03_2026_Client_Churn_v1[Anciennete_Mois],"non trouvé")</f>
        <v>non trouvé</v>
      </c>
      <c r="M606" t="str">
        <f>_xlfn.XLOOKUP(_26_03_2026_Log_Reseau_v15[[#This Row],[province RDC]],_26_03_2026_Client_Churn_v1[Province_Client],_26_03_2026_Client_Churn_v1[Type_Forfait],"non trouvé")</f>
        <v>non trouvé</v>
      </c>
      <c r="N606" t="str">
        <f>_xlfn.XLOOKUP(_26_03_2026_Log_Reseau_v15[[#This Row],[province RDC]],_26_03_2026_Client_Churn_v1[Province_Client],_26_03_2026_Client_Churn_v1[Duree_Cumulee_Panne_Min],"non trouvé")</f>
        <v>non trouvé</v>
      </c>
      <c r="O606" t="str">
        <f>_xlfn.XLOOKUP(_26_03_2026_Log_Reseau_v15[[#This Row],[province RDC]],_26_03_2026_Client_Churn_v1[Province_Client],_26_03_2026_Client_Churn_v1[Facture_Mensuelle],"non trouvé")</f>
        <v>non trouvé</v>
      </c>
      <c r="P606" t="str">
        <f>_xlfn.XLOOKUP(_26_03_2026_Log_Reseau_v15[[#This Row],[province RDC]],_26_03_2026_Client_Churn_v1[Province_Client],_26_03_2026_Client_Churn_v1[Plaintes_Service_Client],"non trouvé")</f>
        <v>non trouvé</v>
      </c>
    </row>
    <row r="607" spans="1:16" hidden="1" x14ac:dyDescent="0.25">
      <c r="A607" s="1">
        <v>45217</v>
      </c>
      <c r="B607" s="2">
        <v>0.5708333333333333</v>
      </c>
      <c r="C607" t="s">
        <v>1184</v>
      </c>
      <c r="D607">
        <v>28</v>
      </c>
      <c r="E607" t="s">
        <v>807</v>
      </c>
      <c r="F607" t="str">
        <f>_xlfn.XLOOKUP(_26_03_2026_Log_Reseau_v15[[#This Row],[Cell_ID]],_26_03_2026_Registre_Maintenance_v1[ID_Antenne],_26_03_2026_Registre_Maintenance_v1[zone],"pas trouvé")</f>
        <v>pas trouvé</v>
      </c>
      <c r="G607" t="str">
        <f>_xlfn.XLOOKUP(_26_03_2026_Log_Reseau_v15[[#This Row],[Cell_ID]],_26_03_2026_Registre_Maintenance_v1[ID_Antenne],_26_03_2026_Registre_Maintenance_v1[Latitude],"non trouvé")</f>
        <v>non trouvé</v>
      </c>
      <c r="H607" t="str">
        <f>_xlfn.XLOOKUP(_26_03_2026_Log_Reseau_v15[[#This Row],[Cell_ID]],_26_03_2026_Registre_Maintenance_v1[ID_Antenne],_26_03_2026_Registre_Maintenance_v1[Longitude],"pas trouvé")</f>
        <v>pas trouvé</v>
      </c>
      <c r="I607" t="str">
        <f>_xlfn.XLOOKUP(_26_03_2026_Log_Reseau_v15[[#This Row],[Cell_ID]],_26_03_2026_Registre_Maintenance_v1[ID_Antenne],_26_03_2026_Registre_Maintenance_v1[Technologie],"non trouvé")</f>
        <v>non trouvé</v>
      </c>
      <c r="J607" t="str">
        <f>_xlfn.XLOOKUP(_26_03_2026_Log_Reseau_v15[[#This Row],[Cell_ID]],_26_03_2026_Registre_Maintenance_v1[ID_Antenne],_26_03_2026_Registre_Maintenance_v1[Equipementier],"pas trouvé")</f>
        <v>pas trouvé</v>
      </c>
      <c r="K607" t="str">
        <f>_xlfn.XLOOKUP(_26_03_2026_Log_Reseau_v15[[#This Row],[province RDC]],_26_03_2026_Client_Churn_v1[Province_Client],_26_03_2026_Client_Churn_v1[ID_Client],"non trouvé")</f>
        <v>non trouvé</v>
      </c>
      <c r="L607" t="str">
        <f>_xlfn.XLOOKUP(_26_03_2026_Log_Reseau_v15[[#This Row],[province RDC]],_26_03_2026_Client_Churn_v1[Province_Client],_26_03_2026_Client_Churn_v1[Anciennete_Mois],"non trouvé")</f>
        <v>non trouvé</v>
      </c>
      <c r="M607" t="str">
        <f>_xlfn.XLOOKUP(_26_03_2026_Log_Reseau_v15[[#This Row],[province RDC]],_26_03_2026_Client_Churn_v1[Province_Client],_26_03_2026_Client_Churn_v1[Type_Forfait],"non trouvé")</f>
        <v>non trouvé</v>
      </c>
      <c r="N607" t="str">
        <f>_xlfn.XLOOKUP(_26_03_2026_Log_Reseau_v15[[#This Row],[province RDC]],_26_03_2026_Client_Churn_v1[Province_Client],_26_03_2026_Client_Churn_v1[Duree_Cumulee_Panne_Min],"non trouvé")</f>
        <v>non trouvé</v>
      </c>
      <c r="O607" t="str">
        <f>_xlfn.XLOOKUP(_26_03_2026_Log_Reseau_v15[[#This Row],[province RDC]],_26_03_2026_Client_Churn_v1[Province_Client],_26_03_2026_Client_Churn_v1[Facture_Mensuelle],"non trouvé")</f>
        <v>non trouvé</v>
      </c>
      <c r="P607" t="str">
        <f>_xlfn.XLOOKUP(_26_03_2026_Log_Reseau_v15[[#This Row],[province RDC]],_26_03_2026_Client_Churn_v1[Province_Client],_26_03_2026_Client_Churn_v1[Plaintes_Service_Client],"non trouvé")</f>
        <v>non trouvé</v>
      </c>
    </row>
    <row r="608" spans="1:16" hidden="1" x14ac:dyDescent="0.25">
      <c r="A608" s="1">
        <v>45226</v>
      </c>
      <c r="B608" s="2">
        <v>0.98819444444444449</v>
      </c>
      <c r="C608" t="s">
        <v>1185</v>
      </c>
      <c r="D608">
        <v>83</v>
      </c>
      <c r="E608" t="s">
        <v>808</v>
      </c>
      <c r="F608" t="str">
        <f>_xlfn.XLOOKUP(_26_03_2026_Log_Reseau_v15[[#This Row],[Cell_ID]],_26_03_2026_Registre_Maintenance_v1[ID_Antenne],_26_03_2026_Registre_Maintenance_v1[zone],"pas trouvé")</f>
        <v>pas trouvé</v>
      </c>
      <c r="G608" t="str">
        <f>_xlfn.XLOOKUP(_26_03_2026_Log_Reseau_v15[[#This Row],[Cell_ID]],_26_03_2026_Registre_Maintenance_v1[ID_Antenne],_26_03_2026_Registre_Maintenance_v1[Latitude],"non trouvé")</f>
        <v>non trouvé</v>
      </c>
      <c r="H608" t="str">
        <f>_xlfn.XLOOKUP(_26_03_2026_Log_Reseau_v15[[#This Row],[Cell_ID]],_26_03_2026_Registre_Maintenance_v1[ID_Antenne],_26_03_2026_Registre_Maintenance_v1[Longitude],"pas trouvé")</f>
        <v>pas trouvé</v>
      </c>
      <c r="I608" t="str">
        <f>_xlfn.XLOOKUP(_26_03_2026_Log_Reseau_v15[[#This Row],[Cell_ID]],_26_03_2026_Registre_Maintenance_v1[ID_Antenne],_26_03_2026_Registre_Maintenance_v1[Technologie],"non trouvé")</f>
        <v>non trouvé</v>
      </c>
      <c r="J608" t="str">
        <f>_xlfn.XLOOKUP(_26_03_2026_Log_Reseau_v15[[#This Row],[Cell_ID]],_26_03_2026_Registre_Maintenance_v1[ID_Antenne],_26_03_2026_Registre_Maintenance_v1[Equipementier],"pas trouvé")</f>
        <v>pas trouvé</v>
      </c>
      <c r="K608" t="str">
        <f>_xlfn.XLOOKUP(_26_03_2026_Log_Reseau_v15[[#This Row],[province RDC]],_26_03_2026_Client_Churn_v1[Province_Client],_26_03_2026_Client_Churn_v1[ID_Client],"non trouvé")</f>
        <v>non trouvé</v>
      </c>
      <c r="L608" t="str">
        <f>_xlfn.XLOOKUP(_26_03_2026_Log_Reseau_v15[[#This Row],[province RDC]],_26_03_2026_Client_Churn_v1[Province_Client],_26_03_2026_Client_Churn_v1[Anciennete_Mois],"non trouvé")</f>
        <v>non trouvé</v>
      </c>
      <c r="M608" t="str">
        <f>_xlfn.XLOOKUP(_26_03_2026_Log_Reseau_v15[[#This Row],[province RDC]],_26_03_2026_Client_Churn_v1[Province_Client],_26_03_2026_Client_Churn_v1[Type_Forfait],"non trouvé")</f>
        <v>non trouvé</v>
      </c>
      <c r="N608" t="str">
        <f>_xlfn.XLOOKUP(_26_03_2026_Log_Reseau_v15[[#This Row],[province RDC]],_26_03_2026_Client_Churn_v1[Province_Client],_26_03_2026_Client_Churn_v1[Duree_Cumulee_Panne_Min],"non trouvé")</f>
        <v>non trouvé</v>
      </c>
      <c r="O608" t="str">
        <f>_xlfn.XLOOKUP(_26_03_2026_Log_Reseau_v15[[#This Row],[province RDC]],_26_03_2026_Client_Churn_v1[Province_Client],_26_03_2026_Client_Churn_v1[Facture_Mensuelle],"non trouvé")</f>
        <v>non trouvé</v>
      </c>
      <c r="P608" t="str">
        <f>_xlfn.XLOOKUP(_26_03_2026_Log_Reseau_v15[[#This Row],[province RDC]],_26_03_2026_Client_Churn_v1[Province_Client],_26_03_2026_Client_Churn_v1[Plaintes_Service_Client],"non trouvé")</f>
        <v>non trouvé</v>
      </c>
    </row>
    <row r="609" spans="1:16" x14ac:dyDescent="0.25">
      <c r="A609" s="1">
        <v>45201</v>
      </c>
      <c r="B609" s="2">
        <v>0.46805555555555556</v>
      </c>
      <c r="C609" t="s">
        <v>1186</v>
      </c>
      <c r="D609">
        <v>80</v>
      </c>
      <c r="E609" t="s">
        <v>807</v>
      </c>
      <c r="F609" t="str">
        <f>_xlfn.XLOOKUP(_26_03_2026_Log_Reseau_v15[[#This Row],[Cell_ID]],_26_03_2026_Registre_Maintenance_v1[ID_Antenne],_26_03_2026_Registre_Maintenance_v1[zone],"pas trouvé")</f>
        <v>Haut-Katanga</v>
      </c>
      <c r="G609">
        <f>_xlfn.XLOOKUP(_26_03_2026_Log_Reseau_v15[[#This Row],[Cell_ID]],_26_03_2026_Registre_Maintenance_v1[ID_Antenne],_26_03_2026_Registre_Maintenance_v1[Latitude],"non trouvé")</f>
        <v>-3.3890790000000002</v>
      </c>
      <c r="H609">
        <f>_xlfn.XLOOKUP(_26_03_2026_Log_Reseau_v15[[#This Row],[Cell_ID]],_26_03_2026_Registre_Maintenance_v1[ID_Antenne],_26_03_2026_Registre_Maintenance_v1[Longitude],"pas trouvé")</f>
        <v>18.374571</v>
      </c>
      <c r="I609" t="str">
        <f>_xlfn.XLOOKUP(_26_03_2026_Log_Reseau_v15[[#This Row],[Cell_ID]],_26_03_2026_Registre_Maintenance_v1[ID_Antenne],_26_03_2026_Registre_Maintenance_v1[Technologie],"non trouvé")</f>
        <v>5G</v>
      </c>
      <c r="J609" t="str">
        <f>_xlfn.XLOOKUP(_26_03_2026_Log_Reseau_v15[[#This Row],[Cell_ID]],_26_03_2026_Registre_Maintenance_v1[ID_Antenne],_26_03_2026_Registre_Maintenance_v1[Equipementier],"pas trouvé")</f>
        <v>ZTE</v>
      </c>
      <c r="K609" t="str">
        <f>_xlfn.XLOOKUP(_26_03_2026_Log_Reseau_v15[[#This Row],[province RDC]],_26_03_2026_Client_Churn_v1[Province_Client],_26_03_2026_Client_Churn_v1[ID_Client],"non trouvé")</f>
        <v>CLI-00076</v>
      </c>
      <c r="L609">
        <f>_xlfn.XLOOKUP(_26_03_2026_Log_Reseau_v15[[#This Row],[province RDC]],_26_03_2026_Client_Churn_v1[Province_Client],_26_03_2026_Client_Churn_v1[Anciennete_Mois],"non trouvé")</f>
        <v>46</v>
      </c>
      <c r="M609" t="str">
        <f>_xlfn.XLOOKUP(_26_03_2026_Log_Reseau_v15[[#This Row],[province RDC]],_26_03_2026_Client_Churn_v1[Province_Client],_26_03_2026_Client_Churn_v1[Type_Forfait],"non trouvé")</f>
        <v>Premium 5G 150Go</v>
      </c>
      <c r="N609">
        <f>_xlfn.XLOOKUP(_26_03_2026_Log_Reseau_v15[[#This Row],[province RDC]],_26_03_2026_Client_Churn_v1[Province_Client],_26_03_2026_Client_Churn_v1[Duree_Cumulee_Panne_Min],"non trouvé")</f>
        <v>283</v>
      </c>
      <c r="O609">
        <f>_xlfn.XLOOKUP(_26_03_2026_Log_Reseau_v15[[#This Row],[province RDC]],_26_03_2026_Client_Churn_v1[Province_Client],_26_03_2026_Client_Churn_v1[Facture_Mensuelle],"non trouvé")</f>
        <v>56.05</v>
      </c>
      <c r="P609">
        <f>_xlfn.XLOOKUP(_26_03_2026_Log_Reseau_v15[[#This Row],[province RDC]],_26_03_2026_Client_Churn_v1[Province_Client],_26_03_2026_Client_Churn_v1[Plaintes_Service_Client],"non trouvé")</f>
        <v>1</v>
      </c>
    </row>
    <row r="610" spans="1:16" hidden="1" x14ac:dyDescent="0.25">
      <c r="A610" s="1">
        <v>45218</v>
      </c>
      <c r="B610" s="2">
        <v>0.87569444444444444</v>
      </c>
      <c r="C610" t="s">
        <v>1187</v>
      </c>
      <c r="D610">
        <v>39</v>
      </c>
      <c r="E610" t="s">
        <v>807</v>
      </c>
      <c r="F610" t="str">
        <f>_xlfn.XLOOKUP(_26_03_2026_Log_Reseau_v15[[#This Row],[Cell_ID]],_26_03_2026_Registre_Maintenance_v1[ID_Antenne],_26_03_2026_Registre_Maintenance_v1[zone],"pas trouvé")</f>
        <v>pas trouvé</v>
      </c>
      <c r="G610" t="str">
        <f>_xlfn.XLOOKUP(_26_03_2026_Log_Reseau_v15[[#This Row],[Cell_ID]],_26_03_2026_Registre_Maintenance_v1[ID_Antenne],_26_03_2026_Registre_Maintenance_v1[Latitude],"non trouvé")</f>
        <v>non trouvé</v>
      </c>
      <c r="H610" t="str">
        <f>_xlfn.XLOOKUP(_26_03_2026_Log_Reseau_v15[[#This Row],[Cell_ID]],_26_03_2026_Registre_Maintenance_v1[ID_Antenne],_26_03_2026_Registre_Maintenance_v1[Longitude],"pas trouvé")</f>
        <v>pas trouvé</v>
      </c>
      <c r="I610" t="str">
        <f>_xlfn.XLOOKUP(_26_03_2026_Log_Reseau_v15[[#This Row],[Cell_ID]],_26_03_2026_Registre_Maintenance_v1[ID_Antenne],_26_03_2026_Registre_Maintenance_v1[Technologie],"non trouvé")</f>
        <v>non trouvé</v>
      </c>
      <c r="J610" t="str">
        <f>_xlfn.XLOOKUP(_26_03_2026_Log_Reseau_v15[[#This Row],[Cell_ID]],_26_03_2026_Registre_Maintenance_v1[ID_Antenne],_26_03_2026_Registre_Maintenance_v1[Equipementier],"pas trouvé")</f>
        <v>pas trouvé</v>
      </c>
      <c r="K610" t="str">
        <f>_xlfn.XLOOKUP(_26_03_2026_Log_Reseau_v15[[#This Row],[province RDC]],_26_03_2026_Client_Churn_v1[Province_Client],_26_03_2026_Client_Churn_v1[ID_Client],"non trouvé")</f>
        <v>non trouvé</v>
      </c>
      <c r="L610" t="str">
        <f>_xlfn.XLOOKUP(_26_03_2026_Log_Reseau_v15[[#This Row],[province RDC]],_26_03_2026_Client_Churn_v1[Province_Client],_26_03_2026_Client_Churn_v1[Anciennete_Mois],"non trouvé")</f>
        <v>non trouvé</v>
      </c>
      <c r="M610" t="str">
        <f>_xlfn.XLOOKUP(_26_03_2026_Log_Reseau_v15[[#This Row],[province RDC]],_26_03_2026_Client_Churn_v1[Province_Client],_26_03_2026_Client_Churn_v1[Type_Forfait],"non trouvé")</f>
        <v>non trouvé</v>
      </c>
      <c r="N610" t="str">
        <f>_xlfn.XLOOKUP(_26_03_2026_Log_Reseau_v15[[#This Row],[province RDC]],_26_03_2026_Client_Churn_v1[Province_Client],_26_03_2026_Client_Churn_v1[Duree_Cumulee_Panne_Min],"non trouvé")</f>
        <v>non trouvé</v>
      </c>
      <c r="O610" t="str">
        <f>_xlfn.XLOOKUP(_26_03_2026_Log_Reseau_v15[[#This Row],[province RDC]],_26_03_2026_Client_Churn_v1[Province_Client],_26_03_2026_Client_Churn_v1[Facture_Mensuelle],"non trouvé")</f>
        <v>non trouvé</v>
      </c>
      <c r="P610" t="str">
        <f>_xlfn.XLOOKUP(_26_03_2026_Log_Reseau_v15[[#This Row],[province RDC]],_26_03_2026_Client_Churn_v1[Province_Client],_26_03_2026_Client_Churn_v1[Plaintes_Service_Client],"non trouvé")</f>
        <v>non trouvé</v>
      </c>
    </row>
    <row r="611" spans="1:16" hidden="1" x14ac:dyDescent="0.25">
      <c r="A611" s="1">
        <v>45218</v>
      </c>
      <c r="B611" s="2">
        <v>0.24027777777777778</v>
      </c>
      <c r="C611" t="s">
        <v>1187</v>
      </c>
      <c r="D611">
        <v>53</v>
      </c>
      <c r="E611" t="s">
        <v>812</v>
      </c>
      <c r="F611" t="str">
        <f>_xlfn.XLOOKUP(_26_03_2026_Log_Reseau_v15[[#This Row],[Cell_ID]],_26_03_2026_Registre_Maintenance_v1[ID_Antenne],_26_03_2026_Registre_Maintenance_v1[zone],"pas trouvé")</f>
        <v>pas trouvé</v>
      </c>
      <c r="G611" t="str">
        <f>_xlfn.XLOOKUP(_26_03_2026_Log_Reseau_v15[[#This Row],[Cell_ID]],_26_03_2026_Registre_Maintenance_v1[ID_Antenne],_26_03_2026_Registre_Maintenance_v1[Latitude],"non trouvé")</f>
        <v>non trouvé</v>
      </c>
      <c r="H611" t="str">
        <f>_xlfn.XLOOKUP(_26_03_2026_Log_Reseau_v15[[#This Row],[Cell_ID]],_26_03_2026_Registre_Maintenance_v1[ID_Antenne],_26_03_2026_Registre_Maintenance_v1[Longitude],"pas trouvé")</f>
        <v>pas trouvé</v>
      </c>
      <c r="I611" t="str">
        <f>_xlfn.XLOOKUP(_26_03_2026_Log_Reseau_v15[[#This Row],[Cell_ID]],_26_03_2026_Registre_Maintenance_v1[ID_Antenne],_26_03_2026_Registre_Maintenance_v1[Technologie],"non trouvé")</f>
        <v>non trouvé</v>
      </c>
      <c r="J611" t="str">
        <f>_xlfn.XLOOKUP(_26_03_2026_Log_Reseau_v15[[#This Row],[Cell_ID]],_26_03_2026_Registre_Maintenance_v1[ID_Antenne],_26_03_2026_Registre_Maintenance_v1[Equipementier],"pas trouvé")</f>
        <v>pas trouvé</v>
      </c>
      <c r="K611" t="str">
        <f>_xlfn.XLOOKUP(_26_03_2026_Log_Reseau_v15[[#This Row],[province RDC]],_26_03_2026_Client_Churn_v1[Province_Client],_26_03_2026_Client_Churn_v1[ID_Client],"non trouvé")</f>
        <v>non trouvé</v>
      </c>
      <c r="L611" t="str">
        <f>_xlfn.XLOOKUP(_26_03_2026_Log_Reseau_v15[[#This Row],[province RDC]],_26_03_2026_Client_Churn_v1[Province_Client],_26_03_2026_Client_Churn_v1[Anciennete_Mois],"non trouvé")</f>
        <v>non trouvé</v>
      </c>
      <c r="M611" t="str">
        <f>_xlfn.XLOOKUP(_26_03_2026_Log_Reseau_v15[[#This Row],[province RDC]],_26_03_2026_Client_Churn_v1[Province_Client],_26_03_2026_Client_Churn_v1[Type_Forfait],"non trouvé")</f>
        <v>non trouvé</v>
      </c>
      <c r="N611" t="str">
        <f>_xlfn.XLOOKUP(_26_03_2026_Log_Reseau_v15[[#This Row],[province RDC]],_26_03_2026_Client_Churn_v1[Province_Client],_26_03_2026_Client_Churn_v1[Duree_Cumulee_Panne_Min],"non trouvé")</f>
        <v>non trouvé</v>
      </c>
      <c r="O611" t="str">
        <f>_xlfn.XLOOKUP(_26_03_2026_Log_Reseau_v15[[#This Row],[province RDC]],_26_03_2026_Client_Churn_v1[Province_Client],_26_03_2026_Client_Churn_v1[Facture_Mensuelle],"non trouvé")</f>
        <v>non trouvé</v>
      </c>
      <c r="P611" t="str">
        <f>_xlfn.XLOOKUP(_26_03_2026_Log_Reseau_v15[[#This Row],[province RDC]],_26_03_2026_Client_Churn_v1[Province_Client],_26_03_2026_Client_Churn_v1[Plaintes_Service_Client],"non trouvé")</f>
        <v>non trouvé</v>
      </c>
    </row>
    <row r="612" spans="1:16" x14ac:dyDescent="0.25">
      <c r="A612" s="1">
        <v>45208</v>
      </c>
      <c r="B612" s="2">
        <v>0.96180555555555558</v>
      </c>
      <c r="C612" t="s">
        <v>1188</v>
      </c>
      <c r="D612">
        <v>68</v>
      </c>
      <c r="E612" t="s">
        <v>807</v>
      </c>
      <c r="F612" t="str">
        <f>_xlfn.XLOOKUP(_26_03_2026_Log_Reseau_v15[[#This Row],[Cell_ID]],_26_03_2026_Registre_Maintenance_v1[ID_Antenne],_26_03_2026_Registre_Maintenance_v1[zone],"pas trouvé")</f>
        <v>Bas-Uele</v>
      </c>
      <c r="G612">
        <f>_xlfn.XLOOKUP(_26_03_2026_Log_Reseau_v15[[#This Row],[Cell_ID]],_26_03_2026_Registre_Maintenance_v1[ID_Antenne],_26_03_2026_Registre_Maintenance_v1[Latitude],"non trouvé")</f>
        <v>-2.3269820000000001</v>
      </c>
      <c r="H612">
        <f>_xlfn.XLOOKUP(_26_03_2026_Log_Reseau_v15[[#This Row],[Cell_ID]],_26_03_2026_Registre_Maintenance_v1[ID_Antenne],_26_03_2026_Registre_Maintenance_v1[Longitude],"pas trouvé")</f>
        <v>14.609259</v>
      </c>
      <c r="I612" t="str">
        <f>_xlfn.XLOOKUP(_26_03_2026_Log_Reseau_v15[[#This Row],[Cell_ID]],_26_03_2026_Registre_Maintenance_v1[ID_Antenne],_26_03_2026_Registre_Maintenance_v1[Technologie],"non trouvé")</f>
        <v>3G</v>
      </c>
      <c r="J612" t="str">
        <f>_xlfn.XLOOKUP(_26_03_2026_Log_Reseau_v15[[#This Row],[Cell_ID]],_26_03_2026_Registre_Maintenance_v1[ID_Antenne],_26_03_2026_Registre_Maintenance_v1[Equipementier],"pas trouvé")</f>
        <v>Nokia</v>
      </c>
      <c r="K612" t="str">
        <f>_xlfn.XLOOKUP(_26_03_2026_Log_Reseau_v15[[#This Row],[province RDC]],_26_03_2026_Client_Churn_v1[Province_Client],_26_03_2026_Client_Churn_v1[ID_Client],"non trouvé")</f>
        <v>CLI-00414</v>
      </c>
      <c r="L612">
        <f>_xlfn.XLOOKUP(_26_03_2026_Log_Reseau_v15[[#This Row],[province RDC]],_26_03_2026_Client_Churn_v1[Province_Client],_26_03_2026_Client_Churn_v1[Anciennete_Mois],"non trouvé")</f>
        <v>99</v>
      </c>
      <c r="M612" t="str">
        <f>_xlfn.XLOOKUP(_26_03_2026_Log_Reseau_v15[[#This Row],[province RDC]],_26_03_2026_Client_Churn_v1[Province_Client],_26_03_2026_Client_Churn_v1[Type_Forfait],"non trouvé")</f>
        <v>Premium 5G 150Go</v>
      </c>
      <c r="N612">
        <f>_xlfn.XLOOKUP(_26_03_2026_Log_Reseau_v15[[#This Row],[province RDC]],_26_03_2026_Client_Churn_v1[Province_Client],_26_03_2026_Client_Churn_v1[Duree_Cumulee_Panne_Min],"non trouvé")</f>
        <v>447</v>
      </c>
      <c r="O612">
        <f>_xlfn.XLOOKUP(_26_03_2026_Log_Reseau_v15[[#This Row],[province RDC]],_26_03_2026_Client_Churn_v1[Province_Client],_26_03_2026_Client_Churn_v1[Facture_Mensuelle],"non trouvé")</f>
        <v>38.1</v>
      </c>
      <c r="P612">
        <f>_xlfn.XLOOKUP(_26_03_2026_Log_Reseau_v15[[#This Row],[province RDC]],_26_03_2026_Client_Churn_v1[Province_Client],_26_03_2026_Client_Churn_v1[Plaintes_Service_Client],"non trouvé")</f>
        <v>3</v>
      </c>
    </row>
    <row r="613" spans="1:16" x14ac:dyDescent="0.25">
      <c r="A613" s="1">
        <v>45230</v>
      </c>
      <c r="B613" s="2">
        <v>4.8611111111111112E-3</v>
      </c>
      <c r="C613" t="s">
        <v>1189</v>
      </c>
      <c r="D613">
        <v>58</v>
      </c>
      <c r="E613" t="s">
        <v>807</v>
      </c>
      <c r="F613" t="str">
        <f>_xlfn.XLOOKUP(_26_03_2026_Log_Reseau_v15[[#This Row],[Cell_ID]],_26_03_2026_Registre_Maintenance_v1[ID_Antenne],_26_03_2026_Registre_Maintenance_v1[zone],"pas trouvé")</f>
        <v>Lualaba</v>
      </c>
      <c r="G613">
        <f>_xlfn.XLOOKUP(_26_03_2026_Log_Reseau_v15[[#This Row],[Cell_ID]],_26_03_2026_Registre_Maintenance_v1[ID_Antenne],_26_03_2026_Registre_Maintenance_v1[Latitude],"non trouvé")</f>
        <v>-7.4608439999999998</v>
      </c>
      <c r="H613">
        <f>_xlfn.XLOOKUP(_26_03_2026_Log_Reseau_v15[[#This Row],[Cell_ID]],_26_03_2026_Registre_Maintenance_v1[ID_Antenne],_26_03_2026_Registre_Maintenance_v1[Longitude],"pas trouvé")</f>
        <v>23.268619999999999</v>
      </c>
      <c r="I613" t="str">
        <f>_xlfn.XLOOKUP(_26_03_2026_Log_Reseau_v15[[#This Row],[Cell_ID]],_26_03_2026_Registre_Maintenance_v1[ID_Antenne],_26_03_2026_Registre_Maintenance_v1[Technologie],"non trouvé")</f>
        <v>4G</v>
      </c>
      <c r="J613" t="str">
        <f>_xlfn.XLOOKUP(_26_03_2026_Log_Reseau_v15[[#This Row],[Cell_ID]],_26_03_2026_Registre_Maintenance_v1[ID_Antenne],_26_03_2026_Registre_Maintenance_v1[Equipementier],"pas trouvé")</f>
        <v>Huawei</v>
      </c>
      <c r="K613" t="str">
        <f>_xlfn.XLOOKUP(_26_03_2026_Log_Reseau_v15[[#This Row],[province RDC]],_26_03_2026_Client_Churn_v1[Province_Client],_26_03_2026_Client_Churn_v1[ID_Client],"non trouvé")</f>
        <v>CLI-01005</v>
      </c>
      <c r="L613">
        <f>_xlfn.XLOOKUP(_26_03_2026_Log_Reseau_v15[[#This Row],[province RDC]],_26_03_2026_Client_Churn_v1[Province_Client],_26_03_2026_Client_Churn_v1[Anciennete_Mois],"non trouvé")</f>
        <v>80</v>
      </c>
      <c r="M613" t="str">
        <f>_xlfn.XLOOKUP(_26_03_2026_Log_Reseau_v15[[#This Row],[province RDC]],_26_03_2026_Client_Churn_v1[Province_Client],_26_03_2026_Client_Churn_v1[Type_Forfait],"non trouvé")</f>
        <v>Illimité 50Go</v>
      </c>
      <c r="N613">
        <f>_xlfn.XLOOKUP(_26_03_2026_Log_Reseau_v15[[#This Row],[province RDC]],_26_03_2026_Client_Churn_v1[Province_Client],_26_03_2026_Client_Churn_v1[Duree_Cumulee_Panne_Min],"non trouvé")</f>
        <v>155</v>
      </c>
      <c r="O613">
        <f>_xlfn.XLOOKUP(_26_03_2026_Log_Reseau_v15[[#This Row],[province RDC]],_26_03_2026_Client_Churn_v1[Province_Client],_26_03_2026_Client_Churn_v1[Facture_Mensuelle],"non trouvé")</f>
        <v>28.96</v>
      </c>
      <c r="P613">
        <f>_xlfn.XLOOKUP(_26_03_2026_Log_Reseau_v15[[#This Row],[province RDC]],_26_03_2026_Client_Churn_v1[Province_Client],_26_03_2026_Client_Churn_v1[Plaintes_Service_Client],"non trouvé")</f>
        <v>2</v>
      </c>
    </row>
    <row r="614" spans="1:16" hidden="1" x14ac:dyDescent="0.25">
      <c r="A614" s="1">
        <v>45223</v>
      </c>
      <c r="B614" s="2">
        <v>0.3125</v>
      </c>
      <c r="C614" t="s">
        <v>1190</v>
      </c>
      <c r="D614">
        <v>62</v>
      </c>
      <c r="E614" t="s">
        <v>807</v>
      </c>
      <c r="F614" t="str">
        <f>_xlfn.XLOOKUP(_26_03_2026_Log_Reseau_v15[[#This Row],[Cell_ID]],_26_03_2026_Registre_Maintenance_v1[ID_Antenne],_26_03_2026_Registre_Maintenance_v1[zone],"pas trouvé")</f>
        <v>pas trouvé</v>
      </c>
      <c r="G614" t="str">
        <f>_xlfn.XLOOKUP(_26_03_2026_Log_Reseau_v15[[#This Row],[Cell_ID]],_26_03_2026_Registre_Maintenance_v1[ID_Antenne],_26_03_2026_Registre_Maintenance_v1[Latitude],"non trouvé")</f>
        <v>non trouvé</v>
      </c>
      <c r="H614" t="str">
        <f>_xlfn.XLOOKUP(_26_03_2026_Log_Reseau_v15[[#This Row],[Cell_ID]],_26_03_2026_Registre_Maintenance_v1[ID_Antenne],_26_03_2026_Registre_Maintenance_v1[Longitude],"pas trouvé")</f>
        <v>pas trouvé</v>
      </c>
      <c r="I614" t="str">
        <f>_xlfn.XLOOKUP(_26_03_2026_Log_Reseau_v15[[#This Row],[Cell_ID]],_26_03_2026_Registre_Maintenance_v1[ID_Antenne],_26_03_2026_Registre_Maintenance_v1[Technologie],"non trouvé")</f>
        <v>non trouvé</v>
      </c>
      <c r="J614" t="str">
        <f>_xlfn.XLOOKUP(_26_03_2026_Log_Reseau_v15[[#This Row],[Cell_ID]],_26_03_2026_Registre_Maintenance_v1[ID_Antenne],_26_03_2026_Registre_Maintenance_v1[Equipementier],"pas trouvé")</f>
        <v>pas trouvé</v>
      </c>
      <c r="K614" t="str">
        <f>_xlfn.XLOOKUP(_26_03_2026_Log_Reseau_v15[[#This Row],[province RDC]],_26_03_2026_Client_Churn_v1[Province_Client],_26_03_2026_Client_Churn_v1[ID_Client],"non trouvé")</f>
        <v>non trouvé</v>
      </c>
      <c r="L614" t="str">
        <f>_xlfn.XLOOKUP(_26_03_2026_Log_Reseau_v15[[#This Row],[province RDC]],_26_03_2026_Client_Churn_v1[Province_Client],_26_03_2026_Client_Churn_v1[Anciennete_Mois],"non trouvé")</f>
        <v>non trouvé</v>
      </c>
      <c r="M614" t="str">
        <f>_xlfn.XLOOKUP(_26_03_2026_Log_Reseau_v15[[#This Row],[province RDC]],_26_03_2026_Client_Churn_v1[Province_Client],_26_03_2026_Client_Churn_v1[Type_Forfait],"non trouvé")</f>
        <v>non trouvé</v>
      </c>
      <c r="N614" t="str">
        <f>_xlfn.XLOOKUP(_26_03_2026_Log_Reseau_v15[[#This Row],[province RDC]],_26_03_2026_Client_Churn_v1[Province_Client],_26_03_2026_Client_Churn_v1[Duree_Cumulee_Panne_Min],"non trouvé")</f>
        <v>non trouvé</v>
      </c>
      <c r="O614" t="str">
        <f>_xlfn.XLOOKUP(_26_03_2026_Log_Reseau_v15[[#This Row],[province RDC]],_26_03_2026_Client_Churn_v1[Province_Client],_26_03_2026_Client_Churn_v1[Facture_Mensuelle],"non trouvé")</f>
        <v>non trouvé</v>
      </c>
      <c r="P614" t="str">
        <f>_xlfn.XLOOKUP(_26_03_2026_Log_Reseau_v15[[#This Row],[province RDC]],_26_03_2026_Client_Churn_v1[Province_Client],_26_03_2026_Client_Churn_v1[Plaintes_Service_Client],"non trouvé")</f>
        <v>non trouvé</v>
      </c>
    </row>
    <row r="615" spans="1:16" hidden="1" x14ac:dyDescent="0.25">
      <c r="A615" s="1">
        <v>45222</v>
      </c>
      <c r="B615" s="2">
        <v>0.87916666666666665</v>
      </c>
      <c r="C615" t="s">
        <v>1191</v>
      </c>
      <c r="D615">
        <v>103</v>
      </c>
      <c r="E615" t="s">
        <v>812</v>
      </c>
      <c r="F615" t="str">
        <f>_xlfn.XLOOKUP(_26_03_2026_Log_Reseau_v15[[#This Row],[Cell_ID]],_26_03_2026_Registre_Maintenance_v1[ID_Antenne],_26_03_2026_Registre_Maintenance_v1[zone],"pas trouvé")</f>
        <v>pas trouvé</v>
      </c>
      <c r="G615" t="str">
        <f>_xlfn.XLOOKUP(_26_03_2026_Log_Reseau_v15[[#This Row],[Cell_ID]],_26_03_2026_Registre_Maintenance_v1[ID_Antenne],_26_03_2026_Registre_Maintenance_v1[Latitude],"non trouvé")</f>
        <v>non trouvé</v>
      </c>
      <c r="H615" t="str">
        <f>_xlfn.XLOOKUP(_26_03_2026_Log_Reseau_v15[[#This Row],[Cell_ID]],_26_03_2026_Registre_Maintenance_v1[ID_Antenne],_26_03_2026_Registre_Maintenance_v1[Longitude],"pas trouvé")</f>
        <v>pas trouvé</v>
      </c>
      <c r="I615" t="str">
        <f>_xlfn.XLOOKUP(_26_03_2026_Log_Reseau_v15[[#This Row],[Cell_ID]],_26_03_2026_Registre_Maintenance_v1[ID_Antenne],_26_03_2026_Registre_Maintenance_v1[Technologie],"non trouvé")</f>
        <v>non trouvé</v>
      </c>
      <c r="J615" t="str">
        <f>_xlfn.XLOOKUP(_26_03_2026_Log_Reseau_v15[[#This Row],[Cell_ID]],_26_03_2026_Registre_Maintenance_v1[ID_Antenne],_26_03_2026_Registre_Maintenance_v1[Equipementier],"pas trouvé")</f>
        <v>pas trouvé</v>
      </c>
      <c r="K615" t="str">
        <f>_xlfn.XLOOKUP(_26_03_2026_Log_Reseau_v15[[#This Row],[province RDC]],_26_03_2026_Client_Churn_v1[Province_Client],_26_03_2026_Client_Churn_v1[ID_Client],"non trouvé")</f>
        <v>non trouvé</v>
      </c>
      <c r="L615" t="str">
        <f>_xlfn.XLOOKUP(_26_03_2026_Log_Reseau_v15[[#This Row],[province RDC]],_26_03_2026_Client_Churn_v1[Province_Client],_26_03_2026_Client_Churn_v1[Anciennete_Mois],"non trouvé")</f>
        <v>non trouvé</v>
      </c>
      <c r="M615" t="str">
        <f>_xlfn.XLOOKUP(_26_03_2026_Log_Reseau_v15[[#This Row],[province RDC]],_26_03_2026_Client_Churn_v1[Province_Client],_26_03_2026_Client_Churn_v1[Type_Forfait],"non trouvé")</f>
        <v>non trouvé</v>
      </c>
      <c r="N615" t="str">
        <f>_xlfn.XLOOKUP(_26_03_2026_Log_Reseau_v15[[#This Row],[province RDC]],_26_03_2026_Client_Churn_v1[Province_Client],_26_03_2026_Client_Churn_v1[Duree_Cumulee_Panne_Min],"non trouvé")</f>
        <v>non trouvé</v>
      </c>
      <c r="O615" t="str">
        <f>_xlfn.XLOOKUP(_26_03_2026_Log_Reseau_v15[[#This Row],[province RDC]],_26_03_2026_Client_Churn_v1[Province_Client],_26_03_2026_Client_Churn_v1[Facture_Mensuelle],"non trouvé")</f>
        <v>non trouvé</v>
      </c>
      <c r="P615" t="str">
        <f>_xlfn.XLOOKUP(_26_03_2026_Log_Reseau_v15[[#This Row],[province RDC]],_26_03_2026_Client_Churn_v1[Province_Client],_26_03_2026_Client_Churn_v1[Plaintes_Service_Client],"non trouvé")</f>
        <v>non trouvé</v>
      </c>
    </row>
    <row r="616" spans="1:16" hidden="1" x14ac:dyDescent="0.25">
      <c r="A616" s="1">
        <v>45223</v>
      </c>
      <c r="B616" s="2">
        <v>0.7104166666666667</v>
      </c>
      <c r="C616" t="s">
        <v>1191</v>
      </c>
      <c r="D616">
        <v>43</v>
      </c>
      <c r="E616" t="s">
        <v>808</v>
      </c>
      <c r="F616" t="str">
        <f>_xlfn.XLOOKUP(_26_03_2026_Log_Reseau_v15[[#This Row],[Cell_ID]],_26_03_2026_Registre_Maintenance_v1[ID_Antenne],_26_03_2026_Registre_Maintenance_v1[zone],"pas trouvé")</f>
        <v>pas trouvé</v>
      </c>
      <c r="G616" t="str">
        <f>_xlfn.XLOOKUP(_26_03_2026_Log_Reseau_v15[[#This Row],[Cell_ID]],_26_03_2026_Registre_Maintenance_v1[ID_Antenne],_26_03_2026_Registre_Maintenance_v1[Latitude],"non trouvé")</f>
        <v>non trouvé</v>
      </c>
      <c r="H616" t="str">
        <f>_xlfn.XLOOKUP(_26_03_2026_Log_Reseau_v15[[#This Row],[Cell_ID]],_26_03_2026_Registre_Maintenance_v1[ID_Antenne],_26_03_2026_Registre_Maintenance_v1[Longitude],"pas trouvé")</f>
        <v>pas trouvé</v>
      </c>
      <c r="I616" t="str">
        <f>_xlfn.XLOOKUP(_26_03_2026_Log_Reseau_v15[[#This Row],[Cell_ID]],_26_03_2026_Registre_Maintenance_v1[ID_Antenne],_26_03_2026_Registre_Maintenance_v1[Technologie],"non trouvé")</f>
        <v>non trouvé</v>
      </c>
      <c r="J616" t="str">
        <f>_xlfn.XLOOKUP(_26_03_2026_Log_Reseau_v15[[#This Row],[Cell_ID]],_26_03_2026_Registre_Maintenance_v1[ID_Antenne],_26_03_2026_Registre_Maintenance_v1[Equipementier],"pas trouvé")</f>
        <v>pas trouvé</v>
      </c>
      <c r="K616" t="str">
        <f>_xlfn.XLOOKUP(_26_03_2026_Log_Reseau_v15[[#This Row],[province RDC]],_26_03_2026_Client_Churn_v1[Province_Client],_26_03_2026_Client_Churn_v1[ID_Client],"non trouvé")</f>
        <v>non trouvé</v>
      </c>
      <c r="L616" t="str">
        <f>_xlfn.XLOOKUP(_26_03_2026_Log_Reseau_v15[[#This Row],[province RDC]],_26_03_2026_Client_Churn_v1[Province_Client],_26_03_2026_Client_Churn_v1[Anciennete_Mois],"non trouvé")</f>
        <v>non trouvé</v>
      </c>
      <c r="M616" t="str">
        <f>_xlfn.XLOOKUP(_26_03_2026_Log_Reseau_v15[[#This Row],[province RDC]],_26_03_2026_Client_Churn_v1[Province_Client],_26_03_2026_Client_Churn_v1[Type_Forfait],"non trouvé")</f>
        <v>non trouvé</v>
      </c>
      <c r="N616" t="str">
        <f>_xlfn.XLOOKUP(_26_03_2026_Log_Reseau_v15[[#This Row],[province RDC]],_26_03_2026_Client_Churn_v1[Province_Client],_26_03_2026_Client_Churn_v1[Duree_Cumulee_Panne_Min],"non trouvé")</f>
        <v>non trouvé</v>
      </c>
      <c r="O616" t="str">
        <f>_xlfn.XLOOKUP(_26_03_2026_Log_Reseau_v15[[#This Row],[province RDC]],_26_03_2026_Client_Churn_v1[Province_Client],_26_03_2026_Client_Churn_v1[Facture_Mensuelle],"non trouvé")</f>
        <v>non trouvé</v>
      </c>
      <c r="P616" t="str">
        <f>_xlfn.XLOOKUP(_26_03_2026_Log_Reseau_v15[[#This Row],[province RDC]],_26_03_2026_Client_Churn_v1[Province_Client],_26_03_2026_Client_Churn_v1[Plaintes_Service_Client],"non trouvé")</f>
        <v>non trouvé</v>
      </c>
    </row>
    <row r="617" spans="1:16" hidden="1" x14ac:dyDescent="0.25">
      <c r="A617" s="1">
        <v>45212</v>
      </c>
      <c r="B617" s="2">
        <v>0.48541666666666666</v>
      </c>
      <c r="C617" t="s">
        <v>1192</v>
      </c>
      <c r="D617">
        <v>75</v>
      </c>
      <c r="E617" t="s">
        <v>807</v>
      </c>
      <c r="F617" t="str">
        <f>_xlfn.XLOOKUP(_26_03_2026_Log_Reseau_v15[[#This Row],[Cell_ID]],_26_03_2026_Registre_Maintenance_v1[ID_Antenne],_26_03_2026_Registre_Maintenance_v1[zone],"pas trouvé")</f>
        <v>pas trouvé</v>
      </c>
      <c r="G617" t="str">
        <f>_xlfn.XLOOKUP(_26_03_2026_Log_Reseau_v15[[#This Row],[Cell_ID]],_26_03_2026_Registre_Maintenance_v1[ID_Antenne],_26_03_2026_Registre_Maintenance_v1[Latitude],"non trouvé")</f>
        <v>non trouvé</v>
      </c>
      <c r="H617" t="str">
        <f>_xlfn.XLOOKUP(_26_03_2026_Log_Reseau_v15[[#This Row],[Cell_ID]],_26_03_2026_Registre_Maintenance_v1[ID_Antenne],_26_03_2026_Registre_Maintenance_v1[Longitude],"pas trouvé")</f>
        <v>pas trouvé</v>
      </c>
      <c r="I617" t="str">
        <f>_xlfn.XLOOKUP(_26_03_2026_Log_Reseau_v15[[#This Row],[Cell_ID]],_26_03_2026_Registre_Maintenance_v1[ID_Antenne],_26_03_2026_Registre_Maintenance_v1[Technologie],"non trouvé")</f>
        <v>non trouvé</v>
      </c>
      <c r="J617" t="str">
        <f>_xlfn.XLOOKUP(_26_03_2026_Log_Reseau_v15[[#This Row],[Cell_ID]],_26_03_2026_Registre_Maintenance_v1[ID_Antenne],_26_03_2026_Registre_Maintenance_v1[Equipementier],"pas trouvé")</f>
        <v>pas trouvé</v>
      </c>
      <c r="K617" t="str">
        <f>_xlfn.XLOOKUP(_26_03_2026_Log_Reseau_v15[[#This Row],[province RDC]],_26_03_2026_Client_Churn_v1[Province_Client],_26_03_2026_Client_Churn_v1[ID_Client],"non trouvé")</f>
        <v>non trouvé</v>
      </c>
      <c r="L617" t="str">
        <f>_xlfn.XLOOKUP(_26_03_2026_Log_Reseau_v15[[#This Row],[province RDC]],_26_03_2026_Client_Churn_v1[Province_Client],_26_03_2026_Client_Churn_v1[Anciennete_Mois],"non trouvé")</f>
        <v>non trouvé</v>
      </c>
      <c r="M617" t="str">
        <f>_xlfn.XLOOKUP(_26_03_2026_Log_Reseau_v15[[#This Row],[province RDC]],_26_03_2026_Client_Churn_v1[Province_Client],_26_03_2026_Client_Churn_v1[Type_Forfait],"non trouvé")</f>
        <v>non trouvé</v>
      </c>
      <c r="N617" t="str">
        <f>_xlfn.XLOOKUP(_26_03_2026_Log_Reseau_v15[[#This Row],[province RDC]],_26_03_2026_Client_Churn_v1[Province_Client],_26_03_2026_Client_Churn_v1[Duree_Cumulee_Panne_Min],"non trouvé")</f>
        <v>non trouvé</v>
      </c>
      <c r="O617" t="str">
        <f>_xlfn.XLOOKUP(_26_03_2026_Log_Reseau_v15[[#This Row],[province RDC]],_26_03_2026_Client_Churn_v1[Province_Client],_26_03_2026_Client_Churn_v1[Facture_Mensuelle],"non trouvé")</f>
        <v>non trouvé</v>
      </c>
      <c r="P617" t="str">
        <f>_xlfn.XLOOKUP(_26_03_2026_Log_Reseau_v15[[#This Row],[province RDC]],_26_03_2026_Client_Churn_v1[Province_Client],_26_03_2026_Client_Churn_v1[Plaintes_Service_Client],"non trouvé")</f>
        <v>non trouvé</v>
      </c>
    </row>
    <row r="618" spans="1:16" hidden="1" x14ac:dyDescent="0.25">
      <c r="A618" s="1">
        <v>45201</v>
      </c>
      <c r="B618" s="2">
        <v>0.5854166666666667</v>
      </c>
      <c r="C618" t="s">
        <v>1193</v>
      </c>
      <c r="D618">
        <v>17</v>
      </c>
      <c r="E618" t="s">
        <v>812</v>
      </c>
      <c r="F618" t="str">
        <f>_xlfn.XLOOKUP(_26_03_2026_Log_Reseau_v15[[#This Row],[Cell_ID]],_26_03_2026_Registre_Maintenance_v1[ID_Antenne],_26_03_2026_Registre_Maintenance_v1[zone],"pas trouvé")</f>
        <v>pas trouvé</v>
      </c>
      <c r="G618" t="str">
        <f>_xlfn.XLOOKUP(_26_03_2026_Log_Reseau_v15[[#This Row],[Cell_ID]],_26_03_2026_Registre_Maintenance_v1[ID_Antenne],_26_03_2026_Registre_Maintenance_v1[Latitude],"non trouvé")</f>
        <v>non trouvé</v>
      </c>
      <c r="H618" t="str">
        <f>_xlfn.XLOOKUP(_26_03_2026_Log_Reseau_v15[[#This Row],[Cell_ID]],_26_03_2026_Registre_Maintenance_v1[ID_Antenne],_26_03_2026_Registre_Maintenance_v1[Longitude],"pas trouvé")</f>
        <v>pas trouvé</v>
      </c>
      <c r="I618" t="str">
        <f>_xlfn.XLOOKUP(_26_03_2026_Log_Reseau_v15[[#This Row],[Cell_ID]],_26_03_2026_Registre_Maintenance_v1[ID_Antenne],_26_03_2026_Registre_Maintenance_v1[Technologie],"non trouvé")</f>
        <v>non trouvé</v>
      </c>
      <c r="J618" t="str">
        <f>_xlfn.XLOOKUP(_26_03_2026_Log_Reseau_v15[[#This Row],[Cell_ID]],_26_03_2026_Registre_Maintenance_v1[ID_Antenne],_26_03_2026_Registre_Maintenance_v1[Equipementier],"pas trouvé")</f>
        <v>pas trouvé</v>
      </c>
      <c r="K618" t="str">
        <f>_xlfn.XLOOKUP(_26_03_2026_Log_Reseau_v15[[#This Row],[province RDC]],_26_03_2026_Client_Churn_v1[Province_Client],_26_03_2026_Client_Churn_v1[ID_Client],"non trouvé")</f>
        <v>non trouvé</v>
      </c>
      <c r="L618" t="str">
        <f>_xlfn.XLOOKUP(_26_03_2026_Log_Reseau_v15[[#This Row],[province RDC]],_26_03_2026_Client_Churn_v1[Province_Client],_26_03_2026_Client_Churn_v1[Anciennete_Mois],"non trouvé")</f>
        <v>non trouvé</v>
      </c>
      <c r="M618" t="str">
        <f>_xlfn.XLOOKUP(_26_03_2026_Log_Reseau_v15[[#This Row],[province RDC]],_26_03_2026_Client_Churn_v1[Province_Client],_26_03_2026_Client_Churn_v1[Type_Forfait],"non trouvé")</f>
        <v>non trouvé</v>
      </c>
      <c r="N618" t="str">
        <f>_xlfn.XLOOKUP(_26_03_2026_Log_Reseau_v15[[#This Row],[province RDC]],_26_03_2026_Client_Churn_v1[Province_Client],_26_03_2026_Client_Churn_v1[Duree_Cumulee_Panne_Min],"non trouvé")</f>
        <v>non trouvé</v>
      </c>
      <c r="O618" t="str">
        <f>_xlfn.XLOOKUP(_26_03_2026_Log_Reseau_v15[[#This Row],[province RDC]],_26_03_2026_Client_Churn_v1[Province_Client],_26_03_2026_Client_Churn_v1[Facture_Mensuelle],"non trouvé")</f>
        <v>non trouvé</v>
      </c>
      <c r="P618" t="str">
        <f>_xlfn.XLOOKUP(_26_03_2026_Log_Reseau_v15[[#This Row],[province RDC]],_26_03_2026_Client_Churn_v1[Province_Client],_26_03_2026_Client_Churn_v1[Plaintes_Service_Client],"non trouvé")</f>
        <v>non trouvé</v>
      </c>
    </row>
    <row r="619" spans="1:16" x14ac:dyDescent="0.25">
      <c r="A619" s="1">
        <v>45204</v>
      </c>
      <c r="B619" s="2">
        <v>0.12291666666666666</v>
      </c>
      <c r="C619" t="s">
        <v>1194</v>
      </c>
      <c r="D619">
        <v>34</v>
      </c>
      <c r="E619" t="s">
        <v>807</v>
      </c>
      <c r="F619" t="str">
        <f>_xlfn.XLOOKUP(_26_03_2026_Log_Reseau_v15[[#This Row],[Cell_ID]],_26_03_2026_Registre_Maintenance_v1[ID_Antenne],_26_03_2026_Registre_Maintenance_v1[zone],"pas trouvé")</f>
        <v>Equateur</v>
      </c>
      <c r="G619">
        <f>_xlfn.XLOOKUP(_26_03_2026_Log_Reseau_v15[[#This Row],[Cell_ID]],_26_03_2026_Registre_Maintenance_v1[ID_Antenne],_26_03_2026_Registre_Maintenance_v1[Latitude],"non trouvé")</f>
        <v>-6.1490739999999997</v>
      </c>
      <c r="H619">
        <f>_xlfn.XLOOKUP(_26_03_2026_Log_Reseau_v15[[#This Row],[Cell_ID]],_26_03_2026_Registre_Maintenance_v1[ID_Antenne],_26_03_2026_Registre_Maintenance_v1[Longitude],"pas trouvé")</f>
        <v>23.304411000000002</v>
      </c>
      <c r="I619" t="str">
        <f>_xlfn.XLOOKUP(_26_03_2026_Log_Reseau_v15[[#This Row],[Cell_ID]],_26_03_2026_Registre_Maintenance_v1[ID_Antenne],_26_03_2026_Registre_Maintenance_v1[Technologie],"non trouvé")</f>
        <v>5G</v>
      </c>
      <c r="J619" t="str">
        <f>_xlfn.XLOOKUP(_26_03_2026_Log_Reseau_v15[[#This Row],[Cell_ID]],_26_03_2026_Registre_Maintenance_v1[ID_Antenne],_26_03_2026_Registre_Maintenance_v1[Equipementier],"pas trouvé")</f>
        <v>ZTE</v>
      </c>
      <c r="K619" t="str">
        <f>_xlfn.XLOOKUP(_26_03_2026_Log_Reseau_v15[[#This Row],[province RDC]],_26_03_2026_Client_Churn_v1[Province_Client],_26_03_2026_Client_Churn_v1[ID_Client],"non trouvé")</f>
        <v>CLI-00643</v>
      </c>
      <c r="L619">
        <f>_xlfn.XLOOKUP(_26_03_2026_Log_Reseau_v15[[#This Row],[province RDC]],_26_03_2026_Client_Churn_v1[Province_Client],_26_03_2026_Client_Churn_v1[Anciennete_Mois],"non trouvé")</f>
        <v>14</v>
      </c>
      <c r="M619" t="str">
        <f>_xlfn.XLOOKUP(_26_03_2026_Log_Reseau_v15[[#This Row],[province RDC]],_26_03_2026_Client_Churn_v1[Province_Client],_26_03_2026_Client_Churn_v1[Type_Forfait],"non trouvé")</f>
        <v>Pro Monde</v>
      </c>
      <c r="N619">
        <f>_xlfn.XLOOKUP(_26_03_2026_Log_Reseau_v15[[#This Row],[province RDC]],_26_03_2026_Client_Churn_v1[Province_Client],_26_03_2026_Client_Churn_v1[Duree_Cumulee_Panne_Min],"non trouvé")</f>
        <v>316</v>
      </c>
      <c r="O619">
        <f>_xlfn.XLOOKUP(_26_03_2026_Log_Reseau_v15[[#This Row],[province RDC]],_26_03_2026_Client_Churn_v1[Province_Client],_26_03_2026_Client_Churn_v1[Facture_Mensuelle],"non trouvé")</f>
        <v>62.34</v>
      </c>
      <c r="P619">
        <f>_xlfn.XLOOKUP(_26_03_2026_Log_Reseau_v15[[#This Row],[province RDC]],_26_03_2026_Client_Churn_v1[Province_Client],_26_03_2026_Client_Churn_v1[Plaintes_Service_Client],"non trouvé")</f>
        <v>4</v>
      </c>
    </row>
    <row r="620" spans="1:16" x14ac:dyDescent="0.25">
      <c r="A620" s="1">
        <v>45209</v>
      </c>
      <c r="B620" s="2">
        <v>0.98888888888888893</v>
      </c>
      <c r="C620" t="s">
        <v>1194</v>
      </c>
      <c r="D620">
        <v>51</v>
      </c>
      <c r="E620" t="s">
        <v>808</v>
      </c>
      <c r="F620" t="str">
        <f>_xlfn.XLOOKUP(_26_03_2026_Log_Reseau_v15[[#This Row],[Cell_ID]],_26_03_2026_Registre_Maintenance_v1[ID_Antenne],_26_03_2026_Registre_Maintenance_v1[zone],"pas trouvé")</f>
        <v>Equateur</v>
      </c>
      <c r="G620">
        <f>_xlfn.XLOOKUP(_26_03_2026_Log_Reseau_v15[[#This Row],[Cell_ID]],_26_03_2026_Registre_Maintenance_v1[ID_Antenne],_26_03_2026_Registre_Maintenance_v1[Latitude],"non trouvé")</f>
        <v>-6.1490739999999997</v>
      </c>
      <c r="H620">
        <f>_xlfn.XLOOKUP(_26_03_2026_Log_Reseau_v15[[#This Row],[Cell_ID]],_26_03_2026_Registre_Maintenance_v1[ID_Antenne],_26_03_2026_Registre_Maintenance_v1[Longitude],"pas trouvé")</f>
        <v>23.304411000000002</v>
      </c>
      <c r="I620" t="str">
        <f>_xlfn.XLOOKUP(_26_03_2026_Log_Reseau_v15[[#This Row],[Cell_ID]],_26_03_2026_Registre_Maintenance_v1[ID_Antenne],_26_03_2026_Registre_Maintenance_v1[Technologie],"non trouvé")</f>
        <v>5G</v>
      </c>
      <c r="J620" t="str">
        <f>_xlfn.XLOOKUP(_26_03_2026_Log_Reseau_v15[[#This Row],[Cell_ID]],_26_03_2026_Registre_Maintenance_v1[ID_Antenne],_26_03_2026_Registre_Maintenance_v1[Equipementier],"pas trouvé")</f>
        <v>ZTE</v>
      </c>
      <c r="K620" t="str">
        <f>_xlfn.XLOOKUP(_26_03_2026_Log_Reseau_v15[[#This Row],[province RDC]],_26_03_2026_Client_Churn_v1[Province_Client],_26_03_2026_Client_Churn_v1[ID_Client],"non trouvé")</f>
        <v>CLI-00643</v>
      </c>
      <c r="L620">
        <f>_xlfn.XLOOKUP(_26_03_2026_Log_Reseau_v15[[#This Row],[province RDC]],_26_03_2026_Client_Churn_v1[Province_Client],_26_03_2026_Client_Churn_v1[Anciennete_Mois],"non trouvé")</f>
        <v>14</v>
      </c>
      <c r="M620" t="str">
        <f>_xlfn.XLOOKUP(_26_03_2026_Log_Reseau_v15[[#This Row],[province RDC]],_26_03_2026_Client_Churn_v1[Province_Client],_26_03_2026_Client_Churn_v1[Type_Forfait],"non trouvé")</f>
        <v>Pro Monde</v>
      </c>
      <c r="N620">
        <f>_xlfn.XLOOKUP(_26_03_2026_Log_Reseau_v15[[#This Row],[province RDC]],_26_03_2026_Client_Churn_v1[Province_Client],_26_03_2026_Client_Churn_v1[Duree_Cumulee_Panne_Min],"non trouvé")</f>
        <v>316</v>
      </c>
      <c r="O620">
        <f>_xlfn.XLOOKUP(_26_03_2026_Log_Reseau_v15[[#This Row],[province RDC]],_26_03_2026_Client_Churn_v1[Province_Client],_26_03_2026_Client_Churn_v1[Facture_Mensuelle],"non trouvé")</f>
        <v>62.34</v>
      </c>
      <c r="P620">
        <f>_xlfn.XLOOKUP(_26_03_2026_Log_Reseau_v15[[#This Row],[province RDC]],_26_03_2026_Client_Churn_v1[Province_Client],_26_03_2026_Client_Churn_v1[Plaintes_Service_Client],"non trouvé")</f>
        <v>4</v>
      </c>
    </row>
    <row r="621" spans="1:16" x14ac:dyDescent="0.25">
      <c r="A621" s="1">
        <v>45214</v>
      </c>
      <c r="B621" s="2">
        <v>0.63472222222222219</v>
      </c>
      <c r="C621" t="s">
        <v>1194</v>
      </c>
      <c r="D621">
        <v>112</v>
      </c>
      <c r="E621" t="s">
        <v>808</v>
      </c>
      <c r="F621" t="str">
        <f>_xlfn.XLOOKUP(_26_03_2026_Log_Reseau_v15[[#This Row],[Cell_ID]],_26_03_2026_Registre_Maintenance_v1[ID_Antenne],_26_03_2026_Registre_Maintenance_v1[zone],"pas trouvé")</f>
        <v>Equateur</v>
      </c>
      <c r="G621">
        <f>_xlfn.XLOOKUP(_26_03_2026_Log_Reseau_v15[[#This Row],[Cell_ID]],_26_03_2026_Registre_Maintenance_v1[ID_Antenne],_26_03_2026_Registre_Maintenance_v1[Latitude],"non trouvé")</f>
        <v>-6.1490739999999997</v>
      </c>
      <c r="H621">
        <f>_xlfn.XLOOKUP(_26_03_2026_Log_Reseau_v15[[#This Row],[Cell_ID]],_26_03_2026_Registre_Maintenance_v1[ID_Antenne],_26_03_2026_Registre_Maintenance_v1[Longitude],"pas trouvé")</f>
        <v>23.304411000000002</v>
      </c>
      <c r="I621" t="str">
        <f>_xlfn.XLOOKUP(_26_03_2026_Log_Reseau_v15[[#This Row],[Cell_ID]],_26_03_2026_Registre_Maintenance_v1[ID_Antenne],_26_03_2026_Registre_Maintenance_v1[Technologie],"non trouvé")</f>
        <v>5G</v>
      </c>
      <c r="J621" t="str">
        <f>_xlfn.XLOOKUP(_26_03_2026_Log_Reseau_v15[[#This Row],[Cell_ID]],_26_03_2026_Registre_Maintenance_v1[ID_Antenne],_26_03_2026_Registre_Maintenance_v1[Equipementier],"pas trouvé")</f>
        <v>ZTE</v>
      </c>
      <c r="K621" t="str">
        <f>_xlfn.XLOOKUP(_26_03_2026_Log_Reseau_v15[[#This Row],[province RDC]],_26_03_2026_Client_Churn_v1[Province_Client],_26_03_2026_Client_Churn_v1[ID_Client],"non trouvé")</f>
        <v>CLI-00643</v>
      </c>
      <c r="L621">
        <f>_xlfn.XLOOKUP(_26_03_2026_Log_Reseau_v15[[#This Row],[province RDC]],_26_03_2026_Client_Churn_v1[Province_Client],_26_03_2026_Client_Churn_v1[Anciennete_Mois],"non trouvé")</f>
        <v>14</v>
      </c>
      <c r="M621" t="str">
        <f>_xlfn.XLOOKUP(_26_03_2026_Log_Reseau_v15[[#This Row],[province RDC]],_26_03_2026_Client_Churn_v1[Province_Client],_26_03_2026_Client_Churn_v1[Type_Forfait],"non trouvé")</f>
        <v>Pro Monde</v>
      </c>
      <c r="N621">
        <f>_xlfn.XLOOKUP(_26_03_2026_Log_Reseau_v15[[#This Row],[province RDC]],_26_03_2026_Client_Churn_v1[Province_Client],_26_03_2026_Client_Churn_v1[Duree_Cumulee_Panne_Min],"non trouvé")</f>
        <v>316</v>
      </c>
      <c r="O621">
        <f>_xlfn.XLOOKUP(_26_03_2026_Log_Reseau_v15[[#This Row],[province RDC]],_26_03_2026_Client_Churn_v1[Province_Client],_26_03_2026_Client_Churn_v1[Facture_Mensuelle],"non trouvé")</f>
        <v>62.34</v>
      </c>
      <c r="P621">
        <f>_xlfn.XLOOKUP(_26_03_2026_Log_Reseau_v15[[#This Row],[province RDC]],_26_03_2026_Client_Churn_v1[Province_Client],_26_03_2026_Client_Churn_v1[Plaintes_Service_Client],"non trouvé")</f>
        <v>4</v>
      </c>
    </row>
    <row r="622" spans="1:16" x14ac:dyDescent="0.25">
      <c r="A622" s="1">
        <v>45204</v>
      </c>
      <c r="B622" s="2">
        <v>1.1111111111111112E-2</v>
      </c>
      <c r="C622" t="s">
        <v>1195</v>
      </c>
      <c r="D622">
        <v>12</v>
      </c>
      <c r="E622" t="s">
        <v>808</v>
      </c>
      <c r="F622" t="str">
        <f>_xlfn.XLOOKUP(_26_03_2026_Log_Reseau_v15[[#This Row],[Cell_ID]],_26_03_2026_Registre_Maintenance_v1[ID_Antenne],_26_03_2026_Registre_Maintenance_v1[zone],"pas trouvé")</f>
        <v>Maniema</v>
      </c>
      <c r="G622">
        <f>_xlfn.XLOOKUP(_26_03_2026_Log_Reseau_v15[[#This Row],[Cell_ID]],_26_03_2026_Registre_Maintenance_v1[ID_Antenne],_26_03_2026_Registre_Maintenance_v1[Latitude],"non trouvé")</f>
        <v>-1.6488929999999999</v>
      </c>
      <c r="H622">
        <f>_xlfn.XLOOKUP(_26_03_2026_Log_Reseau_v15[[#This Row],[Cell_ID]],_26_03_2026_Registre_Maintenance_v1[ID_Antenne],_26_03_2026_Registre_Maintenance_v1[Longitude],"pas trouvé")</f>
        <v>27.284617000000001</v>
      </c>
      <c r="I622" t="str">
        <f>_xlfn.XLOOKUP(_26_03_2026_Log_Reseau_v15[[#This Row],[Cell_ID]],_26_03_2026_Registre_Maintenance_v1[ID_Antenne],_26_03_2026_Registre_Maintenance_v1[Technologie],"non trouvé")</f>
        <v>5G</v>
      </c>
      <c r="J622" t="str">
        <f>_xlfn.XLOOKUP(_26_03_2026_Log_Reseau_v15[[#This Row],[Cell_ID]],_26_03_2026_Registre_Maintenance_v1[ID_Antenne],_26_03_2026_Registre_Maintenance_v1[Equipementier],"pas trouvé")</f>
        <v>Nokia</v>
      </c>
      <c r="K622" t="str">
        <f>_xlfn.XLOOKUP(_26_03_2026_Log_Reseau_v15[[#This Row],[province RDC]],_26_03_2026_Client_Churn_v1[Province_Client],_26_03_2026_Client_Churn_v1[ID_Client],"non trouvé")</f>
        <v>CLI-00185</v>
      </c>
      <c r="L622">
        <f>_xlfn.XLOOKUP(_26_03_2026_Log_Reseau_v15[[#This Row],[province RDC]],_26_03_2026_Client_Churn_v1[Province_Client],_26_03_2026_Client_Churn_v1[Anciennete_Mois],"non trouvé")</f>
        <v>81</v>
      </c>
      <c r="M622" t="str">
        <f>_xlfn.XLOOKUP(_26_03_2026_Log_Reseau_v15[[#This Row],[province RDC]],_26_03_2026_Client_Churn_v1[Province_Client],_26_03_2026_Client_Churn_v1[Type_Forfait],"non trouvé")</f>
        <v>Pro Monde</v>
      </c>
      <c r="N622">
        <f>_xlfn.XLOOKUP(_26_03_2026_Log_Reseau_v15[[#This Row],[province RDC]],_26_03_2026_Client_Churn_v1[Province_Client],_26_03_2026_Client_Churn_v1[Duree_Cumulee_Panne_Min],"non trouvé")</f>
        <v>154</v>
      </c>
      <c r="O622">
        <f>_xlfn.XLOOKUP(_26_03_2026_Log_Reseau_v15[[#This Row],[province RDC]],_26_03_2026_Client_Churn_v1[Province_Client],_26_03_2026_Client_Churn_v1[Facture_Mensuelle],"non trouvé")</f>
        <v>19.47</v>
      </c>
      <c r="P622">
        <f>_xlfn.XLOOKUP(_26_03_2026_Log_Reseau_v15[[#This Row],[province RDC]],_26_03_2026_Client_Churn_v1[Province_Client],_26_03_2026_Client_Churn_v1[Plaintes_Service_Client],"non trouvé")</f>
        <v>3</v>
      </c>
    </row>
    <row r="623" spans="1:16" x14ac:dyDescent="0.25">
      <c r="A623" s="1">
        <v>45226</v>
      </c>
      <c r="B623" s="2">
        <v>0.96458333333333335</v>
      </c>
      <c r="C623" t="s">
        <v>1196</v>
      </c>
      <c r="D623">
        <v>27</v>
      </c>
      <c r="E623" t="s">
        <v>808</v>
      </c>
      <c r="F623" t="str">
        <f>_xlfn.XLOOKUP(_26_03_2026_Log_Reseau_v15[[#This Row],[Cell_ID]],_26_03_2026_Registre_Maintenance_v1[ID_Antenne],_26_03_2026_Registre_Maintenance_v1[zone],"pas trouvé")</f>
        <v>Lualaba</v>
      </c>
      <c r="G623">
        <f>_xlfn.XLOOKUP(_26_03_2026_Log_Reseau_v15[[#This Row],[Cell_ID]],_26_03_2026_Registre_Maintenance_v1[ID_Antenne],_26_03_2026_Registre_Maintenance_v1[Latitude],"non trouvé")</f>
        <v>-11.354772000000001</v>
      </c>
      <c r="H623">
        <f>_xlfn.XLOOKUP(_26_03_2026_Log_Reseau_v15[[#This Row],[Cell_ID]],_26_03_2026_Registre_Maintenance_v1[ID_Antenne],_26_03_2026_Registre_Maintenance_v1[Longitude],"pas trouvé")</f>
        <v>21.957325999999998</v>
      </c>
      <c r="I623" t="str">
        <f>_xlfn.XLOOKUP(_26_03_2026_Log_Reseau_v15[[#This Row],[Cell_ID]],_26_03_2026_Registre_Maintenance_v1[ID_Antenne],_26_03_2026_Registre_Maintenance_v1[Technologie],"non trouvé")</f>
        <v>3G</v>
      </c>
      <c r="J623" t="str">
        <f>_xlfn.XLOOKUP(_26_03_2026_Log_Reseau_v15[[#This Row],[Cell_ID]],_26_03_2026_Registre_Maintenance_v1[ID_Antenne],_26_03_2026_Registre_Maintenance_v1[Equipementier],"pas trouvé")</f>
        <v>Nokia</v>
      </c>
      <c r="K623" t="str">
        <f>_xlfn.XLOOKUP(_26_03_2026_Log_Reseau_v15[[#This Row],[province RDC]],_26_03_2026_Client_Churn_v1[Province_Client],_26_03_2026_Client_Churn_v1[ID_Client],"non trouvé")</f>
        <v>CLI-01005</v>
      </c>
      <c r="L623">
        <f>_xlfn.XLOOKUP(_26_03_2026_Log_Reseau_v15[[#This Row],[province RDC]],_26_03_2026_Client_Churn_v1[Province_Client],_26_03_2026_Client_Churn_v1[Anciennete_Mois],"non trouvé")</f>
        <v>80</v>
      </c>
      <c r="M623" t="str">
        <f>_xlfn.XLOOKUP(_26_03_2026_Log_Reseau_v15[[#This Row],[province RDC]],_26_03_2026_Client_Churn_v1[Province_Client],_26_03_2026_Client_Churn_v1[Type_Forfait],"non trouvé")</f>
        <v>Illimité 50Go</v>
      </c>
      <c r="N623">
        <f>_xlfn.XLOOKUP(_26_03_2026_Log_Reseau_v15[[#This Row],[province RDC]],_26_03_2026_Client_Churn_v1[Province_Client],_26_03_2026_Client_Churn_v1[Duree_Cumulee_Panne_Min],"non trouvé")</f>
        <v>155</v>
      </c>
      <c r="O623">
        <f>_xlfn.XLOOKUP(_26_03_2026_Log_Reseau_v15[[#This Row],[province RDC]],_26_03_2026_Client_Churn_v1[Province_Client],_26_03_2026_Client_Churn_v1[Facture_Mensuelle],"non trouvé")</f>
        <v>28.96</v>
      </c>
      <c r="P623">
        <f>_xlfn.XLOOKUP(_26_03_2026_Log_Reseau_v15[[#This Row],[province RDC]],_26_03_2026_Client_Churn_v1[Province_Client],_26_03_2026_Client_Churn_v1[Plaintes_Service_Client],"non trouvé")</f>
        <v>2</v>
      </c>
    </row>
    <row r="624" spans="1:16" hidden="1" x14ac:dyDescent="0.25">
      <c r="A624" s="1">
        <v>45203</v>
      </c>
      <c r="B624" s="2">
        <v>0.27361111111111114</v>
      </c>
      <c r="C624" t="s">
        <v>1197</v>
      </c>
      <c r="D624">
        <v>23</v>
      </c>
      <c r="E624" t="s">
        <v>812</v>
      </c>
      <c r="F624" t="str">
        <f>_xlfn.XLOOKUP(_26_03_2026_Log_Reseau_v15[[#This Row],[Cell_ID]],_26_03_2026_Registre_Maintenance_v1[ID_Antenne],_26_03_2026_Registre_Maintenance_v1[zone],"pas trouvé")</f>
        <v>pas trouvé</v>
      </c>
      <c r="G624" t="str">
        <f>_xlfn.XLOOKUP(_26_03_2026_Log_Reseau_v15[[#This Row],[Cell_ID]],_26_03_2026_Registre_Maintenance_v1[ID_Antenne],_26_03_2026_Registre_Maintenance_v1[Latitude],"non trouvé")</f>
        <v>non trouvé</v>
      </c>
      <c r="H624" t="str">
        <f>_xlfn.XLOOKUP(_26_03_2026_Log_Reseau_v15[[#This Row],[Cell_ID]],_26_03_2026_Registre_Maintenance_v1[ID_Antenne],_26_03_2026_Registre_Maintenance_v1[Longitude],"pas trouvé")</f>
        <v>pas trouvé</v>
      </c>
      <c r="I624" t="str">
        <f>_xlfn.XLOOKUP(_26_03_2026_Log_Reseau_v15[[#This Row],[Cell_ID]],_26_03_2026_Registre_Maintenance_v1[ID_Antenne],_26_03_2026_Registre_Maintenance_v1[Technologie],"non trouvé")</f>
        <v>non trouvé</v>
      </c>
      <c r="J624" t="str">
        <f>_xlfn.XLOOKUP(_26_03_2026_Log_Reseau_v15[[#This Row],[Cell_ID]],_26_03_2026_Registre_Maintenance_v1[ID_Antenne],_26_03_2026_Registre_Maintenance_v1[Equipementier],"pas trouvé")</f>
        <v>pas trouvé</v>
      </c>
      <c r="K624" t="str">
        <f>_xlfn.XLOOKUP(_26_03_2026_Log_Reseau_v15[[#This Row],[province RDC]],_26_03_2026_Client_Churn_v1[Province_Client],_26_03_2026_Client_Churn_v1[ID_Client],"non trouvé")</f>
        <v>non trouvé</v>
      </c>
      <c r="L624" t="str">
        <f>_xlfn.XLOOKUP(_26_03_2026_Log_Reseau_v15[[#This Row],[province RDC]],_26_03_2026_Client_Churn_v1[Province_Client],_26_03_2026_Client_Churn_v1[Anciennete_Mois],"non trouvé")</f>
        <v>non trouvé</v>
      </c>
      <c r="M624" t="str">
        <f>_xlfn.XLOOKUP(_26_03_2026_Log_Reseau_v15[[#This Row],[province RDC]],_26_03_2026_Client_Churn_v1[Province_Client],_26_03_2026_Client_Churn_v1[Type_Forfait],"non trouvé")</f>
        <v>non trouvé</v>
      </c>
      <c r="N624" t="str">
        <f>_xlfn.XLOOKUP(_26_03_2026_Log_Reseau_v15[[#This Row],[province RDC]],_26_03_2026_Client_Churn_v1[Province_Client],_26_03_2026_Client_Churn_v1[Duree_Cumulee_Panne_Min],"non trouvé")</f>
        <v>non trouvé</v>
      </c>
      <c r="O624" t="str">
        <f>_xlfn.XLOOKUP(_26_03_2026_Log_Reseau_v15[[#This Row],[province RDC]],_26_03_2026_Client_Churn_v1[Province_Client],_26_03_2026_Client_Churn_v1[Facture_Mensuelle],"non trouvé")</f>
        <v>non trouvé</v>
      </c>
      <c r="P624" t="str">
        <f>_xlfn.XLOOKUP(_26_03_2026_Log_Reseau_v15[[#This Row],[province RDC]],_26_03_2026_Client_Churn_v1[Province_Client],_26_03_2026_Client_Churn_v1[Plaintes_Service_Client],"non trouvé")</f>
        <v>non trouvé</v>
      </c>
    </row>
    <row r="625" spans="1:16" hidden="1" x14ac:dyDescent="0.25">
      <c r="A625" s="1">
        <v>45204</v>
      </c>
      <c r="B625" s="2">
        <v>0.33888888888888891</v>
      </c>
      <c r="C625" t="s">
        <v>1197</v>
      </c>
      <c r="D625">
        <v>60</v>
      </c>
      <c r="E625" t="s">
        <v>807</v>
      </c>
      <c r="F625" t="str">
        <f>_xlfn.XLOOKUP(_26_03_2026_Log_Reseau_v15[[#This Row],[Cell_ID]],_26_03_2026_Registre_Maintenance_v1[ID_Antenne],_26_03_2026_Registre_Maintenance_v1[zone],"pas trouvé")</f>
        <v>pas trouvé</v>
      </c>
      <c r="G625" t="str">
        <f>_xlfn.XLOOKUP(_26_03_2026_Log_Reseau_v15[[#This Row],[Cell_ID]],_26_03_2026_Registre_Maintenance_v1[ID_Antenne],_26_03_2026_Registre_Maintenance_v1[Latitude],"non trouvé")</f>
        <v>non trouvé</v>
      </c>
      <c r="H625" t="str">
        <f>_xlfn.XLOOKUP(_26_03_2026_Log_Reseau_v15[[#This Row],[Cell_ID]],_26_03_2026_Registre_Maintenance_v1[ID_Antenne],_26_03_2026_Registre_Maintenance_v1[Longitude],"pas trouvé")</f>
        <v>pas trouvé</v>
      </c>
      <c r="I625" t="str">
        <f>_xlfn.XLOOKUP(_26_03_2026_Log_Reseau_v15[[#This Row],[Cell_ID]],_26_03_2026_Registre_Maintenance_v1[ID_Antenne],_26_03_2026_Registre_Maintenance_v1[Technologie],"non trouvé")</f>
        <v>non trouvé</v>
      </c>
      <c r="J625" t="str">
        <f>_xlfn.XLOOKUP(_26_03_2026_Log_Reseau_v15[[#This Row],[Cell_ID]],_26_03_2026_Registre_Maintenance_v1[ID_Antenne],_26_03_2026_Registre_Maintenance_v1[Equipementier],"pas trouvé")</f>
        <v>pas trouvé</v>
      </c>
      <c r="K625" t="str">
        <f>_xlfn.XLOOKUP(_26_03_2026_Log_Reseau_v15[[#This Row],[province RDC]],_26_03_2026_Client_Churn_v1[Province_Client],_26_03_2026_Client_Churn_v1[ID_Client],"non trouvé")</f>
        <v>non trouvé</v>
      </c>
      <c r="L625" t="str">
        <f>_xlfn.XLOOKUP(_26_03_2026_Log_Reseau_v15[[#This Row],[province RDC]],_26_03_2026_Client_Churn_v1[Province_Client],_26_03_2026_Client_Churn_v1[Anciennete_Mois],"non trouvé")</f>
        <v>non trouvé</v>
      </c>
      <c r="M625" t="str">
        <f>_xlfn.XLOOKUP(_26_03_2026_Log_Reseau_v15[[#This Row],[province RDC]],_26_03_2026_Client_Churn_v1[Province_Client],_26_03_2026_Client_Churn_v1[Type_Forfait],"non trouvé")</f>
        <v>non trouvé</v>
      </c>
      <c r="N625" t="str">
        <f>_xlfn.XLOOKUP(_26_03_2026_Log_Reseau_v15[[#This Row],[province RDC]],_26_03_2026_Client_Churn_v1[Province_Client],_26_03_2026_Client_Churn_v1[Duree_Cumulee_Panne_Min],"non trouvé")</f>
        <v>non trouvé</v>
      </c>
      <c r="O625" t="str">
        <f>_xlfn.XLOOKUP(_26_03_2026_Log_Reseau_v15[[#This Row],[province RDC]],_26_03_2026_Client_Churn_v1[Province_Client],_26_03_2026_Client_Churn_v1[Facture_Mensuelle],"non trouvé")</f>
        <v>non trouvé</v>
      </c>
      <c r="P625" t="str">
        <f>_xlfn.XLOOKUP(_26_03_2026_Log_Reseau_v15[[#This Row],[province RDC]],_26_03_2026_Client_Churn_v1[Province_Client],_26_03_2026_Client_Churn_v1[Plaintes_Service_Client],"non trouvé")</f>
        <v>non trouvé</v>
      </c>
    </row>
    <row r="626" spans="1:16" x14ac:dyDescent="0.25">
      <c r="A626" s="1">
        <v>45220</v>
      </c>
      <c r="B626" s="2">
        <v>0.61875000000000002</v>
      </c>
      <c r="C626" t="s">
        <v>1198</v>
      </c>
      <c r="D626">
        <v>79</v>
      </c>
      <c r="E626" t="s">
        <v>807</v>
      </c>
      <c r="F626" t="str">
        <f>_xlfn.XLOOKUP(_26_03_2026_Log_Reseau_v15[[#This Row],[Cell_ID]],_26_03_2026_Registre_Maintenance_v1[ID_Antenne],_26_03_2026_Registre_Maintenance_v1[zone],"pas trouvé")</f>
        <v>Sud-Kivu</v>
      </c>
      <c r="G626">
        <f>_xlfn.XLOOKUP(_26_03_2026_Log_Reseau_v15[[#This Row],[Cell_ID]],_26_03_2026_Registre_Maintenance_v1[ID_Antenne],_26_03_2026_Registre_Maintenance_v1[Latitude],"non trouvé")</f>
        <v>-1.4700059999999999</v>
      </c>
      <c r="H626">
        <f>_xlfn.XLOOKUP(_26_03_2026_Log_Reseau_v15[[#This Row],[Cell_ID]],_26_03_2026_Registre_Maintenance_v1[ID_Antenne],_26_03_2026_Registre_Maintenance_v1[Longitude],"pas trouvé")</f>
        <v>18.680958</v>
      </c>
      <c r="I626" t="str">
        <f>_xlfn.XLOOKUP(_26_03_2026_Log_Reseau_v15[[#This Row],[Cell_ID]],_26_03_2026_Registre_Maintenance_v1[ID_Antenne],_26_03_2026_Registre_Maintenance_v1[Technologie],"non trouvé")</f>
        <v>3G</v>
      </c>
      <c r="J626" t="str">
        <f>_xlfn.XLOOKUP(_26_03_2026_Log_Reseau_v15[[#This Row],[Cell_ID]],_26_03_2026_Registre_Maintenance_v1[ID_Antenne],_26_03_2026_Registre_Maintenance_v1[Equipementier],"pas trouvé")</f>
        <v>Huawei</v>
      </c>
      <c r="K626" t="str">
        <f>_xlfn.XLOOKUP(_26_03_2026_Log_Reseau_v15[[#This Row],[province RDC]],_26_03_2026_Client_Churn_v1[Province_Client],_26_03_2026_Client_Churn_v1[ID_Client],"non trouvé")</f>
        <v>CLI-01855</v>
      </c>
      <c r="L626">
        <f>_xlfn.XLOOKUP(_26_03_2026_Log_Reseau_v15[[#This Row],[province RDC]],_26_03_2026_Client_Churn_v1[Province_Client],_26_03_2026_Client_Churn_v1[Anciennete_Mois],"non trouvé")</f>
        <v>101</v>
      </c>
      <c r="M626" t="str">
        <f>_xlfn.XLOOKUP(_26_03_2026_Log_Reseau_v15[[#This Row],[province RDC]],_26_03_2026_Client_Churn_v1[Province_Client],_26_03_2026_Client_Churn_v1[Type_Forfait],"non trouvé")</f>
        <v>Illimité 50Go</v>
      </c>
      <c r="N626">
        <f>_xlfn.XLOOKUP(_26_03_2026_Log_Reseau_v15[[#This Row],[province RDC]],_26_03_2026_Client_Churn_v1[Province_Client],_26_03_2026_Client_Churn_v1[Duree_Cumulee_Panne_Min],"non trouvé")</f>
        <v>358</v>
      </c>
      <c r="O626">
        <f>_xlfn.XLOOKUP(_26_03_2026_Log_Reseau_v15[[#This Row],[province RDC]],_26_03_2026_Client_Churn_v1[Province_Client],_26_03_2026_Client_Churn_v1[Facture_Mensuelle],"non trouvé")</f>
        <v>29.24</v>
      </c>
      <c r="P626">
        <f>_xlfn.XLOOKUP(_26_03_2026_Log_Reseau_v15[[#This Row],[province RDC]],_26_03_2026_Client_Churn_v1[Province_Client],_26_03_2026_Client_Churn_v1[Plaintes_Service_Client],"non trouvé")</f>
        <v>3</v>
      </c>
    </row>
    <row r="627" spans="1:16" x14ac:dyDescent="0.25">
      <c r="A627" s="1">
        <v>45208</v>
      </c>
      <c r="B627" s="2">
        <v>0.10833333333333334</v>
      </c>
      <c r="C627" t="s">
        <v>1198</v>
      </c>
      <c r="D627">
        <v>102</v>
      </c>
      <c r="E627" t="s">
        <v>808</v>
      </c>
      <c r="F627" t="str">
        <f>_xlfn.XLOOKUP(_26_03_2026_Log_Reseau_v15[[#This Row],[Cell_ID]],_26_03_2026_Registre_Maintenance_v1[ID_Antenne],_26_03_2026_Registre_Maintenance_v1[zone],"pas trouvé")</f>
        <v>Sud-Kivu</v>
      </c>
      <c r="G627">
        <f>_xlfn.XLOOKUP(_26_03_2026_Log_Reseau_v15[[#This Row],[Cell_ID]],_26_03_2026_Registre_Maintenance_v1[ID_Antenne],_26_03_2026_Registre_Maintenance_v1[Latitude],"non trouvé")</f>
        <v>-1.4700059999999999</v>
      </c>
      <c r="H627">
        <f>_xlfn.XLOOKUP(_26_03_2026_Log_Reseau_v15[[#This Row],[Cell_ID]],_26_03_2026_Registre_Maintenance_v1[ID_Antenne],_26_03_2026_Registre_Maintenance_v1[Longitude],"pas trouvé")</f>
        <v>18.680958</v>
      </c>
      <c r="I627" t="str">
        <f>_xlfn.XLOOKUP(_26_03_2026_Log_Reseau_v15[[#This Row],[Cell_ID]],_26_03_2026_Registre_Maintenance_v1[ID_Antenne],_26_03_2026_Registre_Maintenance_v1[Technologie],"non trouvé")</f>
        <v>3G</v>
      </c>
      <c r="J627" t="str">
        <f>_xlfn.XLOOKUP(_26_03_2026_Log_Reseau_v15[[#This Row],[Cell_ID]],_26_03_2026_Registre_Maintenance_v1[ID_Antenne],_26_03_2026_Registre_Maintenance_v1[Equipementier],"pas trouvé")</f>
        <v>Huawei</v>
      </c>
      <c r="K627" t="str">
        <f>_xlfn.XLOOKUP(_26_03_2026_Log_Reseau_v15[[#This Row],[province RDC]],_26_03_2026_Client_Churn_v1[Province_Client],_26_03_2026_Client_Churn_v1[ID_Client],"non trouvé")</f>
        <v>CLI-01855</v>
      </c>
      <c r="L627">
        <f>_xlfn.XLOOKUP(_26_03_2026_Log_Reseau_v15[[#This Row],[province RDC]],_26_03_2026_Client_Churn_v1[Province_Client],_26_03_2026_Client_Churn_v1[Anciennete_Mois],"non trouvé")</f>
        <v>101</v>
      </c>
      <c r="M627" t="str">
        <f>_xlfn.XLOOKUP(_26_03_2026_Log_Reseau_v15[[#This Row],[province RDC]],_26_03_2026_Client_Churn_v1[Province_Client],_26_03_2026_Client_Churn_v1[Type_Forfait],"non trouvé")</f>
        <v>Illimité 50Go</v>
      </c>
      <c r="N627">
        <f>_xlfn.XLOOKUP(_26_03_2026_Log_Reseau_v15[[#This Row],[province RDC]],_26_03_2026_Client_Churn_v1[Province_Client],_26_03_2026_Client_Churn_v1[Duree_Cumulee_Panne_Min],"non trouvé")</f>
        <v>358</v>
      </c>
      <c r="O627">
        <f>_xlfn.XLOOKUP(_26_03_2026_Log_Reseau_v15[[#This Row],[province RDC]],_26_03_2026_Client_Churn_v1[Province_Client],_26_03_2026_Client_Churn_v1[Facture_Mensuelle],"non trouvé")</f>
        <v>29.24</v>
      </c>
      <c r="P627">
        <f>_xlfn.XLOOKUP(_26_03_2026_Log_Reseau_v15[[#This Row],[province RDC]],_26_03_2026_Client_Churn_v1[Province_Client],_26_03_2026_Client_Churn_v1[Plaintes_Service_Client],"non trouvé")</f>
        <v>3</v>
      </c>
    </row>
    <row r="628" spans="1:16" hidden="1" x14ac:dyDescent="0.25">
      <c r="A628" s="1">
        <v>45223</v>
      </c>
      <c r="B628" s="2">
        <v>0.71944444444444444</v>
      </c>
      <c r="C628" t="s">
        <v>1199</v>
      </c>
      <c r="D628">
        <v>61</v>
      </c>
      <c r="E628" t="s">
        <v>808</v>
      </c>
      <c r="F628" t="str">
        <f>_xlfn.XLOOKUP(_26_03_2026_Log_Reseau_v15[[#This Row],[Cell_ID]],_26_03_2026_Registre_Maintenance_v1[ID_Antenne],_26_03_2026_Registre_Maintenance_v1[zone],"pas trouvé")</f>
        <v>pas trouvé</v>
      </c>
      <c r="G628" t="str">
        <f>_xlfn.XLOOKUP(_26_03_2026_Log_Reseau_v15[[#This Row],[Cell_ID]],_26_03_2026_Registre_Maintenance_v1[ID_Antenne],_26_03_2026_Registre_Maintenance_v1[Latitude],"non trouvé")</f>
        <v>non trouvé</v>
      </c>
      <c r="H628" t="str">
        <f>_xlfn.XLOOKUP(_26_03_2026_Log_Reseau_v15[[#This Row],[Cell_ID]],_26_03_2026_Registre_Maintenance_v1[ID_Antenne],_26_03_2026_Registre_Maintenance_v1[Longitude],"pas trouvé")</f>
        <v>pas trouvé</v>
      </c>
      <c r="I628" t="str">
        <f>_xlfn.XLOOKUP(_26_03_2026_Log_Reseau_v15[[#This Row],[Cell_ID]],_26_03_2026_Registre_Maintenance_v1[ID_Antenne],_26_03_2026_Registre_Maintenance_v1[Technologie],"non trouvé")</f>
        <v>non trouvé</v>
      </c>
      <c r="J628" t="str">
        <f>_xlfn.XLOOKUP(_26_03_2026_Log_Reseau_v15[[#This Row],[Cell_ID]],_26_03_2026_Registre_Maintenance_v1[ID_Antenne],_26_03_2026_Registre_Maintenance_v1[Equipementier],"pas trouvé")</f>
        <v>pas trouvé</v>
      </c>
      <c r="K628" t="str">
        <f>_xlfn.XLOOKUP(_26_03_2026_Log_Reseau_v15[[#This Row],[province RDC]],_26_03_2026_Client_Churn_v1[Province_Client],_26_03_2026_Client_Churn_v1[ID_Client],"non trouvé")</f>
        <v>non trouvé</v>
      </c>
      <c r="L628" t="str">
        <f>_xlfn.XLOOKUP(_26_03_2026_Log_Reseau_v15[[#This Row],[province RDC]],_26_03_2026_Client_Churn_v1[Province_Client],_26_03_2026_Client_Churn_v1[Anciennete_Mois],"non trouvé")</f>
        <v>non trouvé</v>
      </c>
      <c r="M628" t="str">
        <f>_xlfn.XLOOKUP(_26_03_2026_Log_Reseau_v15[[#This Row],[province RDC]],_26_03_2026_Client_Churn_v1[Province_Client],_26_03_2026_Client_Churn_v1[Type_Forfait],"non trouvé")</f>
        <v>non trouvé</v>
      </c>
      <c r="N628" t="str">
        <f>_xlfn.XLOOKUP(_26_03_2026_Log_Reseau_v15[[#This Row],[province RDC]],_26_03_2026_Client_Churn_v1[Province_Client],_26_03_2026_Client_Churn_v1[Duree_Cumulee_Panne_Min],"non trouvé")</f>
        <v>non trouvé</v>
      </c>
      <c r="O628" t="str">
        <f>_xlfn.XLOOKUP(_26_03_2026_Log_Reseau_v15[[#This Row],[province RDC]],_26_03_2026_Client_Churn_v1[Province_Client],_26_03_2026_Client_Churn_v1[Facture_Mensuelle],"non trouvé")</f>
        <v>non trouvé</v>
      </c>
      <c r="P628" t="str">
        <f>_xlfn.XLOOKUP(_26_03_2026_Log_Reseau_v15[[#This Row],[province RDC]],_26_03_2026_Client_Churn_v1[Province_Client],_26_03_2026_Client_Churn_v1[Plaintes_Service_Client],"non trouvé")</f>
        <v>non trouvé</v>
      </c>
    </row>
    <row r="629" spans="1:16" hidden="1" x14ac:dyDescent="0.25">
      <c r="A629" s="1">
        <v>45230</v>
      </c>
      <c r="B629" s="2">
        <v>6.1111111111111109E-2</v>
      </c>
      <c r="C629" t="s">
        <v>1199</v>
      </c>
      <c r="D629">
        <v>103</v>
      </c>
      <c r="E629" t="s">
        <v>807</v>
      </c>
      <c r="F629" t="str">
        <f>_xlfn.XLOOKUP(_26_03_2026_Log_Reseau_v15[[#This Row],[Cell_ID]],_26_03_2026_Registre_Maintenance_v1[ID_Antenne],_26_03_2026_Registre_Maintenance_v1[zone],"pas trouvé")</f>
        <v>pas trouvé</v>
      </c>
      <c r="G629" t="str">
        <f>_xlfn.XLOOKUP(_26_03_2026_Log_Reseau_v15[[#This Row],[Cell_ID]],_26_03_2026_Registre_Maintenance_v1[ID_Antenne],_26_03_2026_Registre_Maintenance_v1[Latitude],"non trouvé")</f>
        <v>non trouvé</v>
      </c>
      <c r="H629" t="str">
        <f>_xlfn.XLOOKUP(_26_03_2026_Log_Reseau_v15[[#This Row],[Cell_ID]],_26_03_2026_Registre_Maintenance_v1[ID_Antenne],_26_03_2026_Registre_Maintenance_v1[Longitude],"pas trouvé")</f>
        <v>pas trouvé</v>
      </c>
      <c r="I629" t="str">
        <f>_xlfn.XLOOKUP(_26_03_2026_Log_Reseau_v15[[#This Row],[Cell_ID]],_26_03_2026_Registre_Maintenance_v1[ID_Antenne],_26_03_2026_Registre_Maintenance_v1[Technologie],"non trouvé")</f>
        <v>non trouvé</v>
      </c>
      <c r="J629" t="str">
        <f>_xlfn.XLOOKUP(_26_03_2026_Log_Reseau_v15[[#This Row],[Cell_ID]],_26_03_2026_Registre_Maintenance_v1[ID_Antenne],_26_03_2026_Registre_Maintenance_v1[Equipementier],"pas trouvé")</f>
        <v>pas trouvé</v>
      </c>
      <c r="K629" t="str">
        <f>_xlfn.XLOOKUP(_26_03_2026_Log_Reseau_v15[[#This Row],[province RDC]],_26_03_2026_Client_Churn_v1[Province_Client],_26_03_2026_Client_Churn_v1[ID_Client],"non trouvé")</f>
        <v>non trouvé</v>
      </c>
      <c r="L629" t="str">
        <f>_xlfn.XLOOKUP(_26_03_2026_Log_Reseau_v15[[#This Row],[province RDC]],_26_03_2026_Client_Churn_v1[Province_Client],_26_03_2026_Client_Churn_v1[Anciennete_Mois],"non trouvé")</f>
        <v>non trouvé</v>
      </c>
      <c r="M629" t="str">
        <f>_xlfn.XLOOKUP(_26_03_2026_Log_Reseau_v15[[#This Row],[province RDC]],_26_03_2026_Client_Churn_v1[Province_Client],_26_03_2026_Client_Churn_v1[Type_Forfait],"non trouvé")</f>
        <v>non trouvé</v>
      </c>
      <c r="N629" t="str">
        <f>_xlfn.XLOOKUP(_26_03_2026_Log_Reseau_v15[[#This Row],[province RDC]],_26_03_2026_Client_Churn_v1[Province_Client],_26_03_2026_Client_Churn_v1[Duree_Cumulee_Panne_Min],"non trouvé")</f>
        <v>non trouvé</v>
      </c>
      <c r="O629" t="str">
        <f>_xlfn.XLOOKUP(_26_03_2026_Log_Reseau_v15[[#This Row],[province RDC]],_26_03_2026_Client_Churn_v1[Province_Client],_26_03_2026_Client_Churn_v1[Facture_Mensuelle],"non trouvé")</f>
        <v>non trouvé</v>
      </c>
      <c r="P629" t="str">
        <f>_xlfn.XLOOKUP(_26_03_2026_Log_Reseau_v15[[#This Row],[province RDC]],_26_03_2026_Client_Churn_v1[Province_Client],_26_03_2026_Client_Churn_v1[Plaintes_Service_Client],"non trouvé")</f>
        <v>non trouvé</v>
      </c>
    </row>
    <row r="630" spans="1:16" hidden="1" x14ac:dyDescent="0.25">
      <c r="A630" s="1">
        <v>45226</v>
      </c>
      <c r="B630" s="2">
        <v>0.63124999999999998</v>
      </c>
      <c r="C630" t="s">
        <v>1200</v>
      </c>
      <c r="D630">
        <v>112</v>
      </c>
      <c r="E630" t="s">
        <v>808</v>
      </c>
      <c r="F630" t="str">
        <f>_xlfn.XLOOKUP(_26_03_2026_Log_Reseau_v15[[#This Row],[Cell_ID]],_26_03_2026_Registre_Maintenance_v1[ID_Antenne],_26_03_2026_Registre_Maintenance_v1[zone],"pas trouvé")</f>
        <v>pas trouvé</v>
      </c>
      <c r="G630" t="str">
        <f>_xlfn.XLOOKUP(_26_03_2026_Log_Reseau_v15[[#This Row],[Cell_ID]],_26_03_2026_Registre_Maintenance_v1[ID_Antenne],_26_03_2026_Registre_Maintenance_v1[Latitude],"non trouvé")</f>
        <v>non trouvé</v>
      </c>
      <c r="H630" t="str">
        <f>_xlfn.XLOOKUP(_26_03_2026_Log_Reseau_v15[[#This Row],[Cell_ID]],_26_03_2026_Registre_Maintenance_v1[ID_Antenne],_26_03_2026_Registre_Maintenance_v1[Longitude],"pas trouvé")</f>
        <v>pas trouvé</v>
      </c>
      <c r="I630" t="str">
        <f>_xlfn.XLOOKUP(_26_03_2026_Log_Reseau_v15[[#This Row],[Cell_ID]],_26_03_2026_Registre_Maintenance_v1[ID_Antenne],_26_03_2026_Registre_Maintenance_v1[Technologie],"non trouvé")</f>
        <v>non trouvé</v>
      </c>
      <c r="J630" t="str">
        <f>_xlfn.XLOOKUP(_26_03_2026_Log_Reseau_v15[[#This Row],[Cell_ID]],_26_03_2026_Registre_Maintenance_v1[ID_Antenne],_26_03_2026_Registre_Maintenance_v1[Equipementier],"pas trouvé")</f>
        <v>pas trouvé</v>
      </c>
      <c r="K630" t="str">
        <f>_xlfn.XLOOKUP(_26_03_2026_Log_Reseau_v15[[#This Row],[province RDC]],_26_03_2026_Client_Churn_v1[Province_Client],_26_03_2026_Client_Churn_v1[ID_Client],"non trouvé")</f>
        <v>non trouvé</v>
      </c>
      <c r="L630" t="str">
        <f>_xlfn.XLOOKUP(_26_03_2026_Log_Reseau_v15[[#This Row],[province RDC]],_26_03_2026_Client_Churn_v1[Province_Client],_26_03_2026_Client_Churn_v1[Anciennete_Mois],"non trouvé")</f>
        <v>non trouvé</v>
      </c>
      <c r="M630" t="str">
        <f>_xlfn.XLOOKUP(_26_03_2026_Log_Reseau_v15[[#This Row],[province RDC]],_26_03_2026_Client_Churn_v1[Province_Client],_26_03_2026_Client_Churn_v1[Type_Forfait],"non trouvé")</f>
        <v>non trouvé</v>
      </c>
      <c r="N630" t="str">
        <f>_xlfn.XLOOKUP(_26_03_2026_Log_Reseau_v15[[#This Row],[province RDC]],_26_03_2026_Client_Churn_v1[Province_Client],_26_03_2026_Client_Churn_v1[Duree_Cumulee_Panne_Min],"non trouvé")</f>
        <v>non trouvé</v>
      </c>
      <c r="O630" t="str">
        <f>_xlfn.XLOOKUP(_26_03_2026_Log_Reseau_v15[[#This Row],[province RDC]],_26_03_2026_Client_Churn_v1[Province_Client],_26_03_2026_Client_Churn_v1[Facture_Mensuelle],"non trouvé")</f>
        <v>non trouvé</v>
      </c>
      <c r="P630" t="str">
        <f>_xlfn.XLOOKUP(_26_03_2026_Log_Reseau_v15[[#This Row],[province RDC]],_26_03_2026_Client_Churn_v1[Province_Client],_26_03_2026_Client_Churn_v1[Plaintes_Service_Client],"non trouvé")</f>
        <v>non trouvé</v>
      </c>
    </row>
    <row r="631" spans="1:16" x14ac:dyDescent="0.25">
      <c r="A631" s="1">
        <v>45230</v>
      </c>
      <c r="B631" s="2">
        <v>0.12777777777777777</v>
      </c>
      <c r="C631" t="s">
        <v>1201</v>
      </c>
      <c r="D631">
        <v>87</v>
      </c>
      <c r="E631" t="s">
        <v>812</v>
      </c>
      <c r="F631" t="str">
        <f>_xlfn.XLOOKUP(_26_03_2026_Log_Reseau_v15[[#This Row],[Cell_ID]],_26_03_2026_Registre_Maintenance_v1[ID_Antenne],_26_03_2026_Registre_Maintenance_v1[zone],"pas trouvé")</f>
        <v>Haut-Katanga</v>
      </c>
      <c r="G631">
        <f>_xlfn.XLOOKUP(_26_03_2026_Log_Reseau_v15[[#This Row],[Cell_ID]],_26_03_2026_Registre_Maintenance_v1[ID_Antenne],_26_03_2026_Registre_Maintenance_v1[Latitude],"non trouvé")</f>
        <v>-10.945031</v>
      </c>
      <c r="H631">
        <f>_xlfn.XLOOKUP(_26_03_2026_Log_Reseau_v15[[#This Row],[Cell_ID]],_26_03_2026_Registre_Maintenance_v1[ID_Antenne],_26_03_2026_Registre_Maintenance_v1[Longitude],"pas trouvé")</f>
        <v>27.922274000000002</v>
      </c>
      <c r="I631" t="str">
        <f>_xlfn.XLOOKUP(_26_03_2026_Log_Reseau_v15[[#This Row],[Cell_ID]],_26_03_2026_Registre_Maintenance_v1[ID_Antenne],_26_03_2026_Registre_Maintenance_v1[Technologie],"non trouvé")</f>
        <v>4G</v>
      </c>
      <c r="J631" t="str">
        <f>_xlfn.XLOOKUP(_26_03_2026_Log_Reseau_v15[[#This Row],[Cell_ID]],_26_03_2026_Registre_Maintenance_v1[ID_Antenne],_26_03_2026_Registre_Maintenance_v1[Equipementier],"pas trouvé")</f>
        <v>Ericsson</v>
      </c>
      <c r="K631" t="str">
        <f>_xlfn.XLOOKUP(_26_03_2026_Log_Reseau_v15[[#This Row],[province RDC]],_26_03_2026_Client_Churn_v1[Province_Client],_26_03_2026_Client_Churn_v1[ID_Client],"non trouvé")</f>
        <v>CLI-00076</v>
      </c>
      <c r="L631">
        <f>_xlfn.XLOOKUP(_26_03_2026_Log_Reseau_v15[[#This Row],[province RDC]],_26_03_2026_Client_Churn_v1[Province_Client],_26_03_2026_Client_Churn_v1[Anciennete_Mois],"non trouvé")</f>
        <v>46</v>
      </c>
      <c r="M631" t="str">
        <f>_xlfn.XLOOKUP(_26_03_2026_Log_Reseau_v15[[#This Row],[province RDC]],_26_03_2026_Client_Churn_v1[Province_Client],_26_03_2026_Client_Churn_v1[Type_Forfait],"non trouvé")</f>
        <v>Premium 5G 150Go</v>
      </c>
      <c r="N631">
        <f>_xlfn.XLOOKUP(_26_03_2026_Log_Reseau_v15[[#This Row],[province RDC]],_26_03_2026_Client_Churn_v1[Province_Client],_26_03_2026_Client_Churn_v1[Duree_Cumulee_Panne_Min],"non trouvé")</f>
        <v>283</v>
      </c>
      <c r="O631">
        <f>_xlfn.XLOOKUP(_26_03_2026_Log_Reseau_v15[[#This Row],[province RDC]],_26_03_2026_Client_Churn_v1[Province_Client],_26_03_2026_Client_Churn_v1[Facture_Mensuelle],"non trouvé")</f>
        <v>56.05</v>
      </c>
      <c r="P631">
        <f>_xlfn.XLOOKUP(_26_03_2026_Log_Reseau_v15[[#This Row],[province RDC]],_26_03_2026_Client_Churn_v1[Province_Client],_26_03_2026_Client_Churn_v1[Plaintes_Service_Client],"non trouvé")</f>
        <v>1</v>
      </c>
    </row>
    <row r="632" spans="1:16" x14ac:dyDescent="0.25">
      <c r="A632" s="1">
        <v>45200</v>
      </c>
      <c r="B632" s="2">
        <v>0.50624999999999998</v>
      </c>
      <c r="C632" t="s">
        <v>1201</v>
      </c>
      <c r="D632">
        <v>99</v>
      </c>
      <c r="E632" t="s">
        <v>807</v>
      </c>
      <c r="F632" t="str">
        <f>_xlfn.XLOOKUP(_26_03_2026_Log_Reseau_v15[[#This Row],[Cell_ID]],_26_03_2026_Registre_Maintenance_v1[ID_Antenne],_26_03_2026_Registre_Maintenance_v1[zone],"pas trouvé")</f>
        <v>Haut-Katanga</v>
      </c>
      <c r="G632">
        <f>_xlfn.XLOOKUP(_26_03_2026_Log_Reseau_v15[[#This Row],[Cell_ID]],_26_03_2026_Registre_Maintenance_v1[ID_Antenne],_26_03_2026_Registre_Maintenance_v1[Latitude],"non trouvé")</f>
        <v>-10.945031</v>
      </c>
      <c r="H632">
        <f>_xlfn.XLOOKUP(_26_03_2026_Log_Reseau_v15[[#This Row],[Cell_ID]],_26_03_2026_Registre_Maintenance_v1[ID_Antenne],_26_03_2026_Registre_Maintenance_v1[Longitude],"pas trouvé")</f>
        <v>27.922274000000002</v>
      </c>
      <c r="I632" t="str">
        <f>_xlfn.XLOOKUP(_26_03_2026_Log_Reseau_v15[[#This Row],[Cell_ID]],_26_03_2026_Registre_Maintenance_v1[ID_Antenne],_26_03_2026_Registre_Maintenance_v1[Technologie],"non trouvé")</f>
        <v>4G</v>
      </c>
      <c r="J632" t="str">
        <f>_xlfn.XLOOKUP(_26_03_2026_Log_Reseau_v15[[#This Row],[Cell_ID]],_26_03_2026_Registre_Maintenance_v1[ID_Antenne],_26_03_2026_Registre_Maintenance_v1[Equipementier],"pas trouvé")</f>
        <v>Ericsson</v>
      </c>
      <c r="K632" t="str">
        <f>_xlfn.XLOOKUP(_26_03_2026_Log_Reseau_v15[[#This Row],[province RDC]],_26_03_2026_Client_Churn_v1[Province_Client],_26_03_2026_Client_Churn_v1[ID_Client],"non trouvé")</f>
        <v>CLI-00076</v>
      </c>
      <c r="L632">
        <f>_xlfn.XLOOKUP(_26_03_2026_Log_Reseau_v15[[#This Row],[province RDC]],_26_03_2026_Client_Churn_v1[Province_Client],_26_03_2026_Client_Churn_v1[Anciennete_Mois],"non trouvé")</f>
        <v>46</v>
      </c>
      <c r="M632" t="str">
        <f>_xlfn.XLOOKUP(_26_03_2026_Log_Reseau_v15[[#This Row],[province RDC]],_26_03_2026_Client_Churn_v1[Province_Client],_26_03_2026_Client_Churn_v1[Type_Forfait],"non trouvé")</f>
        <v>Premium 5G 150Go</v>
      </c>
      <c r="N632">
        <f>_xlfn.XLOOKUP(_26_03_2026_Log_Reseau_v15[[#This Row],[province RDC]],_26_03_2026_Client_Churn_v1[Province_Client],_26_03_2026_Client_Churn_v1[Duree_Cumulee_Panne_Min],"non trouvé")</f>
        <v>283</v>
      </c>
      <c r="O632">
        <f>_xlfn.XLOOKUP(_26_03_2026_Log_Reseau_v15[[#This Row],[province RDC]],_26_03_2026_Client_Churn_v1[Province_Client],_26_03_2026_Client_Churn_v1[Facture_Mensuelle],"non trouvé")</f>
        <v>56.05</v>
      </c>
      <c r="P632">
        <f>_xlfn.XLOOKUP(_26_03_2026_Log_Reseau_v15[[#This Row],[province RDC]],_26_03_2026_Client_Churn_v1[Province_Client],_26_03_2026_Client_Churn_v1[Plaintes_Service_Client],"non trouvé")</f>
        <v>1</v>
      </c>
    </row>
    <row r="633" spans="1:16" x14ac:dyDescent="0.25">
      <c r="A633" s="1">
        <v>45200</v>
      </c>
      <c r="B633" s="2">
        <v>0.44513888888888886</v>
      </c>
      <c r="C633" t="s">
        <v>1201</v>
      </c>
      <c r="D633">
        <v>112</v>
      </c>
      <c r="E633" t="s">
        <v>807</v>
      </c>
      <c r="F633" t="str">
        <f>_xlfn.XLOOKUP(_26_03_2026_Log_Reseau_v15[[#This Row],[Cell_ID]],_26_03_2026_Registre_Maintenance_v1[ID_Antenne],_26_03_2026_Registre_Maintenance_v1[zone],"pas trouvé")</f>
        <v>Haut-Katanga</v>
      </c>
      <c r="G633">
        <f>_xlfn.XLOOKUP(_26_03_2026_Log_Reseau_v15[[#This Row],[Cell_ID]],_26_03_2026_Registre_Maintenance_v1[ID_Antenne],_26_03_2026_Registre_Maintenance_v1[Latitude],"non trouvé")</f>
        <v>-10.945031</v>
      </c>
      <c r="H633">
        <f>_xlfn.XLOOKUP(_26_03_2026_Log_Reseau_v15[[#This Row],[Cell_ID]],_26_03_2026_Registre_Maintenance_v1[ID_Antenne],_26_03_2026_Registre_Maintenance_v1[Longitude],"pas trouvé")</f>
        <v>27.922274000000002</v>
      </c>
      <c r="I633" t="str">
        <f>_xlfn.XLOOKUP(_26_03_2026_Log_Reseau_v15[[#This Row],[Cell_ID]],_26_03_2026_Registre_Maintenance_v1[ID_Antenne],_26_03_2026_Registre_Maintenance_v1[Technologie],"non trouvé")</f>
        <v>4G</v>
      </c>
      <c r="J633" t="str">
        <f>_xlfn.XLOOKUP(_26_03_2026_Log_Reseau_v15[[#This Row],[Cell_ID]],_26_03_2026_Registre_Maintenance_v1[ID_Antenne],_26_03_2026_Registre_Maintenance_v1[Equipementier],"pas trouvé")</f>
        <v>Ericsson</v>
      </c>
      <c r="K633" t="str">
        <f>_xlfn.XLOOKUP(_26_03_2026_Log_Reseau_v15[[#This Row],[province RDC]],_26_03_2026_Client_Churn_v1[Province_Client],_26_03_2026_Client_Churn_v1[ID_Client],"non trouvé")</f>
        <v>CLI-00076</v>
      </c>
      <c r="L633">
        <f>_xlfn.XLOOKUP(_26_03_2026_Log_Reseau_v15[[#This Row],[province RDC]],_26_03_2026_Client_Churn_v1[Province_Client],_26_03_2026_Client_Churn_v1[Anciennete_Mois],"non trouvé")</f>
        <v>46</v>
      </c>
      <c r="M633" t="str">
        <f>_xlfn.XLOOKUP(_26_03_2026_Log_Reseau_v15[[#This Row],[province RDC]],_26_03_2026_Client_Churn_v1[Province_Client],_26_03_2026_Client_Churn_v1[Type_Forfait],"non trouvé")</f>
        <v>Premium 5G 150Go</v>
      </c>
      <c r="N633">
        <f>_xlfn.XLOOKUP(_26_03_2026_Log_Reseau_v15[[#This Row],[province RDC]],_26_03_2026_Client_Churn_v1[Province_Client],_26_03_2026_Client_Churn_v1[Duree_Cumulee_Panne_Min],"non trouvé")</f>
        <v>283</v>
      </c>
      <c r="O633">
        <f>_xlfn.XLOOKUP(_26_03_2026_Log_Reseau_v15[[#This Row],[province RDC]],_26_03_2026_Client_Churn_v1[Province_Client],_26_03_2026_Client_Churn_v1[Facture_Mensuelle],"non trouvé")</f>
        <v>56.05</v>
      </c>
      <c r="P633">
        <f>_xlfn.XLOOKUP(_26_03_2026_Log_Reseau_v15[[#This Row],[province RDC]],_26_03_2026_Client_Churn_v1[Province_Client],_26_03_2026_Client_Churn_v1[Plaintes_Service_Client],"non trouvé")</f>
        <v>1</v>
      </c>
    </row>
    <row r="634" spans="1:16" x14ac:dyDescent="0.25">
      <c r="A634" s="1">
        <v>45217</v>
      </c>
      <c r="B634" s="2">
        <v>0.38472222222222224</v>
      </c>
      <c r="C634" t="s">
        <v>1202</v>
      </c>
      <c r="D634">
        <v>99</v>
      </c>
      <c r="E634" t="s">
        <v>808</v>
      </c>
      <c r="F634" t="str">
        <f>_xlfn.XLOOKUP(_26_03_2026_Log_Reseau_v15[[#This Row],[Cell_ID]],_26_03_2026_Registre_Maintenance_v1[ID_Antenne],_26_03_2026_Registre_Maintenance_v1[zone],"pas trouvé")</f>
        <v>Haut-Lomami</v>
      </c>
      <c r="G634">
        <f>_xlfn.XLOOKUP(_26_03_2026_Log_Reseau_v15[[#This Row],[Cell_ID]],_26_03_2026_Registre_Maintenance_v1[ID_Antenne],_26_03_2026_Registre_Maintenance_v1[Latitude],"non trouvé")</f>
        <v>-4.8157019999999999</v>
      </c>
      <c r="H634">
        <f>_xlfn.XLOOKUP(_26_03_2026_Log_Reseau_v15[[#This Row],[Cell_ID]],_26_03_2026_Registre_Maintenance_v1[ID_Antenne],_26_03_2026_Registre_Maintenance_v1[Longitude],"pas trouvé")</f>
        <v>27.679798000000002</v>
      </c>
      <c r="I634" t="str">
        <f>_xlfn.XLOOKUP(_26_03_2026_Log_Reseau_v15[[#This Row],[Cell_ID]],_26_03_2026_Registre_Maintenance_v1[ID_Antenne],_26_03_2026_Registre_Maintenance_v1[Technologie],"non trouvé")</f>
        <v>3G</v>
      </c>
      <c r="J634" t="str">
        <f>_xlfn.XLOOKUP(_26_03_2026_Log_Reseau_v15[[#This Row],[Cell_ID]],_26_03_2026_Registre_Maintenance_v1[ID_Antenne],_26_03_2026_Registre_Maintenance_v1[Equipementier],"pas trouvé")</f>
        <v>Ericsson</v>
      </c>
      <c r="K634" t="str">
        <f>_xlfn.XLOOKUP(_26_03_2026_Log_Reseau_v15[[#This Row],[province RDC]],_26_03_2026_Client_Churn_v1[Province_Client],_26_03_2026_Client_Churn_v1[ID_Client],"non trouvé")</f>
        <v>CLI-01325</v>
      </c>
      <c r="L634">
        <f>_xlfn.XLOOKUP(_26_03_2026_Log_Reseau_v15[[#This Row],[province RDC]],_26_03_2026_Client_Churn_v1[Province_Client],_26_03_2026_Client_Churn_v1[Anciennete_Mois],"non trouvé")</f>
        <v>44</v>
      </c>
      <c r="M634" t="str">
        <f>_xlfn.XLOOKUP(_26_03_2026_Log_Reseau_v15[[#This Row],[province RDC]],_26_03_2026_Client_Churn_v1[Province_Client],_26_03_2026_Client_Churn_v1[Type_Forfait],"non trouvé")</f>
        <v>Bloqué 5Go</v>
      </c>
      <c r="N634">
        <f>_xlfn.XLOOKUP(_26_03_2026_Log_Reseau_v15[[#This Row],[province RDC]],_26_03_2026_Client_Churn_v1[Province_Client],_26_03_2026_Client_Churn_v1[Duree_Cumulee_Panne_Min],"non trouvé")</f>
        <v>348</v>
      </c>
      <c r="O634">
        <f>_xlfn.XLOOKUP(_26_03_2026_Log_Reseau_v15[[#This Row],[province RDC]],_26_03_2026_Client_Churn_v1[Province_Client],_26_03_2026_Client_Churn_v1[Facture_Mensuelle],"non trouvé")</f>
        <v>58.67</v>
      </c>
      <c r="P634">
        <f>_xlfn.XLOOKUP(_26_03_2026_Log_Reseau_v15[[#This Row],[province RDC]],_26_03_2026_Client_Churn_v1[Province_Client],_26_03_2026_Client_Churn_v1[Plaintes_Service_Client],"non trouvé")</f>
        <v>0</v>
      </c>
    </row>
    <row r="635" spans="1:16" x14ac:dyDescent="0.25">
      <c r="A635" s="1">
        <v>45228</v>
      </c>
      <c r="B635" s="2">
        <v>0.73611111111111116</v>
      </c>
      <c r="C635" t="s">
        <v>1203</v>
      </c>
      <c r="D635">
        <v>66</v>
      </c>
      <c r="E635" t="s">
        <v>812</v>
      </c>
      <c r="F635" t="str">
        <f>_xlfn.XLOOKUP(_26_03_2026_Log_Reseau_v15[[#This Row],[Cell_ID]],_26_03_2026_Registre_Maintenance_v1[ID_Antenne],_26_03_2026_Registre_Maintenance_v1[zone],"pas trouvé")</f>
        <v>Kasai-Oriental</v>
      </c>
      <c r="G635">
        <f>_xlfn.XLOOKUP(_26_03_2026_Log_Reseau_v15[[#This Row],[Cell_ID]],_26_03_2026_Registre_Maintenance_v1[ID_Antenne],_26_03_2026_Registre_Maintenance_v1[Latitude],"non trouvé")</f>
        <v>-4.4831099999999999</v>
      </c>
      <c r="H635">
        <f>_xlfn.XLOOKUP(_26_03_2026_Log_Reseau_v15[[#This Row],[Cell_ID]],_26_03_2026_Registre_Maintenance_v1[ID_Antenne],_26_03_2026_Registre_Maintenance_v1[Longitude],"pas trouvé")</f>
        <v>25.406548000000001</v>
      </c>
      <c r="I635" t="str">
        <f>_xlfn.XLOOKUP(_26_03_2026_Log_Reseau_v15[[#This Row],[Cell_ID]],_26_03_2026_Registre_Maintenance_v1[ID_Antenne],_26_03_2026_Registre_Maintenance_v1[Technologie],"non trouvé")</f>
        <v>5G</v>
      </c>
      <c r="J635" t="str">
        <f>_xlfn.XLOOKUP(_26_03_2026_Log_Reseau_v15[[#This Row],[Cell_ID]],_26_03_2026_Registre_Maintenance_v1[ID_Antenne],_26_03_2026_Registre_Maintenance_v1[Equipementier],"pas trouvé")</f>
        <v>Nokia</v>
      </c>
      <c r="K635" t="str">
        <f>_xlfn.XLOOKUP(_26_03_2026_Log_Reseau_v15[[#This Row],[province RDC]],_26_03_2026_Client_Churn_v1[Province_Client],_26_03_2026_Client_Churn_v1[ID_Client],"non trouvé")</f>
        <v>CLI-01837</v>
      </c>
      <c r="L635">
        <f>_xlfn.XLOOKUP(_26_03_2026_Log_Reseau_v15[[#This Row],[province RDC]],_26_03_2026_Client_Churn_v1[Province_Client],_26_03_2026_Client_Churn_v1[Anciennete_Mois],"non trouvé")</f>
        <v>97</v>
      </c>
      <c r="M635" t="str">
        <f>_xlfn.XLOOKUP(_26_03_2026_Log_Reseau_v15[[#This Row],[province RDC]],_26_03_2026_Client_Churn_v1[Province_Client],_26_03_2026_Client_Churn_v1[Type_Forfait],"non trouvé")</f>
        <v>Pro Monde</v>
      </c>
      <c r="N635">
        <f>_xlfn.XLOOKUP(_26_03_2026_Log_Reseau_v15[[#This Row],[province RDC]],_26_03_2026_Client_Churn_v1[Province_Client],_26_03_2026_Client_Churn_v1[Duree_Cumulee_Panne_Min],"non trouvé")</f>
        <v>319</v>
      </c>
      <c r="O635">
        <f>_xlfn.XLOOKUP(_26_03_2026_Log_Reseau_v15[[#This Row],[province RDC]],_26_03_2026_Client_Churn_v1[Province_Client],_26_03_2026_Client_Churn_v1[Facture_Mensuelle],"non trouvé")</f>
        <v>31.25</v>
      </c>
      <c r="P635">
        <f>_xlfn.XLOOKUP(_26_03_2026_Log_Reseau_v15[[#This Row],[province RDC]],_26_03_2026_Client_Churn_v1[Province_Client],_26_03_2026_Client_Churn_v1[Plaintes_Service_Client],"non trouvé")</f>
        <v>1</v>
      </c>
    </row>
    <row r="636" spans="1:16" hidden="1" x14ac:dyDescent="0.25">
      <c r="A636" s="1">
        <v>45222</v>
      </c>
      <c r="B636" s="2">
        <v>0.52847222222222223</v>
      </c>
      <c r="C636" t="s">
        <v>1204</v>
      </c>
      <c r="D636">
        <v>111</v>
      </c>
      <c r="E636" t="s">
        <v>807</v>
      </c>
      <c r="F636" t="str">
        <f>_xlfn.XLOOKUP(_26_03_2026_Log_Reseau_v15[[#This Row],[Cell_ID]],_26_03_2026_Registre_Maintenance_v1[ID_Antenne],_26_03_2026_Registre_Maintenance_v1[zone],"pas trouvé")</f>
        <v>pas trouvé</v>
      </c>
      <c r="G636" t="str">
        <f>_xlfn.XLOOKUP(_26_03_2026_Log_Reseau_v15[[#This Row],[Cell_ID]],_26_03_2026_Registre_Maintenance_v1[ID_Antenne],_26_03_2026_Registre_Maintenance_v1[Latitude],"non trouvé")</f>
        <v>non trouvé</v>
      </c>
      <c r="H636" t="str">
        <f>_xlfn.XLOOKUP(_26_03_2026_Log_Reseau_v15[[#This Row],[Cell_ID]],_26_03_2026_Registre_Maintenance_v1[ID_Antenne],_26_03_2026_Registre_Maintenance_v1[Longitude],"pas trouvé")</f>
        <v>pas trouvé</v>
      </c>
      <c r="I636" t="str">
        <f>_xlfn.XLOOKUP(_26_03_2026_Log_Reseau_v15[[#This Row],[Cell_ID]],_26_03_2026_Registre_Maintenance_v1[ID_Antenne],_26_03_2026_Registre_Maintenance_v1[Technologie],"non trouvé")</f>
        <v>non trouvé</v>
      </c>
      <c r="J636" t="str">
        <f>_xlfn.XLOOKUP(_26_03_2026_Log_Reseau_v15[[#This Row],[Cell_ID]],_26_03_2026_Registre_Maintenance_v1[ID_Antenne],_26_03_2026_Registre_Maintenance_v1[Equipementier],"pas trouvé")</f>
        <v>pas trouvé</v>
      </c>
      <c r="K636" t="str">
        <f>_xlfn.XLOOKUP(_26_03_2026_Log_Reseau_v15[[#This Row],[province RDC]],_26_03_2026_Client_Churn_v1[Province_Client],_26_03_2026_Client_Churn_v1[ID_Client],"non trouvé")</f>
        <v>non trouvé</v>
      </c>
      <c r="L636" t="str">
        <f>_xlfn.XLOOKUP(_26_03_2026_Log_Reseau_v15[[#This Row],[province RDC]],_26_03_2026_Client_Churn_v1[Province_Client],_26_03_2026_Client_Churn_v1[Anciennete_Mois],"non trouvé")</f>
        <v>non trouvé</v>
      </c>
      <c r="M636" t="str">
        <f>_xlfn.XLOOKUP(_26_03_2026_Log_Reseau_v15[[#This Row],[province RDC]],_26_03_2026_Client_Churn_v1[Province_Client],_26_03_2026_Client_Churn_v1[Type_Forfait],"non trouvé")</f>
        <v>non trouvé</v>
      </c>
      <c r="N636" t="str">
        <f>_xlfn.XLOOKUP(_26_03_2026_Log_Reseau_v15[[#This Row],[province RDC]],_26_03_2026_Client_Churn_v1[Province_Client],_26_03_2026_Client_Churn_v1[Duree_Cumulee_Panne_Min],"non trouvé")</f>
        <v>non trouvé</v>
      </c>
      <c r="O636" t="str">
        <f>_xlfn.XLOOKUP(_26_03_2026_Log_Reseau_v15[[#This Row],[province RDC]],_26_03_2026_Client_Churn_v1[Province_Client],_26_03_2026_Client_Churn_v1[Facture_Mensuelle],"non trouvé")</f>
        <v>non trouvé</v>
      </c>
      <c r="P636" t="str">
        <f>_xlfn.XLOOKUP(_26_03_2026_Log_Reseau_v15[[#This Row],[province RDC]],_26_03_2026_Client_Churn_v1[Province_Client],_26_03_2026_Client_Churn_v1[Plaintes_Service_Client],"non trouvé")</f>
        <v>non trouvé</v>
      </c>
    </row>
    <row r="637" spans="1:16" hidden="1" x14ac:dyDescent="0.25">
      <c r="A637" s="1">
        <v>45202</v>
      </c>
      <c r="B637" s="2">
        <v>0.49930555555555556</v>
      </c>
      <c r="C637" t="s">
        <v>1205</v>
      </c>
      <c r="D637">
        <v>57</v>
      </c>
      <c r="E637" t="s">
        <v>808</v>
      </c>
      <c r="F637" t="str">
        <f>_xlfn.XLOOKUP(_26_03_2026_Log_Reseau_v15[[#This Row],[Cell_ID]],_26_03_2026_Registre_Maintenance_v1[ID_Antenne],_26_03_2026_Registre_Maintenance_v1[zone],"pas trouvé")</f>
        <v>pas trouvé</v>
      </c>
      <c r="G637" t="str">
        <f>_xlfn.XLOOKUP(_26_03_2026_Log_Reseau_v15[[#This Row],[Cell_ID]],_26_03_2026_Registre_Maintenance_v1[ID_Antenne],_26_03_2026_Registre_Maintenance_v1[Latitude],"non trouvé")</f>
        <v>non trouvé</v>
      </c>
      <c r="H637" t="str">
        <f>_xlfn.XLOOKUP(_26_03_2026_Log_Reseau_v15[[#This Row],[Cell_ID]],_26_03_2026_Registre_Maintenance_v1[ID_Antenne],_26_03_2026_Registre_Maintenance_v1[Longitude],"pas trouvé")</f>
        <v>pas trouvé</v>
      </c>
      <c r="I637" t="str">
        <f>_xlfn.XLOOKUP(_26_03_2026_Log_Reseau_v15[[#This Row],[Cell_ID]],_26_03_2026_Registre_Maintenance_v1[ID_Antenne],_26_03_2026_Registre_Maintenance_v1[Technologie],"non trouvé")</f>
        <v>non trouvé</v>
      </c>
      <c r="J637" t="str">
        <f>_xlfn.XLOOKUP(_26_03_2026_Log_Reseau_v15[[#This Row],[Cell_ID]],_26_03_2026_Registre_Maintenance_v1[ID_Antenne],_26_03_2026_Registre_Maintenance_v1[Equipementier],"pas trouvé")</f>
        <v>pas trouvé</v>
      </c>
      <c r="K637" t="str">
        <f>_xlfn.XLOOKUP(_26_03_2026_Log_Reseau_v15[[#This Row],[province RDC]],_26_03_2026_Client_Churn_v1[Province_Client],_26_03_2026_Client_Churn_v1[ID_Client],"non trouvé")</f>
        <v>non trouvé</v>
      </c>
      <c r="L637" t="str">
        <f>_xlfn.XLOOKUP(_26_03_2026_Log_Reseau_v15[[#This Row],[province RDC]],_26_03_2026_Client_Churn_v1[Province_Client],_26_03_2026_Client_Churn_v1[Anciennete_Mois],"non trouvé")</f>
        <v>non trouvé</v>
      </c>
      <c r="M637" t="str">
        <f>_xlfn.XLOOKUP(_26_03_2026_Log_Reseau_v15[[#This Row],[province RDC]],_26_03_2026_Client_Churn_v1[Province_Client],_26_03_2026_Client_Churn_v1[Type_Forfait],"non trouvé")</f>
        <v>non trouvé</v>
      </c>
      <c r="N637" t="str">
        <f>_xlfn.XLOOKUP(_26_03_2026_Log_Reseau_v15[[#This Row],[province RDC]],_26_03_2026_Client_Churn_v1[Province_Client],_26_03_2026_Client_Churn_v1[Duree_Cumulee_Panne_Min],"non trouvé")</f>
        <v>non trouvé</v>
      </c>
      <c r="O637" t="str">
        <f>_xlfn.XLOOKUP(_26_03_2026_Log_Reseau_v15[[#This Row],[province RDC]],_26_03_2026_Client_Churn_v1[Province_Client],_26_03_2026_Client_Churn_v1[Facture_Mensuelle],"non trouvé")</f>
        <v>non trouvé</v>
      </c>
      <c r="P637" t="str">
        <f>_xlfn.XLOOKUP(_26_03_2026_Log_Reseau_v15[[#This Row],[province RDC]],_26_03_2026_Client_Churn_v1[Province_Client],_26_03_2026_Client_Churn_v1[Plaintes_Service_Client],"non trouvé")</f>
        <v>non trouvé</v>
      </c>
    </row>
    <row r="638" spans="1:16" hidden="1" x14ac:dyDescent="0.25">
      <c r="A638" s="1">
        <v>45216</v>
      </c>
      <c r="B638" s="2">
        <v>1.3888888888888889E-3</v>
      </c>
      <c r="C638" t="s">
        <v>1205</v>
      </c>
      <c r="D638">
        <v>74</v>
      </c>
      <c r="E638" t="s">
        <v>812</v>
      </c>
      <c r="F638" t="str">
        <f>_xlfn.XLOOKUP(_26_03_2026_Log_Reseau_v15[[#This Row],[Cell_ID]],_26_03_2026_Registre_Maintenance_v1[ID_Antenne],_26_03_2026_Registre_Maintenance_v1[zone],"pas trouvé")</f>
        <v>pas trouvé</v>
      </c>
      <c r="G638" t="str">
        <f>_xlfn.XLOOKUP(_26_03_2026_Log_Reseau_v15[[#This Row],[Cell_ID]],_26_03_2026_Registre_Maintenance_v1[ID_Antenne],_26_03_2026_Registre_Maintenance_v1[Latitude],"non trouvé")</f>
        <v>non trouvé</v>
      </c>
      <c r="H638" t="str">
        <f>_xlfn.XLOOKUP(_26_03_2026_Log_Reseau_v15[[#This Row],[Cell_ID]],_26_03_2026_Registre_Maintenance_v1[ID_Antenne],_26_03_2026_Registre_Maintenance_v1[Longitude],"pas trouvé")</f>
        <v>pas trouvé</v>
      </c>
      <c r="I638" t="str">
        <f>_xlfn.XLOOKUP(_26_03_2026_Log_Reseau_v15[[#This Row],[Cell_ID]],_26_03_2026_Registre_Maintenance_v1[ID_Antenne],_26_03_2026_Registre_Maintenance_v1[Technologie],"non trouvé")</f>
        <v>non trouvé</v>
      </c>
      <c r="J638" t="str">
        <f>_xlfn.XLOOKUP(_26_03_2026_Log_Reseau_v15[[#This Row],[Cell_ID]],_26_03_2026_Registre_Maintenance_v1[ID_Antenne],_26_03_2026_Registre_Maintenance_v1[Equipementier],"pas trouvé")</f>
        <v>pas trouvé</v>
      </c>
      <c r="K638" t="str">
        <f>_xlfn.XLOOKUP(_26_03_2026_Log_Reseau_v15[[#This Row],[province RDC]],_26_03_2026_Client_Churn_v1[Province_Client],_26_03_2026_Client_Churn_v1[ID_Client],"non trouvé")</f>
        <v>non trouvé</v>
      </c>
      <c r="L638" t="str">
        <f>_xlfn.XLOOKUP(_26_03_2026_Log_Reseau_v15[[#This Row],[province RDC]],_26_03_2026_Client_Churn_v1[Province_Client],_26_03_2026_Client_Churn_v1[Anciennete_Mois],"non trouvé")</f>
        <v>non trouvé</v>
      </c>
      <c r="M638" t="str">
        <f>_xlfn.XLOOKUP(_26_03_2026_Log_Reseau_v15[[#This Row],[province RDC]],_26_03_2026_Client_Churn_v1[Province_Client],_26_03_2026_Client_Churn_v1[Type_Forfait],"non trouvé")</f>
        <v>non trouvé</v>
      </c>
      <c r="N638" t="str">
        <f>_xlfn.XLOOKUP(_26_03_2026_Log_Reseau_v15[[#This Row],[province RDC]],_26_03_2026_Client_Churn_v1[Province_Client],_26_03_2026_Client_Churn_v1[Duree_Cumulee_Panne_Min],"non trouvé")</f>
        <v>non trouvé</v>
      </c>
      <c r="O638" t="str">
        <f>_xlfn.XLOOKUP(_26_03_2026_Log_Reseau_v15[[#This Row],[province RDC]],_26_03_2026_Client_Churn_v1[Province_Client],_26_03_2026_Client_Churn_v1[Facture_Mensuelle],"non trouvé")</f>
        <v>non trouvé</v>
      </c>
      <c r="P638" t="str">
        <f>_xlfn.XLOOKUP(_26_03_2026_Log_Reseau_v15[[#This Row],[province RDC]],_26_03_2026_Client_Churn_v1[Province_Client],_26_03_2026_Client_Churn_v1[Plaintes_Service_Client],"non trouvé")</f>
        <v>non trouvé</v>
      </c>
    </row>
    <row r="639" spans="1:16" x14ac:dyDescent="0.25">
      <c r="A639" s="1">
        <v>45209</v>
      </c>
      <c r="B639" s="2">
        <v>0.90138888888888891</v>
      </c>
      <c r="C639" t="s">
        <v>1206</v>
      </c>
      <c r="D639">
        <v>68</v>
      </c>
      <c r="E639" t="s">
        <v>808</v>
      </c>
      <c r="F639" t="str">
        <f>_xlfn.XLOOKUP(_26_03_2026_Log_Reseau_v15[[#This Row],[Cell_ID]],_26_03_2026_Registre_Maintenance_v1[ID_Antenne],_26_03_2026_Registre_Maintenance_v1[zone],"pas trouvé")</f>
        <v>Sud-Ubangi</v>
      </c>
      <c r="G639">
        <f>_xlfn.XLOOKUP(_26_03_2026_Log_Reseau_v15[[#This Row],[Cell_ID]],_26_03_2026_Registre_Maintenance_v1[ID_Antenne],_26_03_2026_Registre_Maintenance_v1[Latitude],"non trouvé")</f>
        <v>-8.3241560000000003</v>
      </c>
      <c r="H639">
        <f>_xlfn.XLOOKUP(_26_03_2026_Log_Reseau_v15[[#This Row],[Cell_ID]],_26_03_2026_Registre_Maintenance_v1[ID_Antenne],_26_03_2026_Registre_Maintenance_v1[Longitude],"pas trouvé")</f>
        <v>19.543866000000001</v>
      </c>
      <c r="I639" t="str">
        <f>_xlfn.XLOOKUP(_26_03_2026_Log_Reseau_v15[[#This Row],[Cell_ID]],_26_03_2026_Registre_Maintenance_v1[ID_Antenne],_26_03_2026_Registre_Maintenance_v1[Technologie],"non trouvé")</f>
        <v>4G</v>
      </c>
      <c r="J639" t="str">
        <f>_xlfn.XLOOKUP(_26_03_2026_Log_Reseau_v15[[#This Row],[Cell_ID]],_26_03_2026_Registre_Maintenance_v1[ID_Antenne],_26_03_2026_Registre_Maintenance_v1[Equipementier],"pas trouvé")</f>
        <v>ZTE</v>
      </c>
      <c r="K639" t="str">
        <f>_xlfn.XLOOKUP(_26_03_2026_Log_Reseau_v15[[#This Row],[province RDC]],_26_03_2026_Client_Churn_v1[Province_Client],_26_03_2026_Client_Churn_v1[ID_Client],"non trouvé")</f>
        <v>CLI-00280</v>
      </c>
      <c r="L639">
        <f>_xlfn.XLOOKUP(_26_03_2026_Log_Reseau_v15[[#This Row],[province RDC]],_26_03_2026_Client_Churn_v1[Province_Client],_26_03_2026_Client_Churn_v1[Anciennete_Mois],"non trouvé")</f>
        <v>113</v>
      </c>
      <c r="M639" t="str">
        <f>_xlfn.XLOOKUP(_26_03_2026_Log_Reseau_v15[[#This Row],[province RDC]],_26_03_2026_Client_Churn_v1[Province_Client],_26_03_2026_Client_Churn_v1[Type_Forfait],"non trouvé")</f>
        <v>Illimité 50Go</v>
      </c>
      <c r="N639">
        <f>_xlfn.XLOOKUP(_26_03_2026_Log_Reseau_v15[[#This Row],[province RDC]],_26_03_2026_Client_Churn_v1[Province_Client],_26_03_2026_Client_Churn_v1[Duree_Cumulee_Panne_Min],"non trouvé")</f>
        <v>380</v>
      </c>
      <c r="O639">
        <f>_xlfn.XLOOKUP(_26_03_2026_Log_Reseau_v15[[#This Row],[province RDC]],_26_03_2026_Client_Churn_v1[Province_Client],_26_03_2026_Client_Churn_v1[Facture_Mensuelle],"non trouvé")</f>
        <v>12.11</v>
      </c>
      <c r="P639">
        <f>_xlfn.XLOOKUP(_26_03_2026_Log_Reseau_v15[[#This Row],[province RDC]],_26_03_2026_Client_Churn_v1[Province_Client],_26_03_2026_Client_Churn_v1[Plaintes_Service_Client],"non trouvé")</f>
        <v>0</v>
      </c>
    </row>
    <row r="640" spans="1:16" x14ac:dyDescent="0.25">
      <c r="A640" s="1">
        <v>45208</v>
      </c>
      <c r="B640" s="2">
        <v>0.27916666666666667</v>
      </c>
      <c r="C640" t="s">
        <v>1207</v>
      </c>
      <c r="D640">
        <v>41</v>
      </c>
      <c r="E640" t="s">
        <v>808</v>
      </c>
      <c r="F640" t="str">
        <f>_xlfn.XLOOKUP(_26_03_2026_Log_Reseau_v15[[#This Row],[Cell_ID]],_26_03_2026_Registre_Maintenance_v1[ID_Antenne],_26_03_2026_Registre_Maintenance_v1[zone],"pas trouvé")</f>
        <v>Nord-Ubangi</v>
      </c>
      <c r="G640">
        <f>_xlfn.XLOOKUP(_26_03_2026_Log_Reseau_v15[[#This Row],[Cell_ID]],_26_03_2026_Registre_Maintenance_v1[ID_Antenne],_26_03_2026_Registre_Maintenance_v1[Latitude],"non trouvé")</f>
        <v>-9.3066320000000005</v>
      </c>
      <c r="H640">
        <f>_xlfn.XLOOKUP(_26_03_2026_Log_Reseau_v15[[#This Row],[Cell_ID]],_26_03_2026_Registre_Maintenance_v1[ID_Antenne],_26_03_2026_Registre_Maintenance_v1[Longitude],"pas trouvé")</f>
        <v>20.470889</v>
      </c>
      <c r="I640" t="str">
        <f>_xlfn.XLOOKUP(_26_03_2026_Log_Reseau_v15[[#This Row],[Cell_ID]],_26_03_2026_Registre_Maintenance_v1[ID_Antenne],_26_03_2026_Registre_Maintenance_v1[Technologie],"non trouvé")</f>
        <v>5G</v>
      </c>
      <c r="J640" t="str">
        <f>_xlfn.XLOOKUP(_26_03_2026_Log_Reseau_v15[[#This Row],[Cell_ID]],_26_03_2026_Registre_Maintenance_v1[ID_Antenne],_26_03_2026_Registre_Maintenance_v1[Equipementier],"pas trouvé")</f>
        <v>ZTE</v>
      </c>
      <c r="K640" t="str">
        <f>_xlfn.XLOOKUP(_26_03_2026_Log_Reseau_v15[[#This Row],[province RDC]],_26_03_2026_Client_Churn_v1[Province_Client],_26_03_2026_Client_Churn_v1[ID_Client],"non trouvé")</f>
        <v>CLI-01170</v>
      </c>
      <c r="L640">
        <f>_xlfn.XLOOKUP(_26_03_2026_Log_Reseau_v15[[#This Row],[province RDC]],_26_03_2026_Client_Churn_v1[Province_Client],_26_03_2026_Client_Churn_v1[Anciennete_Mois],"non trouvé")</f>
        <v>98</v>
      </c>
      <c r="M640" t="str">
        <f>_xlfn.XLOOKUP(_26_03_2026_Log_Reseau_v15[[#This Row],[province RDC]],_26_03_2026_Client_Churn_v1[Province_Client],_26_03_2026_Client_Churn_v1[Type_Forfait],"non trouvé")</f>
        <v>Pro Monde</v>
      </c>
      <c r="N640">
        <f>_xlfn.XLOOKUP(_26_03_2026_Log_Reseau_v15[[#This Row],[province RDC]],_26_03_2026_Client_Churn_v1[Province_Client],_26_03_2026_Client_Churn_v1[Duree_Cumulee_Panne_Min],"non trouvé")</f>
        <v>482</v>
      </c>
      <c r="O640">
        <f>_xlfn.XLOOKUP(_26_03_2026_Log_Reseau_v15[[#This Row],[province RDC]],_26_03_2026_Client_Churn_v1[Province_Client],_26_03_2026_Client_Churn_v1[Facture_Mensuelle],"non trouvé")</f>
        <v>55.04</v>
      </c>
      <c r="P640">
        <f>_xlfn.XLOOKUP(_26_03_2026_Log_Reseau_v15[[#This Row],[province RDC]],_26_03_2026_Client_Churn_v1[Province_Client],_26_03_2026_Client_Churn_v1[Plaintes_Service_Client],"non trouvé")</f>
        <v>5</v>
      </c>
    </row>
    <row r="641" spans="1:16" hidden="1" x14ac:dyDescent="0.25">
      <c r="A641" s="1">
        <v>45219</v>
      </c>
      <c r="B641" s="2">
        <v>0.83402777777777781</v>
      </c>
      <c r="C641" t="s">
        <v>1208</v>
      </c>
      <c r="D641">
        <v>64</v>
      </c>
      <c r="E641" t="s">
        <v>812</v>
      </c>
      <c r="F641" t="str">
        <f>_xlfn.XLOOKUP(_26_03_2026_Log_Reseau_v15[[#This Row],[Cell_ID]],_26_03_2026_Registre_Maintenance_v1[ID_Antenne],_26_03_2026_Registre_Maintenance_v1[zone],"pas trouvé")</f>
        <v>pas trouvé</v>
      </c>
      <c r="G641" t="str">
        <f>_xlfn.XLOOKUP(_26_03_2026_Log_Reseau_v15[[#This Row],[Cell_ID]],_26_03_2026_Registre_Maintenance_v1[ID_Antenne],_26_03_2026_Registre_Maintenance_v1[Latitude],"non trouvé")</f>
        <v>non trouvé</v>
      </c>
      <c r="H641" t="str">
        <f>_xlfn.XLOOKUP(_26_03_2026_Log_Reseau_v15[[#This Row],[Cell_ID]],_26_03_2026_Registre_Maintenance_v1[ID_Antenne],_26_03_2026_Registre_Maintenance_v1[Longitude],"pas trouvé")</f>
        <v>pas trouvé</v>
      </c>
      <c r="I641" t="str">
        <f>_xlfn.XLOOKUP(_26_03_2026_Log_Reseau_v15[[#This Row],[Cell_ID]],_26_03_2026_Registre_Maintenance_v1[ID_Antenne],_26_03_2026_Registre_Maintenance_v1[Technologie],"non trouvé")</f>
        <v>non trouvé</v>
      </c>
      <c r="J641" t="str">
        <f>_xlfn.XLOOKUP(_26_03_2026_Log_Reseau_v15[[#This Row],[Cell_ID]],_26_03_2026_Registre_Maintenance_v1[ID_Antenne],_26_03_2026_Registre_Maintenance_v1[Equipementier],"pas trouvé")</f>
        <v>pas trouvé</v>
      </c>
      <c r="K641" t="str">
        <f>_xlfn.XLOOKUP(_26_03_2026_Log_Reseau_v15[[#This Row],[province RDC]],_26_03_2026_Client_Churn_v1[Province_Client],_26_03_2026_Client_Churn_v1[ID_Client],"non trouvé")</f>
        <v>non trouvé</v>
      </c>
      <c r="L641" t="str">
        <f>_xlfn.XLOOKUP(_26_03_2026_Log_Reseau_v15[[#This Row],[province RDC]],_26_03_2026_Client_Churn_v1[Province_Client],_26_03_2026_Client_Churn_v1[Anciennete_Mois],"non trouvé")</f>
        <v>non trouvé</v>
      </c>
      <c r="M641" t="str">
        <f>_xlfn.XLOOKUP(_26_03_2026_Log_Reseau_v15[[#This Row],[province RDC]],_26_03_2026_Client_Churn_v1[Province_Client],_26_03_2026_Client_Churn_v1[Type_Forfait],"non trouvé")</f>
        <v>non trouvé</v>
      </c>
      <c r="N641" t="str">
        <f>_xlfn.XLOOKUP(_26_03_2026_Log_Reseau_v15[[#This Row],[province RDC]],_26_03_2026_Client_Churn_v1[Province_Client],_26_03_2026_Client_Churn_v1[Duree_Cumulee_Panne_Min],"non trouvé")</f>
        <v>non trouvé</v>
      </c>
      <c r="O641" t="str">
        <f>_xlfn.XLOOKUP(_26_03_2026_Log_Reseau_v15[[#This Row],[province RDC]],_26_03_2026_Client_Churn_v1[Province_Client],_26_03_2026_Client_Churn_v1[Facture_Mensuelle],"non trouvé")</f>
        <v>non trouvé</v>
      </c>
      <c r="P641" t="str">
        <f>_xlfn.XLOOKUP(_26_03_2026_Log_Reseau_v15[[#This Row],[province RDC]],_26_03_2026_Client_Churn_v1[Province_Client],_26_03_2026_Client_Churn_v1[Plaintes_Service_Client],"non trouvé")</f>
        <v>non trouvé</v>
      </c>
    </row>
    <row r="642" spans="1:16" hidden="1" x14ac:dyDescent="0.25">
      <c r="A642" s="1">
        <v>45208</v>
      </c>
      <c r="B642" s="2">
        <v>0.50624999999999998</v>
      </c>
      <c r="C642" t="s">
        <v>1209</v>
      </c>
      <c r="D642">
        <v>91</v>
      </c>
      <c r="E642" t="s">
        <v>812</v>
      </c>
      <c r="F642" t="str">
        <f>_xlfn.XLOOKUP(_26_03_2026_Log_Reseau_v15[[#This Row],[Cell_ID]],_26_03_2026_Registre_Maintenance_v1[ID_Antenne],_26_03_2026_Registre_Maintenance_v1[zone],"pas trouvé")</f>
        <v>pas trouvé</v>
      </c>
      <c r="G642" t="str">
        <f>_xlfn.XLOOKUP(_26_03_2026_Log_Reseau_v15[[#This Row],[Cell_ID]],_26_03_2026_Registre_Maintenance_v1[ID_Antenne],_26_03_2026_Registre_Maintenance_v1[Latitude],"non trouvé")</f>
        <v>non trouvé</v>
      </c>
      <c r="H642" t="str">
        <f>_xlfn.XLOOKUP(_26_03_2026_Log_Reseau_v15[[#This Row],[Cell_ID]],_26_03_2026_Registre_Maintenance_v1[ID_Antenne],_26_03_2026_Registre_Maintenance_v1[Longitude],"pas trouvé")</f>
        <v>pas trouvé</v>
      </c>
      <c r="I642" t="str">
        <f>_xlfn.XLOOKUP(_26_03_2026_Log_Reseau_v15[[#This Row],[Cell_ID]],_26_03_2026_Registre_Maintenance_v1[ID_Antenne],_26_03_2026_Registre_Maintenance_v1[Technologie],"non trouvé")</f>
        <v>non trouvé</v>
      </c>
      <c r="J642" t="str">
        <f>_xlfn.XLOOKUP(_26_03_2026_Log_Reseau_v15[[#This Row],[Cell_ID]],_26_03_2026_Registre_Maintenance_v1[ID_Antenne],_26_03_2026_Registre_Maintenance_v1[Equipementier],"pas trouvé")</f>
        <v>pas trouvé</v>
      </c>
      <c r="K642" t="str">
        <f>_xlfn.XLOOKUP(_26_03_2026_Log_Reseau_v15[[#This Row],[province RDC]],_26_03_2026_Client_Churn_v1[Province_Client],_26_03_2026_Client_Churn_v1[ID_Client],"non trouvé")</f>
        <v>non trouvé</v>
      </c>
      <c r="L642" t="str">
        <f>_xlfn.XLOOKUP(_26_03_2026_Log_Reseau_v15[[#This Row],[province RDC]],_26_03_2026_Client_Churn_v1[Province_Client],_26_03_2026_Client_Churn_v1[Anciennete_Mois],"non trouvé")</f>
        <v>non trouvé</v>
      </c>
      <c r="M642" t="str">
        <f>_xlfn.XLOOKUP(_26_03_2026_Log_Reseau_v15[[#This Row],[province RDC]],_26_03_2026_Client_Churn_v1[Province_Client],_26_03_2026_Client_Churn_v1[Type_Forfait],"non trouvé")</f>
        <v>non trouvé</v>
      </c>
      <c r="N642" t="str">
        <f>_xlfn.XLOOKUP(_26_03_2026_Log_Reseau_v15[[#This Row],[province RDC]],_26_03_2026_Client_Churn_v1[Province_Client],_26_03_2026_Client_Churn_v1[Duree_Cumulee_Panne_Min],"non trouvé")</f>
        <v>non trouvé</v>
      </c>
      <c r="O642" t="str">
        <f>_xlfn.XLOOKUP(_26_03_2026_Log_Reseau_v15[[#This Row],[province RDC]],_26_03_2026_Client_Churn_v1[Province_Client],_26_03_2026_Client_Churn_v1[Facture_Mensuelle],"non trouvé")</f>
        <v>non trouvé</v>
      </c>
      <c r="P642" t="str">
        <f>_xlfn.XLOOKUP(_26_03_2026_Log_Reseau_v15[[#This Row],[province RDC]],_26_03_2026_Client_Churn_v1[Province_Client],_26_03_2026_Client_Churn_v1[Plaintes_Service_Client],"non trouvé")</f>
        <v>non trouvé</v>
      </c>
    </row>
    <row r="643" spans="1:16" hidden="1" x14ac:dyDescent="0.25">
      <c r="A643" s="1">
        <v>45228</v>
      </c>
      <c r="B643" s="2">
        <v>0.5180555555555556</v>
      </c>
      <c r="C643" t="s">
        <v>1209</v>
      </c>
      <c r="D643">
        <v>92</v>
      </c>
      <c r="E643" t="s">
        <v>812</v>
      </c>
      <c r="F643" t="str">
        <f>_xlfn.XLOOKUP(_26_03_2026_Log_Reseau_v15[[#This Row],[Cell_ID]],_26_03_2026_Registre_Maintenance_v1[ID_Antenne],_26_03_2026_Registre_Maintenance_v1[zone],"pas trouvé")</f>
        <v>pas trouvé</v>
      </c>
      <c r="G643" t="str">
        <f>_xlfn.XLOOKUP(_26_03_2026_Log_Reseau_v15[[#This Row],[Cell_ID]],_26_03_2026_Registre_Maintenance_v1[ID_Antenne],_26_03_2026_Registre_Maintenance_v1[Latitude],"non trouvé")</f>
        <v>non trouvé</v>
      </c>
      <c r="H643" t="str">
        <f>_xlfn.XLOOKUP(_26_03_2026_Log_Reseau_v15[[#This Row],[Cell_ID]],_26_03_2026_Registre_Maintenance_v1[ID_Antenne],_26_03_2026_Registre_Maintenance_v1[Longitude],"pas trouvé")</f>
        <v>pas trouvé</v>
      </c>
      <c r="I643" t="str">
        <f>_xlfn.XLOOKUP(_26_03_2026_Log_Reseau_v15[[#This Row],[Cell_ID]],_26_03_2026_Registre_Maintenance_v1[ID_Antenne],_26_03_2026_Registre_Maintenance_v1[Technologie],"non trouvé")</f>
        <v>non trouvé</v>
      </c>
      <c r="J643" t="str">
        <f>_xlfn.XLOOKUP(_26_03_2026_Log_Reseau_v15[[#This Row],[Cell_ID]],_26_03_2026_Registre_Maintenance_v1[ID_Antenne],_26_03_2026_Registre_Maintenance_v1[Equipementier],"pas trouvé")</f>
        <v>pas trouvé</v>
      </c>
      <c r="K643" t="str">
        <f>_xlfn.XLOOKUP(_26_03_2026_Log_Reseau_v15[[#This Row],[province RDC]],_26_03_2026_Client_Churn_v1[Province_Client],_26_03_2026_Client_Churn_v1[ID_Client],"non trouvé")</f>
        <v>non trouvé</v>
      </c>
      <c r="L643" t="str">
        <f>_xlfn.XLOOKUP(_26_03_2026_Log_Reseau_v15[[#This Row],[province RDC]],_26_03_2026_Client_Churn_v1[Province_Client],_26_03_2026_Client_Churn_v1[Anciennete_Mois],"non trouvé")</f>
        <v>non trouvé</v>
      </c>
      <c r="M643" t="str">
        <f>_xlfn.XLOOKUP(_26_03_2026_Log_Reseau_v15[[#This Row],[province RDC]],_26_03_2026_Client_Churn_v1[Province_Client],_26_03_2026_Client_Churn_v1[Type_Forfait],"non trouvé")</f>
        <v>non trouvé</v>
      </c>
      <c r="N643" t="str">
        <f>_xlfn.XLOOKUP(_26_03_2026_Log_Reseau_v15[[#This Row],[province RDC]],_26_03_2026_Client_Churn_v1[Province_Client],_26_03_2026_Client_Churn_v1[Duree_Cumulee_Panne_Min],"non trouvé")</f>
        <v>non trouvé</v>
      </c>
      <c r="O643" t="str">
        <f>_xlfn.XLOOKUP(_26_03_2026_Log_Reseau_v15[[#This Row],[province RDC]],_26_03_2026_Client_Churn_v1[Province_Client],_26_03_2026_Client_Churn_v1[Facture_Mensuelle],"non trouvé")</f>
        <v>non trouvé</v>
      </c>
      <c r="P643" t="str">
        <f>_xlfn.XLOOKUP(_26_03_2026_Log_Reseau_v15[[#This Row],[province RDC]],_26_03_2026_Client_Churn_v1[Province_Client],_26_03_2026_Client_Churn_v1[Plaintes_Service_Client],"non trouvé")</f>
        <v>non trouvé</v>
      </c>
    </row>
    <row r="644" spans="1:16" x14ac:dyDescent="0.25">
      <c r="A644" s="1">
        <v>45221</v>
      </c>
      <c r="B644" s="2">
        <v>0.27847222222222223</v>
      </c>
      <c r="C644" t="s">
        <v>1210</v>
      </c>
      <c r="D644">
        <v>83</v>
      </c>
      <c r="E644" t="s">
        <v>812</v>
      </c>
      <c r="F644" t="str">
        <f>_xlfn.XLOOKUP(_26_03_2026_Log_Reseau_v15[[#This Row],[Cell_ID]],_26_03_2026_Registre_Maintenance_v1[ID_Antenne],_26_03_2026_Registre_Maintenance_v1[zone],"pas trouvé")</f>
        <v>Tshuapa</v>
      </c>
      <c r="G644">
        <f>_xlfn.XLOOKUP(_26_03_2026_Log_Reseau_v15[[#This Row],[Cell_ID]],_26_03_2026_Registre_Maintenance_v1[ID_Antenne],_26_03_2026_Registre_Maintenance_v1[Latitude],"non trouvé")</f>
        <v>-12.292039000000001</v>
      </c>
      <c r="H644">
        <f>_xlfn.XLOOKUP(_26_03_2026_Log_Reseau_v15[[#This Row],[Cell_ID]],_26_03_2026_Registre_Maintenance_v1[ID_Antenne],_26_03_2026_Registre_Maintenance_v1[Longitude],"pas trouvé")</f>
        <v>27.538202999999999</v>
      </c>
      <c r="I644" t="str">
        <f>_xlfn.XLOOKUP(_26_03_2026_Log_Reseau_v15[[#This Row],[Cell_ID]],_26_03_2026_Registre_Maintenance_v1[ID_Antenne],_26_03_2026_Registre_Maintenance_v1[Technologie],"non trouvé")</f>
        <v>3G</v>
      </c>
      <c r="J644" t="str">
        <f>_xlfn.XLOOKUP(_26_03_2026_Log_Reseau_v15[[#This Row],[Cell_ID]],_26_03_2026_Registre_Maintenance_v1[ID_Antenne],_26_03_2026_Registre_Maintenance_v1[Equipementier],"pas trouvé")</f>
        <v>Huawei</v>
      </c>
      <c r="K644" t="str">
        <f>_xlfn.XLOOKUP(_26_03_2026_Log_Reseau_v15[[#This Row],[province RDC]],_26_03_2026_Client_Churn_v1[Province_Client],_26_03_2026_Client_Churn_v1[ID_Client],"non trouvé")</f>
        <v>CLI-00894</v>
      </c>
      <c r="L644">
        <f>_xlfn.XLOOKUP(_26_03_2026_Log_Reseau_v15[[#This Row],[province RDC]],_26_03_2026_Client_Churn_v1[Province_Client],_26_03_2026_Client_Churn_v1[Anciennete_Mois],"non trouvé")</f>
        <v>63</v>
      </c>
      <c r="M644" t="str">
        <f>_xlfn.XLOOKUP(_26_03_2026_Log_Reseau_v15[[#This Row],[province RDC]],_26_03_2026_Client_Churn_v1[Province_Client],_26_03_2026_Client_Churn_v1[Type_Forfait],"non trouvé")</f>
        <v>Pro Monde</v>
      </c>
      <c r="N644">
        <f>_xlfn.XLOOKUP(_26_03_2026_Log_Reseau_v15[[#This Row],[province RDC]],_26_03_2026_Client_Churn_v1[Province_Client],_26_03_2026_Client_Churn_v1[Duree_Cumulee_Panne_Min],"non trouvé")</f>
        <v>205</v>
      </c>
      <c r="O644">
        <f>_xlfn.XLOOKUP(_26_03_2026_Log_Reseau_v15[[#This Row],[province RDC]],_26_03_2026_Client_Churn_v1[Province_Client],_26_03_2026_Client_Churn_v1[Facture_Mensuelle],"non trouvé")</f>
        <v>89.19</v>
      </c>
      <c r="P644">
        <f>_xlfn.XLOOKUP(_26_03_2026_Log_Reseau_v15[[#This Row],[province RDC]],_26_03_2026_Client_Churn_v1[Province_Client],_26_03_2026_Client_Churn_v1[Plaintes_Service_Client],"non trouvé")</f>
        <v>0</v>
      </c>
    </row>
    <row r="645" spans="1:16" x14ac:dyDescent="0.25">
      <c r="A645" s="1">
        <v>45205</v>
      </c>
      <c r="B645" s="2">
        <v>0.47152777777777777</v>
      </c>
      <c r="C645" t="s">
        <v>1211</v>
      </c>
      <c r="D645">
        <v>50</v>
      </c>
      <c r="E645" t="s">
        <v>808</v>
      </c>
      <c r="F645" t="str">
        <f>_xlfn.XLOOKUP(_26_03_2026_Log_Reseau_v15[[#This Row],[Cell_ID]],_26_03_2026_Registre_Maintenance_v1[ID_Antenne],_26_03_2026_Registre_Maintenance_v1[zone],"pas trouvé")</f>
        <v>Haut-Lomami</v>
      </c>
      <c r="G645">
        <f>_xlfn.XLOOKUP(_26_03_2026_Log_Reseau_v15[[#This Row],[Cell_ID]],_26_03_2026_Registre_Maintenance_v1[ID_Antenne],_26_03_2026_Registre_Maintenance_v1[Latitude],"non trouvé")</f>
        <v>2.628638</v>
      </c>
      <c r="H645">
        <f>_xlfn.XLOOKUP(_26_03_2026_Log_Reseau_v15[[#This Row],[Cell_ID]],_26_03_2026_Registre_Maintenance_v1[ID_Antenne],_26_03_2026_Registre_Maintenance_v1[Longitude],"pas trouvé")</f>
        <v>28.420582</v>
      </c>
      <c r="I645" t="str">
        <f>_xlfn.XLOOKUP(_26_03_2026_Log_Reseau_v15[[#This Row],[Cell_ID]],_26_03_2026_Registre_Maintenance_v1[ID_Antenne],_26_03_2026_Registre_Maintenance_v1[Technologie],"non trouvé")</f>
        <v>4G</v>
      </c>
      <c r="J645" t="str">
        <f>_xlfn.XLOOKUP(_26_03_2026_Log_Reseau_v15[[#This Row],[Cell_ID]],_26_03_2026_Registre_Maintenance_v1[ID_Antenne],_26_03_2026_Registre_Maintenance_v1[Equipementier],"pas trouvé")</f>
        <v>Huawei</v>
      </c>
      <c r="K645" t="str">
        <f>_xlfn.XLOOKUP(_26_03_2026_Log_Reseau_v15[[#This Row],[province RDC]],_26_03_2026_Client_Churn_v1[Province_Client],_26_03_2026_Client_Churn_v1[ID_Client],"non trouvé")</f>
        <v>CLI-01325</v>
      </c>
      <c r="L645">
        <f>_xlfn.XLOOKUP(_26_03_2026_Log_Reseau_v15[[#This Row],[province RDC]],_26_03_2026_Client_Churn_v1[Province_Client],_26_03_2026_Client_Churn_v1[Anciennete_Mois],"non trouvé")</f>
        <v>44</v>
      </c>
      <c r="M645" t="str">
        <f>_xlfn.XLOOKUP(_26_03_2026_Log_Reseau_v15[[#This Row],[province RDC]],_26_03_2026_Client_Churn_v1[Province_Client],_26_03_2026_Client_Churn_v1[Type_Forfait],"non trouvé")</f>
        <v>Bloqué 5Go</v>
      </c>
      <c r="N645">
        <f>_xlfn.XLOOKUP(_26_03_2026_Log_Reseau_v15[[#This Row],[province RDC]],_26_03_2026_Client_Churn_v1[Province_Client],_26_03_2026_Client_Churn_v1[Duree_Cumulee_Panne_Min],"non trouvé")</f>
        <v>348</v>
      </c>
      <c r="O645">
        <f>_xlfn.XLOOKUP(_26_03_2026_Log_Reseau_v15[[#This Row],[province RDC]],_26_03_2026_Client_Churn_v1[Province_Client],_26_03_2026_Client_Churn_v1[Facture_Mensuelle],"non trouvé")</f>
        <v>58.67</v>
      </c>
      <c r="P645">
        <f>_xlfn.XLOOKUP(_26_03_2026_Log_Reseau_v15[[#This Row],[province RDC]],_26_03_2026_Client_Churn_v1[Province_Client],_26_03_2026_Client_Churn_v1[Plaintes_Service_Client],"non trouvé")</f>
        <v>0</v>
      </c>
    </row>
    <row r="646" spans="1:16" x14ac:dyDescent="0.25">
      <c r="A646" s="1">
        <v>45200</v>
      </c>
      <c r="B646" s="2">
        <v>0.34236111111111112</v>
      </c>
      <c r="C646" t="s">
        <v>1211</v>
      </c>
      <c r="D646">
        <v>86</v>
      </c>
      <c r="E646" t="s">
        <v>808</v>
      </c>
      <c r="F646" t="str">
        <f>_xlfn.XLOOKUP(_26_03_2026_Log_Reseau_v15[[#This Row],[Cell_ID]],_26_03_2026_Registre_Maintenance_v1[ID_Antenne],_26_03_2026_Registre_Maintenance_v1[zone],"pas trouvé")</f>
        <v>Haut-Lomami</v>
      </c>
      <c r="G646">
        <f>_xlfn.XLOOKUP(_26_03_2026_Log_Reseau_v15[[#This Row],[Cell_ID]],_26_03_2026_Registre_Maintenance_v1[ID_Antenne],_26_03_2026_Registre_Maintenance_v1[Latitude],"non trouvé")</f>
        <v>2.628638</v>
      </c>
      <c r="H646">
        <f>_xlfn.XLOOKUP(_26_03_2026_Log_Reseau_v15[[#This Row],[Cell_ID]],_26_03_2026_Registre_Maintenance_v1[ID_Antenne],_26_03_2026_Registre_Maintenance_v1[Longitude],"pas trouvé")</f>
        <v>28.420582</v>
      </c>
      <c r="I646" t="str">
        <f>_xlfn.XLOOKUP(_26_03_2026_Log_Reseau_v15[[#This Row],[Cell_ID]],_26_03_2026_Registre_Maintenance_v1[ID_Antenne],_26_03_2026_Registre_Maintenance_v1[Technologie],"non trouvé")</f>
        <v>4G</v>
      </c>
      <c r="J646" t="str">
        <f>_xlfn.XLOOKUP(_26_03_2026_Log_Reseau_v15[[#This Row],[Cell_ID]],_26_03_2026_Registre_Maintenance_v1[ID_Antenne],_26_03_2026_Registre_Maintenance_v1[Equipementier],"pas trouvé")</f>
        <v>Huawei</v>
      </c>
      <c r="K646" t="str">
        <f>_xlfn.XLOOKUP(_26_03_2026_Log_Reseau_v15[[#This Row],[province RDC]],_26_03_2026_Client_Churn_v1[Province_Client],_26_03_2026_Client_Churn_v1[ID_Client],"non trouvé")</f>
        <v>CLI-01325</v>
      </c>
      <c r="L646">
        <f>_xlfn.XLOOKUP(_26_03_2026_Log_Reseau_v15[[#This Row],[province RDC]],_26_03_2026_Client_Churn_v1[Province_Client],_26_03_2026_Client_Churn_v1[Anciennete_Mois],"non trouvé")</f>
        <v>44</v>
      </c>
      <c r="M646" t="str">
        <f>_xlfn.XLOOKUP(_26_03_2026_Log_Reseau_v15[[#This Row],[province RDC]],_26_03_2026_Client_Churn_v1[Province_Client],_26_03_2026_Client_Churn_v1[Type_Forfait],"non trouvé")</f>
        <v>Bloqué 5Go</v>
      </c>
      <c r="N646">
        <f>_xlfn.XLOOKUP(_26_03_2026_Log_Reseau_v15[[#This Row],[province RDC]],_26_03_2026_Client_Churn_v1[Province_Client],_26_03_2026_Client_Churn_v1[Duree_Cumulee_Panne_Min],"non trouvé")</f>
        <v>348</v>
      </c>
      <c r="O646">
        <f>_xlfn.XLOOKUP(_26_03_2026_Log_Reseau_v15[[#This Row],[province RDC]],_26_03_2026_Client_Churn_v1[Province_Client],_26_03_2026_Client_Churn_v1[Facture_Mensuelle],"non trouvé")</f>
        <v>58.67</v>
      </c>
      <c r="P646">
        <f>_xlfn.XLOOKUP(_26_03_2026_Log_Reseau_v15[[#This Row],[province RDC]],_26_03_2026_Client_Churn_v1[Province_Client],_26_03_2026_Client_Churn_v1[Plaintes_Service_Client],"non trouvé")</f>
        <v>0</v>
      </c>
    </row>
    <row r="647" spans="1:16" hidden="1" x14ac:dyDescent="0.25">
      <c r="A647" s="1">
        <v>45224</v>
      </c>
      <c r="B647" s="2">
        <v>0.29722222222222222</v>
      </c>
      <c r="C647" t="s">
        <v>1212</v>
      </c>
      <c r="D647">
        <v>12</v>
      </c>
      <c r="E647" t="s">
        <v>812</v>
      </c>
      <c r="F647" t="str">
        <f>_xlfn.XLOOKUP(_26_03_2026_Log_Reseau_v15[[#This Row],[Cell_ID]],_26_03_2026_Registre_Maintenance_v1[ID_Antenne],_26_03_2026_Registre_Maintenance_v1[zone],"pas trouvé")</f>
        <v>pas trouvé</v>
      </c>
      <c r="G647" t="str">
        <f>_xlfn.XLOOKUP(_26_03_2026_Log_Reseau_v15[[#This Row],[Cell_ID]],_26_03_2026_Registre_Maintenance_v1[ID_Antenne],_26_03_2026_Registre_Maintenance_v1[Latitude],"non trouvé")</f>
        <v>non trouvé</v>
      </c>
      <c r="H647" t="str">
        <f>_xlfn.XLOOKUP(_26_03_2026_Log_Reseau_v15[[#This Row],[Cell_ID]],_26_03_2026_Registre_Maintenance_v1[ID_Antenne],_26_03_2026_Registre_Maintenance_v1[Longitude],"pas trouvé")</f>
        <v>pas trouvé</v>
      </c>
      <c r="I647" t="str">
        <f>_xlfn.XLOOKUP(_26_03_2026_Log_Reseau_v15[[#This Row],[Cell_ID]],_26_03_2026_Registre_Maintenance_v1[ID_Antenne],_26_03_2026_Registre_Maintenance_v1[Technologie],"non trouvé")</f>
        <v>non trouvé</v>
      </c>
      <c r="J647" t="str">
        <f>_xlfn.XLOOKUP(_26_03_2026_Log_Reseau_v15[[#This Row],[Cell_ID]],_26_03_2026_Registre_Maintenance_v1[ID_Antenne],_26_03_2026_Registre_Maintenance_v1[Equipementier],"pas trouvé")</f>
        <v>pas trouvé</v>
      </c>
      <c r="K647" t="str">
        <f>_xlfn.XLOOKUP(_26_03_2026_Log_Reseau_v15[[#This Row],[province RDC]],_26_03_2026_Client_Churn_v1[Province_Client],_26_03_2026_Client_Churn_v1[ID_Client],"non trouvé")</f>
        <v>non trouvé</v>
      </c>
      <c r="L647" t="str">
        <f>_xlfn.XLOOKUP(_26_03_2026_Log_Reseau_v15[[#This Row],[province RDC]],_26_03_2026_Client_Churn_v1[Province_Client],_26_03_2026_Client_Churn_v1[Anciennete_Mois],"non trouvé")</f>
        <v>non trouvé</v>
      </c>
      <c r="M647" t="str">
        <f>_xlfn.XLOOKUP(_26_03_2026_Log_Reseau_v15[[#This Row],[province RDC]],_26_03_2026_Client_Churn_v1[Province_Client],_26_03_2026_Client_Churn_v1[Type_Forfait],"non trouvé")</f>
        <v>non trouvé</v>
      </c>
      <c r="N647" t="str">
        <f>_xlfn.XLOOKUP(_26_03_2026_Log_Reseau_v15[[#This Row],[province RDC]],_26_03_2026_Client_Churn_v1[Province_Client],_26_03_2026_Client_Churn_v1[Duree_Cumulee_Panne_Min],"non trouvé")</f>
        <v>non trouvé</v>
      </c>
      <c r="O647" t="str">
        <f>_xlfn.XLOOKUP(_26_03_2026_Log_Reseau_v15[[#This Row],[province RDC]],_26_03_2026_Client_Churn_v1[Province_Client],_26_03_2026_Client_Churn_v1[Facture_Mensuelle],"non trouvé")</f>
        <v>non trouvé</v>
      </c>
      <c r="P647" t="str">
        <f>_xlfn.XLOOKUP(_26_03_2026_Log_Reseau_v15[[#This Row],[province RDC]],_26_03_2026_Client_Churn_v1[Province_Client],_26_03_2026_Client_Churn_v1[Plaintes_Service_Client],"non trouvé")</f>
        <v>non trouvé</v>
      </c>
    </row>
    <row r="648" spans="1:16" x14ac:dyDescent="0.25">
      <c r="A648" s="1">
        <v>45229</v>
      </c>
      <c r="B648" s="2">
        <v>0.97222222222222221</v>
      </c>
      <c r="C648" t="s">
        <v>1213</v>
      </c>
      <c r="D648">
        <v>5</v>
      </c>
      <c r="E648" t="s">
        <v>812</v>
      </c>
      <c r="F648" t="str">
        <f>_xlfn.XLOOKUP(_26_03_2026_Log_Reseau_v15[[#This Row],[Cell_ID]],_26_03_2026_Registre_Maintenance_v1[ID_Antenne],_26_03_2026_Registre_Maintenance_v1[zone],"pas trouvé")</f>
        <v>Nord-Ubangi</v>
      </c>
      <c r="G648">
        <f>_xlfn.XLOOKUP(_26_03_2026_Log_Reseau_v15[[#This Row],[Cell_ID]],_26_03_2026_Registre_Maintenance_v1[ID_Antenne],_26_03_2026_Registre_Maintenance_v1[Latitude],"non trouvé")</f>
        <v>-8.4985189999999999</v>
      </c>
      <c r="H648">
        <f>_xlfn.XLOOKUP(_26_03_2026_Log_Reseau_v15[[#This Row],[Cell_ID]],_26_03_2026_Registre_Maintenance_v1[ID_Antenne],_26_03_2026_Registre_Maintenance_v1[Longitude],"pas trouvé")</f>
        <v>12.929456999999999</v>
      </c>
      <c r="I648" t="str">
        <f>_xlfn.XLOOKUP(_26_03_2026_Log_Reseau_v15[[#This Row],[Cell_ID]],_26_03_2026_Registre_Maintenance_v1[ID_Antenne],_26_03_2026_Registre_Maintenance_v1[Technologie],"non trouvé")</f>
        <v>4G</v>
      </c>
      <c r="J648" t="str">
        <f>_xlfn.XLOOKUP(_26_03_2026_Log_Reseau_v15[[#This Row],[Cell_ID]],_26_03_2026_Registre_Maintenance_v1[ID_Antenne],_26_03_2026_Registre_Maintenance_v1[Equipementier],"pas trouvé")</f>
        <v>Ericsson</v>
      </c>
      <c r="K648" t="str">
        <f>_xlfn.XLOOKUP(_26_03_2026_Log_Reseau_v15[[#This Row],[province RDC]],_26_03_2026_Client_Churn_v1[Province_Client],_26_03_2026_Client_Churn_v1[ID_Client],"non trouvé")</f>
        <v>CLI-01170</v>
      </c>
      <c r="L648">
        <f>_xlfn.XLOOKUP(_26_03_2026_Log_Reseau_v15[[#This Row],[province RDC]],_26_03_2026_Client_Churn_v1[Province_Client],_26_03_2026_Client_Churn_v1[Anciennete_Mois],"non trouvé")</f>
        <v>98</v>
      </c>
      <c r="M648" t="str">
        <f>_xlfn.XLOOKUP(_26_03_2026_Log_Reseau_v15[[#This Row],[province RDC]],_26_03_2026_Client_Churn_v1[Province_Client],_26_03_2026_Client_Churn_v1[Type_Forfait],"non trouvé")</f>
        <v>Pro Monde</v>
      </c>
      <c r="N648">
        <f>_xlfn.XLOOKUP(_26_03_2026_Log_Reseau_v15[[#This Row],[province RDC]],_26_03_2026_Client_Churn_v1[Province_Client],_26_03_2026_Client_Churn_v1[Duree_Cumulee_Panne_Min],"non trouvé")</f>
        <v>482</v>
      </c>
      <c r="O648">
        <f>_xlfn.XLOOKUP(_26_03_2026_Log_Reseau_v15[[#This Row],[province RDC]],_26_03_2026_Client_Churn_v1[Province_Client],_26_03_2026_Client_Churn_v1[Facture_Mensuelle],"non trouvé")</f>
        <v>55.04</v>
      </c>
      <c r="P648">
        <f>_xlfn.XLOOKUP(_26_03_2026_Log_Reseau_v15[[#This Row],[province RDC]],_26_03_2026_Client_Churn_v1[Province_Client],_26_03_2026_Client_Churn_v1[Plaintes_Service_Client],"non trouvé")</f>
        <v>5</v>
      </c>
    </row>
    <row r="649" spans="1:16" x14ac:dyDescent="0.25">
      <c r="A649" s="1">
        <v>45226</v>
      </c>
      <c r="B649" s="2">
        <v>0.20902777777777778</v>
      </c>
      <c r="C649" t="s">
        <v>1213</v>
      </c>
      <c r="D649">
        <v>81</v>
      </c>
      <c r="E649" t="s">
        <v>812</v>
      </c>
      <c r="F649" t="str">
        <f>_xlfn.XLOOKUP(_26_03_2026_Log_Reseau_v15[[#This Row],[Cell_ID]],_26_03_2026_Registre_Maintenance_v1[ID_Antenne],_26_03_2026_Registre_Maintenance_v1[zone],"pas trouvé")</f>
        <v>Nord-Ubangi</v>
      </c>
      <c r="G649">
        <f>_xlfn.XLOOKUP(_26_03_2026_Log_Reseau_v15[[#This Row],[Cell_ID]],_26_03_2026_Registre_Maintenance_v1[ID_Antenne],_26_03_2026_Registre_Maintenance_v1[Latitude],"non trouvé")</f>
        <v>-8.4985189999999999</v>
      </c>
      <c r="H649">
        <f>_xlfn.XLOOKUP(_26_03_2026_Log_Reseau_v15[[#This Row],[Cell_ID]],_26_03_2026_Registre_Maintenance_v1[ID_Antenne],_26_03_2026_Registre_Maintenance_v1[Longitude],"pas trouvé")</f>
        <v>12.929456999999999</v>
      </c>
      <c r="I649" t="str">
        <f>_xlfn.XLOOKUP(_26_03_2026_Log_Reseau_v15[[#This Row],[Cell_ID]],_26_03_2026_Registre_Maintenance_v1[ID_Antenne],_26_03_2026_Registre_Maintenance_v1[Technologie],"non trouvé")</f>
        <v>4G</v>
      </c>
      <c r="J649" t="str">
        <f>_xlfn.XLOOKUP(_26_03_2026_Log_Reseau_v15[[#This Row],[Cell_ID]],_26_03_2026_Registre_Maintenance_v1[ID_Antenne],_26_03_2026_Registre_Maintenance_v1[Equipementier],"pas trouvé")</f>
        <v>Ericsson</v>
      </c>
      <c r="K649" t="str">
        <f>_xlfn.XLOOKUP(_26_03_2026_Log_Reseau_v15[[#This Row],[province RDC]],_26_03_2026_Client_Churn_v1[Province_Client],_26_03_2026_Client_Churn_v1[ID_Client],"non trouvé")</f>
        <v>CLI-01170</v>
      </c>
      <c r="L649">
        <f>_xlfn.XLOOKUP(_26_03_2026_Log_Reseau_v15[[#This Row],[province RDC]],_26_03_2026_Client_Churn_v1[Province_Client],_26_03_2026_Client_Churn_v1[Anciennete_Mois],"non trouvé")</f>
        <v>98</v>
      </c>
      <c r="M649" t="str">
        <f>_xlfn.XLOOKUP(_26_03_2026_Log_Reseau_v15[[#This Row],[province RDC]],_26_03_2026_Client_Churn_v1[Province_Client],_26_03_2026_Client_Churn_v1[Type_Forfait],"non trouvé")</f>
        <v>Pro Monde</v>
      </c>
      <c r="N649">
        <f>_xlfn.XLOOKUP(_26_03_2026_Log_Reseau_v15[[#This Row],[province RDC]],_26_03_2026_Client_Churn_v1[Province_Client],_26_03_2026_Client_Churn_v1[Duree_Cumulee_Panne_Min],"non trouvé")</f>
        <v>482</v>
      </c>
      <c r="O649">
        <f>_xlfn.XLOOKUP(_26_03_2026_Log_Reseau_v15[[#This Row],[province RDC]],_26_03_2026_Client_Churn_v1[Province_Client],_26_03_2026_Client_Churn_v1[Facture_Mensuelle],"non trouvé")</f>
        <v>55.04</v>
      </c>
      <c r="P649">
        <f>_xlfn.XLOOKUP(_26_03_2026_Log_Reseau_v15[[#This Row],[province RDC]],_26_03_2026_Client_Churn_v1[Province_Client],_26_03_2026_Client_Churn_v1[Plaintes_Service_Client],"non trouvé")</f>
        <v>5</v>
      </c>
    </row>
    <row r="650" spans="1:16" x14ac:dyDescent="0.25">
      <c r="A650" s="1">
        <v>45213</v>
      </c>
      <c r="B650" s="2">
        <v>0.23819444444444443</v>
      </c>
      <c r="C650" t="s">
        <v>1213</v>
      </c>
      <c r="D650">
        <v>53</v>
      </c>
      <c r="E650" t="s">
        <v>808</v>
      </c>
      <c r="F650" t="str">
        <f>_xlfn.XLOOKUP(_26_03_2026_Log_Reseau_v15[[#This Row],[Cell_ID]],_26_03_2026_Registre_Maintenance_v1[ID_Antenne],_26_03_2026_Registre_Maintenance_v1[zone],"pas trouvé")</f>
        <v>Nord-Ubangi</v>
      </c>
      <c r="G650">
        <f>_xlfn.XLOOKUP(_26_03_2026_Log_Reseau_v15[[#This Row],[Cell_ID]],_26_03_2026_Registre_Maintenance_v1[ID_Antenne],_26_03_2026_Registre_Maintenance_v1[Latitude],"non trouvé")</f>
        <v>-8.4985189999999999</v>
      </c>
      <c r="H650">
        <f>_xlfn.XLOOKUP(_26_03_2026_Log_Reseau_v15[[#This Row],[Cell_ID]],_26_03_2026_Registre_Maintenance_v1[ID_Antenne],_26_03_2026_Registre_Maintenance_v1[Longitude],"pas trouvé")</f>
        <v>12.929456999999999</v>
      </c>
      <c r="I650" t="str">
        <f>_xlfn.XLOOKUP(_26_03_2026_Log_Reseau_v15[[#This Row],[Cell_ID]],_26_03_2026_Registre_Maintenance_v1[ID_Antenne],_26_03_2026_Registre_Maintenance_v1[Technologie],"non trouvé")</f>
        <v>4G</v>
      </c>
      <c r="J650" t="str">
        <f>_xlfn.XLOOKUP(_26_03_2026_Log_Reseau_v15[[#This Row],[Cell_ID]],_26_03_2026_Registre_Maintenance_v1[ID_Antenne],_26_03_2026_Registre_Maintenance_v1[Equipementier],"pas trouvé")</f>
        <v>Ericsson</v>
      </c>
      <c r="K650" t="str">
        <f>_xlfn.XLOOKUP(_26_03_2026_Log_Reseau_v15[[#This Row],[province RDC]],_26_03_2026_Client_Churn_v1[Province_Client],_26_03_2026_Client_Churn_v1[ID_Client],"non trouvé")</f>
        <v>CLI-01170</v>
      </c>
      <c r="L650">
        <f>_xlfn.XLOOKUP(_26_03_2026_Log_Reseau_v15[[#This Row],[province RDC]],_26_03_2026_Client_Churn_v1[Province_Client],_26_03_2026_Client_Churn_v1[Anciennete_Mois],"non trouvé")</f>
        <v>98</v>
      </c>
      <c r="M650" t="str">
        <f>_xlfn.XLOOKUP(_26_03_2026_Log_Reseau_v15[[#This Row],[province RDC]],_26_03_2026_Client_Churn_v1[Province_Client],_26_03_2026_Client_Churn_v1[Type_Forfait],"non trouvé")</f>
        <v>Pro Monde</v>
      </c>
      <c r="N650">
        <f>_xlfn.XLOOKUP(_26_03_2026_Log_Reseau_v15[[#This Row],[province RDC]],_26_03_2026_Client_Churn_v1[Province_Client],_26_03_2026_Client_Churn_v1[Duree_Cumulee_Panne_Min],"non trouvé")</f>
        <v>482</v>
      </c>
      <c r="O650">
        <f>_xlfn.XLOOKUP(_26_03_2026_Log_Reseau_v15[[#This Row],[province RDC]],_26_03_2026_Client_Churn_v1[Province_Client],_26_03_2026_Client_Churn_v1[Facture_Mensuelle],"non trouvé")</f>
        <v>55.04</v>
      </c>
      <c r="P650">
        <f>_xlfn.XLOOKUP(_26_03_2026_Log_Reseau_v15[[#This Row],[province RDC]],_26_03_2026_Client_Churn_v1[Province_Client],_26_03_2026_Client_Churn_v1[Plaintes_Service_Client],"non trouvé")</f>
        <v>5</v>
      </c>
    </row>
    <row r="651" spans="1:16" hidden="1" x14ac:dyDescent="0.25">
      <c r="A651" s="1">
        <v>45209</v>
      </c>
      <c r="B651" s="2">
        <v>0.97777777777777775</v>
      </c>
      <c r="C651" t="s">
        <v>1214</v>
      </c>
      <c r="D651">
        <v>6</v>
      </c>
      <c r="E651" t="s">
        <v>812</v>
      </c>
      <c r="F651" t="str">
        <f>_xlfn.XLOOKUP(_26_03_2026_Log_Reseau_v15[[#This Row],[Cell_ID]],_26_03_2026_Registre_Maintenance_v1[ID_Antenne],_26_03_2026_Registre_Maintenance_v1[zone],"pas trouvé")</f>
        <v>pas trouvé</v>
      </c>
      <c r="G651" t="str">
        <f>_xlfn.XLOOKUP(_26_03_2026_Log_Reseau_v15[[#This Row],[Cell_ID]],_26_03_2026_Registre_Maintenance_v1[ID_Antenne],_26_03_2026_Registre_Maintenance_v1[Latitude],"non trouvé")</f>
        <v>non trouvé</v>
      </c>
      <c r="H651" t="str">
        <f>_xlfn.XLOOKUP(_26_03_2026_Log_Reseau_v15[[#This Row],[Cell_ID]],_26_03_2026_Registre_Maintenance_v1[ID_Antenne],_26_03_2026_Registre_Maintenance_v1[Longitude],"pas trouvé")</f>
        <v>pas trouvé</v>
      </c>
      <c r="I651" t="str">
        <f>_xlfn.XLOOKUP(_26_03_2026_Log_Reseau_v15[[#This Row],[Cell_ID]],_26_03_2026_Registre_Maintenance_v1[ID_Antenne],_26_03_2026_Registre_Maintenance_v1[Technologie],"non trouvé")</f>
        <v>non trouvé</v>
      </c>
      <c r="J651" t="str">
        <f>_xlfn.XLOOKUP(_26_03_2026_Log_Reseau_v15[[#This Row],[Cell_ID]],_26_03_2026_Registre_Maintenance_v1[ID_Antenne],_26_03_2026_Registre_Maintenance_v1[Equipementier],"pas trouvé")</f>
        <v>pas trouvé</v>
      </c>
      <c r="K651" t="str">
        <f>_xlfn.XLOOKUP(_26_03_2026_Log_Reseau_v15[[#This Row],[province RDC]],_26_03_2026_Client_Churn_v1[Province_Client],_26_03_2026_Client_Churn_v1[ID_Client],"non trouvé")</f>
        <v>non trouvé</v>
      </c>
      <c r="L651" t="str">
        <f>_xlfn.XLOOKUP(_26_03_2026_Log_Reseau_v15[[#This Row],[province RDC]],_26_03_2026_Client_Churn_v1[Province_Client],_26_03_2026_Client_Churn_v1[Anciennete_Mois],"non trouvé")</f>
        <v>non trouvé</v>
      </c>
      <c r="M651" t="str">
        <f>_xlfn.XLOOKUP(_26_03_2026_Log_Reseau_v15[[#This Row],[province RDC]],_26_03_2026_Client_Churn_v1[Province_Client],_26_03_2026_Client_Churn_v1[Type_Forfait],"non trouvé")</f>
        <v>non trouvé</v>
      </c>
      <c r="N651" t="str">
        <f>_xlfn.XLOOKUP(_26_03_2026_Log_Reseau_v15[[#This Row],[province RDC]],_26_03_2026_Client_Churn_v1[Province_Client],_26_03_2026_Client_Churn_v1[Duree_Cumulee_Panne_Min],"non trouvé")</f>
        <v>non trouvé</v>
      </c>
      <c r="O651" t="str">
        <f>_xlfn.XLOOKUP(_26_03_2026_Log_Reseau_v15[[#This Row],[province RDC]],_26_03_2026_Client_Churn_v1[Province_Client],_26_03_2026_Client_Churn_v1[Facture_Mensuelle],"non trouvé")</f>
        <v>non trouvé</v>
      </c>
      <c r="P651" t="str">
        <f>_xlfn.XLOOKUP(_26_03_2026_Log_Reseau_v15[[#This Row],[province RDC]],_26_03_2026_Client_Churn_v1[Province_Client],_26_03_2026_Client_Churn_v1[Plaintes_Service_Client],"non trouvé")</f>
        <v>non trouvé</v>
      </c>
    </row>
    <row r="652" spans="1:16" hidden="1" x14ac:dyDescent="0.25">
      <c r="A652" s="1">
        <v>45218</v>
      </c>
      <c r="B652" s="2">
        <v>0.31458333333333333</v>
      </c>
      <c r="C652" t="s">
        <v>1214</v>
      </c>
      <c r="D652">
        <v>45</v>
      </c>
      <c r="E652" t="s">
        <v>807</v>
      </c>
      <c r="F652" t="str">
        <f>_xlfn.XLOOKUP(_26_03_2026_Log_Reseau_v15[[#This Row],[Cell_ID]],_26_03_2026_Registre_Maintenance_v1[ID_Antenne],_26_03_2026_Registre_Maintenance_v1[zone],"pas trouvé")</f>
        <v>pas trouvé</v>
      </c>
      <c r="G652" t="str">
        <f>_xlfn.XLOOKUP(_26_03_2026_Log_Reseau_v15[[#This Row],[Cell_ID]],_26_03_2026_Registre_Maintenance_v1[ID_Antenne],_26_03_2026_Registre_Maintenance_v1[Latitude],"non trouvé")</f>
        <v>non trouvé</v>
      </c>
      <c r="H652" t="str">
        <f>_xlfn.XLOOKUP(_26_03_2026_Log_Reseau_v15[[#This Row],[Cell_ID]],_26_03_2026_Registre_Maintenance_v1[ID_Antenne],_26_03_2026_Registre_Maintenance_v1[Longitude],"pas trouvé")</f>
        <v>pas trouvé</v>
      </c>
      <c r="I652" t="str">
        <f>_xlfn.XLOOKUP(_26_03_2026_Log_Reseau_v15[[#This Row],[Cell_ID]],_26_03_2026_Registre_Maintenance_v1[ID_Antenne],_26_03_2026_Registre_Maintenance_v1[Technologie],"non trouvé")</f>
        <v>non trouvé</v>
      </c>
      <c r="J652" t="str">
        <f>_xlfn.XLOOKUP(_26_03_2026_Log_Reseau_v15[[#This Row],[Cell_ID]],_26_03_2026_Registre_Maintenance_v1[ID_Antenne],_26_03_2026_Registre_Maintenance_v1[Equipementier],"pas trouvé")</f>
        <v>pas trouvé</v>
      </c>
      <c r="K652" t="str">
        <f>_xlfn.XLOOKUP(_26_03_2026_Log_Reseau_v15[[#This Row],[province RDC]],_26_03_2026_Client_Churn_v1[Province_Client],_26_03_2026_Client_Churn_v1[ID_Client],"non trouvé")</f>
        <v>non trouvé</v>
      </c>
      <c r="L652" t="str">
        <f>_xlfn.XLOOKUP(_26_03_2026_Log_Reseau_v15[[#This Row],[province RDC]],_26_03_2026_Client_Churn_v1[Province_Client],_26_03_2026_Client_Churn_v1[Anciennete_Mois],"non trouvé")</f>
        <v>non trouvé</v>
      </c>
      <c r="M652" t="str">
        <f>_xlfn.XLOOKUP(_26_03_2026_Log_Reseau_v15[[#This Row],[province RDC]],_26_03_2026_Client_Churn_v1[Province_Client],_26_03_2026_Client_Churn_v1[Type_Forfait],"non trouvé")</f>
        <v>non trouvé</v>
      </c>
      <c r="N652" t="str">
        <f>_xlfn.XLOOKUP(_26_03_2026_Log_Reseau_v15[[#This Row],[province RDC]],_26_03_2026_Client_Churn_v1[Province_Client],_26_03_2026_Client_Churn_v1[Duree_Cumulee_Panne_Min],"non trouvé")</f>
        <v>non trouvé</v>
      </c>
      <c r="O652" t="str">
        <f>_xlfn.XLOOKUP(_26_03_2026_Log_Reseau_v15[[#This Row],[province RDC]],_26_03_2026_Client_Churn_v1[Province_Client],_26_03_2026_Client_Churn_v1[Facture_Mensuelle],"non trouvé")</f>
        <v>non trouvé</v>
      </c>
      <c r="P652" t="str">
        <f>_xlfn.XLOOKUP(_26_03_2026_Log_Reseau_v15[[#This Row],[province RDC]],_26_03_2026_Client_Churn_v1[Province_Client],_26_03_2026_Client_Churn_v1[Plaintes_Service_Client],"non trouvé")</f>
        <v>non trouvé</v>
      </c>
    </row>
    <row r="653" spans="1:16" hidden="1" x14ac:dyDescent="0.25">
      <c r="A653" s="1">
        <v>45228</v>
      </c>
      <c r="B653" s="2">
        <v>0.34097222222222223</v>
      </c>
      <c r="C653" t="s">
        <v>1215</v>
      </c>
      <c r="D653">
        <v>118</v>
      </c>
      <c r="E653" t="s">
        <v>812</v>
      </c>
      <c r="F653" t="str">
        <f>_xlfn.XLOOKUP(_26_03_2026_Log_Reseau_v15[[#This Row],[Cell_ID]],_26_03_2026_Registre_Maintenance_v1[ID_Antenne],_26_03_2026_Registre_Maintenance_v1[zone],"pas trouvé")</f>
        <v>pas trouvé</v>
      </c>
      <c r="G653" t="str">
        <f>_xlfn.XLOOKUP(_26_03_2026_Log_Reseau_v15[[#This Row],[Cell_ID]],_26_03_2026_Registre_Maintenance_v1[ID_Antenne],_26_03_2026_Registre_Maintenance_v1[Latitude],"non trouvé")</f>
        <v>non trouvé</v>
      </c>
      <c r="H653" t="str">
        <f>_xlfn.XLOOKUP(_26_03_2026_Log_Reseau_v15[[#This Row],[Cell_ID]],_26_03_2026_Registre_Maintenance_v1[ID_Antenne],_26_03_2026_Registre_Maintenance_v1[Longitude],"pas trouvé")</f>
        <v>pas trouvé</v>
      </c>
      <c r="I653" t="str">
        <f>_xlfn.XLOOKUP(_26_03_2026_Log_Reseau_v15[[#This Row],[Cell_ID]],_26_03_2026_Registre_Maintenance_v1[ID_Antenne],_26_03_2026_Registre_Maintenance_v1[Technologie],"non trouvé")</f>
        <v>non trouvé</v>
      </c>
      <c r="J653" t="str">
        <f>_xlfn.XLOOKUP(_26_03_2026_Log_Reseau_v15[[#This Row],[Cell_ID]],_26_03_2026_Registre_Maintenance_v1[ID_Antenne],_26_03_2026_Registre_Maintenance_v1[Equipementier],"pas trouvé")</f>
        <v>pas trouvé</v>
      </c>
      <c r="K653" t="str">
        <f>_xlfn.XLOOKUP(_26_03_2026_Log_Reseau_v15[[#This Row],[province RDC]],_26_03_2026_Client_Churn_v1[Province_Client],_26_03_2026_Client_Churn_v1[ID_Client],"non trouvé")</f>
        <v>non trouvé</v>
      </c>
      <c r="L653" t="str">
        <f>_xlfn.XLOOKUP(_26_03_2026_Log_Reseau_v15[[#This Row],[province RDC]],_26_03_2026_Client_Churn_v1[Province_Client],_26_03_2026_Client_Churn_v1[Anciennete_Mois],"non trouvé")</f>
        <v>non trouvé</v>
      </c>
      <c r="M653" t="str">
        <f>_xlfn.XLOOKUP(_26_03_2026_Log_Reseau_v15[[#This Row],[province RDC]],_26_03_2026_Client_Churn_v1[Province_Client],_26_03_2026_Client_Churn_v1[Type_Forfait],"non trouvé")</f>
        <v>non trouvé</v>
      </c>
      <c r="N653" t="str">
        <f>_xlfn.XLOOKUP(_26_03_2026_Log_Reseau_v15[[#This Row],[province RDC]],_26_03_2026_Client_Churn_v1[Province_Client],_26_03_2026_Client_Churn_v1[Duree_Cumulee_Panne_Min],"non trouvé")</f>
        <v>non trouvé</v>
      </c>
      <c r="O653" t="str">
        <f>_xlfn.XLOOKUP(_26_03_2026_Log_Reseau_v15[[#This Row],[province RDC]],_26_03_2026_Client_Churn_v1[Province_Client],_26_03_2026_Client_Churn_v1[Facture_Mensuelle],"non trouvé")</f>
        <v>non trouvé</v>
      </c>
      <c r="P653" t="str">
        <f>_xlfn.XLOOKUP(_26_03_2026_Log_Reseau_v15[[#This Row],[province RDC]],_26_03_2026_Client_Churn_v1[Province_Client],_26_03_2026_Client_Churn_v1[Plaintes_Service_Client],"non trouvé")</f>
        <v>non trouvé</v>
      </c>
    </row>
    <row r="654" spans="1:16" x14ac:dyDescent="0.25">
      <c r="A654" s="1">
        <v>45212</v>
      </c>
      <c r="B654" s="2">
        <v>0.96527777777777779</v>
      </c>
      <c r="C654" t="s">
        <v>1216</v>
      </c>
      <c r="D654">
        <v>27</v>
      </c>
      <c r="E654" t="s">
        <v>812</v>
      </c>
      <c r="F654" t="str">
        <f>_xlfn.XLOOKUP(_26_03_2026_Log_Reseau_v15[[#This Row],[Cell_ID]],_26_03_2026_Registre_Maintenance_v1[ID_Antenne],_26_03_2026_Registre_Maintenance_v1[zone],"pas trouvé")</f>
        <v>Kongo-Central</v>
      </c>
      <c r="G654">
        <f>_xlfn.XLOOKUP(_26_03_2026_Log_Reseau_v15[[#This Row],[Cell_ID]],_26_03_2026_Registre_Maintenance_v1[ID_Antenne],_26_03_2026_Registre_Maintenance_v1[Latitude],"non trouvé")</f>
        <v>0.79124300000000003</v>
      </c>
      <c r="H654">
        <f>_xlfn.XLOOKUP(_26_03_2026_Log_Reseau_v15[[#This Row],[Cell_ID]],_26_03_2026_Registre_Maintenance_v1[ID_Antenne],_26_03_2026_Registre_Maintenance_v1[Longitude],"pas trouvé")</f>
        <v>25.273389000000002</v>
      </c>
      <c r="I654" t="str">
        <f>_xlfn.XLOOKUP(_26_03_2026_Log_Reseau_v15[[#This Row],[Cell_ID]],_26_03_2026_Registre_Maintenance_v1[ID_Antenne],_26_03_2026_Registre_Maintenance_v1[Technologie],"non trouvé")</f>
        <v>4G</v>
      </c>
      <c r="J654" t="str">
        <f>_xlfn.XLOOKUP(_26_03_2026_Log_Reseau_v15[[#This Row],[Cell_ID]],_26_03_2026_Registre_Maintenance_v1[ID_Antenne],_26_03_2026_Registre_Maintenance_v1[Equipementier],"pas trouvé")</f>
        <v>Nokia</v>
      </c>
      <c r="K654" t="str">
        <f>_xlfn.XLOOKUP(_26_03_2026_Log_Reseau_v15[[#This Row],[province RDC]],_26_03_2026_Client_Churn_v1[Province_Client],_26_03_2026_Client_Churn_v1[ID_Client],"non trouvé")</f>
        <v>CLI-01233</v>
      </c>
      <c r="L654">
        <f>_xlfn.XLOOKUP(_26_03_2026_Log_Reseau_v15[[#This Row],[province RDC]],_26_03_2026_Client_Churn_v1[Province_Client],_26_03_2026_Client_Churn_v1[Anciennete_Mois],"non trouvé")</f>
        <v>101</v>
      </c>
      <c r="M654" t="str">
        <f>_xlfn.XLOOKUP(_26_03_2026_Log_Reseau_v15[[#This Row],[province RDC]],_26_03_2026_Client_Churn_v1[Province_Client],_26_03_2026_Client_Churn_v1[Type_Forfait],"non trouvé")</f>
        <v>Pro Monde</v>
      </c>
      <c r="N654">
        <f>_xlfn.XLOOKUP(_26_03_2026_Log_Reseau_v15[[#This Row],[province RDC]],_26_03_2026_Client_Churn_v1[Province_Client],_26_03_2026_Client_Churn_v1[Duree_Cumulee_Panne_Min],"non trouvé")</f>
        <v>333</v>
      </c>
      <c r="O654">
        <f>_xlfn.XLOOKUP(_26_03_2026_Log_Reseau_v15[[#This Row],[province RDC]],_26_03_2026_Client_Churn_v1[Province_Client],_26_03_2026_Client_Churn_v1[Facture_Mensuelle],"non trouvé")</f>
        <v>74.319999999999993</v>
      </c>
      <c r="P654">
        <f>_xlfn.XLOOKUP(_26_03_2026_Log_Reseau_v15[[#This Row],[province RDC]],_26_03_2026_Client_Churn_v1[Province_Client],_26_03_2026_Client_Churn_v1[Plaintes_Service_Client],"non trouvé")</f>
        <v>1</v>
      </c>
    </row>
    <row r="655" spans="1:16" x14ac:dyDescent="0.25">
      <c r="A655" s="1">
        <v>45221</v>
      </c>
      <c r="B655" s="2">
        <v>0.19791666666666666</v>
      </c>
      <c r="C655" t="s">
        <v>1217</v>
      </c>
      <c r="D655">
        <v>61</v>
      </c>
      <c r="E655" t="s">
        <v>812</v>
      </c>
      <c r="F655" t="str">
        <f>_xlfn.XLOOKUP(_26_03_2026_Log_Reseau_v15[[#This Row],[Cell_ID]],_26_03_2026_Registre_Maintenance_v1[ID_Antenne],_26_03_2026_Registre_Maintenance_v1[zone],"pas trouvé")</f>
        <v>Kwango</v>
      </c>
      <c r="G655">
        <f>_xlfn.XLOOKUP(_26_03_2026_Log_Reseau_v15[[#This Row],[Cell_ID]],_26_03_2026_Registre_Maintenance_v1[ID_Antenne],_26_03_2026_Registre_Maintenance_v1[Latitude],"non trouvé")</f>
        <v>-7.5129409999999996</v>
      </c>
      <c r="H655">
        <f>_xlfn.XLOOKUP(_26_03_2026_Log_Reseau_v15[[#This Row],[Cell_ID]],_26_03_2026_Registre_Maintenance_v1[ID_Antenne],_26_03_2026_Registre_Maintenance_v1[Longitude],"pas trouvé")</f>
        <v>18.701522000000001</v>
      </c>
      <c r="I655" t="str">
        <f>_xlfn.XLOOKUP(_26_03_2026_Log_Reseau_v15[[#This Row],[Cell_ID]],_26_03_2026_Registre_Maintenance_v1[ID_Antenne],_26_03_2026_Registre_Maintenance_v1[Technologie],"non trouvé")</f>
        <v>4G</v>
      </c>
      <c r="J655" t="str">
        <f>_xlfn.XLOOKUP(_26_03_2026_Log_Reseau_v15[[#This Row],[Cell_ID]],_26_03_2026_Registre_Maintenance_v1[ID_Antenne],_26_03_2026_Registre_Maintenance_v1[Equipementier],"pas trouvé")</f>
        <v>Nokia</v>
      </c>
      <c r="K655" t="str">
        <f>_xlfn.XLOOKUP(_26_03_2026_Log_Reseau_v15[[#This Row],[province RDC]],_26_03_2026_Client_Churn_v1[Province_Client],_26_03_2026_Client_Churn_v1[ID_Client],"non trouvé")</f>
        <v>CLI-00569</v>
      </c>
      <c r="L655">
        <f>_xlfn.XLOOKUP(_26_03_2026_Log_Reseau_v15[[#This Row],[province RDC]],_26_03_2026_Client_Churn_v1[Province_Client],_26_03_2026_Client_Churn_v1[Anciennete_Mois],"non trouvé")</f>
        <v>110</v>
      </c>
      <c r="M655" t="str">
        <f>_xlfn.XLOOKUP(_26_03_2026_Log_Reseau_v15[[#This Row],[province RDC]],_26_03_2026_Client_Churn_v1[Province_Client],_26_03_2026_Client_Churn_v1[Type_Forfait],"non trouvé")</f>
        <v>Pro Monde</v>
      </c>
      <c r="N655">
        <f>_xlfn.XLOOKUP(_26_03_2026_Log_Reseau_v15[[#This Row],[province RDC]],_26_03_2026_Client_Churn_v1[Province_Client],_26_03_2026_Client_Churn_v1[Duree_Cumulee_Panne_Min],"non trouvé")</f>
        <v>423</v>
      </c>
      <c r="O655">
        <f>_xlfn.XLOOKUP(_26_03_2026_Log_Reseau_v15[[#This Row],[province RDC]],_26_03_2026_Client_Churn_v1[Province_Client],_26_03_2026_Client_Churn_v1[Facture_Mensuelle],"non trouvé")</f>
        <v>37.35</v>
      </c>
      <c r="P655">
        <f>_xlfn.XLOOKUP(_26_03_2026_Log_Reseau_v15[[#This Row],[province RDC]],_26_03_2026_Client_Churn_v1[Province_Client],_26_03_2026_Client_Churn_v1[Plaintes_Service_Client],"non trouvé")</f>
        <v>4</v>
      </c>
    </row>
    <row r="656" spans="1:16" x14ac:dyDescent="0.25">
      <c r="A656" s="1">
        <v>45218</v>
      </c>
      <c r="B656" s="2">
        <v>0.28611111111111109</v>
      </c>
      <c r="C656" t="s">
        <v>1217</v>
      </c>
      <c r="D656">
        <v>89</v>
      </c>
      <c r="E656" t="s">
        <v>807</v>
      </c>
      <c r="F656" t="str">
        <f>_xlfn.XLOOKUP(_26_03_2026_Log_Reseau_v15[[#This Row],[Cell_ID]],_26_03_2026_Registre_Maintenance_v1[ID_Antenne],_26_03_2026_Registre_Maintenance_v1[zone],"pas trouvé")</f>
        <v>Kwango</v>
      </c>
      <c r="G656">
        <f>_xlfn.XLOOKUP(_26_03_2026_Log_Reseau_v15[[#This Row],[Cell_ID]],_26_03_2026_Registre_Maintenance_v1[ID_Antenne],_26_03_2026_Registre_Maintenance_v1[Latitude],"non trouvé")</f>
        <v>-7.5129409999999996</v>
      </c>
      <c r="H656">
        <f>_xlfn.XLOOKUP(_26_03_2026_Log_Reseau_v15[[#This Row],[Cell_ID]],_26_03_2026_Registre_Maintenance_v1[ID_Antenne],_26_03_2026_Registre_Maintenance_v1[Longitude],"pas trouvé")</f>
        <v>18.701522000000001</v>
      </c>
      <c r="I656" t="str">
        <f>_xlfn.XLOOKUP(_26_03_2026_Log_Reseau_v15[[#This Row],[Cell_ID]],_26_03_2026_Registre_Maintenance_v1[ID_Antenne],_26_03_2026_Registre_Maintenance_v1[Technologie],"non trouvé")</f>
        <v>4G</v>
      </c>
      <c r="J656" t="str">
        <f>_xlfn.XLOOKUP(_26_03_2026_Log_Reseau_v15[[#This Row],[Cell_ID]],_26_03_2026_Registre_Maintenance_v1[ID_Antenne],_26_03_2026_Registre_Maintenance_v1[Equipementier],"pas trouvé")</f>
        <v>Nokia</v>
      </c>
      <c r="K656" t="str">
        <f>_xlfn.XLOOKUP(_26_03_2026_Log_Reseau_v15[[#This Row],[province RDC]],_26_03_2026_Client_Churn_v1[Province_Client],_26_03_2026_Client_Churn_v1[ID_Client],"non trouvé")</f>
        <v>CLI-00569</v>
      </c>
      <c r="L656">
        <f>_xlfn.XLOOKUP(_26_03_2026_Log_Reseau_v15[[#This Row],[province RDC]],_26_03_2026_Client_Churn_v1[Province_Client],_26_03_2026_Client_Churn_v1[Anciennete_Mois],"non trouvé")</f>
        <v>110</v>
      </c>
      <c r="M656" t="str">
        <f>_xlfn.XLOOKUP(_26_03_2026_Log_Reseau_v15[[#This Row],[province RDC]],_26_03_2026_Client_Churn_v1[Province_Client],_26_03_2026_Client_Churn_v1[Type_Forfait],"non trouvé")</f>
        <v>Pro Monde</v>
      </c>
      <c r="N656">
        <f>_xlfn.XLOOKUP(_26_03_2026_Log_Reseau_v15[[#This Row],[province RDC]],_26_03_2026_Client_Churn_v1[Province_Client],_26_03_2026_Client_Churn_v1[Duree_Cumulee_Panne_Min],"non trouvé")</f>
        <v>423</v>
      </c>
      <c r="O656">
        <f>_xlfn.XLOOKUP(_26_03_2026_Log_Reseau_v15[[#This Row],[province RDC]],_26_03_2026_Client_Churn_v1[Province_Client],_26_03_2026_Client_Churn_v1[Facture_Mensuelle],"non trouvé")</f>
        <v>37.35</v>
      </c>
      <c r="P656">
        <f>_xlfn.XLOOKUP(_26_03_2026_Log_Reseau_v15[[#This Row],[province RDC]],_26_03_2026_Client_Churn_v1[Province_Client],_26_03_2026_Client_Churn_v1[Plaintes_Service_Client],"non trouvé")</f>
        <v>4</v>
      </c>
    </row>
    <row r="657" spans="1:16" x14ac:dyDescent="0.25">
      <c r="A657" s="1">
        <v>45208</v>
      </c>
      <c r="B657" s="2">
        <v>0.95763888888888893</v>
      </c>
      <c r="C657" t="s">
        <v>1218</v>
      </c>
      <c r="D657">
        <v>115</v>
      </c>
      <c r="E657" t="s">
        <v>807</v>
      </c>
      <c r="F657" t="str">
        <f>_xlfn.XLOOKUP(_26_03_2026_Log_Reseau_v15[[#This Row],[Cell_ID]],_26_03_2026_Registre_Maintenance_v1[ID_Antenne],_26_03_2026_Registre_Maintenance_v1[zone],"pas trouvé")</f>
        <v>Tshopo</v>
      </c>
      <c r="G657">
        <f>_xlfn.XLOOKUP(_26_03_2026_Log_Reseau_v15[[#This Row],[Cell_ID]],_26_03_2026_Registre_Maintenance_v1[ID_Antenne],_26_03_2026_Registre_Maintenance_v1[Latitude],"non trouvé")</f>
        <v>-6.1837850000000003</v>
      </c>
      <c r="H657">
        <f>_xlfn.XLOOKUP(_26_03_2026_Log_Reseau_v15[[#This Row],[Cell_ID]],_26_03_2026_Registre_Maintenance_v1[ID_Antenne],_26_03_2026_Registre_Maintenance_v1[Longitude],"pas trouvé")</f>
        <v>25.138759</v>
      </c>
      <c r="I657" t="str">
        <f>_xlfn.XLOOKUP(_26_03_2026_Log_Reseau_v15[[#This Row],[Cell_ID]],_26_03_2026_Registre_Maintenance_v1[ID_Antenne],_26_03_2026_Registre_Maintenance_v1[Technologie],"non trouvé")</f>
        <v>3G</v>
      </c>
      <c r="J657" t="str">
        <f>_xlfn.XLOOKUP(_26_03_2026_Log_Reseau_v15[[#This Row],[Cell_ID]],_26_03_2026_Registre_Maintenance_v1[ID_Antenne],_26_03_2026_Registre_Maintenance_v1[Equipementier],"pas trouvé")</f>
        <v>Ericsson</v>
      </c>
      <c r="K657" t="str">
        <f>_xlfn.XLOOKUP(_26_03_2026_Log_Reseau_v15[[#This Row],[province RDC]],_26_03_2026_Client_Churn_v1[Province_Client],_26_03_2026_Client_Churn_v1[ID_Client],"non trouvé")</f>
        <v>CLI-00745</v>
      </c>
      <c r="L657">
        <f>_xlfn.XLOOKUP(_26_03_2026_Log_Reseau_v15[[#This Row],[province RDC]],_26_03_2026_Client_Churn_v1[Province_Client],_26_03_2026_Client_Churn_v1[Anciennete_Mois],"non trouvé")</f>
        <v>6</v>
      </c>
      <c r="M657" t="str">
        <f>_xlfn.XLOOKUP(_26_03_2026_Log_Reseau_v15[[#This Row],[province RDC]],_26_03_2026_Client_Churn_v1[Province_Client],_26_03_2026_Client_Churn_v1[Type_Forfait],"non trouvé")</f>
        <v>Premium 5G 150Go</v>
      </c>
      <c r="N657">
        <f>_xlfn.XLOOKUP(_26_03_2026_Log_Reseau_v15[[#This Row],[province RDC]],_26_03_2026_Client_Churn_v1[Province_Client],_26_03_2026_Client_Churn_v1[Duree_Cumulee_Panne_Min],"non trouvé")</f>
        <v>207</v>
      </c>
      <c r="O657">
        <f>_xlfn.XLOOKUP(_26_03_2026_Log_Reseau_v15[[#This Row],[province RDC]],_26_03_2026_Client_Churn_v1[Province_Client],_26_03_2026_Client_Churn_v1[Facture_Mensuelle],"non trouvé")</f>
        <v>61.55</v>
      </c>
      <c r="P657">
        <f>_xlfn.XLOOKUP(_26_03_2026_Log_Reseau_v15[[#This Row],[province RDC]],_26_03_2026_Client_Churn_v1[Province_Client],_26_03_2026_Client_Churn_v1[Plaintes_Service_Client],"non trouvé")</f>
        <v>0</v>
      </c>
    </row>
    <row r="658" spans="1:16" hidden="1" x14ac:dyDescent="0.25">
      <c r="A658" s="1">
        <v>45226</v>
      </c>
      <c r="B658" s="2">
        <v>0.74791666666666667</v>
      </c>
      <c r="C658" t="s">
        <v>1219</v>
      </c>
      <c r="D658">
        <v>68</v>
      </c>
      <c r="E658" t="s">
        <v>808</v>
      </c>
      <c r="F658" t="str">
        <f>_xlfn.XLOOKUP(_26_03_2026_Log_Reseau_v15[[#This Row],[Cell_ID]],_26_03_2026_Registre_Maintenance_v1[ID_Antenne],_26_03_2026_Registre_Maintenance_v1[zone],"pas trouvé")</f>
        <v>pas trouvé</v>
      </c>
      <c r="G658" t="str">
        <f>_xlfn.XLOOKUP(_26_03_2026_Log_Reseau_v15[[#This Row],[Cell_ID]],_26_03_2026_Registre_Maintenance_v1[ID_Antenne],_26_03_2026_Registre_Maintenance_v1[Latitude],"non trouvé")</f>
        <v>non trouvé</v>
      </c>
      <c r="H658" t="str">
        <f>_xlfn.XLOOKUP(_26_03_2026_Log_Reseau_v15[[#This Row],[Cell_ID]],_26_03_2026_Registre_Maintenance_v1[ID_Antenne],_26_03_2026_Registre_Maintenance_v1[Longitude],"pas trouvé")</f>
        <v>pas trouvé</v>
      </c>
      <c r="I658" t="str">
        <f>_xlfn.XLOOKUP(_26_03_2026_Log_Reseau_v15[[#This Row],[Cell_ID]],_26_03_2026_Registre_Maintenance_v1[ID_Antenne],_26_03_2026_Registre_Maintenance_v1[Technologie],"non trouvé")</f>
        <v>non trouvé</v>
      </c>
      <c r="J658" t="str">
        <f>_xlfn.XLOOKUP(_26_03_2026_Log_Reseau_v15[[#This Row],[Cell_ID]],_26_03_2026_Registre_Maintenance_v1[ID_Antenne],_26_03_2026_Registre_Maintenance_v1[Equipementier],"pas trouvé")</f>
        <v>pas trouvé</v>
      </c>
      <c r="K658" t="str">
        <f>_xlfn.XLOOKUP(_26_03_2026_Log_Reseau_v15[[#This Row],[province RDC]],_26_03_2026_Client_Churn_v1[Province_Client],_26_03_2026_Client_Churn_v1[ID_Client],"non trouvé")</f>
        <v>non trouvé</v>
      </c>
      <c r="L658" t="str">
        <f>_xlfn.XLOOKUP(_26_03_2026_Log_Reseau_v15[[#This Row],[province RDC]],_26_03_2026_Client_Churn_v1[Province_Client],_26_03_2026_Client_Churn_v1[Anciennete_Mois],"non trouvé")</f>
        <v>non trouvé</v>
      </c>
      <c r="M658" t="str">
        <f>_xlfn.XLOOKUP(_26_03_2026_Log_Reseau_v15[[#This Row],[province RDC]],_26_03_2026_Client_Churn_v1[Province_Client],_26_03_2026_Client_Churn_v1[Type_Forfait],"non trouvé")</f>
        <v>non trouvé</v>
      </c>
      <c r="N658" t="str">
        <f>_xlfn.XLOOKUP(_26_03_2026_Log_Reseau_v15[[#This Row],[province RDC]],_26_03_2026_Client_Churn_v1[Province_Client],_26_03_2026_Client_Churn_v1[Duree_Cumulee_Panne_Min],"non trouvé")</f>
        <v>non trouvé</v>
      </c>
      <c r="O658" t="str">
        <f>_xlfn.XLOOKUP(_26_03_2026_Log_Reseau_v15[[#This Row],[province RDC]],_26_03_2026_Client_Churn_v1[Province_Client],_26_03_2026_Client_Churn_v1[Facture_Mensuelle],"non trouvé")</f>
        <v>non trouvé</v>
      </c>
      <c r="P658" t="str">
        <f>_xlfn.XLOOKUP(_26_03_2026_Log_Reseau_v15[[#This Row],[province RDC]],_26_03_2026_Client_Churn_v1[Province_Client],_26_03_2026_Client_Churn_v1[Plaintes_Service_Client],"non trouvé")</f>
        <v>non trouvé</v>
      </c>
    </row>
    <row r="659" spans="1:16" x14ac:dyDescent="0.25">
      <c r="A659" s="1">
        <v>45200</v>
      </c>
      <c r="B659" s="2">
        <v>0.53472222222222221</v>
      </c>
      <c r="C659" t="s">
        <v>1220</v>
      </c>
      <c r="D659">
        <v>50</v>
      </c>
      <c r="E659" t="s">
        <v>812</v>
      </c>
      <c r="F659" t="str">
        <f>_xlfn.XLOOKUP(_26_03_2026_Log_Reseau_v15[[#This Row],[Cell_ID]],_26_03_2026_Registre_Maintenance_v1[ID_Antenne],_26_03_2026_Registre_Maintenance_v1[zone],"pas trouvé")</f>
        <v>Tshuapa</v>
      </c>
      <c r="G659">
        <f>_xlfn.XLOOKUP(_26_03_2026_Log_Reseau_v15[[#This Row],[Cell_ID]],_26_03_2026_Registre_Maintenance_v1[ID_Antenne],_26_03_2026_Registre_Maintenance_v1[Latitude],"non trouvé")</f>
        <v>-7.7587710000000003</v>
      </c>
      <c r="H659">
        <f>_xlfn.XLOOKUP(_26_03_2026_Log_Reseau_v15[[#This Row],[Cell_ID]],_26_03_2026_Registre_Maintenance_v1[ID_Antenne],_26_03_2026_Registre_Maintenance_v1[Longitude],"pas trouvé")</f>
        <v>17.880848</v>
      </c>
      <c r="I659" t="str">
        <f>_xlfn.XLOOKUP(_26_03_2026_Log_Reseau_v15[[#This Row],[Cell_ID]],_26_03_2026_Registre_Maintenance_v1[ID_Antenne],_26_03_2026_Registre_Maintenance_v1[Technologie],"non trouvé")</f>
        <v>3G</v>
      </c>
      <c r="J659" t="str">
        <f>_xlfn.XLOOKUP(_26_03_2026_Log_Reseau_v15[[#This Row],[Cell_ID]],_26_03_2026_Registre_Maintenance_v1[ID_Antenne],_26_03_2026_Registre_Maintenance_v1[Equipementier],"pas trouvé")</f>
        <v>Ericsson</v>
      </c>
      <c r="K659" t="str">
        <f>_xlfn.XLOOKUP(_26_03_2026_Log_Reseau_v15[[#This Row],[province RDC]],_26_03_2026_Client_Churn_v1[Province_Client],_26_03_2026_Client_Churn_v1[ID_Client],"non trouvé")</f>
        <v>CLI-00894</v>
      </c>
      <c r="L659">
        <f>_xlfn.XLOOKUP(_26_03_2026_Log_Reseau_v15[[#This Row],[province RDC]],_26_03_2026_Client_Churn_v1[Province_Client],_26_03_2026_Client_Churn_v1[Anciennete_Mois],"non trouvé")</f>
        <v>63</v>
      </c>
      <c r="M659" t="str">
        <f>_xlfn.XLOOKUP(_26_03_2026_Log_Reseau_v15[[#This Row],[province RDC]],_26_03_2026_Client_Churn_v1[Province_Client],_26_03_2026_Client_Churn_v1[Type_Forfait],"non trouvé")</f>
        <v>Pro Monde</v>
      </c>
      <c r="N659">
        <f>_xlfn.XLOOKUP(_26_03_2026_Log_Reseau_v15[[#This Row],[province RDC]],_26_03_2026_Client_Churn_v1[Province_Client],_26_03_2026_Client_Churn_v1[Duree_Cumulee_Panne_Min],"non trouvé")</f>
        <v>205</v>
      </c>
      <c r="O659">
        <f>_xlfn.XLOOKUP(_26_03_2026_Log_Reseau_v15[[#This Row],[province RDC]],_26_03_2026_Client_Churn_v1[Province_Client],_26_03_2026_Client_Churn_v1[Facture_Mensuelle],"non trouvé")</f>
        <v>89.19</v>
      </c>
      <c r="P659">
        <f>_xlfn.XLOOKUP(_26_03_2026_Log_Reseau_v15[[#This Row],[province RDC]],_26_03_2026_Client_Churn_v1[Province_Client],_26_03_2026_Client_Churn_v1[Plaintes_Service_Client],"non trouvé")</f>
        <v>0</v>
      </c>
    </row>
    <row r="660" spans="1:16" x14ac:dyDescent="0.25">
      <c r="A660" s="1">
        <v>45213</v>
      </c>
      <c r="B660" s="2">
        <v>0.87222222222222223</v>
      </c>
      <c r="C660" t="s">
        <v>1221</v>
      </c>
      <c r="D660">
        <v>46</v>
      </c>
      <c r="E660" t="s">
        <v>808</v>
      </c>
      <c r="F660" t="str">
        <f>_xlfn.XLOOKUP(_26_03_2026_Log_Reseau_v15[[#This Row],[Cell_ID]],_26_03_2026_Registre_Maintenance_v1[ID_Antenne],_26_03_2026_Registre_Maintenance_v1[zone],"pas trouvé")</f>
        <v>Sankuru</v>
      </c>
      <c r="G660">
        <f>_xlfn.XLOOKUP(_26_03_2026_Log_Reseau_v15[[#This Row],[Cell_ID]],_26_03_2026_Registre_Maintenance_v1[ID_Antenne],_26_03_2026_Registre_Maintenance_v1[Latitude],"non trouvé")</f>
        <v>-7.513261</v>
      </c>
      <c r="H660">
        <f>_xlfn.XLOOKUP(_26_03_2026_Log_Reseau_v15[[#This Row],[Cell_ID]],_26_03_2026_Registre_Maintenance_v1[ID_Antenne],_26_03_2026_Registre_Maintenance_v1[Longitude],"pas trouvé")</f>
        <v>24.338812000000001</v>
      </c>
      <c r="I660" t="str">
        <f>_xlfn.XLOOKUP(_26_03_2026_Log_Reseau_v15[[#This Row],[Cell_ID]],_26_03_2026_Registre_Maintenance_v1[ID_Antenne],_26_03_2026_Registre_Maintenance_v1[Technologie],"non trouvé")</f>
        <v>5G</v>
      </c>
      <c r="J660" t="str">
        <f>_xlfn.XLOOKUP(_26_03_2026_Log_Reseau_v15[[#This Row],[Cell_ID]],_26_03_2026_Registre_Maintenance_v1[ID_Antenne],_26_03_2026_Registre_Maintenance_v1[Equipementier],"pas trouvé")</f>
        <v>Huawei</v>
      </c>
      <c r="K660" t="str">
        <f>_xlfn.XLOOKUP(_26_03_2026_Log_Reseau_v15[[#This Row],[province RDC]],_26_03_2026_Client_Churn_v1[Province_Client],_26_03_2026_Client_Churn_v1[ID_Client],"non trouvé")</f>
        <v>CLI-00530</v>
      </c>
      <c r="L660">
        <f>_xlfn.XLOOKUP(_26_03_2026_Log_Reseau_v15[[#This Row],[province RDC]],_26_03_2026_Client_Churn_v1[Province_Client],_26_03_2026_Client_Churn_v1[Anciennete_Mois],"non trouvé")</f>
        <v>35</v>
      </c>
      <c r="M660" t="str">
        <f>_xlfn.XLOOKUP(_26_03_2026_Log_Reseau_v15[[#This Row],[province RDC]],_26_03_2026_Client_Churn_v1[Province_Client],_26_03_2026_Client_Churn_v1[Type_Forfait],"non trouvé")</f>
        <v>Pro Monde</v>
      </c>
      <c r="N660">
        <f>_xlfn.XLOOKUP(_26_03_2026_Log_Reseau_v15[[#This Row],[province RDC]],_26_03_2026_Client_Churn_v1[Province_Client],_26_03_2026_Client_Churn_v1[Duree_Cumulee_Panne_Min],"non trouvé")</f>
        <v>465</v>
      </c>
      <c r="O660">
        <f>_xlfn.XLOOKUP(_26_03_2026_Log_Reseau_v15[[#This Row],[province RDC]],_26_03_2026_Client_Churn_v1[Province_Client],_26_03_2026_Client_Churn_v1[Facture_Mensuelle],"non trouvé")</f>
        <v>58.59</v>
      </c>
      <c r="P660">
        <f>_xlfn.XLOOKUP(_26_03_2026_Log_Reseau_v15[[#This Row],[province RDC]],_26_03_2026_Client_Churn_v1[Province_Client],_26_03_2026_Client_Churn_v1[Plaintes_Service_Client],"non trouvé")</f>
        <v>5</v>
      </c>
    </row>
    <row r="661" spans="1:16" x14ac:dyDescent="0.25">
      <c r="A661" s="1">
        <v>45219</v>
      </c>
      <c r="B661" s="2">
        <v>0.18124999999999999</v>
      </c>
      <c r="C661" t="s">
        <v>1222</v>
      </c>
      <c r="D661">
        <v>97</v>
      </c>
      <c r="E661" t="s">
        <v>808</v>
      </c>
      <c r="F661" t="str">
        <f>_xlfn.XLOOKUP(_26_03_2026_Log_Reseau_v15[[#This Row],[Cell_ID]],_26_03_2026_Registre_Maintenance_v1[ID_Antenne],_26_03_2026_Registre_Maintenance_v1[zone],"pas trouvé")</f>
        <v>Nord-Kivu</v>
      </c>
      <c r="G661">
        <f>_xlfn.XLOOKUP(_26_03_2026_Log_Reseau_v15[[#This Row],[Cell_ID]],_26_03_2026_Registre_Maintenance_v1[ID_Antenne],_26_03_2026_Registre_Maintenance_v1[Latitude],"non trouvé")</f>
        <v>-4.1754939999999996</v>
      </c>
      <c r="H661">
        <f>_xlfn.XLOOKUP(_26_03_2026_Log_Reseau_v15[[#This Row],[Cell_ID]],_26_03_2026_Registre_Maintenance_v1[ID_Antenne],_26_03_2026_Registre_Maintenance_v1[Longitude],"pas trouvé")</f>
        <v>16.704664999999999</v>
      </c>
      <c r="I661" t="str">
        <f>_xlfn.XLOOKUP(_26_03_2026_Log_Reseau_v15[[#This Row],[Cell_ID]],_26_03_2026_Registre_Maintenance_v1[ID_Antenne],_26_03_2026_Registre_Maintenance_v1[Technologie],"non trouvé")</f>
        <v>3G</v>
      </c>
      <c r="J661" t="str">
        <f>_xlfn.XLOOKUP(_26_03_2026_Log_Reseau_v15[[#This Row],[Cell_ID]],_26_03_2026_Registre_Maintenance_v1[ID_Antenne],_26_03_2026_Registre_Maintenance_v1[Equipementier],"pas trouvé")</f>
        <v>Ericsson</v>
      </c>
      <c r="K661" t="str">
        <f>_xlfn.XLOOKUP(_26_03_2026_Log_Reseau_v15[[#This Row],[province RDC]],_26_03_2026_Client_Churn_v1[Province_Client],_26_03_2026_Client_Churn_v1[ID_Client],"non trouvé")</f>
        <v>CLI-00837</v>
      </c>
      <c r="L661">
        <f>_xlfn.XLOOKUP(_26_03_2026_Log_Reseau_v15[[#This Row],[province RDC]],_26_03_2026_Client_Churn_v1[Province_Client],_26_03_2026_Client_Churn_v1[Anciennete_Mois],"non trouvé")</f>
        <v>16</v>
      </c>
      <c r="M661" t="str">
        <f>_xlfn.XLOOKUP(_26_03_2026_Log_Reseau_v15[[#This Row],[province RDC]],_26_03_2026_Client_Churn_v1[Province_Client],_26_03_2026_Client_Churn_v1[Type_Forfait],"non trouvé")</f>
        <v>Bloqué 5Go</v>
      </c>
      <c r="N661">
        <f>_xlfn.XLOOKUP(_26_03_2026_Log_Reseau_v15[[#This Row],[province RDC]],_26_03_2026_Client_Churn_v1[Province_Client],_26_03_2026_Client_Churn_v1[Duree_Cumulee_Panne_Min],"non trouvé")</f>
        <v>390</v>
      </c>
      <c r="O661">
        <f>_xlfn.XLOOKUP(_26_03_2026_Log_Reseau_v15[[#This Row],[province RDC]],_26_03_2026_Client_Churn_v1[Province_Client],_26_03_2026_Client_Churn_v1[Facture_Mensuelle],"non trouvé")</f>
        <v>98.17</v>
      </c>
      <c r="P661">
        <f>_xlfn.XLOOKUP(_26_03_2026_Log_Reseau_v15[[#This Row],[province RDC]],_26_03_2026_Client_Churn_v1[Province_Client],_26_03_2026_Client_Churn_v1[Plaintes_Service_Client],"non trouvé")</f>
        <v>5</v>
      </c>
    </row>
    <row r="662" spans="1:16" x14ac:dyDescent="0.25">
      <c r="A662" s="1">
        <v>45217</v>
      </c>
      <c r="B662" s="2">
        <v>0.36875000000000002</v>
      </c>
      <c r="C662" t="s">
        <v>1222</v>
      </c>
      <c r="D662">
        <v>8</v>
      </c>
      <c r="E662" t="s">
        <v>807</v>
      </c>
      <c r="F662" t="str">
        <f>_xlfn.XLOOKUP(_26_03_2026_Log_Reseau_v15[[#This Row],[Cell_ID]],_26_03_2026_Registre_Maintenance_v1[ID_Antenne],_26_03_2026_Registre_Maintenance_v1[zone],"pas trouvé")</f>
        <v>Nord-Kivu</v>
      </c>
      <c r="G662">
        <f>_xlfn.XLOOKUP(_26_03_2026_Log_Reseau_v15[[#This Row],[Cell_ID]],_26_03_2026_Registre_Maintenance_v1[ID_Antenne],_26_03_2026_Registre_Maintenance_v1[Latitude],"non trouvé")</f>
        <v>-4.1754939999999996</v>
      </c>
      <c r="H662">
        <f>_xlfn.XLOOKUP(_26_03_2026_Log_Reseau_v15[[#This Row],[Cell_ID]],_26_03_2026_Registre_Maintenance_v1[ID_Antenne],_26_03_2026_Registre_Maintenance_v1[Longitude],"pas trouvé")</f>
        <v>16.704664999999999</v>
      </c>
      <c r="I662" t="str">
        <f>_xlfn.XLOOKUP(_26_03_2026_Log_Reseau_v15[[#This Row],[Cell_ID]],_26_03_2026_Registre_Maintenance_v1[ID_Antenne],_26_03_2026_Registre_Maintenance_v1[Technologie],"non trouvé")</f>
        <v>3G</v>
      </c>
      <c r="J662" t="str">
        <f>_xlfn.XLOOKUP(_26_03_2026_Log_Reseau_v15[[#This Row],[Cell_ID]],_26_03_2026_Registre_Maintenance_v1[ID_Antenne],_26_03_2026_Registre_Maintenance_v1[Equipementier],"pas trouvé")</f>
        <v>Ericsson</v>
      </c>
      <c r="K662" t="str">
        <f>_xlfn.XLOOKUP(_26_03_2026_Log_Reseau_v15[[#This Row],[province RDC]],_26_03_2026_Client_Churn_v1[Province_Client],_26_03_2026_Client_Churn_v1[ID_Client],"non trouvé")</f>
        <v>CLI-00837</v>
      </c>
      <c r="L662">
        <f>_xlfn.XLOOKUP(_26_03_2026_Log_Reseau_v15[[#This Row],[province RDC]],_26_03_2026_Client_Churn_v1[Province_Client],_26_03_2026_Client_Churn_v1[Anciennete_Mois],"non trouvé")</f>
        <v>16</v>
      </c>
      <c r="M662" t="str">
        <f>_xlfn.XLOOKUP(_26_03_2026_Log_Reseau_v15[[#This Row],[province RDC]],_26_03_2026_Client_Churn_v1[Province_Client],_26_03_2026_Client_Churn_v1[Type_Forfait],"non trouvé")</f>
        <v>Bloqué 5Go</v>
      </c>
      <c r="N662">
        <f>_xlfn.XLOOKUP(_26_03_2026_Log_Reseau_v15[[#This Row],[province RDC]],_26_03_2026_Client_Churn_v1[Province_Client],_26_03_2026_Client_Churn_v1[Duree_Cumulee_Panne_Min],"non trouvé")</f>
        <v>390</v>
      </c>
      <c r="O662">
        <f>_xlfn.XLOOKUP(_26_03_2026_Log_Reseau_v15[[#This Row],[province RDC]],_26_03_2026_Client_Churn_v1[Province_Client],_26_03_2026_Client_Churn_v1[Facture_Mensuelle],"non trouvé")</f>
        <v>98.17</v>
      </c>
      <c r="P662">
        <f>_xlfn.XLOOKUP(_26_03_2026_Log_Reseau_v15[[#This Row],[province RDC]],_26_03_2026_Client_Churn_v1[Province_Client],_26_03_2026_Client_Churn_v1[Plaintes_Service_Client],"non trouvé")</f>
        <v>5</v>
      </c>
    </row>
    <row r="663" spans="1:16" x14ac:dyDescent="0.25">
      <c r="A663" s="1">
        <v>45206</v>
      </c>
      <c r="B663" s="2">
        <v>0.97430555555555554</v>
      </c>
      <c r="C663" t="s">
        <v>1223</v>
      </c>
      <c r="D663">
        <v>53</v>
      </c>
      <c r="E663" t="s">
        <v>808</v>
      </c>
      <c r="F663" t="str">
        <f>_xlfn.XLOOKUP(_26_03_2026_Log_Reseau_v15[[#This Row],[Cell_ID]],_26_03_2026_Registre_Maintenance_v1[ID_Antenne],_26_03_2026_Registre_Maintenance_v1[zone],"pas trouvé")</f>
        <v>Haut-Katanga</v>
      </c>
      <c r="G663">
        <f>_xlfn.XLOOKUP(_26_03_2026_Log_Reseau_v15[[#This Row],[Cell_ID]],_26_03_2026_Registre_Maintenance_v1[ID_Antenne],_26_03_2026_Registre_Maintenance_v1[Latitude],"non trouvé")</f>
        <v>-2.926736</v>
      </c>
      <c r="H663">
        <f>_xlfn.XLOOKUP(_26_03_2026_Log_Reseau_v15[[#This Row],[Cell_ID]],_26_03_2026_Registre_Maintenance_v1[ID_Antenne],_26_03_2026_Registre_Maintenance_v1[Longitude],"pas trouvé")</f>
        <v>18.170461</v>
      </c>
      <c r="I663" t="str">
        <f>_xlfn.XLOOKUP(_26_03_2026_Log_Reseau_v15[[#This Row],[Cell_ID]],_26_03_2026_Registre_Maintenance_v1[ID_Antenne],_26_03_2026_Registre_Maintenance_v1[Technologie],"non trouvé")</f>
        <v>5G</v>
      </c>
      <c r="J663" t="str">
        <f>_xlfn.XLOOKUP(_26_03_2026_Log_Reseau_v15[[#This Row],[Cell_ID]],_26_03_2026_Registre_Maintenance_v1[ID_Antenne],_26_03_2026_Registre_Maintenance_v1[Equipementier],"pas trouvé")</f>
        <v>Ericsson</v>
      </c>
      <c r="K663" t="str">
        <f>_xlfn.XLOOKUP(_26_03_2026_Log_Reseau_v15[[#This Row],[province RDC]],_26_03_2026_Client_Churn_v1[Province_Client],_26_03_2026_Client_Churn_v1[ID_Client],"non trouvé")</f>
        <v>CLI-00076</v>
      </c>
      <c r="L663">
        <f>_xlfn.XLOOKUP(_26_03_2026_Log_Reseau_v15[[#This Row],[province RDC]],_26_03_2026_Client_Churn_v1[Province_Client],_26_03_2026_Client_Churn_v1[Anciennete_Mois],"non trouvé")</f>
        <v>46</v>
      </c>
      <c r="M663" t="str">
        <f>_xlfn.XLOOKUP(_26_03_2026_Log_Reseau_v15[[#This Row],[province RDC]],_26_03_2026_Client_Churn_v1[Province_Client],_26_03_2026_Client_Churn_v1[Type_Forfait],"non trouvé")</f>
        <v>Premium 5G 150Go</v>
      </c>
      <c r="N663">
        <f>_xlfn.XLOOKUP(_26_03_2026_Log_Reseau_v15[[#This Row],[province RDC]],_26_03_2026_Client_Churn_v1[Province_Client],_26_03_2026_Client_Churn_v1[Duree_Cumulee_Panne_Min],"non trouvé")</f>
        <v>283</v>
      </c>
      <c r="O663">
        <f>_xlfn.XLOOKUP(_26_03_2026_Log_Reseau_v15[[#This Row],[province RDC]],_26_03_2026_Client_Churn_v1[Province_Client],_26_03_2026_Client_Churn_v1[Facture_Mensuelle],"non trouvé")</f>
        <v>56.05</v>
      </c>
      <c r="P663">
        <f>_xlfn.XLOOKUP(_26_03_2026_Log_Reseau_v15[[#This Row],[province RDC]],_26_03_2026_Client_Churn_v1[Province_Client],_26_03_2026_Client_Churn_v1[Plaintes_Service_Client],"non trouvé")</f>
        <v>1</v>
      </c>
    </row>
    <row r="664" spans="1:16" x14ac:dyDescent="0.25">
      <c r="A664" s="1">
        <v>45217</v>
      </c>
      <c r="B664" s="2">
        <v>0.75555555555555554</v>
      </c>
      <c r="C664" t="s">
        <v>1224</v>
      </c>
      <c r="D664">
        <v>100</v>
      </c>
      <c r="E664" t="s">
        <v>807</v>
      </c>
      <c r="F664" t="str">
        <f>_xlfn.XLOOKUP(_26_03_2026_Log_Reseau_v15[[#This Row],[Cell_ID]],_26_03_2026_Registre_Maintenance_v1[ID_Antenne],_26_03_2026_Registre_Maintenance_v1[zone],"pas trouvé")</f>
        <v>Haut-Uele</v>
      </c>
      <c r="G664">
        <f>_xlfn.XLOOKUP(_26_03_2026_Log_Reseau_v15[[#This Row],[Cell_ID]],_26_03_2026_Registre_Maintenance_v1[ID_Antenne],_26_03_2026_Registre_Maintenance_v1[Latitude],"non trouvé")</f>
        <v>-3.003879</v>
      </c>
      <c r="H664">
        <f>_xlfn.XLOOKUP(_26_03_2026_Log_Reseau_v15[[#This Row],[Cell_ID]],_26_03_2026_Registre_Maintenance_v1[ID_Antenne],_26_03_2026_Registre_Maintenance_v1[Longitude],"pas trouvé")</f>
        <v>23.633893</v>
      </c>
      <c r="I664" t="str">
        <f>_xlfn.XLOOKUP(_26_03_2026_Log_Reseau_v15[[#This Row],[Cell_ID]],_26_03_2026_Registre_Maintenance_v1[ID_Antenne],_26_03_2026_Registre_Maintenance_v1[Technologie],"non trouvé")</f>
        <v>5G</v>
      </c>
      <c r="J664" t="str">
        <f>_xlfn.XLOOKUP(_26_03_2026_Log_Reseau_v15[[#This Row],[Cell_ID]],_26_03_2026_Registre_Maintenance_v1[ID_Antenne],_26_03_2026_Registre_Maintenance_v1[Equipementier],"pas trouvé")</f>
        <v>Ericsson</v>
      </c>
      <c r="K664" t="str">
        <f>_xlfn.XLOOKUP(_26_03_2026_Log_Reseau_v15[[#This Row],[province RDC]],_26_03_2026_Client_Churn_v1[Province_Client],_26_03_2026_Client_Churn_v1[ID_Client],"non trouvé")</f>
        <v>CLI-00439</v>
      </c>
      <c r="L664">
        <f>_xlfn.XLOOKUP(_26_03_2026_Log_Reseau_v15[[#This Row],[province RDC]],_26_03_2026_Client_Churn_v1[Province_Client],_26_03_2026_Client_Churn_v1[Anciennete_Mois],"non trouvé")</f>
        <v>40</v>
      </c>
      <c r="M664" t="str">
        <f>_xlfn.XLOOKUP(_26_03_2026_Log_Reseau_v15[[#This Row],[province RDC]],_26_03_2026_Client_Churn_v1[Province_Client],_26_03_2026_Client_Churn_v1[Type_Forfait],"non trouvé")</f>
        <v>Premium 5G 150Go</v>
      </c>
      <c r="N664">
        <f>_xlfn.XLOOKUP(_26_03_2026_Log_Reseau_v15[[#This Row],[province RDC]],_26_03_2026_Client_Churn_v1[Province_Client],_26_03_2026_Client_Churn_v1[Duree_Cumulee_Panne_Min],"non trouvé")</f>
        <v>345</v>
      </c>
      <c r="O664">
        <f>_xlfn.XLOOKUP(_26_03_2026_Log_Reseau_v15[[#This Row],[province RDC]],_26_03_2026_Client_Churn_v1[Province_Client],_26_03_2026_Client_Churn_v1[Facture_Mensuelle],"non trouvé")</f>
        <v>89.55</v>
      </c>
      <c r="P664">
        <f>_xlfn.XLOOKUP(_26_03_2026_Log_Reseau_v15[[#This Row],[province RDC]],_26_03_2026_Client_Churn_v1[Province_Client],_26_03_2026_Client_Churn_v1[Plaintes_Service_Client],"non trouvé")</f>
        <v>3</v>
      </c>
    </row>
    <row r="665" spans="1:16" hidden="1" x14ac:dyDescent="0.25">
      <c r="A665" s="1">
        <v>45214</v>
      </c>
      <c r="B665" s="2">
        <v>0.59375</v>
      </c>
      <c r="C665" t="s">
        <v>1225</v>
      </c>
      <c r="D665">
        <v>51</v>
      </c>
      <c r="E665" t="s">
        <v>812</v>
      </c>
      <c r="F665" t="str">
        <f>_xlfn.XLOOKUP(_26_03_2026_Log_Reseau_v15[[#This Row],[Cell_ID]],_26_03_2026_Registre_Maintenance_v1[ID_Antenne],_26_03_2026_Registre_Maintenance_v1[zone],"pas trouvé")</f>
        <v>pas trouvé</v>
      </c>
      <c r="G665" t="str">
        <f>_xlfn.XLOOKUP(_26_03_2026_Log_Reseau_v15[[#This Row],[Cell_ID]],_26_03_2026_Registre_Maintenance_v1[ID_Antenne],_26_03_2026_Registre_Maintenance_v1[Latitude],"non trouvé")</f>
        <v>non trouvé</v>
      </c>
      <c r="H665" t="str">
        <f>_xlfn.XLOOKUP(_26_03_2026_Log_Reseau_v15[[#This Row],[Cell_ID]],_26_03_2026_Registre_Maintenance_v1[ID_Antenne],_26_03_2026_Registre_Maintenance_v1[Longitude],"pas trouvé")</f>
        <v>pas trouvé</v>
      </c>
      <c r="I665" t="str">
        <f>_xlfn.XLOOKUP(_26_03_2026_Log_Reseau_v15[[#This Row],[Cell_ID]],_26_03_2026_Registre_Maintenance_v1[ID_Antenne],_26_03_2026_Registre_Maintenance_v1[Technologie],"non trouvé")</f>
        <v>non trouvé</v>
      </c>
      <c r="J665" t="str">
        <f>_xlfn.XLOOKUP(_26_03_2026_Log_Reseau_v15[[#This Row],[Cell_ID]],_26_03_2026_Registre_Maintenance_v1[ID_Antenne],_26_03_2026_Registre_Maintenance_v1[Equipementier],"pas trouvé")</f>
        <v>pas trouvé</v>
      </c>
      <c r="K665" t="str">
        <f>_xlfn.XLOOKUP(_26_03_2026_Log_Reseau_v15[[#This Row],[province RDC]],_26_03_2026_Client_Churn_v1[Province_Client],_26_03_2026_Client_Churn_v1[ID_Client],"non trouvé")</f>
        <v>non trouvé</v>
      </c>
      <c r="L665" t="str">
        <f>_xlfn.XLOOKUP(_26_03_2026_Log_Reseau_v15[[#This Row],[province RDC]],_26_03_2026_Client_Churn_v1[Province_Client],_26_03_2026_Client_Churn_v1[Anciennete_Mois],"non trouvé")</f>
        <v>non trouvé</v>
      </c>
      <c r="M665" t="str">
        <f>_xlfn.XLOOKUP(_26_03_2026_Log_Reseau_v15[[#This Row],[province RDC]],_26_03_2026_Client_Churn_v1[Province_Client],_26_03_2026_Client_Churn_v1[Type_Forfait],"non trouvé")</f>
        <v>non trouvé</v>
      </c>
      <c r="N665" t="str">
        <f>_xlfn.XLOOKUP(_26_03_2026_Log_Reseau_v15[[#This Row],[province RDC]],_26_03_2026_Client_Churn_v1[Province_Client],_26_03_2026_Client_Churn_v1[Duree_Cumulee_Panne_Min],"non trouvé")</f>
        <v>non trouvé</v>
      </c>
      <c r="O665" t="str">
        <f>_xlfn.XLOOKUP(_26_03_2026_Log_Reseau_v15[[#This Row],[province RDC]],_26_03_2026_Client_Churn_v1[Province_Client],_26_03_2026_Client_Churn_v1[Facture_Mensuelle],"non trouvé")</f>
        <v>non trouvé</v>
      </c>
      <c r="P665" t="str">
        <f>_xlfn.XLOOKUP(_26_03_2026_Log_Reseau_v15[[#This Row],[province RDC]],_26_03_2026_Client_Churn_v1[Province_Client],_26_03_2026_Client_Churn_v1[Plaintes_Service_Client],"non trouvé")</f>
        <v>non trouvé</v>
      </c>
    </row>
    <row r="666" spans="1:16" hidden="1" x14ac:dyDescent="0.25">
      <c r="A666" s="1">
        <v>45209</v>
      </c>
      <c r="B666" s="2">
        <v>0.25138888888888888</v>
      </c>
      <c r="C666" t="s">
        <v>1225</v>
      </c>
      <c r="D666">
        <v>46</v>
      </c>
      <c r="E666" t="s">
        <v>808</v>
      </c>
      <c r="F666" t="str">
        <f>_xlfn.XLOOKUP(_26_03_2026_Log_Reseau_v15[[#This Row],[Cell_ID]],_26_03_2026_Registre_Maintenance_v1[ID_Antenne],_26_03_2026_Registre_Maintenance_v1[zone],"pas trouvé")</f>
        <v>pas trouvé</v>
      </c>
      <c r="G666" t="str">
        <f>_xlfn.XLOOKUP(_26_03_2026_Log_Reseau_v15[[#This Row],[Cell_ID]],_26_03_2026_Registre_Maintenance_v1[ID_Antenne],_26_03_2026_Registre_Maintenance_v1[Latitude],"non trouvé")</f>
        <v>non trouvé</v>
      </c>
      <c r="H666" t="str">
        <f>_xlfn.XLOOKUP(_26_03_2026_Log_Reseau_v15[[#This Row],[Cell_ID]],_26_03_2026_Registre_Maintenance_v1[ID_Antenne],_26_03_2026_Registre_Maintenance_v1[Longitude],"pas trouvé")</f>
        <v>pas trouvé</v>
      </c>
      <c r="I666" t="str">
        <f>_xlfn.XLOOKUP(_26_03_2026_Log_Reseau_v15[[#This Row],[Cell_ID]],_26_03_2026_Registre_Maintenance_v1[ID_Antenne],_26_03_2026_Registre_Maintenance_v1[Technologie],"non trouvé")</f>
        <v>non trouvé</v>
      </c>
      <c r="J666" t="str">
        <f>_xlfn.XLOOKUP(_26_03_2026_Log_Reseau_v15[[#This Row],[Cell_ID]],_26_03_2026_Registre_Maintenance_v1[ID_Antenne],_26_03_2026_Registre_Maintenance_v1[Equipementier],"pas trouvé")</f>
        <v>pas trouvé</v>
      </c>
      <c r="K666" t="str">
        <f>_xlfn.XLOOKUP(_26_03_2026_Log_Reseau_v15[[#This Row],[province RDC]],_26_03_2026_Client_Churn_v1[Province_Client],_26_03_2026_Client_Churn_v1[ID_Client],"non trouvé")</f>
        <v>non trouvé</v>
      </c>
      <c r="L666" t="str">
        <f>_xlfn.XLOOKUP(_26_03_2026_Log_Reseau_v15[[#This Row],[province RDC]],_26_03_2026_Client_Churn_v1[Province_Client],_26_03_2026_Client_Churn_v1[Anciennete_Mois],"non trouvé")</f>
        <v>non trouvé</v>
      </c>
      <c r="M666" t="str">
        <f>_xlfn.XLOOKUP(_26_03_2026_Log_Reseau_v15[[#This Row],[province RDC]],_26_03_2026_Client_Churn_v1[Province_Client],_26_03_2026_Client_Churn_v1[Type_Forfait],"non trouvé")</f>
        <v>non trouvé</v>
      </c>
      <c r="N666" t="str">
        <f>_xlfn.XLOOKUP(_26_03_2026_Log_Reseau_v15[[#This Row],[province RDC]],_26_03_2026_Client_Churn_v1[Province_Client],_26_03_2026_Client_Churn_v1[Duree_Cumulee_Panne_Min],"non trouvé")</f>
        <v>non trouvé</v>
      </c>
      <c r="O666" t="str">
        <f>_xlfn.XLOOKUP(_26_03_2026_Log_Reseau_v15[[#This Row],[province RDC]],_26_03_2026_Client_Churn_v1[Province_Client],_26_03_2026_Client_Churn_v1[Facture_Mensuelle],"non trouvé")</f>
        <v>non trouvé</v>
      </c>
      <c r="P666" t="str">
        <f>_xlfn.XLOOKUP(_26_03_2026_Log_Reseau_v15[[#This Row],[province RDC]],_26_03_2026_Client_Churn_v1[Province_Client],_26_03_2026_Client_Churn_v1[Plaintes_Service_Client],"non trouvé")</f>
        <v>non trouvé</v>
      </c>
    </row>
    <row r="667" spans="1:16" hidden="1" x14ac:dyDescent="0.25">
      <c r="A667" s="1">
        <v>45228</v>
      </c>
      <c r="B667" s="2">
        <v>0.10069444444444445</v>
      </c>
      <c r="C667" t="s">
        <v>1225</v>
      </c>
      <c r="D667">
        <v>23</v>
      </c>
      <c r="E667" t="s">
        <v>812</v>
      </c>
      <c r="F667" t="str">
        <f>_xlfn.XLOOKUP(_26_03_2026_Log_Reseau_v15[[#This Row],[Cell_ID]],_26_03_2026_Registre_Maintenance_v1[ID_Antenne],_26_03_2026_Registre_Maintenance_v1[zone],"pas trouvé")</f>
        <v>pas trouvé</v>
      </c>
      <c r="G667" t="str">
        <f>_xlfn.XLOOKUP(_26_03_2026_Log_Reseau_v15[[#This Row],[Cell_ID]],_26_03_2026_Registre_Maintenance_v1[ID_Antenne],_26_03_2026_Registre_Maintenance_v1[Latitude],"non trouvé")</f>
        <v>non trouvé</v>
      </c>
      <c r="H667" t="str">
        <f>_xlfn.XLOOKUP(_26_03_2026_Log_Reseau_v15[[#This Row],[Cell_ID]],_26_03_2026_Registre_Maintenance_v1[ID_Antenne],_26_03_2026_Registre_Maintenance_v1[Longitude],"pas trouvé")</f>
        <v>pas trouvé</v>
      </c>
      <c r="I667" t="str">
        <f>_xlfn.XLOOKUP(_26_03_2026_Log_Reseau_v15[[#This Row],[Cell_ID]],_26_03_2026_Registre_Maintenance_v1[ID_Antenne],_26_03_2026_Registre_Maintenance_v1[Technologie],"non trouvé")</f>
        <v>non trouvé</v>
      </c>
      <c r="J667" t="str">
        <f>_xlfn.XLOOKUP(_26_03_2026_Log_Reseau_v15[[#This Row],[Cell_ID]],_26_03_2026_Registre_Maintenance_v1[ID_Antenne],_26_03_2026_Registre_Maintenance_v1[Equipementier],"pas trouvé")</f>
        <v>pas trouvé</v>
      </c>
      <c r="K667" t="str">
        <f>_xlfn.XLOOKUP(_26_03_2026_Log_Reseau_v15[[#This Row],[province RDC]],_26_03_2026_Client_Churn_v1[Province_Client],_26_03_2026_Client_Churn_v1[ID_Client],"non trouvé")</f>
        <v>non trouvé</v>
      </c>
      <c r="L667" t="str">
        <f>_xlfn.XLOOKUP(_26_03_2026_Log_Reseau_v15[[#This Row],[province RDC]],_26_03_2026_Client_Churn_v1[Province_Client],_26_03_2026_Client_Churn_v1[Anciennete_Mois],"non trouvé")</f>
        <v>non trouvé</v>
      </c>
      <c r="M667" t="str">
        <f>_xlfn.XLOOKUP(_26_03_2026_Log_Reseau_v15[[#This Row],[province RDC]],_26_03_2026_Client_Churn_v1[Province_Client],_26_03_2026_Client_Churn_v1[Type_Forfait],"non trouvé")</f>
        <v>non trouvé</v>
      </c>
      <c r="N667" t="str">
        <f>_xlfn.XLOOKUP(_26_03_2026_Log_Reseau_v15[[#This Row],[province RDC]],_26_03_2026_Client_Churn_v1[Province_Client],_26_03_2026_Client_Churn_v1[Duree_Cumulee_Panne_Min],"non trouvé")</f>
        <v>non trouvé</v>
      </c>
      <c r="O667" t="str">
        <f>_xlfn.XLOOKUP(_26_03_2026_Log_Reseau_v15[[#This Row],[province RDC]],_26_03_2026_Client_Churn_v1[Province_Client],_26_03_2026_Client_Churn_v1[Facture_Mensuelle],"non trouvé")</f>
        <v>non trouvé</v>
      </c>
      <c r="P667" t="str">
        <f>_xlfn.XLOOKUP(_26_03_2026_Log_Reseau_v15[[#This Row],[province RDC]],_26_03_2026_Client_Churn_v1[Province_Client],_26_03_2026_Client_Churn_v1[Plaintes_Service_Client],"non trouvé")</f>
        <v>non trouvé</v>
      </c>
    </row>
    <row r="668" spans="1:16" x14ac:dyDescent="0.25">
      <c r="A668" s="1">
        <v>45224</v>
      </c>
      <c r="B668" s="2">
        <v>0.4284722222222222</v>
      </c>
      <c r="C668" t="s">
        <v>1226</v>
      </c>
      <c r="D668">
        <v>65</v>
      </c>
      <c r="E668" t="s">
        <v>808</v>
      </c>
      <c r="F668" t="str">
        <f>_xlfn.XLOOKUP(_26_03_2026_Log_Reseau_v15[[#This Row],[Cell_ID]],_26_03_2026_Registre_Maintenance_v1[ID_Antenne],_26_03_2026_Registre_Maintenance_v1[zone],"pas trouvé")</f>
        <v>Haut-Katanga</v>
      </c>
      <c r="G668">
        <f>_xlfn.XLOOKUP(_26_03_2026_Log_Reseau_v15[[#This Row],[Cell_ID]],_26_03_2026_Registre_Maintenance_v1[ID_Antenne],_26_03_2026_Registre_Maintenance_v1[Latitude],"non trouvé")</f>
        <v>0.172153</v>
      </c>
      <c r="H668">
        <f>_xlfn.XLOOKUP(_26_03_2026_Log_Reseau_v15[[#This Row],[Cell_ID]],_26_03_2026_Registre_Maintenance_v1[ID_Antenne],_26_03_2026_Registre_Maintenance_v1[Longitude],"pas trouvé")</f>
        <v>21.091376</v>
      </c>
      <c r="I668" t="str">
        <f>_xlfn.XLOOKUP(_26_03_2026_Log_Reseau_v15[[#This Row],[Cell_ID]],_26_03_2026_Registre_Maintenance_v1[ID_Antenne],_26_03_2026_Registre_Maintenance_v1[Technologie],"non trouvé")</f>
        <v>3G</v>
      </c>
      <c r="J668" t="str">
        <f>_xlfn.XLOOKUP(_26_03_2026_Log_Reseau_v15[[#This Row],[Cell_ID]],_26_03_2026_Registre_Maintenance_v1[ID_Antenne],_26_03_2026_Registre_Maintenance_v1[Equipementier],"pas trouvé")</f>
        <v>Ericsson</v>
      </c>
      <c r="K668" t="str">
        <f>_xlfn.XLOOKUP(_26_03_2026_Log_Reseau_v15[[#This Row],[province RDC]],_26_03_2026_Client_Churn_v1[Province_Client],_26_03_2026_Client_Churn_v1[ID_Client],"non trouvé")</f>
        <v>CLI-00076</v>
      </c>
      <c r="L668">
        <f>_xlfn.XLOOKUP(_26_03_2026_Log_Reseau_v15[[#This Row],[province RDC]],_26_03_2026_Client_Churn_v1[Province_Client],_26_03_2026_Client_Churn_v1[Anciennete_Mois],"non trouvé")</f>
        <v>46</v>
      </c>
      <c r="M668" t="str">
        <f>_xlfn.XLOOKUP(_26_03_2026_Log_Reseau_v15[[#This Row],[province RDC]],_26_03_2026_Client_Churn_v1[Province_Client],_26_03_2026_Client_Churn_v1[Type_Forfait],"non trouvé")</f>
        <v>Premium 5G 150Go</v>
      </c>
      <c r="N668">
        <f>_xlfn.XLOOKUP(_26_03_2026_Log_Reseau_v15[[#This Row],[province RDC]],_26_03_2026_Client_Churn_v1[Province_Client],_26_03_2026_Client_Churn_v1[Duree_Cumulee_Panne_Min],"non trouvé")</f>
        <v>283</v>
      </c>
      <c r="O668">
        <f>_xlfn.XLOOKUP(_26_03_2026_Log_Reseau_v15[[#This Row],[province RDC]],_26_03_2026_Client_Churn_v1[Province_Client],_26_03_2026_Client_Churn_v1[Facture_Mensuelle],"non trouvé")</f>
        <v>56.05</v>
      </c>
      <c r="P668">
        <f>_xlfn.XLOOKUP(_26_03_2026_Log_Reseau_v15[[#This Row],[province RDC]],_26_03_2026_Client_Churn_v1[Province_Client],_26_03_2026_Client_Churn_v1[Plaintes_Service_Client],"non trouvé")</f>
        <v>1</v>
      </c>
    </row>
    <row r="669" spans="1:16" x14ac:dyDescent="0.25">
      <c r="A669" s="1">
        <v>45214</v>
      </c>
      <c r="B669" s="2">
        <v>0.71319444444444446</v>
      </c>
      <c r="C669" t="s">
        <v>1226</v>
      </c>
      <c r="D669">
        <v>25</v>
      </c>
      <c r="E669" t="s">
        <v>807</v>
      </c>
      <c r="F669" t="str">
        <f>_xlfn.XLOOKUP(_26_03_2026_Log_Reseau_v15[[#This Row],[Cell_ID]],_26_03_2026_Registre_Maintenance_v1[ID_Antenne],_26_03_2026_Registre_Maintenance_v1[zone],"pas trouvé")</f>
        <v>Haut-Katanga</v>
      </c>
      <c r="G669">
        <f>_xlfn.XLOOKUP(_26_03_2026_Log_Reseau_v15[[#This Row],[Cell_ID]],_26_03_2026_Registre_Maintenance_v1[ID_Antenne],_26_03_2026_Registre_Maintenance_v1[Latitude],"non trouvé")</f>
        <v>0.172153</v>
      </c>
      <c r="H669">
        <f>_xlfn.XLOOKUP(_26_03_2026_Log_Reseau_v15[[#This Row],[Cell_ID]],_26_03_2026_Registre_Maintenance_v1[ID_Antenne],_26_03_2026_Registre_Maintenance_v1[Longitude],"pas trouvé")</f>
        <v>21.091376</v>
      </c>
      <c r="I669" t="str">
        <f>_xlfn.XLOOKUP(_26_03_2026_Log_Reseau_v15[[#This Row],[Cell_ID]],_26_03_2026_Registre_Maintenance_v1[ID_Antenne],_26_03_2026_Registre_Maintenance_v1[Technologie],"non trouvé")</f>
        <v>3G</v>
      </c>
      <c r="J669" t="str">
        <f>_xlfn.XLOOKUP(_26_03_2026_Log_Reseau_v15[[#This Row],[Cell_ID]],_26_03_2026_Registre_Maintenance_v1[ID_Antenne],_26_03_2026_Registre_Maintenance_v1[Equipementier],"pas trouvé")</f>
        <v>Ericsson</v>
      </c>
      <c r="K669" t="str">
        <f>_xlfn.XLOOKUP(_26_03_2026_Log_Reseau_v15[[#This Row],[province RDC]],_26_03_2026_Client_Churn_v1[Province_Client],_26_03_2026_Client_Churn_v1[ID_Client],"non trouvé")</f>
        <v>CLI-00076</v>
      </c>
      <c r="L669">
        <f>_xlfn.XLOOKUP(_26_03_2026_Log_Reseau_v15[[#This Row],[province RDC]],_26_03_2026_Client_Churn_v1[Province_Client],_26_03_2026_Client_Churn_v1[Anciennete_Mois],"non trouvé")</f>
        <v>46</v>
      </c>
      <c r="M669" t="str">
        <f>_xlfn.XLOOKUP(_26_03_2026_Log_Reseau_v15[[#This Row],[province RDC]],_26_03_2026_Client_Churn_v1[Province_Client],_26_03_2026_Client_Churn_v1[Type_Forfait],"non trouvé")</f>
        <v>Premium 5G 150Go</v>
      </c>
      <c r="N669">
        <f>_xlfn.XLOOKUP(_26_03_2026_Log_Reseau_v15[[#This Row],[province RDC]],_26_03_2026_Client_Churn_v1[Province_Client],_26_03_2026_Client_Churn_v1[Duree_Cumulee_Panne_Min],"non trouvé")</f>
        <v>283</v>
      </c>
      <c r="O669">
        <f>_xlfn.XLOOKUP(_26_03_2026_Log_Reseau_v15[[#This Row],[province RDC]],_26_03_2026_Client_Churn_v1[Province_Client],_26_03_2026_Client_Churn_v1[Facture_Mensuelle],"non trouvé")</f>
        <v>56.05</v>
      </c>
      <c r="P669">
        <f>_xlfn.XLOOKUP(_26_03_2026_Log_Reseau_v15[[#This Row],[province RDC]],_26_03_2026_Client_Churn_v1[Province_Client],_26_03_2026_Client_Churn_v1[Plaintes_Service_Client],"non trouvé")</f>
        <v>1</v>
      </c>
    </row>
    <row r="670" spans="1:16" x14ac:dyDescent="0.25">
      <c r="A670" s="1">
        <v>45201</v>
      </c>
      <c r="B670" s="2">
        <v>0.57430555555555551</v>
      </c>
      <c r="C670" t="s">
        <v>1226</v>
      </c>
      <c r="D670">
        <v>75</v>
      </c>
      <c r="E670" t="s">
        <v>812</v>
      </c>
      <c r="F670" t="str">
        <f>_xlfn.XLOOKUP(_26_03_2026_Log_Reseau_v15[[#This Row],[Cell_ID]],_26_03_2026_Registre_Maintenance_v1[ID_Antenne],_26_03_2026_Registre_Maintenance_v1[zone],"pas trouvé")</f>
        <v>Haut-Katanga</v>
      </c>
      <c r="G670">
        <f>_xlfn.XLOOKUP(_26_03_2026_Log_Reseau_v15[[#This Row],[Cell_ID]],_26_03_2026_Registre_Maintenance_v1[ID_Antenne],_26_03_2026_Registre_Maintenance_v1[Latitude],"non trouvé")</f>
        <v>0.172153</v>
      </c>
      <c r="H670">
        <f>_xlfn.XLOOKUP(_26_03_2026_Log_Reseau_v15[[#This Row],[Cell_ID]],_26_03_2026_Registre_Maintenance_v1[ID_Antenne],_26_03_2026_Registre_Maintenance_v1[Longitude],"pas trouvé")</f>
        <v>21.091376</v>
      </c>
      <c r="I670" t="str">
        <f>_xlfn.XLOOKUP(_26_03_2026_Log_Reseau_v15[[#This Row],[Cell_ID]],_26_03_2026_Registre_Maintenance_v1[ID_Antenne],_26_03_2026_Registre_Maintenance_v1[Technologie],"non trouvé")</f>
        <v>3G</v>
      </c>
      <c r="J670" t="str">
        <f>_xlfn.XLOOKUP(_26_03_2026_Log_Reseau_v15[[#This Row],[Cell_ID]],_26_03_2026_Registre_Maintenance_v1[ID_Antenne],_26_03_2026_Registre_Maintenance_v1[Equipementier],"pas trouvé")</f>
        <v>Ericsson</v>
      </c>
      <c r="K670" t="str">
        <f>_xlfn.XLOOKUP(_26_03_2026_Log_Reseau_v15[[#This Row],[province RDC]],_26_03_2026_Client_Churn_v1[Province_Client],_26_03_2026_Client_Churn_v1[ID_Client],"non trouvé")</f>
        <v>CLI-00076</v>
      </c>
      <c r="L670">
        <f>_xlfn.XLOOKUP(_26_03_2026_Log_Reseau_v15[[#This Row],[province RDC]],_26_03_2026_Client_Churn_v1[Province_Client],_26_03_2026_Client_Churn_v1[Anciennete_Mois],"non trouvé")</f>
        <v>46</v>
      </c>
      <c r="M670" t="str">
        <f>_xlfn.XLOOKUP(_26_03_2026_Log_Reseau_v15[[#This Row],[province RDC]],_26_03_2026_Client_Churn_v1[Province_Client],_26_03_2026_Client_Churn_v1[Type_Forfait],"non trouvé")</f>
        <v>Premium 5G 150Go</v>
      </c>
      <c r="N670">
        <f>_xlfn.XLOOKUP(_26_03_2026_Log_Reseau_v15[[#This Row],[province RDC]],_26_03_2026_Client_Churn_v1[Province_Client],_26_03_2026_Client_Churn_v1[Duree_Cumulee_Panne_Min],"non trouvé")</f>
        <v>283</v>
      </c>
      <c r="O670">
        <f>_xlfn.XLOOKUP(_26_03_2026_Log_Reseau_v15[[#This Row],[province RDC]],_26_03_2026_Client_Churn_v1[Province_Client],_26_03_2026_Client_Churn_v1[Facture_Mensuelle],"non trouvé")</f>
        <v>56.05</v>
      </c>
      <c r="P670">
        <f>_xlfn.XLOOKUP(_26_03_2026_Log_Reseau_v15[[#This Row],[province RDC]],_26_03_2026_Client_Churn_v1[Province_Client],_26_03_2026_Client_Churn_v1[Plaintes_Service_Client],"non trouvé")</f>
        <v>1</v>
      </c>
    </row>
    <row r="671" spans="1:16" hidden="1" x14ac:dyDescent="0.25">
      <c r="A671" s="1">
        <v>45228</v>
      </c>
      <c r="B671" s="2">
        <v>0.7583333333333333</v>
      </c>
      <c r="C671" t="s">
        <v>1227</v>
      </c>
      <c r="D671">
        <v>54</v>
      </c>
      <c r="E671" t="s">
        <v>807</v>
      </c>
      <c r="F671" t="str">
        <f>_xlfn.XLOOKUP(_26_03_2026_Log_Reseau_v15[[#This Row],[Cell_ID]],_26_03_2026_Registre_Maintenance_v1[ID_Antenne],_26_03_2026_Registre_Maintenance_v1[zone],"pas trouvé")</f>
        <v>pas trouvé</v>
      </c>
      <c r="G671" t="str">
        <f>_xlfn.XLOOKUP(_26_03_2026_Log_Reseau_v15[[#This Row],[Cell_ID]],_26_03_2026_Registre_Maintenance_v1[ID_Antenne],_26_03_2026_Registre_Maintenance_v1[Latitude],"non trouvé")</f>
        <v>non trouvé</v>
      </c>
      <c r="H671" t="str">
        <f>_xlfn.XLOOKUP(_26_03_2026_Log_Reseau_v15[[#This Row],[Cell_ID]],_26_03_2026_Registre_Maintenance_v1[ID_Antenne],_26_03_2026_Registre_Maintenance_v1[Longitude],"pas trouvé")</f>
        <v>pas trouvé</v>
      </c>
      <c r="I671" t="str">
        <f>_xlfn.XLOOKUP(_26_03_2026_Log_Reseau_v15[[#This Row],[Cell_ID]],_26_03_2026_Registre_Maintenance_v1[ID_Antenne],_26_03_2026_Registre_Maintenance_v1[Technologie],"non trouvé")</f>
        <v>non trouvé</v>
      </c>
      <c r="J671" t="str">
        <f>_xlfn.XLOOKUP(_26_03_2026_Log_Reseau_v15[[#This Row],[Cell_ID]],_26_03_2026_Registre_Maintenance_v1[ID_Antenne],_26_03_2026_Registre_Maintenance_v1[Equipementier],"pas trouvé")</f>
        <v>pas trouvé</v>
      </c>
      <c r="K671" t="str">
        <f>_xlfn.XLOOKUP(_26_03_2026_Log_Reseau_v15[[#This Row],[province RDC]],_26_03_2026_Client_Churn_v1[Province_Client],_26_03_2026_Client_Churn_v1[ID_Client],"non trouvé")</f>
        <v>non trouvé</v>
      </c>
      <c r="L671" t="str">
        <f>_xlfn.XLOOKUP(_26_03_2026_Log_Reseau_v15[[#This Row],[province RDC]],_26_03_2026_Client_Churn_v1[Province_Client],_26_03_2026_Client_Churn_v1[Anciennete_Mois],"non trouvé")</f>
        <v>non trouvé</v>
      </c>
      <c r="M671" t="str">
        <f>_xlfn.XLOOKUP(_26_03_2026_Log_Reseau_v15[[#This Row],[province RDC]],_26_03_2026_Client_Churn_v1[Province_Client],_26_03_2026_Client_Churn_v1[Type_Forfait],"non trouvé")</f>
        <v>non trouvé</v>
      </c>
      <c r="N671" t="str">
        <f>_xlfn.XLOOKUP(_26_03_2026_Log_Reseau_v15[[#This Row],[province RDC]],_26_03_2026_Client_Churn_v1[Province_Client],_26_03_2026_Client_Churn_v1[Duree_Cumulee_Panne_Min],"non trouvé")</f>
        <v>non trouvé</v>
      </c>
      <c r="O671" t="str">
        <f>_xlfn.XLOOKUP(_26_03_2026_Log_Reseau_v15[[#This Row],[province RDC]],_26_03_2026_Client_Churn_v1[Province_Client],_26_03_2026_Client_Churn_v1[Facture_Mensuelle],"non trouvé")</f>
        <v>non trouvé</v>
      </c>
      <c r="P671" t="str">
        <f>_xlfn.XLOOKUP(_26_03_2026_Log_Reseau_v15[[#This Row],[province RDC]],_26_03_2026_Client_Churn_v1[Province_Client],_26_03_2026_Client_Churn_v1[Plaintes_Service_Client],"non trouvé")</f>
        <v>non trouvé</v>
      </c>
    </row>
    <row r="672" spans="1:16" x14ac:dyDescent="0.25">
      <c r="A672" s="1">
        <v>45213</v>
      </c>
      <c r="B672" s="2">
        <v>2.7083333333333334E-2</v>
      </c>
      <c r="C672" t="s">
        <v>1228</v>
      </c>
      <c r="D672">
        <v>68</v>
      </c>
      <c r="E672" t="s">
        <v>812</v>
      </c>
      <c r="F672" t="str">
        <f>_xlfn.XLOOKUP(_26_03_2026_Log_Reseau_v15[[#This Row],[Cell_ID]],_26_03_2026_Registre_Maintenance_v1[ID_Antenne],_26_03_2026_Registre_Maintenance_v1[zone],"pas trouvé")</f>
        <v>Kwango</v>
      </c>
      <c r="G672">
        <f>_xlfn.XLOOKUP(_26_03_2026_Log_Reseau_v15[[#This Row],[Cell_ID]],_26_03_2026_Registre_Maintenance_v1[ID_Antenne],_26_03_2026_Registre_Maintenance_v1[Latitude],"non trouvé")</f>
        <v>-8.1210620000000002</v>
      </c>
      <c r="H672">
        <f>_xlfn.XLOOKUP(_26_03_2026_Log_Reseau_v15[[#This Row],[Cell_ID]],_26_03_2026_Registre_Maintenance_v1[ID_Antenne],_26_03_2026_Registre_Maintenance_v1[Longitude],"pas trouvé")</f>
        <v>21.094390000000001</v>
      </c>
      <c r="I672" t="str">
        <f>_xlfn.XLOOKUP(_26_03_2026_Log_Reseau_v15[[#This Row],[Cell_ID]],_26_03_2026_Registre_Maintenance_v1[ID_Antenne],_26_03_2026_Registre_Maintenance_v1[Technologie],"non trouvé")</f>
        <v>5G</v>
      </c>
      <c r="J672" t="str">
        <f>_xlfn.XLOOKUP(_26_03_2026_Log_Reseau_v15[[#This Row],[Cell_ID]],_26_03_2026_Registre_Maintenance_v1[ID_Antenne],_26_03_2026_Registre_Maintenance_v1[Equipementier],"pas trouvé")</f>
        <v>ZTE</v>
      </c>
      <c r="K672" t="str">
        <f>_xlfn.XLOOKUP(_26_03_2026_Log_Reseau_v15[[#This Row],[province RDC]],_26_03_2026_Client_Churn_v1[Province_Client],_26_03_2026_Client_Churn_v1[ID_Client],"non trouvé")</f>
        <v>CLI-00569</v>
      </c>
      <c r="L672">
        <f>_xlfn.XLOOKUP(_26_03_2026_Log_Reseau_v15[[#This Row],[province RDC]],_26_03_2026_Client_Churn_v1[Province_Client],_26_03_2026_Client_Churn_v1[Anciennete_Mois],"non trouvé")</f>
        <v>110</v>
      </c>
      <c r="M672" t="str">
        <f>_xlfn.XLOOKUP(_26_03_2026_Log_Reseau_v15[[#This Row],[province RDC]],_26_03_2026_Client_Churn_v1[Province_Client],_26_03_2026_Client_Churn_v1[Type_Forfait],"non trouvé")</f>
        <v>Pro Monde</v>
      </c>
      <c r="N672">
        <f>_xlfn.XLOOKUP(_26_03_2026_Log_Reseau_v15[[#This Row],[province RDC]],_26_03_2026_Client_Churn_v1[Province_Client],_26_03_2026_Client_Churn_v1[Duree_Cumulee_Panne_Min],"non trouvé")</f>
        <v>423</v>
      </c>
      <c r="O672">
        <f>_xlfn.XLOOKUP(_26_03_2026_Log_Reseau_v15[[#This Row],[province RDC]],_26_03_2026_Client_Churn_v1[Province_Client],_26_03_2026_Client_Churn_v1[Facture_Mensuelle],"non trouvé")</f>
        <v>37.35</v>
      </c>
      <c r="P672">
        <f>_xlfn.XLOOKUP(_26_03_2026_Log_Reseau_v15[[#This Row],[province RDC]],_26_03_2026_Client_Churn_v1[Province_Client],_26_03_2026_Client_Churn_v1[Plaintes_Service_Client],"non trouvé")</f>
        <v>4</v>
      </c>
    </row>
    <row r="673" spans="1:16" x14ac:dyDescent="0.25">
      <c r="A673" s="1">
        <v>45211</v>
      </c>
      <c r="B673" s="2">
        <v>0.61875000000000002</v>
      </c>
      <c r="C673" t="s">
        <v>1229</v>
      </c>
      <c r="D673">
        <v>92</v>
      </c>
      <c r="E673" t="s">
        <v>807</v>
      </c>
      <c r="F673" t="str">
        <f>_xlfn.XLOOKUP(_26_03_2026_Log_Reseau_v15[[#This Row],[Cell_ID]],_26_03_2026_Registre_Maintenance_v1[ID_Antenne],_26_03_2026_Registre_Maintenance_v1[zone],"pas trouvé")</f>
        <v>Tshopo</v>
      </c>
      <c r="G673">
        <f>_xlfn.XLOOKUP(_26_03_2026_Log_Reseau_v15[[#This Row],[Cell_ID]],_26_03_2026_Registre_Maintenance_v1[ID_Antenne],_26_03_2026_Registre_Maintenance_v1[Latitude],"non trouvé")</f>
        <v>-0.85624699999999998</v>
      </c>
      <c r="H673">
        <f>_xlfn.XLOOKUP(_26_03_2026_Log_Reseau_v15[[#This Row],[Cell_ID]],_26_03_2026_Registre_Maintenance_v1[ID_Antenne],_26_03_2026_Registre_Maintenance_v1[Longitude],"pas trouvé")</f>
        <v>28.624870000000001</v>
      </c>
      <c r="I673" t="str">
        <f>_xlfn.XLOOKUP(_26_03_2026_Log_Reseau_v15[[#This Row],[Cell_ID]],_26_03_2026_Registre_Maintenance_v1[ID_Antenne],_26_03_2026_Registre_Maintenance_v1[Technologie],"non trouvé")</f>
        <v>3G</v>
      </c>
      <c r="J673" t="str">
        <f>_xlfn.XLOOKUP(_26_03_2026_Log_Reseau_v15[[#This Row],[Cell_ID]],_26_03_2026_Registre_Maintenance_v1[ID_Antenne],_26_03_2026_Registre_Maintenance_v1[Equipementier],"pas trouvé")</f>
        <v>Ericsson</v>
      </c>
      <c r="K673" t="str">
        <f>_xlfn.XLOOKUP(_26_03_2026_Log_Reseau_v15[[#This Row],[province RDC]],_26_03_2026_Client_Churn_v1[Province_Client],_26_03_2026_Client_Churn_v1[ID_Client],"non trouvé")</f>
        <v>CLI-00745</v>
      </c>
      <c r="L673">
        <f>_xlfn.XLOOKUP(_26_03_2026_Log_Reseau_v15[[#This Row],[province RDC]],_26_03_2026_Client_Churn_v1[Province_Client],_26_03_2026_Client_Churn_v1[Anciennete_Mois],"non trouvé")</f>
        <v>6</v>
      </c>
      <c r="M673" t="str">
        <f>_xlfn.XLOOKUP(_26_03_2026_Log_Reseau_v15[[#This Row],[province RDC]],_26_03_2026_Client_Churn_v1[Province_Client],_26_03_2026_Client_Churn_v1[Type_Forfait],"non trouvé")</f>
        <v>Premium 5G 150Go</v>
      </c>
      <c r="N673">
        <f>_xlfn.XLOOKUP(_26_03_2026_Log_Reseau_v15[[#This Row],[province RDC]],_26_03_2026_Client_Churn_v1[Province_Client],_26_03_2026_Client_Churn_v1[Duree_Cumulee_Panne_Min],"non trouvé")</f>
        <v>207</v>
      </c>
      <c r="O673">
        <f>_xlfn.XLOOKUP(_26_03_2026_Log_Reseau_v15[[#This Row],[province RDC]],_26_03_2026_Client_Churn_v1[Province_Client],_26_03_2026_Client_Churn_v1[Facture_Mensuelle],"non trouvé")</f>
        <v>61.55</v>
      </c>
      <c r="P673">
        <f>_xlfn.XLOOKUP(_26_03_2026_Log_Reseau_v15[[#This Row],[province RDC]],_26_03_2026_Client_Churn_v1[Province_Client],_26_03_2026_Client_Churn_v1[Plaintes_Service_Client],"non trouvé")</f>
        <v>0</v>
      </c>
    </row>
    <row r="674" spans="1:16" x14ac:dyDescent="0.25">
      <c r="A674" s="1">
        <v>45215</v>
      </c>
      <c r="B674" s="2">
        <v>0.77500000000000002</v>
      </c>
      <c r="C674" t="s">
        <v>1229</v>
      </c>
      <c r="D674">
        <v>95</v>
      </c>
      <c r="E674" t="s">
        <v>808</v>
      </c>
      <c r="F674" t="str">
        <f>_xlfn.XLOOKUP(_26_03_2026_Log_Reseau_v15[[#This Row],[Cell_ID]],_26_03_2026_Registre_Maintenance_v1[ID_Antenne],_26_03_2026_Registre_Maintenance_v1[zone],"pas trouvé")</f>
        <v>Tshopo</v>
      </c>
      <c r="G674">
        <f>_xlfn.XLOOKUP(_26_03_2026_Log_Reseau_v15[[#This Row],[Cell_ID]],_26_03_2026_Registre_Maintenance_v1[ID_Antenne],_26_03_2026_Registre_Maintenance_v1[Latitude],"non trouvé")</f>
        <v>-0.85624699999999998</v>
      </c>
      <c r="H674">
        <f>_xlfn.XLOOKUP(_26_03_2026_Log_Reseau_v15[[#This Row],[Cell_ID]],_26_03_2026_Registre_Maintenance_v1[ID_Antenne],_26_03_2026_Registre_Maintenance_v1[Longitude],"pas trouvé")</f>
        <v>28.624870000000001</v>
      </c>
      <c r="I674" t="str">
        <f>_xlfn.XLOOKUP(_26_03_2026_Log_Reseau_v15[[#This Row],[Cell_ID]],_26_03_2026_Registre_Maintenance_v1[ID_Antenne],_26_03_2026_Registre_Maintenance_v1[Technologie],"non trouvé")</f>
        <v>3G</v>
      </c>
      <c r="J674" t="str">
        <f>_xlfn.XLOOKUP(_26_03_2026_Log_Reseau_v15[[#This Row],[Cell_ID]],_26_03_2026_Registre_Maintenance_v1[ID_Antenne],_26_03_2026_Registre_Maintenance_v1[Equipementier],"pas trouvé")</f>
        <v>Ericsson</v>
      </c>
      <c r="K674" t="str">
        <f>_xlfn.XLOOKUP(_26_03_2026_Log_Reseau_v15[[#This Row],[province RDC]],_26_03_2026_Client_Churn_v1[Province_Client],_26_03_2026_Client_Churn_v1[ID_Client],"non trouvé")</f>
        <v>CLI-00745</v>
      </c>
      <c r="L674">
        <f>_xlfn.XLOOKUP(_26_03_2026_Log_Reseau_v15[[#This Row],[province RDC]],_26_03_2026_Client_Churn_v1[Province_Client],_26_03_2026_Client_Churn_v1[Anciennete_Mois],"non trouvé")</f>
        <v>6</v>
      </c>
      <c r="M674" t="str">
        <f>_xlfn.XLOOKUP(_26_03_2026_Log_Reseau_v15[[#This Row],[province RDC]],_26_03_2026_Client_Churn_v1[Province_Client],_26_03_2026_Client_Churn_v1[Type_Forfait],"non trouvé")</f>
        <v>Premium 5G 150Go</v>
      </c>
      <c r="N674">
        <f>_xlfn.XLOOKUP(_26_03_2026_Log_Reseau_v15[[#This Row],[province RDC]],_26_03_2026_Client_Churn_v1[Province_Client],_26_03_2026_Client_Churn_v1[Duree_Cumulee_Panne_Min],"non trouvé")</f>
        <v>207</v>
      </c>
      <c r="O674">
        <f>_xlfn.XLOOKUP(_26_03_2026_Log_Reseau_v15[[#This Row],[province RDC]],_26_03_2026_Client_Churn_v1[Province_Client],_26_03_2026_Client_Churn_v1[Facture_Mensuelle],"non trouvé")</f>
        <v>61.55</v>
      </c>
      <c r="P674">
        <f>_xlfn.XLOOKUP(_26_03_2026_Log_Reseau_v15[[#This Row],[province RDC]],_26_03_2026_Client_Churn_v1[Province_Client],_26_03_2026_Client_Churn_v1[Plaintes_Service_Client],"non trouvé")</f>
        <v>0</v>
      </c>
    </row>
    <row r="675" spans="1:16" hidden="1" x14ac:dyDescent="0.25">
      <c r="A675" s="1">
        <v>45221</v>
      </c>
      <c r="B675" s="2">
        <v>0.85763888888888884</v>
      </c>
      <c r="C675" t="s">
        <v>1230</v>
      </c>
      <c r="D675">
        <v>60</v>
      </c>
      <c r="E675" t="s">
        <v>812</v>
      </c>
      <c r="F675" t="str">
        <f>_xlfn.XLOOKUP(_26_03_2026_Log_Reseau_v15[[#This Row],[Cell_ID]],_26_03_2026_Registre_Maintenance_v1[ID_Antenne],_26_03_2026_Registre_Maintenance_v1[zone],"pas trouvé")</f>
        <v>pas trouvé</v>
      </c>
      <c r="G675" t="str">
        <f>_xlfn.XLOOKUP(_26_03_2026_Log_Reseau_v15[[#This Row],[Cell_ID]],_26_03_2026_Registre_Maintenance_v1[ID_Antenne],_26_03_2026_Registre_Maintenance_v1[Latitude],"non trouvé")</f>
        <v>non trouvé</v>
      </c>
      <c r="H675" t="str">
        <f>_xlfn.XLOOKUP(_26_03_2026_Log_Reseau_v15[[#This Row],[Cell_ID]],_26_03_2026_Registre_Maintenance_v1[ID_Antenne],_26_03_2026_Registre_Maintenance_v1[Longitude],"pas trouvé")</f>
        <v>pas trouvé</v>
      </c>
      <c r="I675" t="str">
        <f>_xlfn.XLOOKUP(_26_03_2026_Log_Reseau_v15[[#This Row],[Cell_ID]],_26_03_2026_Registre_Maintenance_v1[ID_Antenne],_26_03_2026_Registre_Maintenance_v1[Technologie],"non trouvé")</f>
        <v>non trouvé</v>
      </c>
      <c r="J675" t="str">
        <f>_xlfn.XLOOKUP(_26_03_2026_Log_Reseau_v15[[#This Row],[Cell_ID]],_26_03_2026_Registre_Maintenance_v1[ID_Antenne],_26_03_2026_Registre_Maintenance_v1[Equipementier],"pas trouvé")</f>
        <v>pas trouvé</v>
      </c>
      <c r="K675" t="str">
        <f>_xlfn.XLOOKUP(_26_03_2026_Log_Reseau_v15[[#This Row],[province RDC]],_26_03_2026_Client_Churn_v1[Province_Client],_26_03_2026_Client_Churn_v1[ID_Client],"non trouvé")</f>
        <v>non trouvé</v>
      </c>
      <c r="L675" t="str">
        <f>_xlfn.XLOOKUP(_26_03_2026_Log_Reseau_v15[[#This Row],[province RDC]],_26_03_2026_Client_Churn_v1[Province_Client],_26_03_2026_Client_Churn_v1[Anciennete_Mois],"non trouvé")</f>
        <v>non trouvé</v>
      </c>
      <c r="M675" t="str">
        <f>_xlfn.XLOOKUP(_26_03_2026_Log_Reseau_v15[[#This Row],[province RDC]],_26_03_2026_Client_Churn_v1[Province_Client],_26_03_2026_Client_Churn_v1[Type_Forfait],"non trouvé")</f>
        <v>non trouvé</v>
      </c>
      <c r="N675" t="str">
        <f>_xlfn.XLOOKUP(_26_03_2026_Log_Reseau_v15[[#This Row],[province RDC]],_26_03_2026_Client_Churn_v1[Province_Client],_26_03_2026_Client_Churn_v1[Duree_Cumulee_Panne_Min],"non trouvé")</f>
        <v>non trouvé</v>
      </c>
      <c r="O675" t="str">
        <f>_xlfn.XLOOKUP(_26_03_2026_Log_Reseau_v15[[#This Row],[province RDC]],_26_03_2026_Client_Churn_v1[Province_Client],_26_03_2026_Client_Churn_v1[Facture_Mensuelle],"non trouvé")</f>
        <v>non trouvé</v>
      </c>
      <c r="P675" t="str">
        <f>_xlfn.XLOOKUP(_26_03_2026_Log_Reseau_v15[[#This Row],[province RDC]],_26_03_2026_Client_Churn_v1[Province_Client],_26_03_2026_Client_Churn_v1[Plaintes_Service_Client],"non trouvé")</f>
        <v>non trouvé</v>
      </c>
    </row>
    <row r="676" spans="1:16" hidden="1" x14ac:dyDescent="0.25">
      <c r="A676" s="1">
        <v>45202</v>
      </c>
      <c r="B676" s="2">
        <v>5.486111111111111E-2</v>
      </c>
      <c r="C676" t="s">
        <v>1230</v>
      </c>
      <c r="D676">
        <v>11</v>
      </c>
      <c r="E676" t="s">
        <v>807</v>
      </c>
      <c r="F676" t="str">
        <f>_xlfn.XLOOKUP(_26_03_2026_Log_Reseau_v15[[#This Row],[Cell_ID]],_26_03_2026_Registre_Maintenance_v1[ID_Antenne],_26_03_2026_Registre_Maintenance_v1[zone],"pas trouvé")</f>
        <v>pas trouvé</v>
      </c>
      <c r="G676" t="str">
        <f>_xlfn.XLOOKUP(_26_03_2026_Log_Reseau_v15[[#This Row],[Cell_ID]],_26_03_2026_Registre_Maintenance_v1[ID_Antenne],_26_03_2026_Registre_Maintenance_v1[Latitude],"non trouvé")</f>
        <v>non trouvé</v>
      </c>
      <c r="H676" t="str">
        <f>_xlfn.XLOOKUP(_26_03_2026_Log_Reseau_v15[[#This Row],[Cell_ID]],_26_03_2026_Registre_Maintenance_v1[ID_Antenne],_26_03_2026_Registre_Maintenance_v1[Longitude],"pas trouvé")</f>
        <v>pas trouvé</v>
      </c>
      <c r="I676" t="str">
        <f>_xlfn.XLOOKUP(_26_03_2026_Log_Reseau_v15[[#This Row],[Cell_ID]],_26_03_2026_Registre_Maintenance_v1[ID_Antenne],_26_03_2026_Registre_Maintenance_v1[Technologie],"non trouvé")</f>
        <v>non trouvé</v>
      </c>
      <c r="J676" t="str">
        <f>_xlfn.XLOOKUP(_26_03_2026_Log_Reseau_v15[[#This Row],[Cell_ID]],_26_03_2026_Registre_Maintenance_v1[ID_Antenne],_26_03_2026_Registre_Maintenance_v1[Equipementier],"pas trouvé")</f>
        <v>pas trouvé</v>
      </c>
      <c r="K676" t="str">
        <f>_xlfn.XLOOKUP(_26_03_2026_Log_Reseau_v15[[#This Row],[province RDC]],_26_03_2026_Client_Churn_v1[Province_Client],_26_03_2026_Client_Churn_v1[ID_Client],"non trouvé")</f>
        <v>non trouvé</v>
      </c>
      <c r="L676" t="str">
        <f>_xlfn.XLOOKUP(_26_03_2026_Log_Reseau_v15[[#This Row],[province RDC]],_26_03_2026_Client_Churn_v1[Province_Client],_26_03_2026_Client_Churn_v1[Anciennete_Mois],"non trouvé")</f>
        <v>non trouvé</v>
      </c>
      <c r="M676" t="str">
        <f>_xlfn.XLOOKUP(_26_03_2026_Log_Reseau_v15[[#This Row],[province RDC]],_26_03_2026_Client_Churn_v1[Province_Client],_26_03_2026_Client_Churn_v1[Type_Forfait],"non trouvé")</f>
        <v>non trouvé</v>
      </c>
      <c r="N676" t="str">
        <f>_xlfn.XLOOKUP(_26_03_2026_Log_Reseau_v15[[#This Row],[province RDC]],_26_03_2026_Client_Churn_v1[Province_Client],_26_03_2026_Client_Churn_v1[Duree_Cumulee_Panne_Min],"non trouvé")</f>
        <v>non trouvé</v>
      </c>
      <c r="O676" t="str">
        <f>_xlfn.XLOOKUP(_26_03_2026_Log_Reseau_v15[[#This Row],[province RDC]],_26_03_2026_Client_Churn_v1[Province_Client],_26_03_2026_Client_Churn_v1[Facture_Mensuelle],"non trouvé")</f>
        <v>non trouvé</v>
      </c>
      <c r="P676" t="str">
        <f>_xlfn.XLOOKUP(_26_03_2026_Log_Reseau_v15[[#This Row],[province RDC]],_26_03_2026_Client_Churn_v1[Province_Client],_26_03_2026_Client_Churn_v1[Plaintes_Service_Client],"non trouvé")</f>
        <v>non trouvé</v>
      </c>
    </row>
    <row r="677" spans="1:16" hidden="1" x14ac:dyDescent="0.25">
      <c r="A677" s="1">
        <v>45204</v>
      </c>
      <c r="B677" s="2">
        <v>0.94861111111111107</v>
      </c>
      <c r="C677" t="s">
        <v>1231</v>
      </c>
      <c r="D677">
        <v>47</v>
      </c>
      <c r="E677" t="s">
        <v>808</v>
      </c>
      <c r="F677" t="str">
        <f>_xlfn.XLOOKUP(_26_03_2026_Log_Reseau_v15[[#This Row],[Cell_ID]],_26_03_2026_Registre_Maintenance_v1[ID_Antenne],_26_03_2026_Registre_Maintenance_v1[zone],"pas trouvé")</f>
        <v>pas trouvé</v>
      </c>
      <c r="G677" t="str">
        <f>_xlfn.XLOOKUP(_26_03_2026_Log_Reseau_v15[[#This Row],[Cell_ID]],_26_03_2026_Registre_Maintenance_v1[ID_Antenne],_26_03_2026_Registre_Maintenance_v1[Latitude],"non trouvé")</f>
        <v>non trouvé</v>
      </c>
      <c r="H677" t="str">
        <f>_xlfn.XLOOKUP(_26_03_2026_Log_Reseau_v15[[#This Row],[Cell_ID]],_26_03_2026_Registre_Maintenance_v1[ID_Antenne],_26_03_2026_Registre_Maintenance_v1[Longitude],"pas trouvé")</f>
        <v>pas trouvé</v>
      </c>
      <c r="I677" t="str">
        <f>_xlfn.XLOOKUP(_26_03_2026_Log_Reseau_v15[[#This Row],[Cell_ID]],_26_03_2026_Registre_Maintenance_v1[ID_Antenne],_26_03_2026_Registre_Maintenance_v1[Technologie],"non trouvé")</f>
        <v>non trouvé</v>
      </c>
      <c r="J677" t="str">
        <f>_xlfn.XLOOKUP(_26_03_2026_Log_Reseau_v15[[#This Row],[Cell_ID]],_26_03_2026_Registre_Maintenance_v1[ID_Antenne],_26_03_2026_Registre_Maintenance_v1[Equipementier],"pas trouvé")</f>
        <v>pas trouvé</v>
      </c>
      <c r="K677" t="str">
        <f>_xlfn.XLOOKUP(_26_03_2026_Log_Reseau_v15[[#This Row],[province RDC]],_26_03_2026_Client_Churn_v1[Province_Client],_26_03_2026_Client_Churn_v1[ID_Client],"non trouvé")</f>
        <v>non trouvé</v>
      </c>
      <c r="L677" t="str">
        <f>_xlfn.XLOOKUP(_26_03_2026_Log_Reseau_v15[[#This Row],[province RDC]],_26_03_2026_Client_Churn_v1[Province_Client],_26_03_2026_Client_Churn_v1[Anciennete_Mois],"non trouvé")</f>
        <v>non trouvé</v>
      </c>
      <c r="M677" t="str">
        <f>_xlfn.XLOOKUP(_26_03_2026_Log_Reseau_v15[[#This Row],[province RDC]],_26_03_2026_Client_Churn_v1[Province_Client],_26_03_2026_Client_Churn_v1[Type_Forfait],"non trouvé")</f>
        <v>non trouvé</v>
      </c>
      <c r="N677" t="str">
        <f>_xlfn.XLOOKUP(_26_03_2026_Log_Reseau_v15[[#This Row],[province RDC]],_26_03_2026_Client_Churn_v1[Province_Client],_26_03_2026_Client_Churn_v1[Duree_Cumulee_Panne_Min],"non trouvé")</f>
        <v>non trouvé</v>
      </c>
      <c r="O677" t="str">
        <f>_xlfn.XLOOKUP(_26_03_2026_Log_Reseau_v15[[#This Row],[province RDC]],_26_03_2026_Client_Churn_v1[Province_Client],_26_03_2026_Client_Churn_v1[Facture_Mensuelle],"non trouvé")</f>
        <v>non trouvé</v>
      </c>
      <c r="P677" t="str">
        <f>_xlfn.XLOOKUP(_26_03_2026_Log_Reseau_v15[[#This Row],[province RDC]],_26_03_2026_Client_Churn_v1[Province_Client],_26_03_2026_Client_Churn_v1[Plaintes_Service_Client],"non trouvé")</f>
        <v>non trouvé</v>
      </c>
    </row>
    <row r="678" spans="1:16" hidden="1" x14ac:dyDescent="0.25">
      <c r="A678" s="1">
        <v>45220</v>
      </c>
      <c r="B678" s="2">
        <v>0.50624999999999998</v>
      </c>
      <c r="C678" t="s">
        <v>1232</v>
      </c>
      <c r="D678">
        <v>20</v>
      </c>
      <c r="E678" t="s">
        <v>807</v>
      </c>
      <c r="F678" t="str">
        <f>_xlfn.XLOOKUP(_26_03_2026_Log_Reseau_v15[[#This Row],[Cell_ID]],_26_03_2026_Registre_Maintenance_v1[ID_Antenne],_26_03_2026_Registre_Maintenance_v1[zone],"pas trouvé")</f>
        <v>pas trouvé</v>
      </c>
      <c r="G678" t="str">
        <f>_xlfn.XLOOKUP(_26_03_2026_Log_Reseau_v15[[#This Row],[Cell_ID]],_26_03_2026_Registre_Maintenance_v1[ID_Antenne],_26_03_2026_Registre_Maintenance_v1[Latitude],"non trouvé")</f>
        <v>non trouvé</v>
      </c>
      <c r="H678" t="str">
        <f>_xlfn.XLOOKUP(_26_03_2026_Log_Reseau_v15[[#This Row],[Cell_ID]],_26_03_2026_Registre_Maintenance_v1[ID_Antenne],_26_03_2026_Registre_Maintenance_v1[Longitude],"pas trouvé")</f>
        <v>pas trouvé</v>
      </c>
      <c r="I678" t="str">
        <f>_xlfn.XLOOKUP(_26_03_2026_Log_Reseau_v15[[#This Row],[Cell_ID]],_26_03_2026_Registre_Maintenance_v1[ID_Antenne],_26_03_2026_Registre_Maintenance_v1[Technologie],"non trouvé")</f>
        <v>non trouvé</v>
      </c>
      <c r="J678" t="str">
        <f>_xlfn.XLOOKUP(_26_03_2026_Log_Reseau_v15[[#This Row],[Cell_ID]],_26_03_2026_Registre_Maintenance_v1[ID_Antenne],_26_03_2026_Registre_Maintenance_v1[Equipementier],"pas trouvé")</f>
        <v>pas trouvé</v>
      </c>
      <c r="K678" t="str">
        <f>_xlfn.XLOOKUP(_26_03_2026_Log_Reseau_v15[[#This Row],[province RDC]],_26_03_2026_Client_Churn_v1[Province_Client],_26_03_2026_Client_Churn_v1[ID_Client],"non trouvé")</f>
        <v>non trouvé</v>
      </c>
      <c r="L678" t="str">
        <f>_xlfn.XLOOKUP(_26_03_2026_Log_Reseau_v15[[#This Row],[province RDC]],_26_03_2026_Client_Churn_v1[Province_Client],_26_03_2026_Client_Churn_v1[Anciennete_Mois],"non trouvé")</f>
        <v>non trouvé</v>
      </c>
      <c r="M678" t="str">
        <f>_xlfn.XLOOKUP(_26_03_2026_Log_Reseau_v15[[#This Row],[province RDC]],_26_03_2026_Client_Churn_v1[Province_Client],_26_03_2026_Client_Churn_v1[Type_Forfait],"non trouvé")</f>
        <v>non trouvé</v>
      </c>
      <c r="N678" t="str">
        <f>_xlfn.XLOOKUP(_26_03_2026_Log_Reseau_v15[[#This Row],[province RDC]],_26_03_2026_Client_Churn_v1[Province_Client],_26_03_2026_Client_Churn_v1[Duree_Cumulee_Panne_Min],"non trouvé")</f>
        <v>non trouvé</v>
      </c>
      <c r="O678" t="str">
        <f>_xlfn.XLOOKUP(_26_03_2026_Log_Reseau_v15[[#This Row],[province RDC]],_26_03_2026_Client_Churn_v1[Province_Client],_26_03_2026_Client_Churn_v1[Facture_Mensuelle],"non trouvé")</f>
        <v>non trouvé</v>
      </c>
      <c r="P678" t="str">
        <f>_xlfn.XLOOKUP(_26_03_2026_Log_Reseau_v15[[#This Row],[province RDC]],_26_03_2026_Client_Churn_v1[Province_Client],_26_03_2026_Client_Churn_v1[Plaintes_Service_Client],"non trouvé")</f>
        <v>non trouvé</v>
      </c>
    </row>
    <row r="679" spans="1:16" hidden="1" x14ac:dyDescent="0.25">
      <c r="A679" s="1">
        <v>45229</v>
      </c>
      <c r="B679" s="2">
        <v>0.9868055555555556</v>
      </c>
      <c r="C679" t="s">
        <v>1232</v>
      </c>
      <c r="D679">
        <v>37</v>
      </c>
      <c r="E679" t="s">
        <v>812</v>
      </c>
      <c r="F679" t="str">
        <f>_xlfn.XLOOKUP(_26_03_2026_Log_Reseau_v15[[#This Row],[Cell_ID]],_26_03_2026_Registre_Maintenance_v1[ID_Antenne],_26_03_2026_Registre_Maintenance_v1[zone],"pas trouvé")</f>
        <v>pas trouvé</v>
      </c>
      <c r="G679" t="str">
        <f>_xlfn.XLOOKUP(_26_03_2026_Log_Reseau_v15[[#This Row],[Cell_ID]],_26_03_2026_Registre_Maintenance_v1[ID_Antenne],_26_03_2026_Registre_Maintenance_v1[Latitude],"non trouvé")</f>
        <v>non trouvé</v>
      </c>
      <c r="H679" t="str">
        <f>_xlfn.XLOOKUP(_26_03_2026_Log_Reseau_v15[[#This Row],[Cell_ID]],_26_03_2026_Registre_Maintenance_v1[ID_Antenne],_26_03_2026_Registre_Maintenance_v1[Longitude],"pas trouvé")</f>
        <v>pas trouvé</v>
      </c>
      <c r="I679" t="str">
        <f>_xlfn.XLOOKUP(_26_03_2026_Log_Reseau_v15[[#This Row],[Cell_ID]],_26_03_2026_Registre_Maintenance_v1[ID_Antenne],_26_03_2026_Registre_Maintenance_v1[Technologie],"non trouvé")</f>
        <v>non trouvé</v>
      </c>
      <c r="J679" t="str">
        <f>_xlfn.XLOOKUP(_26_03_2026_Log_Reseau_v15[[#This Row],[Cell_ID]],_26_03_2026_Registre_Maintenance_v1[ID_Antenne],_26_03_2026_Registre_Maintenance_v1[Equipementier],"pas trouvé")</f>
        <v>pas trouvé</v>
      </c>
      <c r="K679" t="str">
        <f>_xlfn.XLOOKUP(_26_03_2026_Log_Reseau_v15[[#This Row],[province RDC]],_26_03_2026_Client_Churn_v1[Province_Client],_26_03_2026_Client_Churn_v1[ID_Client],"non trouvé")</f>
        <v>non trouvé</v>
      </c>
      <c r="L679" t="str">
        <f>_xlfn.XLOOKUP(_26_03_2026_Log_Reseau_v15[[#This Row],[province RDC]],_26_03_2026_Client_Churn_v1[Province_Client],_26_03_2026_Client_Churn_v1[Anciennete_Mois],"non trouvé")</f>
        <v>non trouvé</v>
      </c>
      <c r="M679" t="str">
        <f>_xlfn.XLOOKUP(_26_03_2026_Log_Reseau_v15[[#This Row],[province RDC]],_26_03_2026_Client_Churn_v1[Province_Client],_26_03_2026_Client_Churn_v1[Type_Forfait],"non trouvé")</f>
        <v>non trouvé</v>
      </c>
      <c r="N679" t="str">
        <f>_xlfn.XLOOKUP(_26_03_2026_Log_Reseau_v15[[#This Row],[province RDC]],_26_03_2026_Client_Churn_v1[Province_Client],_26_03_2026_Client_Churn_v1[Duree_Cumulee_Panne_Min],"non trouvé")</f>
        <v>non trouvé</v>
      </c>
      <c r="O679" t="str">
        <f>_xlfn.XLOOKUP(_26_03_2026_Log_Reseau_v15[[#This Row],[province RDC]],_26_03_2026_Client_Churn_v1[Province_Client],_26_03_2026_Client_Churn_v1[Facture_Mensuelle],"non trouvé")</f>
        <v>non trouvé</v>
      </c>
      <c r="P679" t="str">
        <f>_xlfn.XLOOKUP(_26_03_2026_Log_Reseau_v15[[#This Row],[province RDC]],_26_03_2026_Client_Churn_v1[Province_Client],_26_03_2026_Client_Churn_v1[Plaintes_Service_Client],"non trouvé")</f>
        <v>non trouvé</v>
      </c>
    </row>
    <row r="680" spans="1:16" hidden="1" x14ac:dyDescent="0.25">
      <c r="A680" s="1">
        <v>45215</v>
      </c>
      <c r="B680" s="2">
        <v>0.32222222222222224</v>
      </c>
      <c r="C680" t="s">
        <v>1232</v>
      </c>
      <c r="D680">
        <v>57</v>
      </c>
      <c r="E680" t="s">
        <v>812</v>
      </c>
      <c r="F680" t="str">
        <f>_xlfn.XLOOKUP(_26_03_2026_Log_Reseau_v15[[#This Row],[Cell_ID]],_26_03_2026_Registre_Maintenance_v1[ID_Antenne],_26_03_2026_Registre_Maintenance_v1[zone],"pas trouvé")</f>
        <v>pas trouvé</v>
      </c>
      <c r="G680" t="str">
        <f>_xlfn.XLOOKUP(_26_03_2026_Log_Reseau_v15[[#This Row],[Cell_ID]],_26_03_2026_Registre_Maintenance_v1[ID_Antenne],_26_03_2026_Registre_Maintenance_v1[Latitude],"non trouvé")</f>
        <v>non trouvé</v>
      </c>
      <c r="H680" t="str">
        <f>_xlfn.XLOOKUP(_26_03_2026_Log_Reseau_v15[[#This Row],[Cell_ID]],_26_03_2026_Registre_Maintenance_v1[ID_Antenne],_26_03_2026_Registre_Maintenance_v1[Longitude],"pas trouvé")</f>
        <v>pas trouvé</v>
      </c>
      <c r="I680" t="str">
        <f>_xlfn.XLOOKUP(_26_03_2026_Log_Reseau_v15[[#This Row],[Cell_ID]],_26_03_2026_Registre_Maintenance_v1[ID_Antenne],_26_03_2026_Registre_Maintenance_v1[Technologie],"non trouvé")</f>
        <v>non trouvé</v>
      </c>
      <c r="J680" t="str">
        <f>_xlfn.XLOOKUP(_26_03_2026_Log_Reseau_v15[[#This Row],[Cell_ID]],_26_03_2026_Registre_Maintenance_v1[ID_Antenne],_26_03_2026_Registre_Maintenance_v1[Equipementier],"pas trouvé")</f>
        <v>pas trouvé</v>
      </c>
      <c r="K680" t="str">
        <f>_xlfn.XLOOKUP(_26_03_2026_Log_Reseau_v15[[#This Row],[province RDC]],_26_03_2026_Client_Churn_v1[Province_Client],_26_03_2026_Client_Churn_v1[ID_Client],"non trouvé")</f>
        <v>non trouvé</v>
      </c>
      <c r="L680" t="str">
        <f>_xlfn.XLOOKUP(_26_03_2026_Log_Reseau_v15[[#This Row],[province RDC]],_26_03_2026_Client_Churn_v1[Province_Client],_26_03_2026_Client_Churn_v1[Anciennete_Mois],"non trouvé")</f>
        <v>non trouvé</v>
      </c>
      <c r="M680" t="str">
        <f>_xlfn.XLOOKUP(_26_03_2026_Log_Reseau_v15[[#This Row],[province RDC]],_26_03_2026_Client_Churn_v1[Province_Client],_26_03_2026_Client_Churn_v1[Type_Forfait],"non trouvé")</f>
        <v>non trouvé</v>
      </c>
      <c r="N680" t="str">
        <f>_xlfn.XLOOKUP(_26_03_2026_Log_Reseau_v15[[#This Row],[province RDC]],_26_03_2026_Client_Churn_v1[Province_Client],_26_03_2026_Client_Churn_v1[Duree_Cumulee_Panne_Min],"non trouvé")</f>
        <v>non trouvé</v>
      </c>
      <c r="O680" t="str">
        <f>_xlfn.XLOOKUP(_26_03_2026_Log_Reseau_v15[[#This Row],[province RDC]],_26_03_2026_Client_Churn_v1[Province_Client],_26_03_2026_Client_Churn_v1[Facture_Mensuelle],"non trouvé")</f>
        <v>non trouvé</v>
      </c>
      <c r="P680" t="str">
        <f>_xlfn.XLOOKUP(_26_03_2026_Log_Reseau_v15[[#This Row],[province RDC]],_26_03_2026_Client_Churn_v1[Province_Client],_26_03_2026_Client_Churn_v1[Plaintes_Service_Client],"non trouvé")</f>
        <v>non trouvé</v>
      </c>
    </row>
    <row r="681" spans="1:16" hidden="1" x14ac:dyDescent="0.25">
      <c r="A681" s="1">
        <v>45205</v>
      </c>
      <c r="B681" s="2">
        <v>0.71111111111111114</v>
      </c>
      <c r="C681" t="s">
        <v>1233</v>
      </c>
      <c r="D681">
        <v>109</v>
      </c>
      <c r="E681" t="s">
        <v>812</v>
      </c>
      <c r="F681" t="str">
        <f>_xlfn.XLOOKUP(_26_03_2026_Log_Reseau_v15[[#This Row],[Cell_ID]],_26_03_2026_Registre_Maintenance_v1[ID_Antenne],_26_03_2026_Registre_Maintenance_v1[zone],"pas trouvé")</f>
        <v>pas trouvé</v>
      </c>
      <c r="G681" t="str">
        <f>_xlfn.XLOOKUP(_26_03_2026_Log_Reseau_v15[[#This Row],[Cell_ID]],_26_03_2026_Registre_Maintenance_v1[ID_Antenne],_26_03_2026_Registre_Maintenance_v1[Latitude],"non trouvé")</f>
        <v>non trouvé</v>
      </c>
      <c r="H681" t="str">
        <f>_xlfn.XLOOKUP(_26_03_2026_Log_Reseau_v15[[#This Row],[Cell_ID]],_26_03_2026_Registre_Maintenance_v1[ID_Antenne],_26_03_2026_Registre_Maintenance_v1[Longitude],"pas trouvé")</f>
        <v>pas trouvé</v>
      </c>
      <c r="I681" t="str">
        <f>_xlfn.XLOOKUP(_26_03_2026_Log_Reseau_v15[[#This Row],[Cell_ID]],_26_03_2026_Registre_Maintenance_v1[ID_Antenne],_26_03_2026_Registre_Maintenance_v1[Technologie],"non trouvé")</f>
        <v>non trouvé</v>
      </c>
      <c r="J681" t="str">
        <f>_xlfn.XLOOKUP(_26_03_2026_Log_Reseau_v15[[#This Row],[Cell_ID]],_26_03_2026_Registre_Maintenance_v1[ID_Antenne],_26_03_2026_Registre_Maintenance_v1[Equipementier],"pas trouvé")</f>
        <v>pas trouvé</v>
      </c>
      <c r="K681" t="str">
        <f>_xlfn.XLOOKUP(_26_03_2026_Log_Reseau_v15[[#This Row],[province RDC]],_26_03_2026_Client_Churn_v1[Province_Client],_26_03_2026_Client_Churn_v1[ID_Client],"non trouvé")</f>
        <v>non trouvé</v>
      </c>
      <c r="L681" t="str">
        <f>_xlfn.XLOOKUP(_26_03_2026_Log_Reseau_v15[[#This Row],[province RDC]],_26_03_2026_Client_Churn_v1[Province_Client],_26_03_2026_Client_Churn_v1[Anciennete_Mois],"non trouvé")</f>
        <v>non trouvé</v>
      </c>
      <c r="M681" t="str">
        <f>_xlfn.XLOOKUP(_26_03_2026_Log_Reseau_v15[[#This Row],[province RDC]],_26_03_2026_Client_Churn_v1[Province_Client],_26_03_2026_Client_Churn_v1[Type_Forfait],"non trouvé")</f>
        <v>non trouvé</v>
      </c>
      <c r="N681" t="str">
        <f>_xlfn.XLOOKUP(_26_03_2026_Log_Reseau_v15[[#This Row],[province RDC]],_26_03_2026_Client_Churn_v1[Province_Client],_26_03_2026_Client_Churn_v1[Duree_Cumulee_Panne_Min],"non trouvé")</f>
        <v>non trouvé</v>
      </c>
      <c r="O681" t="str">
        <f>_xlfn.XLOOKUP(_26_03_2026_Log_Reseau_v15[[#This Row],[province RDC]],_26_03_2026_Client_Churn_v1[Province_Client],_26_03_2026_Client_Churn_v1[Facture_Mensuelle],"non trouvé")</f>
        <v>non trouvé</v>
      </c>
      <c r="P681" t="str">
        <f>_xlfn.XLOOKUP(_26_03_2026_Log_Reseau_v15[[#This Row],[province RDC]],_26_03_2026_Client_Churn_v1[Province_Client],_26_03_2026_Client_Churn_v1[Plaintes_Service_Client],"non trouvé")</f>
        <v>non trouvé</v>
      </c>
    </row>
    <row r="682" spans="1:16" hidden="1" x14ac:dyDescent="0.25">
      <c r="A682" s="1">
        <v>45200</v>
      </c>
      <c r="B682" s="2">
        <v>6.5277777777777782E-2</v>
      </c>
      <c r="C682" t="s">
        <v>1233</v>
      </c>
      <c r="D682">
        <v>9</v>
      </c>
      <c r="E682" t="s">
        <v>807</v>
      </c>
      <c r="F682" t="str">
        <f>_xlfn.XLOOKUP(_26_03_2026_Log_Reseau_v15[[#This Row],[Cell_ID]],_26_03_2026_Registre_Maintenance_v1[ID_Antenne],_26_03_2026_Registre_Maintenance_v1[zone],"pas trouvé")</f>
        <v>pas trouvé</v>
      </c>
      <c r="G682" t="str">
        <f>_xlfn.XLOOKUP(_26_03_2026_Log_Reseau_v15[[#This Row],[Cell_ID]],_26_03_2026_Registre_Maintenance_v1[ID_Antenne],_26_03_2026_Registre_Maintenance_v1[Latitude],"non trouvé")</f>
        <v>non trouvé</v>
      </c>
      <c r="H682" t="str">
        <f>_xlfn.XLOOKUP(_26_03_2026_Log_Reseau_v15[[#This Row],[Cell_ID]],_26_03_2026_Registre_Maintenance_v1[ID_Antenne],_26_03_2026_Registre_Maintenance_v1[Longitude],"pas trouvé")</f>
        <v>pas trouvé</v>
      </c>
      <c r="I682" t="str">
        <f>_xlfn.XLOOKUP(_26_03_2026_Log_Reseau_v15[[#This Row],[Cell_ID]],_26_03_2026_Registre_Maintenance_v1[ID_Antenne],_26_03_2026_Registre_Maintenance_v1[Technologie],"non trouvé")</f>
        <v>non trouvé</v>
      </c>
      <c r="J682" t="str">
        <f>_xlfn.XLOOKUP(_26_03_2026_Log_Reseau_v15[[#This Row],[Cell_ID]],_26_03_2026_Registre_Maintenance_v1[ID_Antenne],_26_03_2026_Registre_Maintenance_v1[Equipementier],"pas trouvé")</f>
        <v>pas trouvé</v>
      </c>
      <c r="K682" t="str">
        <f>_xlfn.XLOOKUP(_26_03_2026_Log_Reseau_v15[[#This Row],[province RDC]],_26_03_2026_Client_Churn_v1[Province_Client],_26_03_2026_Client_Churn_v1[ID_Client],"non trouvé")</f>
        <v>non trouvé</v>
      </c>
      <c r="L682" t="str">
        <f>_xlfn.XLOOKUP(_26_03_2026_Log_Reseau_v15[[#This Row],[province RDC]],_26_03_2026_Client_Churn_v1[Province_Client],_26_03_2026_Client_Churn_v1[Anciennete_Mois],"non trouvé")</f>
        <v>non trouvé</v>
      </c>
      <c r="M682" t="str">
        <f>_xlfn.XLOOKUP(_26_03_2026_Log_Reseau_v15[[#This Row],[province RDC]],_26_03_2026_Client_Churn_v1[Province_Client],_26_03_2026_Client_Churn_v1[Type_Forfait],"non trouvé")</f>
        <v>non trouvé</v>
      </c>
      <c r="N682" t="str">
        <f>_xlfn.XLOOKUP(_26_03_2026_Log_Reseau_v15[[#This Row],[province RDC]],_26_03_2026_Client_Churn_v1[Province_Client],_26_03_2026_Client_Churn_v1[Duree_Cumulee_Panne_Min],"non trouvé")</f>
        <v>non trouvé</v>
      </c>
      <c r="O682" t="str">
        <f>_xlfn.XLOOKUP(_26_03_2026_Log_Reseau_v15[[#This Row],[province RDC]],_26_03_2026_Client_Churn_v1[Province_Client],_26_03_2026_Client_Churn_v1[Facture_Mensuelle],"non trouvé")</f>
        <v>non trouvé</v>
      </c>
      <c r="P682" t="str">
        <f>_xlfn.XLOOKUP(_26_03_2026_Log_Reseau_v15[[#This Row],[province RDC]],_26_03_2026_Client_Churn_v1[Province_Client],_26_03_2026_Client_Churn_v1[Plaintes_Service_Client],"non trouvé")</f>
        <v>non trouvé</v>
      </c>
    </row>
    <row r="683" spans="1:16" x14ac:dyDescent="0.25">
      <c r="A683" s="1">
        <v>45215</v>
      </c>
      <c r="B683" s="2">
        <v>0.77638888888888891</v>
      </c>
      <c r="C683" t="s">
        <v>1234</v>
      </c>
      <c r="D683">
        <v>87</v>
      </c>
      <c r="E683" t="s">
        <v>812</v>
      </c>
      <c r="F683" t="str">
        <f>_xlfn.XLOOKUP(_26_03_2026_Log_Reseau_v15[[#This Row],[Cell_ID]],_26_03_2026_Registre_Maintenance_v1[ID_Antenne],_26_03_2026_Registre_Maintenance_v1[zone],"pas trouvé")</f>
        <v>Kasai</v>
      </c>
      <c r="G683">
        <f>_xlfn.XLOOKUP(_26_03_2026_Log_Reseau_v15[[#This Row],[Cell_ID]],_26_03_2026_Registre_Maintenance_v1[ID_Antenne],_26_03_2026_Registre_Maintenance_v1[Latitude],"non trouvé")</f>
        <v>2.5665840000000002</v>
      </c>
      <c r="H683">
        <f>_xlfn.XLOOKUP(_26_03_2026_Log_Reseau_v15[[#This Row],[Cell_ID]],_26_03_2026_Registre_Maintenance_v1[ID_Antenne],_26_03_2026_Registre_Maintenance_v1[Longitude],"pas trouvé")</f>
        <v>15.764796</v>
      </c>
      <c r="I683" t="str">
        <f>_xlfn.XLOOKUP(_26_03_2026_Log_Reseau_v15[[#This Row],[Cell_ID]],_26_03_2026_Registre_Maintenance_v1[ID_Antenne],_26_03_2026_Registre_Maintenance_v1[Technologie],"non trouvé")</f>
        <v>3G</v>
      </c>
      <c r="J683" t="str">
        <f>_xlfn.XLOOKUP(_26_03_2026_Log_Reseau_v15[[#This Row],[Cell_ID]],_26_03_2026_Registre_Maintenance_v1[ID_Antenne],_26_03_2026_Registre_Maintenance_v1[Equipementier],"pas trouvé")</f>
        <v>ZTE</v>
      </c>
      <c r="K683" t="str">
        <f>_xlfn.XLOOKUP(_26_03_2026_Log_Reseau_v15[[#This Row],[province RDC]],_26_03_2026_Client_Churn_v1[Province_Client],_26_03_2026_Client_Churn_v1[ID_Client],"non trouvé")</f>
        <v>CLI-00559</v>
      </c>
      <c r="L683">
        <f>_xlfn.XLOOKUP(_26_03_2026_Log_Reseau_v15[[#This Row],[province RDC]],_26_03_2026_Client_Churn_v1[Province_Client],_26_03_2026_Client_Churn_v1[Anciennete_Mois],"non trouvé")</f>
        <v>99</v>
      </c>
      <c r="M683" t="str">
        <f>_xlfn.XLOOKUP(_26_03_2026_Log_Reseau_v15[[#This Row],[province RDC]],_26_03_2026_Client_Churn_v1[Province_Client],_26_03_2026_Client_Churn_v1[Type_Forfait],"non trouvé")</f>
        <v>Bloqué 5Go</v>
      </c>
      <c r="N683">
        <f>_xlfn.XLOOKUP(_26_03_2026_Log_Reseau_v15[[#This Row],[province RDC]],_26_03_2026_Client_Churn_v1[Province_Client],_26_03_2026_Client_Churn_v1[Duree_Cumulee_Panne_Min],"non trouvé")</f>
        <v>369</v>
      </c>
      <c r="O683">
        <f>_xlfn.XLOOKUP(_26_03_2026_Log_Reseau_v15[[#This Row],[province RDC]],_26_03_2026_Client_Churn_v1[Province_Client],_26_03_2026_Client_Churn_v1[Facture_Mensuelle],"non trouvé")</f>
        <v>67.209999999999994</v>
      </c>
      <c r="P683">
        <f>_xlfn.XLOOKUP(_26_03_2026_Log_Reseau_v15[[#This Row],[province RDC]],_26_03_2026_Client_Churn_v1[Province_Client],_26_03_2026_Client_Churn_v1[Plaintes_Service_Client],"non trouvé")</f>
        <v>3</v>
      </c>
    </row>
    <row r="684" spans="1:16" hidden="1" x14ac:dyDescent="0.25">
      <c r="A684" s="1">
        <v>45206</v>
      </c>
      <c r="B684" s="2">
        <v>0.16250000000000001</v>
      </c>
      <c r="C684" t="s">
        <v>1235</v>
      </c>
      <c r="D684">
        <v>69</v>
      </c>
      <c r="E684" t="s">
        <v>807</v>
      </c>
      <c r="F684" t="str">
        <f>_xlfn.XLOOKUP(_26_03_2026_Log_Reseau_v15[[#This Row],[Cell_ID]],_26_03_2026_Registre_Maintenance_v1[ID_Antenne],_26_03_2026_Registre_Maintenance_v1[zone],"pas trouvé")</f>
        <v>pas trouvé</v>
      </c>
      <c r="G684" t="str">
        <f>_xlfn.XLOOKUP(_26_03_2026_Log_Reseau_v15[[#This Row],[Cell_ID]],_26_03_2026_Registre_Maintenance_v1[ID_Antenne],_26_03_2026_Registre_Maintenance_v1[Latitude],"non trouvé")</f>
        <v>non trouvé</v>
      </c>
      <c r="H684" t="str">
        <f>_xlfn.XLOOKUP(_26_03_2026_Log_Reseau_v15[[#This Row],[Cell_ID]],_26_03_2026_Registre_Maintenance_v1[ID_Antenne],_26_03_2026_Registre_Maintenance_v1[Longitude],"pas trouvé")</f>
        <v>pas trouvé</v>
      </c>
      <c r="I684" t="str">
        <f>_xlfn.XLOOKUP(_26_03_2026_Log_Reseau_v15[[#This Row],[Cell_ID]],_26_03_2026_Registre_Maintenance_v1[ID_Antenne],_26_03_2026_Registre_Maintenance_v1[Technologie],"non trouvé")</f>
        <v>non trouvé</v>
      </c>
      <c r="J684" t="str">
        <f>_xlfn.XLOOKUP(_26_03_2026_Log_Reseau_v15[[#This Row],[Cell_ID]],_26_03_2026_Registre_Maintenance_v1[ID_Antenne],_26_03_2026_Registre_Maintenance_v1[Equipementier],"pas trouvé")</f>
        <v>pas trouvé</v>
      </c>
      <c r="K684" t="str">
        <f>_xlfn.XLOOKUP(_26_03_2026_Log_Reseau_v15[[#This Row],[province RDC]],_26_03_2026_Client_Churn_v1[Province_Client],_26_03_2026_Client_Churn_v1[ID_Client],"non trouvé")</f>
        <v>non trouvé</v>
      </c>
      <c r="L684" t="str">
        <f>_xlfn.XLOOKUP(_26_03_2026_Log_Reseau_v15[[#This Row],[province RDC]],_26_03_2026_Client_Churn_v1[Province_Client],_26_03_2026_Client_Churn_v1[Anciennete_Mois],"non trouvé")</f>
        <v>non trouvé</v>
      </c>
      <c r="M684" t="str">
        <f>_xlfn.XLOOKUP(_26_03_2026_Log_Reseau_v15[[#This Row],[province RDC]],_26_03_2026_Client_Churn_v1[Province_Client],_26_03_2026_Client_Churn_v1[Type_Forfait],"non trouvé")</f>
        <v>non trouvé</v>
      </c>
      <c r="N684" t="str">
        <f>_xlfn.XLOOKUP(_26_03_2026_Log_Reseau_v15[[#This Row],[province RDC]],_26_03_2026_Client_Churn_v1[Province_Client],_26_03_2026_Client_Churn_v1[Duree_Cumulee_Panne_Min],"non trouvé")</f>
        <v>non trouvé</v>
      </c>
      <c r="O684" t="str">
        <f>_xlfn.XLOOKUP(_26_03_2026_Log_Reseau_v15[[#This Row],[province RDC]],_26_03_2026_Client_Churn_v1[Province_Client],_26_03_2026_Client_Churn_v1[Facture_Mensuelle],"non trouvé")</f>
        <v>non trouvé</v>
      </c>
      <c r="P684" t="str">
        <f>_xlfn.XLOOKUP(_26_03_2026_Log_Reseau_v15[[#This Row],[province RDC]],_26_03_2026_Client_Churn_v1[Province_Client],_26_03_2026_Client_Churn_v1[Plaintes_Service_Client],"non trouvé")</f>
        <v>non trouvé</v>
      </c>
    </row>
    <row r="685" spans="1:16" x14ac:dyDescent="0.25">
      <c r="A685" s="1">
        <v>45204</v>
      </c>
      <c r="B685" s="2">
        <v>0.28333333333333333</v>
      </c>
      <c r="C685" t="s">
        <v>1236</v>
      </c>
      <c r="D685">
        <v>11</v>
      </c>
      <c r="E685" t="s">
        <v>812</v>
      </c>
      <c r="F685" t="str">
        <f>_xlfn.XLOOKUP(_26_03_2026_Log_Reseau_v15[[#This Row],[Cell_ID]],_26_03_2026_Registre_Maintenance_v1[ID_Antenne],_26_03_2026_Registre_Maintenance_v1[zone],"pas trouvé")</f>
        <v>Lomami</v>
      </c>
      <c r="G685">
        <f>_xlfn.XLOOKUP(_26_03_2026_Log_Reseau_v15[[#This Row],[Cell_ID]],_26_03_2026_Registre_Maintenance_v1[ID_Antenne],_26_03_2026_Registre_Maintenance_v1[Latitude],"non trouvé")</f>
        <v>-2.2371569999999998</v>
      </c>
      <c r="H685">
        <f>_xlfn.XLOOKUP(_26_03_2026_Log_Reseau_v15[[#This Row],[Cell_ID]],_26_03_2026_Registre_Maintenance_v1[ID_Antenne],_26_03_2026_Registre_Maintenance_v1[Longitude],"pas trouvé")</f>
        <v>25.926188</v>
      </c>
      <c r="I685" t="str">
        <f>_xlfn.XLOOKUP(_26_03_2026_Log_Reseau_v15[[#This Row],[Cell_ID]],_26_03_2026_Registre_Maintenance_v1[ID_Antenne],_26_03_2026_Registre_Maintenance_v1[Technologie],"non trouvé")</f>
        <v>3G</v>
      </c>
      <c r="J685" t="str">
        <f>_xlfn.XLOOKUP(_26_03_2026_Log_Reseau_v15[[#This Row],[Cell_ID]],_26_03_2026_Registre_Maintenance_v1[ID_Antenne],_26_03_2026_Registre_Maintenance_v1[Equipementier],"pas trouvé")</f>
        <v>Nokia</v>
      </c>
      <c r="K685" t="str">
        <f>_xlfn.XLOOKUP(_26_03_2026_Log_Reseau_v15[[#This Row],[province RDC]],_26_03_2026_Client_Churn_v1[Province_Client],_26_03_2026_Client_Churn_v1[ID_Client],"non trouvé")</f>
        <v>CLI-00131</v>
      </c>
      <c r="L685">
        <f>_xlfn.XLOOKUP(_26_03_2026_Log_Reseau_v15[[#This Row],[province RDC]],_26_03_2026_Client_Churn_v1[Province_Client],_26_03_2026_Client_Churn_v1[Anciennete_Mois],"non trouvé")</f>
        <v>101</v>
      </c>
      <c r="M685" t="str">
        <f>_xlfn.XLOOKUP(_26_03_2026_Log_Reseau_v15[[#This Row],[province RDC]],_26_03_2026_Client_Churn_v1[Province_Client],_26_03_2026_Client_Churn_v1[Type_Forfait],"non trouvé")</f>
        <v>Pro Monde</v>
      </c>
      <c r="N685">
        <f>_xlfn.XLOOKUP(_26_03_2026_Log_Reseau_v15[[#This Row],[province RDC]],_26_03_2026_Client_Churn_v1[Province_Client],_26_03_2026_Client_Churn_v1[Duree_Cumulee_Panne_Min],"non trouvé")</f>
        <v>176</v>
      </c>
      <c r="O685">
        <f>_xlfn.XLOOKUP(_26_03_2026_Log_Reseau_v15[[#This Row],[province RDC]],_26_03_2026_Client_Churn_v1[Province_Client],_26_03_2026_Client_Churn_v1[Facture_Mensuelle],"non trouvé")</f>
        <v>86</v>
      </c>
      <c r="P685">
        <f>_xlfn.XLOOKUP(_26_03_2026_Log_Reseau_v15[[#This Row],[province RDC]],_26_03_2026_Client_Churn_v1[Province_Client],_26_03_2026_Client_Churn_v1[Plaintes_Service_Client],"non trouvé")</f>
        <v>3</v>
      </c>
    </row>
    <row r="686" spans="1:16" x14ac:dyDescent="0.25">
      <c r="A686" s="1">
        <v>45224</v>
      </c>
      <c r="B686" s="2">
        <v>0.4826388888888889</v>
      </c>
      <c r="C686" t="s">
        <v>1236</v>
      </c>
      <c r="D686">
        <v>95</v>
      </c>
      <c r="E686" t="s">
        <v>808</v>
      </c>
      <c r="F686" t="str">
        <f>_xlfn.XLOOKUP(_26_03_2026_Log_Reseau_v15[[#This Row],[Cell_ID]],_26_03_2026_Registre_Maintenance_v1[ID_Antenne],_26_03_2026_Registre_Maintenance_v1[zone],"pas trouvé")</f>
        <v>Lomami</v>
      </c>
      <c r="G686">
        <f>_xlfn.XLOOKUP(_26_03_2026_Log_Reseau_v15[[#This Row],[Cell_ID]],_26_03_2026_Registre_Maintenance_v1[ID_Antenne],_26_03_2026_Registre_Maintenance_v1[Latitude],"non trouvé")</f>
        <v>-2.2371569999999998</v>
      </c>
      <c r="H686">
        <f>_xlfn.XLOOKUP(_26_03_2026_Log_Reseau_v15[[#This Row],[Cell_ID]],_26_03_2026_Registre_Maintenance_v1[ID_Antenne],_26_03_2026_Registre_Maintenance_v1[Longitude],"pas trouvé")</f>
        <v>25.926188</v>
      </c>
      <c r="I686" t="str">
        <f>_xlfn.XLOOKUP(_26_03_2026_Log_Reseau_v15[[#This Row],[Cell_ID]],_26_03_2026_Registre_Maintenance_v1[ID_Antenne],_26_03_2026_Registre_Maintenance_v1[Technologie],"non trouvé")</f>
        <v>3G</v>
      </c>
      <c r="J686" t="str">
        <f>_xlfn.XLOOKUP(_26_03_2026_Log_Reseau_v15[[#This Row],[Cell_ID]],_26_03_2026_Registre_Maintenance_v1[ID_Antenne],_26_03_2026_Registre_Maintenance_v1[Equipementier],"pas trouvé")</f>
        <v>Nokia</v>
      </c>
      <c r="K686" t="str">
        <f>_xlfn.XLOOKUP(_26_03_2026_Log_Reseau_v15[[#This Row],[province RDC]],_26_03_2026_Client_Churn_v1[Province_Client],_26_03_2026_Client_Churn_v1[ID_Client],"non trouvé")</f>
        <v>CLI-00131</v>
      </c>
      <c r="L686">
        <f>_xlfn.XLOOKUP(_26_03_2026_Log_Reseau_v15[[#This Row],[province RDC]],_26_03_2026_Client_Churn_v1[Province_Client],_26_03_2026_Client_Churn_v1[Anciennete_Mois],"non trouvé")</f>
        <v>101</v>
      </c>
      <c r="M686" t="str">
        <f>_xlfn.XLOOKUP(_26_03_2026_Log_Reseau_v15[[#This Row],[province RDC]],_26_03_2026_Client_Churn_v1[Province_Client],_26_03_2026_Client_Churn_v1[Type_Forfait],"non trouvé")</f>
        <v>Pro Monde</v>
      </c>
      <c r="N686">
        <f>_xlfn.XLOOKUP(_26_03_2026_Log_Reseau_v15[[#This Row],[province RDC]],_26_03_2026_Client_Churn_v1[Province_Client],_26_03_2026_Client_Churn_v1[Duree_Cumulee_Panne_Min],"non trouvé")</f>
        <v>176</v>
      </c>
      <c r="O686">
        <f>_xlfn.XLOOKUP(_26_03_2026_Log_Reseau_v15[[#This Row],[province RDC]],_26_03_2026_Client_Churn_v1[Province_Client],_26_03_2026_Client_Churn_v1[Facture_Mensuelle],"non trouvé")</f>
        <v>86</v>
      </c>
      <c r="P686">
        <f>_xlfn.XLOOKUP(_26_03_2026_Log_Reseau_v15[[#This Row],[province RDC]],_26_03_2026_Client_Churn_v1[Province_Client],_26_03_2026_Client_Churn_v1[Plaintes_Service_Client],"non trouvé")</f>
        <v>3</v>
      </c>
    </row>
    <row r="687" spans="1:16" x14ac:dyDescent="0.25">
      <c r="A687" s="1">
        <v>45215</v>
      </c>
      <c r="B687" s="2">
        <v>0.37638888888888888</v>
      </c>
      <c r="C687" t="s">
        <v>1236</v>
      </c>
      <c r="D687">
        <v>65</v>
      </c>
      <c r="E687" t="s">
        <v>812</v>
      </c>
      <c r="F687" t="str">
        <f>_xlfn.XLOOKUP(_26_03_2026_Log_Reseau_v15[[#This Row],[Cell_ID]],_26_03_2026_Registre_Maintenance_v1[ID_Antenne],_26_03_2026_Registre_Maintenance_v1[zone],"pas trouvé")</f>
        <v>Lomami</v>
      </c>
      <c r="G687">
        <f>_xlfn.XLOOKUP(_26_03_2026_Log_Reseau_v15[[#This Row],[Cell_ID]],_26_03_2026_Registre_Maintenance_v1[ID_Antenne],_26_03_2026_Registre_Maintenance_v1[Latitude],"non trouvé")</f>
        <v>-2.2371569999999998</v>
      </c>
      <c r="H687">
        <f>_xlfn.XLOOKUP(_26_03_2026_Log_Reseau_v15[[#This Row],[Cell_ID]],_26_03_2026_Registre_Maintenance_v1[ID_Antenne],_26_03_2026_Registre_Maintenance_v1[Longitude],"pas trouvé")</f>
        <v>25.926188</v>
      </c>
      <c r="I687" t="str">
        <f>_xlfn.XLOOKUP(_26_03_2026_Log_Reseau_v15[[#This Row],[Cell_ID]],_26_03_2026_Registre_Maintenance_v1[ID_Antenne],_26_03_2026_Registre_Maintenance_v1[Technologie],"non trouvé")</f>
        <v>3G</v>
      </c>
      <c r="J687" t="str">
        <f>_xlfn.XLOOKUP(_26_03_2026_Log_Reseau_v15[[#This Row],[Cell_ID]],_26_03_2026_Registre_Maintenance_v1[ID_Antenne],_26_03_2026_Registre_Maintenance_v1[Equipementier],"pas trouvé")</f>
        <v>Nokia</v>
      </c>
      <c r="K687" t="str">
        <f>_xlfn.XLOOKUP(_26_03_2026_Log_Reseau_v15[[#This Row],[province RDC]],_26_03_2026_Client_Churn_v1[Province_Client],_26_03_2026_Client_Churn_v1[ID_Client],"non trouvé")</f>
        <v>CLI-00131</v>
      </c>
      <c r="L687">
        <f>_xlfn.XLOOKUP(_26_03_2026_Log_Reseau_v15[[#This Row],[province RDC]],_26_03_2026_Client_Churn_v1[Province_Client],_26_03_2026_Client_Churn_v1[Anciennete_Mois],"non trouvé")</f>
        <v>101</v>
      </c>
      <c r="M687" t="str">
        <f>_xlfn.XLOOKUP(_26_03_2026_Log_Reseau_v15[[#This Row],[province RDC]],_26_03_2026_Client_Churn_v1[Province_Client],_26_03_2026_Client_Churn_v1[Type_Forfait],"non trouvé")</f>
        <v>Pro Monde</v>
      </c>
      <c r="N687">
        <f>_xlfn.XLOOKUP(_26_03_2026_Log_Reseau_v15[[#This Row],[province RDC]],_26_03_2026_Client_Churn_v1[Province_Client],_26_03_2026_Client_Churn_v1[Duree_Cumulee_Panne_Min],"non trouvé")</f>
        <v>176</v>
      </c>
      <c r="O687">
        <f>_xlfn.XLOOKUP(_26_03_2026_Log_Reseau_v15[[#This Row],[province RDC]],_26_03_2026_Client_Churn_v1[Province_Client],_26_03_2026_Client_Churn_v1[Facture_Mensuelle],"non trouvé")</f>
        <v>86</v>
      </c>
      <c r="P687">
        <f>_xlfn.XLOOKUP(_26_03_2026_Log_Reseau_v15[[#This Row],[province RDC]],_26_03_2026_Client_Churn_v1[Province_Client],_26_03_2026_Client_Churn_v1[Plaintes_Service_Client],"non trouvé")</f>
        <v>3</v>
      </c>
    </row>
    <row r="688" spans="1:16" x14ac:dyDescent="0.25">
      <c r="A688" s="1">
        <v>45216</v>
      </c>
      <c r="B688" s="2">
        <v>0.90277777777777779</v>
      </c>
      <c r="C688" t="s">
        <v>1237</v>
      </c>
      <c r="D688">
        <v>20</v>
      </c>
      <c r="E688" t="s">
        <v>812</v>
      </c>
      <c r="F688" t="str">
        <f>_xlfn.XLOOKUP(_26_03_2026_Log_Reseau_v15[[#This Row],[Cell_ID]],_26_03_2026_Registre_Maintenance_v1[ID_Antenne],_26_03_2026_Registre_Maintenance_v1[zone],"pas trouvé")</f>
        <v>Kwilu</v>
      </c>
      <c r="G688">
        <f>_xlfn.XLOOKUP(_26_03_2026_Log_Reseau_v15[[#This Row],[Cell_ID]],_26_03_2026_Registre_Maintenance_v1[ID_Antenne],_26_03_2026_Registre_Maintenance_v1[Latitude],"non trouvé")</f>
        <v>-4.2408359999999998</v>
      </c>
      <c r="H688">
        <f>_xlfn.XLOOKUP(_26_03_2026_Log_Reseau_v15[[#This Row],[Cell_ID]],_26_03_2026_Registre_Maintenance_v1[ID_Antenne],_26_03_2026_Registre_Maintenance_v1[Longitude],"pas trouvé")</f>
        <v>26.210014000000001</v>
      </c>
      <c r="I688" t="str">
        <f>_xlfn.XLOOKUP(_26_03_2026_Log_Reseau_v15[[#This Row],[Cell_ID]],_26_03_2026_Registre_Maintenance_v1[ID_Antenne],_26_03_2026_Registre_Maintenance_v1[Technologie],"non trouvé")</f>
        <v>4G</v>
      </c>
      <c r="J688" t="str">
        <f>_xlfn.XLOOKUP(_26_03_2026_Log_Reseau_v15[[#This Row],[Cell_ID]],_26_03_2026_Registre_Maintenance_v1[ID_Antenne],_26_03_2026_Registre_Maintenance_v1[Equipementier],"pas trouvé")</f>
        <v>Huawei</v>
      </c>
      <c r="K688" t="str">
        <f>_xlfn.XLOOKUP(_26_03_2026_Log_Reseau_v15[[#This Row],[province RDC]],_26_03_2026_Client_Churn_v1[Province_Client],_26_03_2026_Client_Churn_v1[ID_Client],"non trouvé")</f>
        <v>CLI-00996</v>
      </c>
      <c r="L688">
        <f>_xlfn.XLOOKUP(_26_03_2026_Log_Reseau_v15[[#This Row],[province RDC]],_26_03_2026_Client_Churn_v1[Province_Client],_26_03_2026_Client_Churn_v1[Anciennete_Mois],"non trouvé")</f>
        <v>119</v>
      </c>
      <c r="M688" t="str">
        <f>_xlfn.XLOOKUP(_26_03_2026_Log_Reseau_v15[[#This Row],[province RDC]],_26_03_2026_Client_Churn_v1[Province_Client],_26_03_2026_Client_Churn_v1[Type_Forfait],"non trouvé")</f>
        <v>Illimité 50Go</v>
      </c>
      <c r="N688">
        <f>_xlfn.XLOOKUP(_26_03_2026_Log_Reseau_v15[[#This Row],[province RDC]],_26_03_2026_Client_Churn_v1[Province_Client],_26_03_2026_Client_Churn_v1[Duree_Cumulee_Panne_Min],"non trouvé")</f>
        <v>228</v>
      </c>
      <c r="O688">
        <f>_xlfn.XLOOKUP(_26_03_2026_Log_Reseau_v15[[#This Row],[province RDC]],_26_03_2026_Client_Churn_v1[Province_Client],_26_03_2026_Client_Churn_v1[Facture_Mensuelle],"non trouvé")</f>
        <v>94.72</v>
      </c>
      <c r="P688">
        <f>_xlfn.XLOOKUP(_26_03_2026_Log_Reseau_v15[[#This Row],[province RDC]],_26_03_2026_Client_Churn_v1[Province_Client],_26_03_2026_Client_Churn_v1[Plaintes_Service_Client],"non trouvé")</f>
        <v>3</v>
      </c>
    </row>
    <row r="689" spans="1:16" hidden="1" x14ac:dyDescent="0.25">
      <c r="A689" s="1">
        <v>45227</v>
      </c>
      <c r="B689" s="2">
        <v>0.16319444444444445</v>
      </c>
      <c r="C689" t="s">
        <v>1238</v>
      </c>
      <c r="D689">
        <v>78</v>
      </c>
      <c r="E689" t="s">
        <v>808</v>
      </c>
      <c r="F689" t="str">
        <f>_xlfn.XLOOKUP(_26_03_2026_Log_Reseau_v15[[#This Row],[Cell_ID]],_26_03_2026_Registre_Maintenance_v1[ID_Antenne],_26_03_2026_Registre_Maintenance_v1[zone],"pas trouvé")</f>
        <v>pas trouvé</v>
      </c>
      <c r="G689" t="str">
        <f>_xlfn.XLOOKUP(_26_03_2026_Log_Reseau_v15[[#This Row],[Cell_ID]],_26_03_2026_Registre_Maintenance_v1[ID_Antenne],_26_03_2026_Registre_Maintenance_v1[Latitude],"non trouvé")</f>
        <v>non trouvé</v>
      </c>
      <c r="H689" t="str">
        <f>_xlfn.XLOOKUP(_26_03_2026_Log_Reseau_v15[[#This Row],[Cell_ID]],_26_03_2026_Registre_Maintenance_v1[ID_Antenne],_26_03_2026_Registre_Maintenance_v1[Longitude],"pas trouvé")</f>
        <v>pas trouvé</v>
      </c>
      <c r="I689" t="str">
        <f>_xlfn.XLOOKUP(_26_03_2026_Log_Reseau_v15[[#This Row],[Cell_ID]],_26_03_2026_Registre_Maintenance_v1[ID_Antenne],_26_03_2026_Registre_Maintenance_v1[Technologie],"non trouvé")</f>
        <v>non trouvé</v>
      </c>
      <c r="J689" t="str">
        <f>_xlfn.XLOOKUP(_26_03_2026_Log_Reseau_v15[[#This Row],[Cell_ID]],_26_03_2026_Registre_Maintenance_v1[ID_Antenne],_26_03_2026_Registre_Maintenance_v1[Equipementier],"pas trouvé")</f>
        <v>pas trouvé</v>
      </c>
      <c r="K689" t="str">
        <f>_xlfn.XLOOKUP(_26_03_2026_Log_Reseau_v15[[#This Row],[province RDC]],_26_03_2026_Client_Churn_v1[Province_Client],_26_03_2026_Client_Churn_v1[ID_Client],"non trouvé")</f>
        <v>non trouvé</v>
      </c>
      <c r="L689" t="str">
        <f>_xlfn.XLOOKUP(_26_03_2026_Log_Reseau_v15[[#This Row],[province RDC]],_26_03_2026_Client_Churn_v1[Province_Client],_26_03_2026_Client_Churn_v1[Anciennete_Mois],"non trouvé")</f>
        <v>non trouvé</v>
      </c>
      <c r="M689" t="str">
        <f>_xlfn.XLOOKUP(_26_03_2026_Log_Reseau_v15[[#This Row],[province RDC]],_26_03_2026_Client_Churn_v1[Province_Client],_26_03_2026_Client_Churn_v1[Type_Forfait],"non trouvé")</f>
        <v>non trouvé</v>
      </c>
      <c r="N689" t="str">
        <f>_xlfn.XLOOKUP(_26_03_2026_Log_Reseau_v15[[#This Row],[province RDC]],_26_03_2026_Client_Churn_v1[Province_Client],_26_03_2026_Client_Churn_v1[Duree_Cumulee_Panne_Min],"non trouvé")</f>
        <v>non trouvé</v>
      </c>
      <c r="O689" t="str">
        <f>_xlfn.XLOOKUP(_26_03_2026_Log_Reseau_v15[[#This Row],[province RDC]],_26_03_2026_Client_Churn_v1[Province_Client],_26_03_2026_Client_Churn_v1[Facture_Mensuelle],"non trouvé")</f>
        <v>non trouvé</v>
      </c>
      <c r="P689" t="str">
        <f>_xlfn.XLOOKUP(_26_03_2026_Log_Reseau_v15[[#This Row],[province RDC]],_26_03_2026_Client_Churn_v1[Province_Client],_26_03_2026_Client_Churn_v1[Plaintes_Service_Client],"non trouvé")</f>
        <v>non trouvé</v>
      </c>
    </row>
    <row r="690" spans="1:16" hidden="1" x14ac:dyDescent="0.25">
      <c r="A690" s="1">
        <v>45221</v>
      </c>
      <c r="B690" s="2">
        <v>0.83958333333333335</v>
      </c>
      <c r="C690" t="s">
        <v>1239</v>
      </c>
      <c r="D690">
        <v>18</v>
      </c>
      <c r="E690" t="s">
        <v>807</v>
      </c>
      <c r="F690" t="str">
        <f>_xlfn.XLOOKUP(_26_03_2026_Log_Reseau_v15[[#This Row],[Cell_ID]],_26_03_2026_Registre_Maintenance_v1[ID_Antenne],_26_03_2026_Registre_Maintenance_v1[zone],"pas trouvé")</f>
        <v>pas trouvé</v>
      </c>
      <c r="G690" t="str">
        <f>_xlfn.XLOOKUP(_26_03_2026_Log_Reseau_v15[[#This Row],[Cell_ID]],_26_03_2026_Registre_Maintenance_v1[ID_Antenne],_26_03_2026_Registre_Maintenance_v1[Latitude],"non trouvé")</f>
        <v>non trouvé</v>
      </c>
      <c r="H690" t="str">
        <f>_xlfn.XLOOKUP(_26_03_2026_Log_Reseau_v15[[#This Row],[Cell_ID]],_26_03_2026_Registre_Maintenance_v1[ID_Antenne],_26_03_2026_Registre_Maintenance_v1[Longitude],"pas trouvé")</f>
        <v>pas trouvé</v>
      </c>
      <c r="I690" t="str">
        <f>_xlfn.XLOOKUP(_26_03_2026_Log_Reseau_v15[[#This Row],[Cell_ID]],_26_03_2026_Registre_Maintenance_v1[ID_Antenne],_26_03_2026_Registre_Maintenance_v1[Technologie],"non trouvé")</f>
        <v>non trouvé</v>
      </c>
      <c r="J690" t="str">
        <f>_xlfn.XLOOKUP(_26_03_2026_Log_Reseau_v15[[#This Row],[Cell_ID]],_26_03_2026_Registre_Maintenance_v1[ID_Antenne],_26_03_2026_Registre_Maintenance_v1[Equipementier],"pas trouvé")</f>
        <v>pas trouvé</v>
      </c>
      <c r="K690" t="str">
        <f>_xlfn.XLOOKUP(_26_03_2026_Log_Reseau_v15[[#This Row],[province RDC]],_26_03_2026_Client_Churn_v1[Province_Client],_26_03_2026_Client_Churn_v1[ID_Client],"non trouvé")</f>
        <v>non trouvé</v>
      </c>
      <c r="L690" t="str">
        <f>_xlfn.XLOOKUP(_26_03_2026_Log_Reseau_v15[[#This Row],[province RDC]],_26_03_2026_Client_Churn_v1[Province_Client],_26_03_2026_Client_Churn_v1[Anciennete_Mois],"non trouvé")</f>
        <v>non trouvé</v>
      </c>
      <c r="M690" t="str">
        <f>_xlfn.XLOOKUP(_26_03_2026_Log_Reseau_v15[[#This Row],[province RDC]],_26_03_2026_Client_Churn_v1[Province_Client],_26_03_2026_Client_Churn_v1[Type_Forfait],"non trouvé")</f>
        <v>non trouvé</v>
      </c>
      <c r="N690" t="str">
        <f>_xlfn.XLOOKUP(_26_03_2026_Log_Reseau_v15[[#This Row],[province RDC]],_26_03_2026_Client_Churn_v1[Province_Client],_26_03_2026_Client_Churn_v1[Duree_Cumulee_Panne_Min],"non trouvé")</f>
        <v>non trouvé</v>
      </c>
      <c r="O690" t="str">
        <f>_xlfn.XLOOKUP(_26_03_2026_Log_Reseau_v15[[#This Row],[province RDC]],_26_03_2026_Client_Churn_v1[Province_Client],_26_03_2026_Client_Churn_v1[Facture_Mensuelle],"non trouvé")</f>
        <v>non trouvé</v>
      </c>
      <c r="P690" t="str">
        <f>_xlfn.XLOOKUP(_26_03_2026_Log_Reseau_v15[[#This Row],[province RDC]],_26_03_2026_Client_Churn_v1[Province_Client],_26_03_2026_Client_Churn_v1[Plaintes_Service_Client],"non trouvé")</f>
        <v>non trouvé</v>
      </c>
    </row>
    <row r="691" spans="1:16" hidden="1" x14ac:dyDescent="0.25">
      <c r="A691" s="1">
        <v>45214</v>
      </c>
      <c r="B691" s="2">
        <v>0.10972222222222222</v>
      </c>
      <c r="C691" t="s">
        <v>1240</v>
      </c>
      <c r="D691">
        <v>102</v>
      </c>
      <c r="E691" t="s">
        <v>808</v>
      </c>
      <c r="F691" t="str">
        <f>_xlfn.XLOOKUP(_26_03_2026_Log_Reseau_v15[[#This Row],[Cell_ID]],_26_03_2026_Registre_Maintenance_v1[ID_Antenne],_26_03_2026_Registre_Maintenance_v1[zone],"pas trouvé")</f>
        <v>pas trouvé</v>
      </c>
      <c r="G691" t="str">
        <f>_xlfn.XLOOKUP(_26_03_2026_Log_Reseau_v15[[#This Row],[Cell_ID]],_26_03_2026_Registre_Maintenance_v1[ID_Antenne],_26_03_2026_Registre_Maintenance_v1[Latitude],"non trouvé")</f>
        <v>non trouvé</v>
      </c>
      <c r="H691" t="str">
        <f>_xlfn.XLOOKUP(_26_03_2026_Log_Reseau_v15[[#This Row],[Cell_ID]],_26_03_2026_Registre_Maintenance_v1[ID_Antenne],_26_03_2026_Registre_Maintenance_v1[Longitude],"pas trouvé")</f>
        <v>pas trouvé</v>
      </c>
      <c r="I691" t="str">
        <f>_xlfn.XLOOKUP(_26_03_2026_Log_Reseau_v15[[#This Row],[Cell_ID]],_26_03_2026_Registre_Maintenance_v1[ID_Antenne],_26_03_2026_Registre_Maintenance_v1[Technologie],"non trouvé")</f>
        <v>non trouvé</v>
      </c>
      <c r="J691" t="str">
        <f>_xlfn.XLOOKUP(_26_03_2026_Log_Reseau_v15[[#This Row],[Cell_ID]],_26_03_2026_Registre_Maintenance_v1[ID_Antenne],_26_03_2026_Registre_Maintenance_v1[Equipementier],"pas trouvé")</f>
        <v>pas trouvé</v>
      </c>
      <c r="K691" t="str">
        <f>_xlfn.XLOOKUP(_26_03_2026_Log_Reseau_v15[[#This Row],[province RDC]],_26_03_2026_Client_Churn_v1[Province_Client],_26_03_2026_Client_Churn_v1[ID_Client],"non trouvé")</f>
        <v>non trouvé</v>
      </c>
      <c r="L691" t="str">
        <f>_xlfn.XLOOKUP(_26_03_2026_Log_Reseau_v15[[#This Row],[province RDC]],_26_03_2026_Client_Churn_v1[Province_Client],_26_03_2026_Client_Churn_v1[Anciennete_Mois],"non trouvé")</f>
        <v>non trouvé</v>
      </c>
      <c r="M691" t="str">
        <f>_xlfn.XLOOKUP(_26_03_2026_Log_Reseau_v15[[#This Row],[province RDC]],_26_03_2026_Client_Churn_v1[Province_Client],_26_03_2026_Client_Churn_v1[Type_Forfait],"non trouvé")</f>
        <v>non trouvé</v>
      </c>
      <c r="N691" t="str">
        <f>_xlfn.XLOOKUP(_26_03_2026_Log_Reseau_v15[[#This Row],[province RDC]],_26_03_2026_Client_Churn_v1[Province_Client],_26_03_2026_Client_Churn_v1[Duree_Cumulee_Panne_Min],"non trouvé")</f>
        <v>non trouvé</v>
      </c>
      <c r="O691" t="str">
        <f>_xlfn.XLOOKUP(_26_03_2026_Log_Reseau_v15[[#This Row],[province RDC]],_26_03_2026_Client_Churn_v1[Province_Client],_26_03_2026_Client_Churn_v1[Facture_Mensuelle],"non trouvé")</f>
        <v>non trouvé</v>
      </c>
      <c r="P691" t="str">
        <f>_xlfn.XLOOKUP(_26_03_2026_Log_Reseau_v15[[#This Row],[province RDC]],_26_03_2026_Client_Churn_v1[Province_Client],_26_03_2026_Client_Churn_v1[Plaintes_Service_Client],"non trouvé")</f>
        <v>non trouvé</v>
      </c>
    </row>
    <row r="692" spans="1:16" hidden="1" x14ac:dyDescent="0.25">
      <c r="A692" s="1">
        <v>45210</v>
      </c>
      <c r="B692" s="2">
        <v>0.84097222222222223</v>
      </c>
      <c r="C692" t="s">
        <v>1240</v>
      </c>
      <c r="D692">
        <v>7</v>
      </c>
      <c r="E692" t="s">
        <v>807</v>
      </c>
      <c r="F692" t="str">
        <f>_xlfn.XLOOKUP(_26_03_2026_Log_Reseau_v15[[#This Row],[Cell_ID]],_26_03_2026_Registre_Maintenance_v1[ID_Antenne],_26_03_2026_Registre_Maintenance_v1[zone],"pas trouvé")</f>
        <v>pas trouvé</v>
      </c>
      <c r="G692" t="str">
        <f>_xlfn.XLOOKUP(_26_03_2026_Log_Reseau_v15[[#This Row],[Cell_ID]],_26_03_2026_Registre_Maintenance_v1[ID_Antenne],_26_03_2026_Registre_Maintenance_v1[Latitude],"non trouvé")</f>
        <v>non trouvé</v>
      </c>
      <c r="H692" t="str">
        <f>_xlfn.XLOOKUP(_26_03_2026_Log_Reseau_v15[[#This Row],[Cell_ID]],_26_03_2026_Registre_Maintenance_v1[ID_Antenne],_26_03_2026_Registre_Maintenance_v1[Longitude],"pas trouvé")</f>
        <v>pas trouvé</v>
      </c>
      <c r="I692" t="str">
        <f>_xlfn.XLOOKUP(_26_03_2026_Log_Reseau_v15[[#This Row],[Cell_ID]],_26_03_2026_Registre_Maintenance_v1[ID_Antenne],_26_03_2026_Registre_Maintenance_v1[Technologie],"non trouvé")</f>
        <v>non trouvé</v>
      </c>
      <c r="J692" t="str">
        <f>_xlfn.XLOOKUP(_26_03_2026_Log_Reseau_v15[[#This Row],[Cell_ID]],_26_03_2026_Registre_Maintenance_v1[ID_Antenne],_26_03_2026_Registre_Maintenance_v1[Equipementier],"pas trouvé")</f>
        <v>pas trouvé</v>
      </c>
      <c r="K692" t="str">
        <f>_xlfn.XLOOKUP(_26_03_2026_Log_Reseau_v15[[#This Row],[province RDC]],_26_03_2026_Client_Churn_v1[Province_Client],_26_03_2026_Client_Churn_v1[ID_Client],"non trouvé")</f>
        <v>non trouvé</v>
      </c>
      <c r="L692" t="str">
        <f>_xlfn.XLOOKUP(_26_03_2026_Log_Reseau_v15[[#This Row],[province RDC]],_26_03_2026_Client_Churn_v1[Province_Client],_26_03_2026_Client_Churn_v1[Anciennete_Mois],"non trouvé")</f>
        <v>non trouvé</v>
      </c>
      <c r="M692" t="str">
        <f>_xlfn.XLOOKUP(_26_03_2026_Log_Reseau_v15[[#This Row],[province RDC]],_26_03_2026_Client_Churn_v1[Province_Client],_26_03_2026_Client_Churn_v1[Type_Forfait],"non trouvé")</f>
        <v>non trouvé</v>
      </c>
      <c r="N692" t="str">
        <f>_xlfn.XLOOKUP(_26_03_2026_Log_Reseau_v15[[#This Row],[province RDC]],_26_03_2026_Client_Churn_v1[Province_Client],_26_03_2026_Client_Churn_v1[Duree_Cumulee_Panne_Min],"non trouvé")</f>
        <v>non trouvé</v>
      </c>
      <c r="O692" t="str">
        <f>_xlfn.XLOOKUP(_26_03_2026_Log_Reseau_v15[[#This Row],[province RDC]],_26_03_2026_Client_Churn_v1[Province_Client],_26_03_2026_Client_Churn_v1[Facture_Mensuelle],"non trouvé")</f>
        <v>non trouvé</v>
      </c>
      <c r="P692" t="str">
        <f>_xlfn.XLOOKUP(_26_03_2026_Log_Reseau_v15[[#This Row],[province RDC]],_26_03_2026_Client_Churn_v1[Province_Client],_26_03_2026_Client_Churn_v1[Plaintes_Service_Client],"non trouvé")</f>
        <v>non trouvé</v>
      </c>
    </row>
    <row r="693" spans="1:16" x14ac:dyDescent="0.25">
      <c r="A693" s="1">
        <v>45209</v>
      </c>
      <c r="B693" s="2">
        <v>0.65972222222222221</v>
      </c>
      <c r="C693" t="s">
        <v>1241</v>
      </c>
      <c r="D693">
        <v>67</v>
      </c>
      <c r="E693" t="s">
        <v>812</v>
      </c>
      <c r="F693" t="str">
        <f>_xlfn.XLOOKUP(_26_03_2026_Log_Reseau_v15[[#This Row],[Cell_ID]],_26_03_2026_Registre_Maintenance_v1[ID_Antenne],_26_03_2026_Registre_Maintenance_v1[zone],"pas trouvé")</f>
        <v>Nord-Ubangi</v>
      </c>
      <c r="G693">
        <f>_xlfn.XLOOKUP(_26_03_2026_Log_Reseau_v15[[#This Row],[Cell_ID]],_26_03_2026_Registre_Maintenance_v1[ID_Antenne],_26_03_2026_Registre_Maintenance_v1[Latitude],"non trouvé")</f>
        <v>-7.7839049999999999</v>
      </c>
      <c r="H693">
        <f>_xlfn.XLOOKUP(_26_03_2026_Log_Reseau_v15[[#This Row],[Cell_ID]],_26_03_2026_Registre_Maintenance_v1[ID_Antenne],_26_03_2026_Registre_Maintenance_v1[Longitude],"pas trouvé")</f>
        <v>14.114281999999999</v>
      </c>
      <c r="I693" t="str">
        <f>_xlfn.XLOOKUP(_26_03_2026_Log_Reseau_v15[[#This Row],[Cell_ID]],_26_03_2026_Registre_Maintenance_v1[ID_Antenne],_26_03_2026_Registre_Maintenance_v1[Technologie],"non trouvé")</f>
        <v>3G</v>
      </c>
      <c r="J693" t="str">
        <f>_xlfn.XLOOKUP(_26_03_2026_Log_Reseau_v15[[#This Row],[Cell_ID]],_26_03_2026_Registre_Maintenance_v1[ID_Antenne],_26_03_2026_Registre_Maintenance_v1[Equipementier],"pas trouvé")</f>
        <v>ZTE</v>
      </c>
      <c r="K693" t="str">
        <f>_xlfn.XLOOKUP(_26_03_2026_Log_Reseau_v15[[#This Row],[province RDC]],_26_03_2026_Client_Churn_v1[Province_Client],_26_03_2026_Client_Churn_v1[ID_Client],"non trouvé")</f>
        <v>CLI-01170</v>
      </c>
      <c r="L693">
        <f>_xlfn.XLOOKUP(_26_03_2026_Log_Reseau_v15[[#This Row],[province RDC]],_26_03_2026_Client_Churn_v1[Province_Client],_26_03_2026_Client_Churn_v1[Anciennete_Mois],"non trouvé")</f>
        <v>98</v>
      </c>
      <c r="M693" t="str">
        <f>_xlfn.XLOOKUP(_26_03_2026_Log_Reseau_v15[[#This Row],[province RDC]],_26_03_2026_Client_Churn_v1[Province_Client],_26_03_2026_Client_Churn_v1[Type_Forfait],"non trouvé")</f>
        <v>Pro Monde</v>
      </c>
      <c r="N693">
        <f>_xlfn.XLOOKUP(_26_03_2026_Log_Reseau_v15[[#This Row],[province RDC]],_26_03_2026_Client_Churn_v1[Province_Client],_26_03_2026_Client_Churn_v1[Duree_Cumulee_Panne_Min],"non trouvé")</f>
        <v>482</v>
      </c>
      <c r="O693">
        <f>_xlfn.XLOOKUP(_26_03_2026_Log_Reseau_v15[[#This Row],[province RDC]],_26_03_2026_Client_Churn_v1[Province_Client],_26_03_2026_Client_Churn_v1[Facture_Mensuelle],"non trouvé")</f>
        <v>55.04</v>
      </c>
      <c r="P693">
        <f>_xlfn.XLOOKUP(_26_03_2026_Log_Reseau_v15[[#This Row],[province RDC]],_26_03_2026_Client_Churn_v1[Province_Client],_26_03_2026_Client_Churn_v1[Plaintes_Service_Client],"non trouvé")</f>
        <v>5</v>
      </c>
    </row>
    <row r="694" spans="1:16" x14ac:dyDescent="0.25">
      <c r="A694" s="1">
        <v>45226</v>
      </c>
      <c r="B694" s="2">
        <v>0.58680555555555558</v>
      </c>
      <c r="C694" t="s">
        <v>1241</v>
      </c>
      <c r="D694">
        <v>33</v>
      </c>
      <c r="E694" t="s">
        <v>812</v>
      </c>
      <c r="F694" t="str">
        <f>_xlfn.XLOOKUP(_26_03_2026_Log_Reseau_v15[[#This Row],[Cell_ID]],_26_03_2026_Registre_Maintenance_v1[ID_Antenne],_26_03_2026_Registre_Maintenance_v1[zone],"pas trouvé")</f>
        <v>Nord-Ubangi</v>
      </c>
      <c r="G694">
        <f>_xlfn.XLOOKUP(_26_03_2026_Log_Reseau_v15[[#This Row],[Cell_ID]],_26_03_2026_Registre_Maintenance_v1[ID_Antenne],_26_03_2026_Registre_Maintenance_v1[Latitude],"non trouvé")</f>
        <v>-7.7839049999999999</v>
      </c>
      <c r="H694">
        <f>_xlfn.XLOOKUP(_26_03_2026_Log_Reseau_v15[[#This Row],[Cell_ID]],_26_03_2026_Registre_Maintenance_v1[ID_Antenne],_26_03_2026_Registre_Maintenance_v1[Longitude],"pas trouvé")</f>
        <v>14.114281999999999</v>
      </c>
      <c r="I694" t="str">
        <f>_xlfn.XLOOKUP(_26_03_2026_Log_Reseau_v15[[#This Row],[Cell_ID]],_26_03_2026_Registre_Maintenance_v1[ID_Antenne],_26_03_2026_Registre_Maintenance_v1[Technologie],"non trouvé")</f>
        <v>3G</v>
      </c>
      <c r="J694" t="str">
        <f>_xlfn.XLOOKUP(_26_03_2026_Log_Reseau_v15[[#This Row],[Cell_ID]],_26_03_2026_Registre_Maintenance_v1[ID_Antenne],_26_03_2026_Registre_Maintenance_v1[Equipementier],"pas trouvé")</f>
        <v>ZTE</v>
      </c>
      <c r="K694" t="str">
        <f>_xlfn.XLOOKUP(_26_03_2026_Log_Reseau_v15[[#This Row],[province RDC]],_26_03_2026_Client_Churn_v1[Province_Client],_26_03_2026_Client_Churn_v1[ID_Client],"non trouvé")</f>
        <v>CLI-01170</v>
      </c>
      <c r="L694">
        <f>_xlfn.XLOOKUP(_26_03_2026_Log_Reseau_v15[[#This Row],[province RDC]],_26_03_2026_Client_Churn_v1[Province_Client],_26_03_2026_Client_Churn_v1[Anciennete_Mois],"non trouvé")</f>
        <v>98</v>
      </c>
      <c r="M694" t="str">
        <f>_xlfn.XLOOKUP(_26_03_2026_Log_Reseau_v15[[#This Row],[province RDC]],_26_03_2026_Client_Churn_v1[Province_Client],_26_03_2026_Client_Churn_v1[Type_Forfait],"non trouvé")</f>
        <v>Pro Monde</v>
      </c>
      <c r="N694">
        <f>_xlfn.XLOOKUP(_26_03_2026_Log_Reseau_v15[[#This Row],[province RDC]],_26_03_2026_Client_Churn_v1[Province_Client],_26_03_2026_Client_Churn_v1[Duree_Cumulee_Panne_Min],"non trouvé")</f>
        <v>482</v>
      </c>
      <c r="O694">
        <f>_xlfn.XLOOKUP(_26_03_2026_Log_Reseau_v15[[#This Row],[province RDC]],_26_03_2026_Client_Churn_v1[Province_Client],_26_03_2026_Client_Churn_v1[Facture_Mensuelle],"non trouvé")</f>
        <v>55.04</v>
      </c>
      <c r="P694">
        <f>_xlfn.XLOOKUP(_26_03_2026_Log_Reseau_v15[[#This Row],[province RDC]],_26_03_2026_Client_Churn_v1[Province_Client],_26_03_2026_Client_Churn_v1[Plaintes_Service_Client],"non trouvé")</f>
        <v>5</v>
      </c>
    </row>
    <row r="695" spans="1:16" x14ac:dyDescent="0.25">
      <c r="A695" s="1">
        <v>45201</v>
      </c>
      <c r="B695" s="2">
        <v>9.0277777777777769E-3</v>
      </c>
      <c r="C695" t="s">
        <v>1241</v>
      </c>
      <c r="D695">
        <v>56</v>
      </c>
      <c r="E695" t="s">
        <v>808</v>
      </c>
      <c r="F695" t="str">
        <f>_xlfn.XLOOKUP(_26_03_2026_Log_Reseau_v15[[#This Row],[Cell_ID]],_26_03_2026_Registre_Maintenance_v1[ID_Antenne],_26_03_2026_Registre_Maintenance_v1[zone],"pas trouvé")</f>
        <v>Nord-Ubangi</v>
      </c>
      <c r="G695">
        <f>_xlfn.XLOOKUP(_26_03_2026_Log_Reseau_v15[[#This Row],[Cell_ID]],_26_03_2026_Registre_Maintenance_v1[ID_Antenne],_26_03_2026_Registre_Maintenance_v1[Latitude],"non trouvé")</f>
        <v>-7.7839049999999999</v>
      </c>
      <c r="H695">
        <f>_xlfn.XLOOKUP(_26_03_2026_Log_Reseau_v15[[#This Row],[Cell_ID]],_26_03_2026_Registre_Maintenance_v1[ID_Antenne],_26_03_2026_Registre_Maintenance_v1[Longitude],"pas trouvé")</f>
        <v>14.114281999999999</v>
      </c>
      <c r="I695" t="str">
        <f>_xlfn.XLOOKUP(_26_03_2026_Log_Reseau_v15[[#This Row],[Cell_ID]],_26_03_2026_Registre_Maintenance_v1[ID_Antenne],_26_03_2026_Registre_Maintenance_v1[Technologie],"non trouvé")</f>
        <v>3G</v>
      </c>
      <c r="J695" t="str">
        <f>_xlfn.XLOOKUP(_26_03_2026_Log_Reseau_v15[[#This Row],[Cell_ID]],_26_03_2026_Registre_Maintenance_v1[ID_Antenne],_26_03_2026_Registre_Maintenance_v1[Equipementier],"pas trouvé")</f>
        <v>ZTE</v>
      </c>
      <c r="K695" t="str">
        <f>_xlfn.XLOOKUP(_26_03_2026_Log_Reseau_v15[[#This Row],[province RDC]],_26_03_2026_Client_Churn_v1[Province_Client],_26_03_2026_Client_Churn_v1[ID_Client],"non trouvé")</f>
        <v>CLI-01170</v>
      </c>
      <c r="L695">
        <f>_xlfn.XLOOKUP(_26_03_2026_Log_Reseau_v15[[#This Row],[province RDC]],_26_03_2026_Client_Churn_v1[Province_Client],_26_03_2026_Client_Churn_v1[Anciennete_Mois],"non trouvé")</f>
        <v>98</v>
      </c>
      <c r="M695" t="str">
        <f>_xlfn.XLOOKUP(_26_03_2026_Log_Reseau_v15[[#This Row],[province RDC]],_26_03_2026_Client_Churn_v1[Province_Client],_26_03_2026_Client_Churn_v1[Type_Forfait],"non trouvé")</f>
        <v>Pro Monde</v>
      </c>
      <c r="N695">
        <f>_xlfn.XLOOKUP(_26_03_2026_Log_Reseau_v15[[#This Row],[province RDC]],_26_03_2026_Client_Churn_v1[Province_Client],_26_03_2026_Client_Churn_v1[Duree_Cumulee_Panne_Min],"non trouvé")</f>
        <v>482</v>
      </c>
      <c r="O695">
        <f>_xlfn.XLOOKUP(_26_03_2026_Log_Reseau_v15[[#This Row],[province RDC]],_26_03_2026_Client_Churn_v1[Province_Client],_26_03_2026_Client_Churn_v1[Facture_Mensuelle],"non trouvé")</f>
        <v>55.04</v>
      </c>
      <c r="P695">
        <f>_xlfn.XLOOKUP(_26_03_2026_Log_Reseau_v15[[#This Row],[province RDC]],_26_03_2026_Client_Churn_v1[Province_Client],_26_03_2026_Client_Churn_v1[Plaintes_Service_Client],"non trouvé")</f>
        <v>5</v>
      </c>
    </row>
    <row r="696" spans="1:16" hidden="1" x14ac:dyDescent="0.25">
      <c r="A696" s="1">
        <v>45218</v>
      </c>
      <c r="B696" s="2">
        <v>0.63541666666666663</v>
      </c>
      <c r="C696" t="s">
        <v>1242</v>
      </c>
      <c r="D696">
        <v>17</v>
      </c>
      <c r="E696" t="s">
        <v>812</v>
      </c>
      <c r="F696" t="str">
        <f>_xlfn.XLOOKUP(_26_03_2026_Log_Reseau_v15[[#This Row],[Cell_ID]],_26_03_2026_Registre_Maintenance_v1[ID_Antenne],_26_03_2026_Registre_Maintenance_v1[zone],"pas trouvé")</f>
        <v>pas trouvé</v>
      </c>
      <c r="G696" t="str">
        <f>_xlfn.XLOOKUP(_26_03_2026_Log_Reseau_v15[[#This Row],[Cell_ID]],_26_03_2026_Registre_Maintenance_v1[ID_Antenne],_26_03_2026_Registre_Maintenance_v1[Latitude],"non trouvé")</f>
        <v>non trouvé</v>
      </c>
      <c r="H696" t="str">
        <f>_xlfn.XLOOKUP(_26_03_2026_Log_Reseau_v15[[#This Row],[Cell_ID]],_26_03_2026_Registre_Maintenance_v1[ID_Antenne],_26_03_2026_Registre_Maintenance_v1[Longitude],"pas trouvé")</f>
        <v>pas trouvé</v>
      </c>
      <c r="I696" t="str">
        <f>_xlfn.XLOOKUP(_26_03_2026_Log_Reseau_v15[[#This Row],[Cell_ID]],_26_03_2026_Registre_Maintenance_v1[ID_Antenne],_26_03_2026_Registre_Maintenance_v1[Technologie],"non trouvé")</f>
        <v>non trouvé</v>
      </c>
      <c r="J696" t="str">
        <f>_xlfn.XLOOKUP(_26_03_2026_Log_Reseau_v15[[#This Row],[Cell_ID]],_26_03_2026_Registre_Maintenance_v1[ID_Antenne],_26_03_2026_Registre_Maintenance_v1[Equipementier],"pas trouvé")</f>
        <v>pas trouvé</v>
      </c>
      <c r="K696" t="str">
        <f>_xlfn.XLOOKUP(_26_03_2026_Log_Reseau_v15[[#This Row],[province RDC]],_26_03_2026_Client_Churn_v1[Province_Client],_26_03_2026_Client_Churn_v1[ID_Client],"non trouvé")</f>
        <v>non trouvé</v>
      </c>
      <c r="L696" t="str">
        <f>_xlfn.XLOOKUP(_26_03_2026_Log_Reseau_v15[[#This Row],[province RDC]],_26_03_2026_Client_Churn_v1[Province_Client],_26_03_2026_Client_Churn_v1[Anciennete_Mois],"non trouvé")</f>
        <v>non trouvé</v>
      </c>
      <c r="M696" t="str">
        <f>_xlfn.XLOOKUP(_26_03_2026_Log_Reseau_v15[[#This Row],[province RDC]],_26_03_2026_Client_Churn_v1[Province_Client],_26_03_2026_Client_Churn_v1[Type_Forfait],"non trouvé")</f>
        <v>non trouvé</v>
      </c>
      <c r="N696" t="str">
        <f>_xlfn.XLOOKUP(_26_03_2026_Log_Reseau_v15[[#This Row],[province RDC]],_26_03_2026_Client_Churn_v1[Province_Client],_26_03_2026_Client_Churn_v1[Duree_Cumulee_Panne_Min],"non trouvé")</f>
        <v>non trouvé</v>
      </c>
      <c r="O696" t="str">
        <f>_xlfn.XLOOKUP(_26_03_2026_Log_Reseau_v15[[#This Row],[province RDC]],_26_03_2026_Client_Churn_v1[Province_Client],_26_03_2026_Client_Churn_v1[Facture_Mensuelle],"non trouvé")</f>
        <v>non trouvé</v>
      </c>
      <c r="P696" t="str">
        <f>_xlfn.XLOOKUP(_26_03_2026_Log_Reseau_v15[[#This Row],[province RDC]],_26_03_2026_Client_Churn_v1[Province_Client],_26_03_2026_Client_Churn_v1[Plaintes_Service_Client],"non trouvé")</f>
        <v>non trouvé</v>
      </c>
    </row>
    <row r="697" spans="1:16" hidden="1" x14ac:dyDescent="0.25">
      <c r="A697" s="1">
        <v>45214</v>
      </c>
      <c r="B697" s="2">
        <v>0.18541666666666667</v>
      </c>
      <c r="C697" t="s">
        <v>1242</v>
      </c>
      <c r="D697">
        <v>36</v>
      </c>
      <c r="E697" t="s">
        <v>808</v>
      </c>
      <c r="F697" t="str">
        <f>_xlfn.XLOOKUP(_26_03_2026_Log_Reseau_v15[[#This Row],[Cell_ID]],_26_03_2026_Registre_Maintenance_v1[ID_Antenne],_26_03_2026_Registre_Maintenance_v1[zone],"pas trouvé")</f>
        <v>pas trouvé</v>
      </c>
      <c r="G697" t="str">
        <f>_xlfn.XLOOKUP(_26_03_2026_Log_Reseau_v15[[#This Row],[Cell_ID]],_26_03_2026_Registre_Maintenance_v1[ID_Antenne],_26_03_2026_Registre_Maintenance_v1[Latitude],"non trouvé")</f>
        <v>non trouvé</v>
      </c>
      <c r="H697" t="str">
        <f>_xlfn.XLOOKUP(_26_03_2026_Log_Reseau_v15[[#This Row],[Cell_ID]],_26_03_2026_Registre_Maintenance_v1[ID_Antenne],_26_03_2026_Registre_Maintenance_v1[Longitude],"pas trouvé")</f>
        <v>pas trouvé</v>
      </c>
      <c r="I697" t="str">
        <f>_xlfn.XLOOKUP(_26_03_2026_Log_Reseau_v15[[#This Row],[Cell_ID]],_26_03_2026_Registre_Maintenance_v1[ID_Antenne],_26_03_2026_Registre_Maintenance_v1[Technologie],"non trouvé")</f>
        <v>non trouvé</v>
      </c>
      <c r="J697" t="str">
        <f>_xlfn.XLOOKUP(_26_03_2026_Log_Reseau_v15[[#This Row],[Cell_ID]],_26_03_2026_Registre_Maintenance_v1[ID_Antenne],_26_03_2026_Registre_Maintenance_v1[Equipementier],"pas trouvé")</f>
        <v>pas trouvé</v>
      </c>
      <c r="K697" t="str">
        <f>_xlfn.XLOOKUP(_26_03_2026_Log_Reseau_v15[[#This Row],[province RDC]],_26_03_2026_Client_Churn_v1[Province_Client],_26_03_2026_Client_Churn_v1[ID_Client],"non trouvé")</f>
        <v>non trouvé</v>
      </c>
      <c r="L697" t="str">
        <f>_xlfn.XLOOKUP(_26_03_2026_Log_Reseau_v15[[#This Row],[province RDC]],_26_03_2026_Client_Churn_v1[Province_Client],_26_03_2026_Client_Churn_v1[Anciennete_Mois],"non trouvé")</f>
        <v>non trouvé</v>
      </c>
      <c r="M697" t="str">
        <f>_xlfn.XLOOKUP(_26_03_2026_Log_Reseau_v15[[#This Row],[province RDC]],_26_03_2026_Client_Churn_v1[Province_Client],_26_03_2026_Client_Churn_v1[Type_Forfait],"non trouvé")</f>
        <v>non trouvé</v>
      </c>
      <c r="N697" t="str">
        <f>_xlfn.XLOOKUP(_26_03_2026_Log_Reseau_v15[[#This Row],[province RDC]],_26_03_2026_Client_Churn_v1[Province_Client],_26_03_2026_Client_Churn_v1[Duree_Cumulee_Panne_Min],"non trouvé")</f>
        <v>non trouvé</v>
      </c>
      <c r="O697" t="str">
        <f>_xlfn.XLOOKUP(_26_03_2026_Log_Reseau_v15[[#This Row],[province RDC]],_26_03_2026_Client_Churn_v1[Province_Client],_26_03_2026_Client_Churn_v1[Facture_Mensuelle],"non trouvé")</f>
        <v>non trouvé</v>
      </c>
      <c r="P697" t="str">
        <f>_xlfn.XLOOKUP(_26_03_2026_Log_Reseau_v15[[#This Row],[province RDC]],_26_03_2026_Client_Churn_v1[Province_Client],_26_03_2026_Client_Churn_v1[Plaintes_Service_Client],"non trouvé")</f>
        <v>non trouvé</v>
      </c>
    </row>
    <row r="698" spans="1:16" x14ac:dyDescent="0.25">
      <c r="A698" s="1">
        <v>45229</v>
      </c>
      <c r="B698" s="2">
        <v>6.5972222222222224E-2</v>
      </c>
      <c r="C698" t="s">
        <v>1243</v>
      </c>
      <c r="D698">
        <v>93</v>
      </c>
      <c r="E698" t="s">
        <v>807</v>
      </c>
      <c r="F698" t="str">
        <f>_xlfn.XLOOKUP(_26_03_2026_Log_Reseau_v15[[#This Row],[Cell_ID]],_26_03_2026_Registre_Maintenance_v1[ID_Antenne],_26_03_2026_Registre_Maintenance_v1[zone],"pas trouvé")</f>
        <v>Nord-Kivu</v>
      </c>
      <c r="G698">
        <f>_xlfn.XLOOKUP(_26_03_2026_Log_Reseau_v15[[#This Row],[Cell_ID]],_26_03_2026_Registre_Maintenance_v1[ID_Antenne],_26_03_2026_Registre_Maintenance_v1[Latitude],"non trouvé")</f>
        <v>0.82868600000000003</v>
      </c>
      <c r="H698">
        <f>_xlfn.XLOOKUP(_26_03_2026_Log_Reseau_v15[[#This Row],[Cell_ID]],_26_03_2026_Registre_Maintenance_v1[ID_Antenne],_26_03_2026_Registre_Maintenance_v1[Longitude],"pas trouvé")</f>
        <v>26.958843999999999</v>
      </c>
      <c r="I698" t="str">
        <f>_xlfn.XLOOKUP(_26_03_2026_Log_Reseau_v15[[#This Row],[Cell_ID]],_26_03_2026_Registre_Maintenance_v1[ID_Antenne],_26_03_2026_Registre_Maintenance_v1[Technologie],"non trouvé")</f>
        <v>5G</v>
      </c>
      <c r="J698" t="str">
        <f>_xlfn.XLOOKUP(_26_03_2026_Log_Reseau_v15[[#This Row],[Cell_ID]],_26_03_2026_Registre_Maintenance_v1[ID_Antenne],_26_03_2026_Registre_Maintenance_v1[Equipementier],"pas trouvé")</f>
        <v>ZTE</v>
      </c>
      <c r="K698" t="str">
        <f>_xlfn.XLOOKUP(_26_03_2026_Log_Reseau_v15[[#This Row],[province RDC]],_26_03_2026_Client_Churn_v1[Province_Client],_26_03_2026_Client_Churn_v1[ID_Client],"non trouvé")</f>
        <v>CLI-00837</v>
      </c>
      <c r="L698">
        <f>_xlfn.XLOOKUP(_26_03_2026_Log_Reseau_v15[[#This Row],[province RDC]],_26_03_2026_Client_Churn_v1[Province_Client],_26_03_2026_Client_Churn_v1[Anciennete_Mois],"non trouvé")</f>
        <v>16</v>
      </c>
      <c r="M698" t="str">
        <f>_xlfn.XLOOKUP(_26_03_2026_Log_Reseau_v15[[#This Row],[province RDC]],_26_03_2026_Client_Churn_v1[Province_Client],_26_03_2026_Client_Churn_v1[Type_Forfait],"non trouvé")</f>
        <v>Bloqué 5Go</v>
      </c>
      <c r="N698">
        <f>_xlfn.XLOOKUP(_26_03_2026_Log_Reseau_v15[[#This Row],[province RDC]],_26_03_2026_Client_Churn_v1[Province_Client],_26_03_2026_Client_Churn_v1[Duree_Cumulee_Panne_Min],"non trouvé")</f>
        <v>390</v>
      </c>
      <c r="O698">
        <f>_xlfn.XLOOKUP(_26_03_2026_Log_Reseau_v15[[#This Row],[province RDC]],_26_03_2026_Client_Churn_v1[Province_Client],_26_03_2026_Client_Churn_v1[Facture_Mensuelle],"non trouvé")</f>
        <v>98.17</v>
      </c>
      <c r="P698">
        <f>_xlfn.XLOOKUP(_26_03_2026_Log_Reseau_v15[[#This Row],[province RDC]],_26_03_2026_Client_Churn_v1[Province_Client],_26_03_2026_Client_Churn_v1[Plaintes_Service_Client],"non trouvé")</f>
        <v>5</v>
      </c>
    </row>
    <row r="699" spans="1:16" x14ac:dyDescent="0.25">
      <c r="A699" s="1">
        <v>45201</v>
      </c>
      <c r="B699" s="2">
        <v>0.21249999999999999</v>
      </c>
      <c r="C699" t="s">
        <v>1243</v>
      </c>
      <c r="D699">
        <v>40</v>
      </c>
      <c r="E699" t="s">
        <v>808</v>
      </c>
      <c r="F699" t="str">
        <f>_xlfn.XLOOKUP(_26_03_2026_Log_Reseau_v15[[#This Row],[Cell_ID]],_26_03_2026_Registre_Maintenance_v1[ID_Antenne],_26_03_2026_Registre_Maintenance_v1[zone],"pas trouvé")</f>
        <v>Nord-Kivu</v>
      </c>
      <c r="G699">
        <f>_xlfn.XLOOKUP(_26_03_2026_Log_Reseau_v15[[#This Row],[Cell_ID]],_26_03_2026_Registre_Maintenance_v1[ID_Antenne],_26_03_2026_Registre_Maintenance_v1[Latitude],"non trouvé")</f>
        <v>0.82868600000000003</v>
      </c>
      <c r="H699">
        <f>_xlfn.XLOOKUP(_26_03_2026_Log_Reseau_v15[[#This Row],[Cell_ID]],_26_03_2026_Registre_Maintenance_v1[ID_Antenne],_26_03_2026_Registre_Maintenance_v1[Longitude],"pas trouvé")</f>
        <v>26.958843999999999</v>
      </c>
      <c r="I699" t="str">
        <f>_xlfn.XLOOKUP(_26_03_2026_Log_Reseau_v15[[#This Row],[Cell_ID]],_26_03_2026_Registre_Maintenance_v1[ID_Antenne],_26_03_2026_Registre_Maintenance_v1[Technologie],"non trouvé")</f>
        <v>5G</v>
      </c>
      <c r="J699" t="str">
        <f>_xlfn.XLOOKUP(_26_03_2026_Log_Reseau_v15[[#This Row],[Cell_ID]],_26_03_2026_Registre_Maintenance_v1[ID_Antenne],_26_03_2026_Registre_Maintenance_v1[Equipementier],"pas trouvé")</f>
        <v>ZTE</v>
      </c>
      <c r="K699" t="str">
        <f>_xlfn.XLOOKUP(_26_03_2026_Log_Reseau_v15[[#This Row],[province RDC]],_26_03_2026_Client_Churn_v1[Province_Client],_26_03_2026_Client_Churn_v1[ID_Client],"non trouvé")</f>
        <v>CLI-00837</v>
      </c>
      <c r="L699">
        <f>_xlfn.XLOOKUP(_26_03_2026_Log_Reseau_v15[[#This Row],[province RDC]],_26_03_2026_Client_Churn_v1[Province_Client],_26_03_2026_Client_Churn_v1[Anciennete_Mois],"non trouvé")</f>
        <v>16</v>
      </c>
      <c r="M699" t="str">
        <f>_xlfn.XLOOKUP(_26_03_2026_Log_Reseau_v15[[#This Row],[province RDC]],_26_03_2026_Client_Churn_v1[Province_Client],_26_03_2026_Client_Churn_v1[Type_Forfait],"non trouvé")</f>
        <v>Bloqué 5Go</v>
      </c>
      <c r="N699">
        <f>_xlfn.XLOOKUP(_26_03_2026_Log_Reseau_v15[[#This Row],[province RDC]],_26_03_2026_Client_Churn_v1[Province_Client],_26_03_2026_Client_Churn_v1[Duree_Cumulee_Panne_Min],"non trouvé")</f>
        <v>390</v>
      </c>
      <c r="O699">
        <f>_xlfn.XLOOKUP(_26_03_2026_Log_Reseau_v15[[#This Row],[province RDC]],_26_03_2026_Client_Churn_v1[Province_Client],_26_03_2026_Client_Churn_v1[Facture_Mensuelle],"non trouvé")</f>
        <v>98.17</v>
      </c>
      <c r="P699">
        <f>_xlfn.XLOOKUP(_26_03_2026_Log_Reseau_v15[[#This Row],[province RDC]],_26_03_2026_Client_Churn_v1[Province_Client],_26_03_2026_Client_Churn_v1[Plaintes_Service_Client],"non trouvé")</f>
        <v>5</v>
      </c>
    </row>
    <row r="700" spans="1:16" x14ac:dyDescent="0.25">
      <c r="A700" s="1">
        <v>45225</v>
      </c>
      <c r="B700" s="2">
        <v>0.77638888888888891</v>
      </c>
      <c r="C700" t="s">
        <v>1243</v>
      </c>
      <c r="D700">
        <v>71</v>
      </c>
      <c r="E700" t="s">
        <v>807</v>
      </c>
      <c r="F700" t="str">
        <f>_xlfn.XLOOKUP(_26_03_2026_Log_Reseau_v15[[#This Row],[Cell_ID]],_26_03_2026_Registre_Maintenance_v1[ID_Antenne],_26_03_2026_Registre_Maintenance_v1[zone],"pas trouvé")</f>
        <v>Nord-Kivu</v>
      </c>
      <c r="G700">
        <f>_xlfn.XLOOKUP(_26_03_2026_Log_Reseau_v15[[#This Row],[Cell_ID]],_26_03_2026_Registre_Maintenance_v1[ID_Antenne],_26_03_2026_Registre_Maintenance_v1[Latitude],"non trouvé")</f>
        <v>0.82868600000000003</v>
      </c>
      <c r="H700">
        <f>_xlfn.XLOOKUP(_26_03_2026_Log_Reseau_v15[[#This Row],[Cell_ID]],_26_03_2026_Registre_Maintenance_v1[ID_Antenne],_26_03_2026_Registre_Maintenance_v1[Longitude],"pas trouvé")</f>
        <v>26.958843999999999</v>
      </c>
      <c r="I700" t="str">
        <f>_xlfn.XLOOKUP(_26_03_2026_Log_Reseau_v15[[#This Row],[Cell_ID]],_26_03_2026_Registre_Maintenance_v1[ID_Antenne],_26_03_2026_Registre_Maintenance_v1[Technologie],"non trouvé")</f>
        <v>5G</v>
      </c>
      <c r="J700" t="str">
        <f>_xlfn.XLOOKUP(_26_03_2026_Log_Reseau_v15[[#This Row],[Cell_ID]],_26_03_2026_Registre_Maintenance_v1[ID_Antenne],_26_03_2026_Registre_Maintenance_v1[Equipementier],"pas trouvé")</f>
        <v>ZTE</v>
      </c>
      <c r="K700" t="str">
        <f>_xlfn.XLOOKUP(_26_03_2026_Log_Reseau_v15[[#This Row],[province RDC]],_26_03_2026_Client_Churn_v1[Province_Client],_26_03_2026_Client_Churn_v1[ID_Client],"non trouvé")</f>
        <v>CLI-00837</v>
      </c>
      <c r="L700">
        <f>_xlfn.XLOOKUP(_26_03_2026_Log_Reseau_v15[[#This Row],[province RDC]],_26_03_2026_Client_Churn_v1[Province_Client],_26_03_2026_Client_Churn_v1[Anciennete_Mois],"non trouvé")</f>
        <v>16</v>
      </c>
      <c r="M700" t="str">
        <f>_xlfn.XLOOKUP(_26_03_2026_Log_Reseau_v15[[#This Row],[province RDC]],_26_03_2026_Client_Churn_v1[Province_Client],_26_03_2026_Client_Churn_v1[Type_Forfait],"non trouvé")</f>
        <v>Bloqué 5Go</v>
      </c>
      <c r="N700">
        <f>_xlfn.XLOOKUP(_26_03_2026_Log_Reseau_v15[[#This Row],[province RDC]],_26_03_2026_Client_Churn_v1[Province_Client],_26_03_2026_Client_Churn_v1[Duree_Cumulee_Panne_Min],"non trouvé")</f>
        <v>390</v>
      </c>
      <c r="O700">
        <f>_xlfn.XLOOKUP(_26_03_2026_Log_Reseau_v15[[#This Row],[province RDC]],_26_03_2026_Client_Churn_v1[Province_Client],_26_03_2026_Client_Churn_v1[Facture_Mensuelle],"non trouvé")</f>
        <v>98.17</v>
      </c>
      <c r="P700">
        <f>_xlfn.XLOOKUP(_26_03_2026_Log_Reseau_v15[[#This Row],[province RDC]],_26_03_2026_Client_Churn_v1[Province_Client],_26_03_2026_Client_Churn_v1[Plaintes_Service_Client],"non trouvé")</f>
        <v>5</v>
      </c>
    </row>
    <row r="701" spans="1:16" x14ac:dyDescent="0.25">
      <c r="A701" s="1">
        <v>45201</v>
      </c>
      <c r="B701" s="2">
        <v>0.22500000000000001</v>
      </c>
      <c r="C701" t="s">
        <v>1243</v>
      </c>
      <c r="D701">
        <v>83</v>
      </c>
      <c r="E701" t="s">
        <v>808</v>
      </c>
      <c r="F701" t="str">
        <f>_xlfn.XLOOKUP(_26_03_2026_Log_Reseau_v15[[#This Row],[Cell_ID]],_26_03_2026_Registre_Maintenance_v1[ID_Antenne],_26_03_2026_Registre_Maintenance_v1[zone],"pas trouvé")</f>
        <v>Nord-Kivu</v>
      </c>
      <c r="G701">
        <f>_xlfn.XLOOKUP(_26_03_2026_Log_Reseau_v15[[#This Row],[Cell_ID]],_26_03_2026_Registre_Maintenance_v1[ID_Antenne],_26_03_2026_Registre_Maintenance_v1[Latitude],"non trouvé")</f>
        <v>0.82868600000000003</v>
      </c>
      <c r="H701">
        <f>_xlfn.XLOOKUP(_26_03_2026_Log_Reseau_v15[[#This Row],[Cell_ID]],_26_03_2026_Registre_Maintenance_v1[ID_Antenne],_26_03_2026_Registre_Maintenance_v1[Longitude],"pas trouvé")</f>
        <v>26.958843999999999</v>
      </c>
      <c r="I701" t="str">
        <f>_xlfn.XLOOKUP(_26_03_2026_Log_Reseau_v15[[#This Row],[Cell_ID]],_26_03_2026_Registre_Maintenance_v1[ID_Antenne],_26_03_2026_Registre_Maintenance_v1[Technologie],"non trouvé")</f>
        <v>5G</v>
      </c>
      <c r="J701" t="str">
        <f>_xlfn.XLOOKUP(_26_03_2026_Log_Reseau_v15[[#This Row],[Cell_ID]],_26_03_2026_Registre_Maintenance_v1[ID_Antenne],_26_03_2026_Registre_Maintenance_v1[Equipementier],"pas trouvé")</f>
        <v>ZTE</v>
      </c>
      <c r="K701" t="str">
        <f>_xlfn.XLOOKUP(_26_03_2026_Log_Reseau_v15[[#This Row],[province RDC]],_26_03_2026_Client_Churn_v1[Province_Client],_26_03_2026_Client_Churn_v1[ID_Client],"non trouvé")</f>
        <v>CLI-00837</v>
      </c>
      <c r="L701">
        <f>_xlfn.XLOOKUP(_26_03_2026_Log_Reseau_v15[[#This Row],[province RDC]],_26_03_2026_Client_Churn_v1[Province_Client],_26_03_2026_Client_Churn_v1[Anciennete_Mois],"non trouvé")</f>
        <v>16</v>
      </c>
      <c r="M701" t="str">
        <f>_xlfn.XLOOKUP(_26_03_2026_Log_Reseau_v15[[#This Row],[province RDC]],_26_03_2026_Client_Churn_v1[Province_Client],_26_03_2026_Client_Churn_v1[Type_Forfait],"non trouvé")</f>
        <v>Bloqué 5Go</v>
      </c>
      <c r="N701">
        <f>_xlfn.XLOOKUP(_26_03_2026_Log_Reseau_v15[[#This Row],[province RDC]],_26_03_2026_Client_Churn_v1[Province_Client],_26_03_2026_Client_Churn_v1[Duree_Cumulee_Panne_Min],"non trouvé")</f>
        <v>390</v>
      </c>
      <c r="O701">
        <f>_xlfn.XLOOKUP(_26_03_2026_Log_Reseau_v15[[#This Row],[province RDC]],_26_03_2026_Client_Churn_v1[Province_Client],_26_03_2026_Client_Churn_v1[Facture_Mensuelle],"non trouvé")</f>
        <v>98.17</v>
      </c>
      <c r="P701">
        <f>_xlfn.XLOOKUP(_26_03_2026_Log_Reseau_v15[[#This Row],[province RDC]],_26_03_2026_Client_Churn_v1[Province_Client],_26_03_2026_Client_Churn_v1[Plaintes_Service_Client],"non trouvé")</f>
        <v>5</v>
      </c>
    </row>
    <row r="702" spans="1:16" x14ac:dyDescent="0.25">
      <c r="A702" s="1">
        <v>45208</v>
      </c>
      <c r="B702" s="2">
        <v>0.95902777777777781</v>
      </c>
      <c r="C702" t="s">
        <v>1243</v>
      </c>
      <c r="D702">
        <v>98</v>
      </c>
      <c r="E702" t="s">
        <v>812</v>
      </c>
      <c r="F702" t="str">
        <f>_xlfn.XLOOKUP(_26_03_2026_Log_Reseau_v15[[#This Row],[Cell_ID]],_26_03_2026_Registre_Maintenance_v1[ID_Antenne],_26_03_2026_Registre_Maintenance_v1[zone],"pas trouvé")</f>
        <v>Nord-Kivu</v>
      </c>
      <c r="G702">
        <f>_xlfn.XLOOKUP(_26_03_2026_Log_Reseau_v15[[#This Row],[Cell_ID]],_26_03_2026_Registre_Maintenance_v1[ID_Antenne],_26_03_2026_Registre_Maintenance_v1[Latitude],"non trouvé")</f>
        <v>0.82868600000000003</v>
      </c>
      <c r="H702">
        <f>_xlfn.XLOOKUP(_26_03_2026_Log_Reseau_v15[[#This Row],[Cell_ID]],_26_03_2026_Registre_Maintenance_v1[ID_Antenne],_26_03_2026_Registre_Maintenance_v1[Longitude],"pas trouvé")</f>
        <v>26.958843999999999</v>
      </c>
      <c r="I702" t="str">
        <f>_xlfn.XLOOKUP(_26_03_2026_Log_Reseau_v15[[#This Row],[Cell_ID]],_26_03_2026_Registre_Maintenance_v1[ID_Antenne],_26_03_2026_Registre_Maintenance_v1[Technologie],"non trouvé")</f>
        <v>5G</v>
      </c>
      <c r="J702" t="str">
        <f>_xlfn.XLOOKUP(_26_03_2026_Log_Reseau_v15[[#This Row],[Cell_ID]],_26_03_2026_Registre_Maintenance_v1[ID_Antenne],_26_03_2026_Registre_Maintenance_v1[Equipementier],"pas trouvé")</f>
        <v>ZTE</v>
      </c>
      <c r="K702" t="str">
        <f>_xlfn.XLOOKUP(_26_03_2026_Log_Reseau_v15[[#This Row],[province RDC]],_26_03_2026_Client_Churn_v1[Province_Client],_26_03_2026_Client_Churn_v1[ID_Client],"non trouvé")</f>
        <v>CLI-00837</v>
      </c>
      <c r="L702">
        <f>_xlfn.XLOOKUP(_26_03_2026_Log_Reseau_v15[[#This Row],[province RDC]],_26_03_2026_Client_Churn_v1[Province_Client],_26_03_2026_Client_Churn_v1[Anciennete_Mois],"non trouvé")</f>
        <v>16</v>
      </c>
      <c r="M702" t="str">
        <f>_xlfn.XLOOKUP(_26_03_2026_Log_Reseau_v15[[#This Row],[province RDC]],_26_03_2026_Client_Churn_v1[Province_Client],_26_03_2026_Client_Churn_v1[Type_Forfait],"non trouvé")</f>
        <v>Bloqué 5Go</v>
      </c>
      <c r="N702">
        <f>_xlfn.XLOOKUP(_26_03_2026_Log_Reseau_v15[[#This Row],[province RDC]],_26_03_2026_Client_Churn_v1[Province_Client],_26_03_2026_Client_Churn_v1[Duree_Cumulee_Panne_Min],"non trouvé")</f>
        <v>390</v>
      </c>
      <c r="O702">
        <f>_xlfn.XLOOKUP(_26_03_2026_Log_Reseau_v15[[#This Row],[province RDC]],_26_03_2026_Client_Churn_v1[Province_Client],_26_03_2026_Client_Churn_v1[Facture_Mensuelle],"non trouvé")</f>
        <v>98.17</v>
      </c>
      <c r="P702">
        <f>_xlfn.XLOOKUP(_26_03_2026_Log_Reseau_v15[[#This Row],[province RDC]],_26_03_2026_Client_Churn_v1[Province_Client],_26_03_2026_Client_Churn_v1[Plaintes_Service_Client],"non trouvé")</f>
        <v>5</v>
      </c>
    </row>
    <row r="703" spans="1:16" hidden="1" x14ac:dyDescent="0.25">
      <c r="A703" s="1">
        <v>45210</v>
      </c>
      <c r="B703" s="2">
        <v>0.80555555555555558</v>
      </c>
      <c r="C703" t="s">
        <v>1244</v>
      </c>
      <c r="D703">
        <v>97</v>
      </c>
      <c r="E703" t="s">
        <v>807</v>
      </c>
      <c r="F703" t="str">
        <f>_xlfn.XLOOKUP(_26_03_2026_Log_Reseau_v15[[#This Row],[Cell_ID]],_26_03_2026_Registre_Maintenance_v1[ID_Antenne],_26_03_2026_Registre_Maintenance_v1[zone],"pas trouvé")</f>
        <v>pas trouvé</v>
      </c>
      <c r="G703" t="str">
        <f>_xlfn.XLOOKUP(_26_03_2026_Log_Reseau_v15[[#This Row],[Cell_ID]],_26_03_2026_Registre_Maintenance_v1[ID_Antenne],_26_03_2026_Registre_Maintenance_v1[Latitude],"non trouvé")</f>
        <v>non trouvé</v>
      </c>
      <c r="H703" t="str">
        <f>_xlfn.XLOOKUP(_26_03_2026_Log_Reseau_v15[[#This Row],[Cell_ID]],_26_03_2026_Registre_Maintenance_v1[ID_Antenne],_26_03_2026_Registre_Maintenance_v1[Longitude],"pas trouvé")</f>
        <v>pas trouvé</v>
      </c>
      <c r="I703" t="str">
        <f>_xlfn.XLOOKUP(_26_03_2026_Log_Reseau_v15[[#This Row],[Cell_ID]],_26_03_2026_Registre_Maintenance_v1[ID_Antenne],_26_03_2026_Registre_Maintenance_v1[Technologie],"non trouvé")</f>
        <v>non trouvé</v>
      </c>
      <c r="J703" t="str">
        <f>_xlfn.XLOOKUP(_26_03_2026_Log_Reseau_v15[[#This Row],[Cell_ID]],_26_03_2026_Registre_Maintenance_v1[ID_Antenne],_26_03_2026_Registre_Maintenance_v1[Equipementier],"pas trouvé")</f>
        <v>pas trouvé</v>
      </c>
      <c r="K703" t="str">
        <f>_xlfn.XLOOKUP(_26_03_2026_Log_Reseau_v15[[#This Row],[province RDC]],_26_03_2026_Client_Churn_v1[Province_Client],_26_03_2026_Client_Churn_v1[ID_Client],"non trouvé")</f>
        <v>non trouvé</v>
      </c>
      <c r="L703" t="str">
        <f>_xlfn.XLOOKUP(_26_03_2026_Log_Reseau_v15[[#This Row],[province RDC]],_26_03_2026_Client_Churn_v1[Province_Client],_26_03_2026_Client_Churn_v1[Anciennete_Mois],"non trouvé")</f>
        <v>non trouvé</v>
      </c>
      <c r="M703" t="str">
        <f>_xlfn.XLOOKUP(_26_03_2026_Log_Reseau_v15[[#This Row],[province RDC]],_26_03_2026_Client_Churn_v1[Province_Client],_26_03_2026_Client_Churn_v1[Type_Forfait],"non trouvé")</f>
        <v>non trouvé</v>
      </c>
      <c r="N703" t="str">
        <f>_xlfn.XLOOKUP(_26_03_2026_Log_Reseau_v15[[#This Row],[province RDC]],_26_03_2026_Client_Churn_v1[Province_Client],_26_03_2026_Client_Churn_v1[Duree_Cumulee_Panne_Min],"non trouvé")</f>
        <v>non trouvé</v>
      </c>
      <c r="O703" t="str">
        <f>_xlfn.XLOOKUP(_26_03_2026_Log_Reseau_v15[[#This Row],[province RDC]],_26_03_2026_Client_Churn_v1[Province_Client],_26_03_2026_Client_Churn_v1[Facture_Mensuelle],"non trouvé")</f>
        <v>non trouvé</v>
      </c>
      <c r="P703" t="str">
        <f>_xlfn.XLOOKUP(_26_03_2026_Log_Reseau_v15[[#This Row],[province RDC]],_26_03_2026_Client_Churn_v1[Province_Client],_26_03_2026_Client_Churn_v1[Plaintes_Service_Client],"non trouvé")</f>
        <v>non trouvé</v>
      </c>
    </row>
    <row r="704" spans="1:16" hidden="1" x14ac:dyDescent="0.25">
      <c r="A704" s="1">
        <v>45215</v>
      </c>
      <c r="B704" s="2">
        <v>8.8888888888888892E-2</v>
      </c>
      <c r="C704" t="s">
        <v>1244</v>
      </c>
      <c r="D704">
        <v>59</v>
      </c>
      <c r="E704" t="s">
        <v>812</v>
      </c>
      <c r="F704" t="str">
        <f>_xlfn.XLOOKUP(_26_03_2026_Log_Reseau_v15[[#This Row],[Cell_ID]],_26_03_2026_Registre_Maintenance_v1[ID_Antenne],_26_03_2026_Registre_Maintenance_v1[zone],"pas trouvé")</f>
        <v>pas trouvé</v>
      </c>
      <c r="G704" t="str">
        <f>_xlfn.XLOOKUP(_26_03_2026_Log_Reseau_v15[[#This Row],[Cell_ID]],_26_03_2026_Registre_Maintenance_v1[ID_Antenne],_26_03_2026_Registre_Maintenance_v1[Latitude],"non trouvé")</f>
        <v>non trouvé</v>
      </c>
      <c r="H704" t="str">
        <f>_xlfn.XLOOKUP(_26_03_2026_Log_Reseau_v15[[#This Row],[Cell_ID]],_26_03_2026_Registre_Maintenance_v1[ID_Antenne],_26_03_2026_Registre_Maintenance_v1[Longitude],"pas trouvé")</f>
        <v>pas trouvé</v>
      </c>
      <c r="I704" t="str">
        <f>_xlfn.XLOOKUP(_26_03_2026_Log_Reseau_v15[[#This Row],[Cell_ID]],_26_03_2026_Registre_Maintenance_v1[ID_Antenne],_26_03_2026_Registre_Maintenance_v1[Technologie],"non trouvé")</f>
        <v>non trouvé</v>
      </c>
      <c r="J704" t="str">
        <f>_xlfn.XLOOKUP(_26_03_2026_Log_Reseau_v15[[#This Row],[Cell_ID]],_26_03_2026_Registre_Maintenance_v1[ID_Antenne],_26_03_2026_Registre_Maintenance_v1[Equipementier],"pas trouvé")</f>
        <v>pas trouvé</v>
      </c>
      <c r="K704" t="str">
        <f>_xlfn.XLOOKUP(_26_03_2026_Log_Reseau_v15[[#This Row],[province RDC]],_26_03_2026_Client_Churn_v1[Province_Client],_26_03_2026_Client_Churn_v1[ID_Client],"non trouvé")</f>
        <v>non trouvé</v>
      </c>
      <c r="L704" t="str">
        <f>_xlfn.XLOOKUP(_26_03_2026_Log_Reseau_v15[[#This Row],[province RDC]],_26_03_2026_Client_Churn_v1[Province_Client],_26_03_2026_Client_Churn_v1[Anciennete_Mois],"non trouvé")</f>
        <v>non trouvé</v>
      </c>
      <c r="M704" t="str">
        <f>_xlfn.XLOOKUP(_26_03_2026_Log_Reseau_v15[[#This Row],[province RDC]],_26_03_2026_Client_Churn_v1[Province_Client],_26_03_2026_Client_Churn_v1[Type_Forfait],"non trouvé")</f>
        <v>non trouvé</v>
      </c>
      <c r="N704" t="str">
        <f>_xlfn.XLOOKUP(_26_03_2026_Log_Reseau_v15[[#This Row],[province RDC]],_26_03_2026_Client_Churn_v1[Province_Client],_26_03_2026_Client_Churn_v1[Duree_Cumulee_Panne_Min],"non trouvé")</f>
        <v>non trouvé</v>
      </c>
      <c r="O704" t="str">
        <f>_xlfn.XLOOKUP(_26_03_2026_Log_Reseau_v15[[#This Row],[province RDC]],_26_03_2026_Client_Churn_v1[Province_Client],_26_03_2026_Client_Churn_v1[Facture_Mensuelle],"non trouvé")</f>
        <v>non trouvé</v>
      </c>
      <c r="P704" t="str">
        <f>_xlfn.XLOOKUP(_26_03_2026_Log_Reseau_v15[[#This Row],[province RDC]],_26_03_2026_Client_Churn_v1[Province_Client],_26_03_2026_Client_Churn_v1[Plaintes_Service_Client],"non trouvé")</f>
        <v>non trouvé</v>
      </c>
    </row>
    <row r="705" spans="1:16" hidden="1" x14ac:dyDescent="0.25">
      <c r="A705" s="1">
        <v>45221</v>
      </c>
      <c r="B705" s="2">
        <v>0.10625</v>
      </c>
      <c r="C705" t="s">
        <v>1245</v>
      </c>
      <c r="D705">
        <v>52</v>
      </c>
      <c r="E705" t="s">
        <v>812</v>
      </c>
      <c r="F705" t="str">
        <f>_xlfn.XLOOKUP(_26_03_2026_Log_Reseau_v15[[#This Row],[Cell_ID]],_26_03_2026_Registre_Maintenance_v1[ID_Antenne],_26_03_2026_Registre_Maintenance_v1[zone],"pas trouvé")</f>
        <v>pas trouvé</v>
      </c>
      <c r="G705" t="str">
        <f>_xlfn.XLOOKUP(_26_03_2026_Log_Reseau_v15[[#This Row],[Cell_ID]],_26_03_2026_Registre_Maintenance_v1[ID_Antenne],_26_03_2026_Registre_Maintenance_v1[Latitude],"non trouvé")</f>
        <v>non trouvé</v>
      </c>
      <c r="H705" t="str">
        <f>_xlfn.XLOOKUP(_26_03_2026_Log_Reseau_v15[[#This Row],[Cell_ID]],_26_03_2026_Registre_Maintenance_v1[ID_Antenne],_26_03_2026_Registre_Maintenance_v1[Longitude],"pas trouvé")</f>
        <v>pas trouvé</v>
      </c>
      <c r="I705" t="str">
        <f>_xlfn.XLOOKUP(_26_03_2026_Log_Reseau_v15[[#This Row],[Cell_ID]],_26_03_2026_Registre_Maintenance_v1[ID_Antenne],_26_03_2026_Registre_Maintenance_v1[Technologie],"non trouvé")</f>
        <v>non trouvé</v>
      </c>
      <c r="J705" t="str">
        <f>_xlfn.XLOOKUP(_26_03_2026_Log_Reseau_v15[[#This Row],[Cell_ID]],_26_03_2026_Registre_Maintenance_v1[ID_Antenne],_26_03_2026_Registre_Maintenance_v1[Equipementier],"pas trouvé")</f>
        <v>pas trouvé</v>
      </c>
      <c r="K705" t="str">
        <f>_xlfn.XLOOKUP(_26_03_2026_Log_Reseau_v15[[#This Row],[province RDC]],_26_03_2026_Client_Churn_v1[Province_Client],_26_03_2026_Client_Churn_v1[ID_Client],"non trouvé")</f>
        <v>non trouvé</v>
      </c>
      <c r="L705" t="str">
        <f>_xlfn.XLOOKUP(_26_03_2026_Log_Reseau_v15[[#This Row],[province RDC]],_26_03_2026_Client_Churn_v1[Province_Client],_26_03_2026_Client_Churn_v1[Anciennete_Mois],"non trouvé")</f>
        <v>non trouvé</v>
      </c>
      <c r="M705" t="str">
        <f>_xlfn.XLOOKUP(_26_03_2026_Log_Reseau_v15[[#This Row],[province RDC]],_26_03_2026_Client_Churn_v1[Province_Client],_26_03_2026_Client_Churn_v1[Type_Forfait],"non trouvé")</f>
        <v>non trouvé</v>
      </c>
      <c r="N705" t="str">
        <f>_xlfn.XLOOKUP(_26_03_2026_Log_Reseau_v15[[#This Row],[province RDC]],_26_03_2026_Client_Churn_v1[Province_Client],_26_03_2026_Client_Churn_v1[Duree_Cumulee_Panne_Min],"non trouvé")</f>
        <v>non trouvé</v>
      </c>
      <c r="O705" t="str">
        <f>_xlfn.XLOOKUP(_26_03_2026_Log_Reseau_v15[[#This Row],[province RDC]],_26_03_2026_Client_Churn_v1[Province_Client],_26_03_2026_Client_Churn_v1[Facture_Mensuelle],"non trouvé")</f>
        <v>non trouvé</v>
      </c>
      <c r="P705" t="str">
        <f>_xlfn.XLOOKUP(_26_03_2026_Log_Reseau_v15[[#This Row],[province RDC]],_26_03_2026_Client_Churn_v1[Province_Client],_26_03_2026_Client_Churn_v1[Plaintes_Service_Client],"non trouvé")</f>
        <v>non trouvé</v>
      </c>
    </row>
    <row r="706" spans="1:16" hidden="1" x14ac:dyDescent="0.25">
      <c r="A706" s="1">
        <v>45227</v>
      </c>
      <c r="B706" s="2">
        <v>0.48472222222222222</v>
      </c>
      <c r="C706" t="s">
        <v>1245</v>
      </c>
      <c r="D706">
        <v>24</v>
      </c>
      <c r="E706" t="s">
        <v>808</v>
      </c>
      <c r="F706" t="str">
        <f>_xlfn.XLOOKUP(_26_03_2026_Log_Reseau_v15[[#This Row],[Cell_ID]],_26_03_2026_Registre_Maintenance_v1[ID_Antenne],_26_03_2026_Registre_Maintenance_v1[zone],"pas trouvé")</f>
        <v>pas trouvé</v>
      </c>
      <c r="G706" t="str">
        <f>_xlfn.XLOOKUP(_26_03_2026_Log_Reseau_v15[[#This Row],[Cell_ID]],_26_03_2026_Registre_Maintenance_v1[ID_Antenne],_26_03_2026_Registre_Maintenance_v1[Latitude],"non trouvé")</f>
        <v>non trouvé</v>
      </c>
      <c r="H706" t="str">
        <f>_xlfn.XLOOKUP(_26_03_2026_Log_Reseau_v15[[#This Row],[Cell_ID]],_26_03_2026_Registre_Maintenance_v1[ID_Antenne],_26_03_2026_Registre_Maintenance_v1[Longitude],"pas trouvé")</f>
        <v>pas trouvé</v>
      </c>
      <c r="I706" t="str">
        <f>_xlfn.XLOOKUP(_26_03_2026_Log_Reseau_v15[[#This Row],[Cell_ID]],_26_03_2026_Registre_Maintenance_v1[ID_Antenne],_26_03_2026_Registre_Maintenance_v1[Technologie],"non trouvé")</f>
        <v>non trouvé</v>
      </c>
      <c r="J706" t="str">
        <f>_xlfn.XLOOKUP(_26_03_2026_Log_Reseau_v15[[#This Row],[Cell_ID]],_26_03_2026_Registre_Maintenance_v1[ID_Antenne],_26_03_2026_Registre_Maintenance_v1[Equipementier],"pas trouvé")</f>
        <v>pas trouvé</v>
      </c>
      <c r="K706" t="str">
        <f>_xlfn.XLOOKUP(_26_03_2026_Log_Reseau_v15[[#This Row],[province RDC]],_26_03_2026_Client_Churn_v1[Province_Client],_26_03_2026_Client_Churn_v1[ID_Client],"non trouvé")</f>
        <v>non trouvé</v>
      </c>
      <c r="L706" t="str">
        <f>_xlfn.XLOOKUP(_26_03_2026_Log_Reseau_v15[[#This Row],[province RDC]],_26_03_2026_Client_Churn_v1[Province_Client],_26_03_2026_Client_Churn_v1[Anciennete_Mois],"non trouvé")</f>
        <v>non trouvé</v>
      </c>
      <c r="M706" t="str">
        <f>_xlfn.XLOOKUP(_26_03_2026_Log_Reseau_v15[[#This Row],[province RDC]],_26_03_2026_Client_Churn_v1[Province_Client],_26_03_2026_Client_Churn_v1[Type_Forfait],"non trouvé")</f>
        <v>non trouvé</v>
      </c>
      <c r="N706" t="str">
        <f>_xlfn.XLOOKUP(_26_03_2026_Log_Reseau_v15[[#This Row],[province RDC]],_26_03_2026_Client_Churn_v1[Province_Client],_26_03_2026_Client_Churn_v1[Duree_Cumulee_Panne_Min],"non trouvé")</f>
        <v>non trouvé</v>
      </c>
      <c r="O706" t="str">
        <f>_xlfn.XLOOKUP(_26_03_2026_Log_Reseau_v15[[#This Row],[province RDC]],_26_03_2026_Client_Churn_v1[Province_Client],_26_03_2026_Client_Churn_v1[Facture_Mensuelle],"non trouvé")</f>
        <v>non trouvé</v>
      </c>
      <c r="P706" t="str">
        <f>_xlfn.XLOOKUP(_26_03_2026_Log_Reseau_v15[[#This Row],[province RDC]],_26_03_2026_Client_Churn_v1[Province_Client],_26_03_2026_Client_Churn_v1[Plaintes_Service_Client],"non trouvé")</f>
        <v>non trouvé</v>
      </c>
    </row>
    <row r="707" spans="1:16" hidden="1" x14ac:dyDescent="0.25">
      <c r="A707" s="1">
        <v>45211</v>
      </c>
      <c r="B707" s="2">
        <v>0.90833333333333333</v>
      </c>
      <c r="C707" t="s">
        <v>1246</v>
      </c>
      <c r="D707">
        <v>32</v>
      </c>
      <c r="E707" t="s">
        <v>808</v>
      </c>
      <c r="F707" t="str">
        <f>_xlfn.XLOOKUP(_26_03_2026_Log_Reseau_v15[[#This Row],[Cell_ID]],_26_03_2026_Registre_Maintenance_v1[ID_Antenne],_26_03_2026_Registre_Maintenance_v1[zone],"pas trouvé")</f>
        <v>pas trouvé</v>
      </c>
      <c r="G707" t="str">
        <f>_xlfn.XLOOKUP(_26_03_2026_Log_Reseau_v15[[#This Row],[Cell_ID]],_26_03_2026_Registre_Maintenance_v1[ID_Antenne],_26_03_2026_Registre_Maintenance_v1[Latitude],"non trouvé")</f>
        <v>non trouvé</v>
      </c>
      <c r="H707" t="str">
        <f>_xlfn.XLOOKUP(_26_03_2026_Log_Reseau_v15[[#This Row],[Cell_ID]],_26_03_2026_Registre_Maintenance_v1[ID_Antenne],_26_03_2026_Registre_Maintenance_v1[Longitude],"pas trouvé")</f>
        <v>pas trouvé</v>
      </c>
      <c r="I707" t="str">
        <f>_xlfn.XLOOKUP(_26_03_2026_Log_Reseau_v15[[#This Row],[Cell_ID]],_26_03_2026_Registre_Maintenance_v1[ID_Antenne],_26_03_2026_Registre_Maintenance_v1[Technologie],"non trouvé")</f>
        <v>non trouvé</v>
      </c>
      <c r="J707" t="str">
        <f>_xlfn.XLOOKUP(_26_03_2026_Log_Reseau_v15[[#This Row],[Cell_ID]],_26_03_2026_Registre_Maintenance_v1[ID_Antenne],_26_03_2026_Registre_Maintenance_v1[Equipementier],"pas trouvé")</f>
        <v>pas trouvé</v>
      </c>
      <c r="K707" t="str">
        <f>_xlfn.XLOOKUP(_26_03_2026_Log_Reseau_v15[[#This Row],[province RDC]],_26_03_2026_Client_Churn_v1[Province_Client],_26_03_2026_Client_Churn_v1[ID_Client],"non trouvé")</f>
        <v>non trouvé</v>
      </c>
      <c r="L707" t="str">
        <f>_xlfn.XLOOKUP(_26_03_2026_Log_Reseau_v15[[#This Row],[province RDC]],_26_03_2026_Client_Churn_v1[Province_Client],_26_03_2026_Client_Churn_v1[Anciennete_Mois],"non trouvé")</f>
        <v>non trouvé</v>
      </c>
      <c r="M707" t="str">
        <f>_xlfn.XLOOKUP(_26_03_2026_Log_Reseau_v15[[#This Row],[province RDC]],_26_03_2026_Client_Churn_v1[Province_Client],_26_03_2026_Client_Churn_v1[Type_Forfait],"non trouvé")</f>
        <v>non trouvé</v>
      </c>
      <c r="N707" t="str">
        <f>_xlfn.XLOOKUP(_26_03_2026_Log_Reseau_v15[[#This Row],[province RDC]],_26_03_2026_Client_Churn_v1[Province_Client],_26_03_2026_Client_Churn_v1[Duree_Cumulee_Panne_Min],"non trouvé")</f>
        <v>non trouvé</v>
      </c>
      <c r="O707" t="str">
        <f>_xlfn.XLOOKUP(_26_03_2026_Log_Reseau_v15[[#This Row],[province RDC]],_26_03_2026_Client_Churn_v1[Province_Client],_26_03_2026_Client_Churn_v1[Facture_Mensuelle],"non trouvé")</f>
        <v>non trouvé</v>
      </c>
      <c r="P707" t="str">
        <f>_xlfn.XLOOKUP(_26_03_2026_Log_Reseau_v15[[#This Row],[province RDC]],_26_03_2026_Client_Churn_v1[Province_Client],_26_03_2026_Client_Churn_v1[Plaintes_Service_Client],"non trouvé")</f>
        <v>non trouvé</v>
      </c>
    </row>
    <row r="708" spans="1:16" hidden="1" x14ac:dyDescent="0.25">
      <c r="A708" s="1">
        <v>45212</v>
      </c>
      <c r="B708" s="2">
        <v>0.20069444444444445</v>
      </c>
      <c r="C708" t="s">
        <v>1246</v>
      </c>
      <c r="D708">
        <v>82</v>
      </c>
      <c r="E708" t="s">
        <v>807</v>
      </c>
      <c r="F708" t="str">
        <f>_xlfn.XLOOKUP(_26_03_2026_Log_Reseau_v15[[#This Row],[Cell_ID]],_26_03_2026_Registre_Maintenance_v1[ID_Antenne],_26_03_2026_Registre_Maintenance_v1[zone],"pas trouvé")</f>
        <v>pas trouvé</v>
      </c>
      <c r="G708" t="str">
        <f>_xlfn.XLOOKUP(_26_03_2026_Log_Reseau_v15[[#This Row],[Cell_ID]],_26_03_2026_Registre_Maintenance_v1[ID_Antenne],_26_03_2026_Registre_Maintenance_v1[Latitude],"non trouvé")</f>
        <v>non trouvé</v>
      </c>
      <c r="H708" t="str">
        <f>_xlfn.XLOOKUP(_26_03_2026_Log_Reseau_v15[[#This Row],[Cell_ID]],_26_03_2026_Registre_Maintenance_v1[ID_Antenne],_26_03_2026_Registre_Maintenance_v1[Longitude],"pas trouvé")</f>
        <v>pas trouvé</v>
      </c>
      <c r="I708" t="str">
        <f>_xlfn.XLOOKUP(_26_03_2026_Log_Reseau_v15[[#This Row],[Cell_ID]],_26_03_2026_Registre_Maintenance_v1[ID_Antenne],_26_03_2026_Registre_Maintenance_v1[Technologie],"non trouvé")</f>
        <v>non trouvé</v>
      </c>
      <c r="J708" t="str">
        <f>_xlfn.XLOOKUP(_26_03_2026_Log_Reseau_v15[[#This Row],[Cell_ID]],_26_03_2026_Registre_Maintenance_v1[ID_Antenne],_26_03_2026_Registre_Maintenance_v1[Equipementier],"pas trouvé")</f>
        <v>pas trouvé</v>
      </c>
      <c r="K708" t="str">
        <f>_xlfn.XLOOKUP(_26_03_2026_Log_Reseau_v15[[#This Row],[province RDC]],_26_03_2026_Client_Churn_v1[Province_Client],_26_03_2026_Client_Churn_v1[ID_Client],"non trouvé")</f>
        <v>non trouvé</v>
      </c>
      <c r="L708" t="str">
        <f>_xlfn.XLOOKUP(_26_03_2026_Log_Reseau_v15[[#This Row],[province RDC]],_26_03_2026_Client_Churn_v1[Province_Client],_26_03_2026_Client_Churn_v1[Anciennete_Mois],"non trouvé")</f>
        <v>non trouvé</v>
      </c>
      <c r="M708" t="str">
        <f>_xlfn.XLOOKUP(_26_03_2026_Log_Reseau_v15[[#This Row],[province RDC]],_26_03_2026_Client_Churn_v1[Province_Client],_26_03_2026_Client_Churn_v1[Type_Forfait],"non trouvé")</f>
        <v>non trouvé</v>
      </c>
      <c r="N708" t="str">
        <f>_xlfn.XLOOKUP(_26_03_2026_Log_Reseau_v15[[#This Row],[province RDC]],_26_03_2026_Client_Churn_v1[Province_Client],_26_03_2026_Client_Churn_v1[Duree_Cumulee_Panne_Min],"non trouvé")</f>
        <v>non trouvé</v>
      </c>
      <c r="O708" t="str">
        <f>_xlfn.XLOOKUP(_26_03_2026_Log_Reseau_v15[[#This Row],[province RDC]],_26_03_2026_Client_Churn_v1[Province_Client],_26_03_2026_Client_Churn_v1[Facture_Mensuelle],"non trouvé")</f>
        <v>non trouvé</v>
      </c>
      <c r="P708" t="str">
        <f>_xlfn.XLOOKUP(_26_03_2026_Log_Reseau_v15[[#This Row],[province RDC]],_26_03_2026_Client_Churn_v1[Province_Client],_26_03_2026_Client_Churn_v1[Plaintes_Service_Client],"non trouvé")</f>
        <v>non trouvé</v>
      </c>
    </row>
    <row r="709" spans="1:16" hidden="1" x14ac:dyDescent="0.25">
      <c r="A709" s="1">
        <v>45219</v>
      </c>
      <c r="B709" s="2">
        <v>0.92013888888888884</v>
      </c>
      <c r="C709" t="s">
        <v>1247</v>
      </c>
      <c r="D709">
        <v>91</v>
      </c>
      <c r="E709" t="s">
        <v>812</v>
      </c>
      <c r="F709" t="str">
        <f>_xlfn.XLOOKUP(_26_03_2026_Log_Reseau_v15[[#This Row],[Cell_ID]],_26_03_2026_Registre_Maintenance_v1[ID_Antenne],_26_03_2026_Registre_Maintenance_v1[zone],"pas trouvé")</f>
        <v>pas trouvé</v>
      </c>
      <c r="G709" t="str">
        <f>_xlfn.XLOOKUP(_26_03_2026_Log_Reseau_v15[[#This Row],[Cell_ID]],_26_03_2026_Registre_Maintenance_v1[ID_Antenne],_26_03_2026_Registre_Maintenance_v1[Latitude],"non trouvé")</f>
        <v>non trouvé</v>
      </c>
      <c r="H709" t="str">
        <f>_xlfn.XLOOKUP(_26_03_2026_Log_Reseau_v15[[#This Row],[Cell_ID]],_26_03_2026_Registre_Maintenance_v1[ID_Antenne],_26_03_2026_Registre_Maintenance_v1[Longitude],"pas trouvé")</f>
        <v>pas trouvé</v>
      </c>
      <c r="I709" t="str">
        <f>_xlfn.XLOOKUP(_26_03_2026_Log_Reseau_v15[[#This Row],[Cell_ID]],_26_03_2026_Registre_Maintenance_v1[ID_Antenne],_26_03_2026_Registre_Maintenance_v1[Technologie],"non trouvé")</f>
        <v>non trouvé</v>
      </c>
      <c r="J709" t="str">
        <f>_xlfn.XLOOKUP(_26_03_2026_Log_Reseau_v15[[#This Row],[Cell_ID]],_26_03_2026_Registre_Maintenance_v1[ID_Antenne],_26_03_2026_Registre_Maintenance_v1[Equipementier],"pas trouvé")</f>
        <v>pas trouvé</v>
      </c>
      <c r="K709" t="str">
        <f>_xlfn.XLOOKUP(_26_03_2026_Log_Reseau_v15[[#This Row],[province RDC]],_26_03_2026_Client_Churn_v1[Province_Client],_26_03_2026_Client_Churn_v1[ID_Client],"non trouvé")</f>
        <v>non trouvé</v>
      </c>
      <c r="L709" t="str">
        <f>_xlfn.XLOOKUP(_26_03_2026_Log_Reseau_v15[[#This Row],[province RDC]],_26_03_2026_Client_Churn_v1[Province_Client],_26_03_2026_Client_Churn_v1[Anciennete_Mois],"non trouvé")</f>
        <v>non trouvé</v>
      </c>
      <c r="M709" t="str">
        <f>_xlfn.XLOOKUP(_26_03_2026_Log_Reseau_v15[[#This Row],[province RDC]],_26_03_2026_Client_Churn_v1[Province_Client],_26_03_2026_Client_Churn_v1[Type_Forfait],"non trouvé")</f>
        <v>non trouvé</v>
      </c>
      <c r="N709" t="str">
        <f>_xlfn.XLOOKUP(_26_03_2026_Log_Reseau_v15[[#This Row],[province RDC]],_26_03_2026_Client_Churn_v1[Province_Client],_26_03_2026_Client_Churn_v1[Duree_Cumulee_Panne_Min],"non trouvé")</f>
        <v>non trouvé</v>
      </c>
      <c r="O709" t="str">
        <f>_xlfn.XLOOKUP(_26_03_2026_Log_Reseau_v15[[#This Row],[province RDC]],_26_03_2026_Client_Churn_v1[Province_Client],_26_03_2026_Client_Churn_v1[Facture_Mensuelle],"non trouvé")</f>
        <v>non trouvé</v>
      </c>
      <c r="P709" t="str">
        <f>_xlfn.XLOOKUP(_26_03_2026_Log_Reseau_v15[[#This Row],[province RDC]],_26_03_2026_Client_Churn_v1[Province_Client],_26_03_2026_Client_Churn_v1[Plaintes_Service_Client],"non trouvé")</f>
        <v>non trouvé</v>
      </c>
    </row>
    <row r="710" spans="1:16" hidden="1" x14ac:dyDescent="0.25">
      <c r="A710" s="1">
        <v>45208</v>
      </c>
      <c r="B710" s="2">
        <v>0.71111111111111114</v>
      </c>
      <c r="C710" t="s">
        <v>1248</v>
      </c>
      <c r="D710">
        <v>75</v>
      </c>
      <c r="E710" t="s">
        <v>808</v>
      </c>
      <c r="F710" t="str">
        <f>_xlfn.XLOOKUP(_26_03_2026_Log_Reseau_v15[[#This Row],[Cell_ID]],_26_03_2026_Registre_Maintenance_v1[ID_Antenne],_26_03_2026_Registre_Maintenance_v1[zone],"pas trouvé")</f>
        <v>pas trouvé</v>
      </c>
      <c r="G710" t="str">
        <f>_xlfn.XLOOKUP(_26_03_2026_Log_Reseau_v15[[#This Row],[Cell_ID]],_26_03_2026_Registre_Maintenance_v1[ID_Antenne],_26_03_2026_Registre_Maintenance_v1[Latitude],"non trouvé")</f>
        <v>non trouvé</v>
      </c>
      <c r="H710" t="str">
        <f>_xlfn.XLOOKUP(_26_03_2026_Log_Reseau_v15[[#This Row],[Cell_ID]],_26_03_2026_Registre_Maintenance_v1[ID_Antenne],_26_03_2026_Registre_Maintenance_v1[Longitude],"pas trouvé")</f>
        <v>pas trouvé</v>
      </c>
      <c r="I710" t="str">
        <f>_xlfn.XLOOKUP(_26_03_2026_Log_Reseau_v15[[#This Row],[Cell_ID]],_26_03_2026_Registre_Maintenance_v1[ID_Antenne],_26_03_2026_Registre_Maintenance_v1[Technologie],"non trouvé")</f>
        <v>non trouvé</v>
      </c>
      <c r="J710" t="str">
        <f>_xlfn.XLOOKUP(_26_03_2026_Log_Reseau_v15[[#This Row],[Cell_ID]],_26_03_2026_Registre_Maintenance_v1[ID_Antenne],_26_03_2026_Registre_Maintenance_v1[Equipementier],"pas trouvé")</f>
        <v>pas trouvé</v>
      </c>
      <c r="K710" t="str">
        <f>_xlfn.XLOOKUP(_26_03_2026_Log_Reseau_v15[[#This Row],[province RDC]],_26_03_2026_Client_Churn_v1[Province_Client],_26_03_2026_Client_Churn_v1[ID_Client],"non trouvé")</f>
        <v>non trouvé</v>
      </c>
      <c r="L710" t="str">
        <f>_xlfn.XLOOKUP(_26_03_2026_Log_Reseau_v15[[#This Row],[province RDC]],_26_03_2026_Client_Churn_v1[Province_Client],_26_03_2026_Client_Churn_v1[Anciennete_Mois],"non trouvé")</f>
        <v>non trouvé</v>
      </c>
      <c r="M710" t="str">
        <f>_xlfn.XLOOKUP(_26_03_2026_Log_Reseau_v15[[#This Row],[province RDC]],_26_03_2026_Client_Churn_v1[Province_Client],_26_03_2026_Client_Churn_v1[Type_Forfait],"non trouvé")</f>
        <v>non trouvé</v>
      </c>
      <c r="N710" t="str">
        <f>_xlfn.XLOOKUP(_26_03_2026_Log_Reseau_v15[[#This Row],[province RDC]],_26_03_2026_Client_Churn_v1[Province_Client],_26_03_2026_Client_Churn_v1[Duree_Cumulee_Panne_Min],"non trouvé")</f>
        <v>non trouvé</v>
      </c>
      <c r="O710" t="str">
        <f>_xlfn.XLOOKUP(_26_03_2026_Log_Reseau_v15[[#This Row],[province RDC]],_26_03_2026_Client_Churn_v1[Province_Client],_26_03_2026_Client_Churn_v1[Facture_Mensuelle],"non trouvé")</f>
        <v>non trouvé</v>
      </c>
      <c r="P710" t="str">
        <f>_xlfn.XLOOKUP(_26_03_2026_Log_Reseau_v15[[#This Row],[province RDC]],_26_03_2026_Client_Churn_v1[Province_Client],_26_03_2026_Client_Churn_v1[Plaintes_Service_Client],"non trouvé")</f>
        <v>non trouvé</v>
      </c>
    </row>
    <row r="711" spans="1:16" hidden="1" x14ac:dyDescent="0.25">
      <c r="A711" s="1">
        <v>45203</v>
      </c>
      <c r="B711" s="2">
        <v>0.47708333333333336</v>
      </c>
      <c r="C711" t="s">
        <v>1248</v>
      </c>
      <c r="D711">
        <v>93</v>
      </c>
      <c r="E711" t="s">
        <v>808</v>
      </c>
      <c r="F711" t="str">
        <f>_xlfn.XLOOKUP(_26_03_2026_Log_Reseau_v15[[#This Row],[Cell_ID]],_26_03_2026_Registre_Maintenance_v1[ID_Antenne],_26_03_2026_Registre_Maintenance_v1[zone],"pas trouvé")</f>
        <v>pas trouvé</v>
      </c>
      <c r="G711" t="str">
        <f>_xlfn.XLOOKUP(_26_03_2026_Log_Reseau_v15[[#This Row],[Cell_ID]],_26_03_2026_Registre_Maintenance_v1[ID_Antenne],_26_03_2026_Registre_Maintenance_v1[Latitude],"non trouvé")</f>
        <v>non trouvé</v>
      </c>
      <c r="H711" t="str">
        <f>_xlfn.XLOOKUP(_26_03_2026_Log_Reseau_v15[[#This Row],[Cell_ID]],_26_03_2026_Registre_Maintenance_v1[ID_Antenne],_26_03_2026_Registre_Maintenance_v1[Longitude],"pas trouvé")</f>
        <v>pas trouvé</v>
      </c>
      <c r="I711" t="str">
        <f>_xlfn.XLOOKUP(_26_03_2026_Log_Reseau_v15[[#This Row],[Cell_ID]],_26_03_2026_Registre_Maintenance_v1[ID_Antenne],_26_03_2026_Registre_Maintenance_v1[Technologie],"non trouvé")</f>
        <v>non trouvé</v>
      </c>
      <c r="J711" t="str">
        <f>_xlfn.XLOOKUP(_26_03_2026_Log_Reseau_v15[[#This Row],[Cell_ID]],_26_03_2026_Registre_Maintenance_v1[ID_Antenne],_26_03_2026_Registre_Maintenance_v1[Equipementier],"pas trouvé")</f>
        <v>pas trouvé</v>
      </c>
      <c r="K711" t="str">
        <f>_xlfn.XLOOKUP(_26_03_2026_Log_Reseau_v15[[#This Row],[province RDC]],_26_03_2026_Client_Churn_v1[Province_Client],_26_03_2026_Client_Churn_v1[ID_Client],"non trouvé")</f>
        <v>non trouvé</v>
      </c>
      <c r="L711" t="str">
        <f>_xlfn.XLOOKUP(_26_03_2026_Log_Reseau_v15[[#This Row],[province RDC]],_26_03_2026_Client_Churn_v1[Province_Client],_26_03_2026_Client_Churn_v1[Anciennete_Mois],"non trouvé")</f>
        <v>non trouvé</v>
      </c>
      <c r="M711" t="str">
        <f>_xlfn.XLOOKUP(_26_03_2026_Log_Reseau_v15[[#This Row],[province RDC]],_26_03_2026_Client_Churn_v1[Province_Client],_26_03_2026_Client_Churn_v1[Type_Forfait],"non trouvé")</f>
        <v>non trouvé</v>
      </c>
      <c r="N711" t="str">
        <f>_xlfn.XLOOKUP(_26_03_2026_Log_Reseau_v15[[#This Row],[province RDC]],_26_03_2026_Client_Churn_v1[Province_Client],_26_03_2026_Client_Churn_v1[Duree_Cumulee_Panne_Min],"non trouvé")</f>
        <v>non trouvé</v>
      </c>
      <c r="O711" t="str">
        <f>_xlfn.XLOOKUP(_26_03_2026_Log_Reseau_v15[[#This Row],[province RDC]],_26_03_2026_Client_Churn_v1[Province_Client],_26_03_2026_Client_Churn_v1[Facture_Mensuelle],"non trouvé")</f>
        <v>non trouvé</v>
      </c>
      <c r="P711" t="str">
        <f>_xlfn.XLOOKUP(_26_03_2026_Log_Reseau_v15[[#This Row],[province RDC]],_26_03_2026_Client_Churn_v1[Province_Client],_26_03_2026_Client_Churn_v1[Plaintes_Service_Client],"non trouvé")</f>
        <v>non trouvé</v>
      </c>
    </row>
    <row r="712" spans="1:16" x14ac:dyDescent="0.25">
      <c r="A712" s="1">
        <v>45229</v>
      </c>
      <c r="B712" s="2">
        <v>0.72291666666666665</v>
      </c>
      <c r="C712" t="s">
        <v>1249</v>
      </c>
      <c r="D712">
        <v>76</v>
      </c>
      <c r="E712" t="s">
        <v>808</v>
      </c>
      <c r="F712" t="str">
        <f>_xlfn.XLOOKUP(_26_03_2026_Log_Reseau_v15[[#This Row],[Cell_ID]],_26_03_2026_Registre_Maintenance_v1[ID_Antenne],_26_03_2026_Registre_Maintenance_v1[zone],"pas trouvé")</f>
        <v>Nord-Ubangi</v>
      </c>
      <c r="G712">
        <f>_xlfn.XLOOKUP(_26_03_2026_Log_Reseau_v15[[#This Row],[Cell_ID]],_26_03_2026_Registre_Maintenance_v1[ID_Antenne],_26_03_2026_Registre_Maintenance_v1[Latitude],"non trouvé")</f>
        <v>-1.342476</v>
      </c>
      <c r="H712">
        <f>_xlfn.XLOOKUP(_26_03_2026_Log_Reseau_v15[[#This Row],[Cell_ID]],_26_03_2026_Registre_Maintenance_v1[ID_Antenne],_26_03_2026_Registre_Maintenance_v1[Longitude],"pas trouvé")</f>
        <v>15.986086</v>
      </c>
      <c r="I712" t="str">
        <f>_xlfn.XLOOKUP(_26_03_2026_Log_Reseau_v15[[#This Row],[Cell_ID]],_26_03_2026_Registre_Maintenance_v1[ID_Antenne],_26_03_2026_Registre_Maintenance_v1[Technologie],"non trouvé")</f>
        <v>4G</v>
      </c>
      <c r="J712" t="str">
        <f>_xlfn.XLOOKUP(_26_03_2026_Log_Reseau_v15[[#This Row],[Cell_ID]],_26_03_2026_Registre_Maintenance_v1[ID_Antenne],_26_03_2026_Registre_Maintenance_v1[Equipementier],"pas trouvé")</f>
        <v>Ericsson</v>
      </c>
      <c r="K712" t="str">
        <f>_xlfn.XLOOKUP(_26_03_2026_Log_Reseau_v15[[#This Row],[province RDC]],_26_03_2026_Client_Churn_v1[Province_Client],_26_03_2026_Client_Churn_v1[ID_Client],"non trouvé")</f>
        <v>CLI-01170</v>
      </c>
      <c r="L712">
        <f>_xlfn.XLOOKUP(_26_03_2026_Log_Reseau_v15[[#This Row],[province RDC]],_26_03_2026_Client_Churn_v1[Province_Client],_26_03_2026_Client_Churn_v1[Anciennete_Mois],"non trouvé")</f>
        <v>98</v>
      </c>
      <c r="M712" t="str">
        <f>_xlfn.XLOOKUP(_26_03_2026_Log_Reseau_v15[[#This Row],[province RDC]],_26_03_2026_Client_Churn_v1[Province_Client],_26_03_2026_Client_Churn_v1[Type_Forfait],"non trouvé")</f>
        <v>Pro Monde</v>
      </c>
      <c r="N712">
        <f>_xlfn.XLOOKUP(_26_03_2026_Log_Reseau_v15[[#This Row],[province RDC]],_26_03_2026_Client_Churn_v1[Province_Client],_26_03_2026_Client_Churn_v1[Duree_Cumulee_Panne_Min],"non trouvé")</f>
        <v>482</v>
      </c>
      <c r="O712">
        <f>_xlfn.XLOOKUP(_26_03_2026_Log_Reseau_v15[[#This Row],[province RDC]],_26_03_2026_Client_Churn_v1[Province_Client],_26_03_2026_Client_Churn_v1[Facture_Mensuelle],"non trouvé")</f>
        <v>55.04</v>
      </c>
      <c r="P712">
        <f>_xlfn.XLOOKUP(_26_03_2026_Log_Reseau_v15[[#This Row],[province RDC]],_26_03_2026_Client_Churn_v1[Province_Client],_26_03_2026_Client_Churn_v1[Plaintes_Service_Client],"non trouvé")</f>
        <v>5</v>
      </c>
    </row>
    <row r="713" spans="1:16" x14ac:dyDescent="0.25">
      <c r="A713" s="1">
        <v>45227</v>
      </c>
      <c r="B713" s="2">
        <v>0.58750000000000002</v>
      </c>
      <c r="C713" t="s">
        <v>1249</v>
      </c>
      <c r="D713">
        <v>50</v>
      </c>
      <c r="E713" t="s">
        <v>808</v>
      </c>
      <c r="F713" t="str">
        <f>_xlfn.XLOOKUP(_26_03_2026_Log_Reseau_v15[[#This Row],[Cell_ID]],_26_03_2026_Registre_Maintenance_v1[ID_Antenne],_26_03_2026_Registre_Maintenance_v1[zone],"pas trouvé")</f>
        <v>Nord-Ubangi</v>
      </c>
      <c r="G713">
        <f>_xlfn.XLOOKUP(_26_03_2026_Log_Reseau_v15[[#This Row],[Cell_ID]],_26_03_2026_Registre_Maintenance_v1[ID_Antenne],_26_03_2026_Registre_Maintenance_v1[Latitude],"non trouvé")</f>
        <v>-1.342476</v>
      </c>
      <c r="H713">
        <f>_xlfn.XLOOKUP(_26_03_2026_Log_Reseau_v15[[#This Row],[Cell_ID]],_26_03_2026_Registre_Maintenance_v1[ID_Antenne],_26_03_2026_Registre_Maintenance_v1[Longitude],"pas trouvé")</f>
        <v>15.986086</v>
      </c>
      <c r="I713" t="str">
        <f>_xlfn.XLOOKUP(_26_03_2026_Log_Reseau_v15[[#This Row],[Cell_ID]],_26_03_2026_Registre_Maintenance_v1[ID_Antenne],_26_03_2026_Registre_Maintenance_v1[Technologie],"non trouvé")</f>
        <v>4G</v>
      </c>
      <c r="J713" t="str">
        <f>_xlfn.XLOOKUP(_26_03_2026_Log_Reseau_v15[[#This Row],[Cell_ID]],_26_03_2026_Registre_Maintenance_v1[ID_Antenne],_26_03_2026_Registre_Maintenance_v1[Equipementier],"pas trouvé")</f>
        <v>Ericsson</v>
      </c>
      <c r="K713" t="str">
        <f>_xlfn.XLOOKUP(_26_03_2026_Log_Reseau_v15[[#This Row],[province RDC]],_26_03_2026_Client_Churn_v1[Province_Client],_26_03_2026_Client_Churn_v1[ID_Client],"non trouvé")</f>
        <v>CLI-01170</v>
      </c>
      <c r="L713">
        <f>_xlfn.XLOOKUP(_26_03_2026_Log_Reseau_v15[[#This Row],[province RDC]],_26_03_2026_Client_Churn_v1[Province_Client],_26_03_2026_Client_Churn_v1[Anciennete_Mois],"non trouvé")</f>
        <v>98</v>
      </c>
      <c r="M713" t="str">
        <f>_xlfn.XLOOKUP(_26_03_2026_Log_Reseau_v15[[#This Row],[province RDC]],_26_03_2026_Client_Churn_v1[Province_Client],_26_03_2026_Client_Churn_v1[Type_Forfait],"non trouvé")</f>
        <v>Pro Monde</v>
      </c>
      <c r="N713">
        <f>_xlfn.XLOOKUP(_26_03_2026_Log_Reseau_v15[[#This Row],[province RDC]],_26_03_2026_Client_Churn_v1[Province_Client],_26_03_2026_Client_Churn_v1[Duree_Cumulee_Panne_Min],"non trouvé")</f>
        <v>482</v>
      </c>
      <c r="O713">
        <f>_xlfn.XLOOKUP(_26_03_2026_Log_Reseau_v15[[#This Row],[province RDC]],_26_03_2026_Client_Churn_v1[Province_Client],_26_03_2026_Client_Churn_v1[Facture_Mensuelle],"non trouvé")</f>
        <v>55.04</v>
      </c>
      <c r="P713">
        <f>_xlfn.XLOOKUP(_26_03_2026_Log_Reseau_v15[[#This Row],[province RDC]],_26_03_2026_Client_Churn_v1[Province_Client],_26_03_2026_Client_Churn_v1[Plaintes_Service_Client],"non trouvé")</f>
        <v>5</v>
      </c>
    </row>
    <row r="714" spans="1:16" x14ac:dyDescent="0.25">
      <c r="A714" s="1">
        <v>45204</v>
      </c>
      <c r="B714" s="2">
        <v>0.29722222222222222</v>
      </c>
      <c r="C714" t="s">
        <v>1249</v>
      </c>
      <c r="D714">
        <v>111</v>
      </c>
      <c r="E714" t="s">
        <v>808</v>
      </c>
      <c r="F714" t="str">
        <f>_xlfn.XLOOKUP(_26_03_2026_Log_Reseau_v15[[#This Row],[Cell_ID]],_26_03_2026_Registre_Maintenance_v1[ID_Antenne],_26_03_2026_Registre_Maintenance_v1[zone],"pas trouvé")</f>
        <v>Nord-Ubangi</v>
      </c>
      <c r="G714">
        <f>_xlfn.XLOOKUP(_26_03_2026_Log_Reseau_v15[[#This Row],[Cell_ID]],_26_03_2026_Registre_Maintenance_v1[ID_Antenne],_26_03_2026_Registre_Maintenance_v1[Latitude],"non trouvé")</f>
        <v>-1.342476</v>
      </c>
      <c r="H714">
        <f>_xlfn.XLOOKUP(_26_03_2026_Log_Reseau_v15[[#This Row],[Cell_ID]],_26_03_2026_Registre_Maintenance_v1[ID_Antenne],_26_03_2026_Registre_Maintenance_v1[Longitude],"pas trouvé")</f>
        <v>15.986086</v>
      </c>
      <c r="I714" t="str">
        <f>_xlfn.XLOOKUP(_26_03_2026_Log_Reseau_v15[[#This Row],[Cell_ID]],_26_03_2026_Registre_Maintenance_v1[ID_Antenne],_26_03_2026_Registre_Maintenance_v1[Technologie],"non trouvé")</f>
        <v>4G</v>
      </c>
      <c r="J714" t="str">
        <f>_xlfn.XLOOKUP(_26_03_2026_Log_Reseau_v15[[#This Row],[Cell_ID]],_26_03_2026_Registre_Maintenance_v1[ID_Antenne],_26_03_2026_Registre_Maintenance_v1[Equipementier],"pas trouvé")</f>
        <v>Ericsson</v>
      </c>
      <c r="K714" t="str">
        <f>_xlfn.XLOOKUP(_26_03_2026_Log_Reseau_v15[[#This Row],[province RDC]],_26_03_2026_Client_Churn_v1[Province_Client],_26_03_2026_Client_Churn_v1[ID_Client],"non trouvé")</f>
        <v>CLI-01170</v>
      </c>
      <c r="L714">
        <f>_xlfn.XLOOKUP(_26_03_2026_Log_Reseau_v15[[#This Row],[province RDC]],_26_03_2026_Client_Churn_v1[Province_Client],_26_03_2026_Client_Churn_v1[Anciennete_Mois],"non trouvé")</f>
        <v>98</v>
      </c>
      <c r="M714" t="str">
        <f>_xlfn.XLOOKUP(_26_03_2026_Log_Reseau_v15[[#This Row],[province RDC]],_26_03_2026_Client_Churn_v1[Province_Client],_26_03_2026_Client_Churn_v1[Type_Forfait],"non trouvé")</f>
        <v>Pro Monde</v>
      </c>
      <c r="N714">
        <f>_xlfn.XLOOKUP(_26_03_2026_Log_Reseau_v15[[#This Row],[province RDC]],_26_03_2026_Client_Churn_v1[Province_Client],_26_03_2026_Client_Churn_v1[Duree_Cumulee_Panne_Min],"non trouvé")</f>
        <v>482</v>
      </c>
      <c r="O714">
        <f>_xlfn.XLOOKUP(_26_03_2026_Log_Reseau_v15[[#This Row],[province RDC]],_26_03_2026_Client_Churn_v1[Province_Client],_26_03_2026_Client_Churn_v1[Facture_Mensuelle],"non trouvé")</f>
        <v>55.04</v>
      </c>
      <c r="P714">
        <f>_xlfn.XLOOKUP(_26_03_2026_Log_Reseau_v15[[#This Row],[province RDC]],_26_03_2026_Client_Churn_v1[Province_Client],_26_03_2026_Client_Churn_v1[Plaintes_Service_Client],"non trouvé")</f>
        <v>5</v>
      </c>
    </row>
    <row r="715" spans="1:16" x14ac:dyDescent="0.25">
      <c r="A715" s="1">
        <v>45214</v>
      </c>
      <c r="B715" s="2">
        <v>1.8749999999999999E-2</v>
      </c>
      <c r="C715" t="s">
        <v>1249</v>
      </c>
      <c r="D715">
        <v>115</v>
      </c>
      <c r="E715" t="s">
        <v>808</v>
      </c>
      <c r="F715" t="str">
        <f>_xlfn.XLOOKUP(_26_03_2026_Log_Reseau_v15[[#This Row],[Cell_ID]],_26_03_2026_Registre_Maintenance_v1[ID_Antenne],_26_03_2026_Registre_Maintenance_v1[zone],"pas trouvé")</f>
        <v>Nord-Ubangi</v>
      </c>
      <c r="G715">
        <f>_xlfn.XLOOKUP(_26_03_2026_Log_Reseau_v15[[#This Row],[Cell_ID]],_26_03_2026_Registre_Maintenance_v1[ID_Antenne],_26_03_2026_Registre_Maintenance_v1[Latitude],"non trouvé")</f>
        <v>-1.342476</v>
      </c>
      <c r="H715">
        <f>_xlfn.XLOOKUP(_26_03_2026_Log_Reseau_v15[[#This Row],[Cell_ID]],_26_03_2026_Registre_Maintenance_v1[ID_Antenne],_26_03_2026_Registre_Maintenance_v1[Longitude],"pas trouvé")</f>
        <v>15.986086</v>
      </c>
      <c r="I715" t="str">
        <f>_xlfn.XLOOKUP(_26_03_2026_Log_Reseau_v15[[#This Row],[Cell_ID]],_26_03_2026_Registre_Maintenance_v1[ID_Antenne],_26_03_2026_Registre_Maintenance_v1[Technologie],"non trouvé")</f>
        <v>4G</v>
      </c>
      <c r="J715" t="str">
        <f>_xlfn.XLOOKUP(_26_03_2026_Log_Reseau_v15[[#This Row],[Cell_ID]],_26_03_2026_Registre_Maintenance_v1[ID_Antenne],_26_03_2026_Registre_Maintenance_v1[Equipementier],"pas trouvé")</f>
        <v>Ericsson</v>
      </c>
      <c r="K715" t="str">
        <f>_xlfn.XLOOKUP(_26_03_2026_Log_Reseau_v15[[#This Row],[province RDC]],_26_03_2026_Client_Churn_v1[Province_Client],_26_03_2026_Client_Churn_v1[ID_Client],"non trouvé")</f>
        <v>CLI-01170</v>
      </c>
      <c r="L715">
        <f>_xlfn.XLOOKUP(_26_03_2026_Log_Reseau_v15[[#This Row],[province RDC]],_26_03_2026_Client_Churn_v1[Province_Client],_26_03_2026_Client_Churn_v1[Anciennete_Mois],"non trouvé")</f>
        <v>98</v>
      </c>
      <c r="M715" t="str">
        <f>_xlfn.XLOOKUP(_26_03_2026_Log_Reseau_v15[[#This Row],[province RDC]],_26_03_2026_Client_Churn_v1[Province_Client],_26_03_2026_Client_Churn_v1[Type_Forfait],"non trouvé")</f>
        <v>Pro Monde</v>
      </c>
      <c r="N715">
        <f>_xlfn.XLOOKUP(_26_03_2026_Log_Reseau_v15[[#This Row],[province RDC]],_26_03_2026_Client_Churn_v1[Province_Client],_26_03_2026_Client_Churn_v1[Duree_Cumulee_Panne_Min],"non trouvé")</f>
        <v>482</v>
      </c>
      <c r="O715">
        <f>_xlfn.XLOOKUP(_26_03_2026_Log_Reseau_v15[[#This Row],[province RDC]],_26_03_2026_Client_Churn_v1[Province_Client],_26_03_2026_Client_Churn_v1[Facture_Mensuelle],"non trouvé")</f>
        <v>55.04</v>
      </c>
      <c r="P715">
        <f>_xlfn.XLOOKUP(_26_03_2026_Log_Reseau_v15[[#This Row],[province RDC]],_26_03_2026_Client_Churn_v1[Province_Client],_26_03_2026_Client_Churn_v1[Plaintes_Service_Client],"non trouvé")</f>
        <v>5</v>
      </c>
    </row>
    <row r="716" spans="1:16" x14ac:dyDescent="0.25">
      <c r="A716" s="1">
        <v>45227</v>
      </c>
      <c r="B716" s="2">
        <v>0.29722222222222222</v>
      </c>
      <c r="C716" t="s">
        <v>1250</v>
      </c>
      <c r="D716">
        <v>92</v>
      </c>
      <c r="E716" t="s">
        <v>812</v>
      </c>
      <c r="F716" t="str">
        <f>_xlfn.XLOOKUP(_26_03_2026_Log_Reseau_v15[[#This Row],[Cell_ID]],_26_03_2026_Registre_Maintenance_v1[ID_Antenne],_26_03_2026_Registre_Maintenance_v1[zone],"pas trouvé")</f>
        <v>Haut-Lomami</v>
      </c>
      <c r="G716">
        <f>_xlfn.XLOOKUP(_26_03_2026_Log_Reseau_v15[[#This Row],[Cell_ID]],_26_03_2026_Registre_Maintenance_v1[ID_Antenne],_26_03_2026_Registre_Maintenance_v1[Latitude],"non trouvé")</f>
        <v>-5.5559329999999996</v>
      </c>
      <c r="H716">
        <f>_xlfn.XLOOKUP(_26_03_2026_Log_Reseau_v15[[#This Row],[Cell_ID]],_26_03_2026_Registre_Maintenance_v1[ID_Antenne],_26_03_2026_Registre_Maintenance_v1[Longitude],"pas trouvé")</f>
        <v>13.508692999999999</v>
      </c>
      <c r="I716" t="str">
        <f>_xlfn.XLOOKUP(_26_03_2026_Log_Reseau_v15[[#This Row],[Cell_ID]],_26_03_2026_Registre_Maintenance_v1[ID_Antenne],_26_03_2026_Registre_Maintenance_v1[Technologie],"non trouvé")</f>
        <v>3G</v>
      </c>
      <c r="J716" t="str">
        <f>_xlfn.XLOOKUP(_26_03_2026_Log_Reseau_v15[[#This Row],[Cell_ID]],_26_03_2026_Registre_Maintenance_v1[ID_Antenne],_26_03_2026_Registre_Maintenance_v1[Equipementier],"pas trouvé")</f>
        <v>Nokia</v>
      </c>
      <c r="K716" t="str">
        <f>_xlfn.XLOOKUP(_26_03_2026_Log_Reseau_v15[[#This Row],[province RDC]],_26_03_2026_Client_Churn_v1[Province_Client],_26_03_2026_Client_Churn_v1[ID_Client],"non trouvé")</f>
        <v>CLI-01325</v>
      </c>
      <c r="L716">
        <f>_xlfn.XLOOKUP(_26_03_2026_Log_Reseau_v15[[#This Row],[province RDC]],_26_03_2026_Client_Churn_v1[Province_Client],_26_03_2026_Client_Churn_v1[Anciennete_Mois],"non trouvé")</f>
        <v>44</v>
      </c>
      <c r="M716" t="str">
        <f>_xlfn.XLOOKUP(_26_03_2026_Log_Reseau_v15[[#This Row],[province RDC]],_26_03_2026_Client_Churn_v1[Province_Client],_26_03_2026_Client_Churn_v1[Type_Forfait],"non trouvé")</f>
        <v>Bloqué 5Go</v>
      </c>
      <c r="N716">
        <f>_xlfn.XLOOKUP(_26_03_2026_Log_Reseau_v15[[#This Row],[province RDC]],_26_03_2026_Client_Churn_v1[Province_Client],_26_03_2026_Client_Churn_v1[Duree_Cumulee_Panne_Min],"non trouvé")</f>
        <v>348</v>
      </c>
      <c r="O716">
        <f>_xlfn.XLOOKUP(_26_03_2026_Log_Reseau_v15[[#This Row],[province RDC]],_26_03_2026_Client_Churn_v1[Province_Client],_26_03_2026_Client_Churn_v1[Facture_Mensuelle],"non trouvé")</f>
        <v>58.67</v>
      </c>
      <c r="P716">
        <f>_xlfn.XLOOKUP(_26_03_2026_Log_Reseau_v15[[#This Row],[province RDC]],_26_03_2026_Client_Churn_v1[Province_Client],_26_03_2026_Client_Churn_v1[Plaintes_Service_Client],"non trouvé")</f>
        <v>0</v>
      </c>
    </row>
    <row r="717" spans="1:16" hidden="1" x14ac:dyDescent="0.25">
      <c r="A717" s="1">
        <v>45224</v>
      </c>
      <c r="B717" s="2">
        <v>0.83194444444444449</v>
      </c>
      <c r="C717" t="s">
        <v>1251</v>
      </c>
      <c r="D717">
        <v>100</v>
      </c>
      <c r="E717" t="s">
        <v>807</v>
      </c>
      <c r="F717" t="str">
        <f>_xlfn.XLOOKUP(_26_03_2026_Log_Reseau_v15[[#This Row],[Cell_ID]],_26_03_2026_Registre_Maintenance_v1[ID_Antenne],_26_03_2026_Registre_Maintenance_v1[zone],"pas trouvé")</f>
        <v>pas trouvé</v>
      </c>
      <c r="G717" t="str">
        <f>_xlfn.XLOOKUP(_26_03_2026_Log_Reseau_v15[[#This Row],[Cell_ID]],_26_03_2026_Registre_Maintenance_v1[ID_Antenne],_26_03_2026_Registre_Maintenance_v1[Latitude],"non trouvé")</f>
        <v>non trouvé</v>
      </c>
      <c r="H717" t="str">
        <f>_xlfn.XLOOKUP(_26_03_2026_Log_Reseau_v15[[#This Row],[Cell_ID]],_26_03_2026_Registre_Maintenance_v1[ID_Antenne],_26_03_2026_Registre_Maintenance_v1[Longitude],"pas trouvé")</f>
        <v>pas trouvé</v>
      </c>
      <c r="I717" t="str">
        <f>_xlfn.XLOOKUP(_26_03_2026_Log_Reseau_v15[[#This Row],[Cell_ID]],_26_03_2026_Registre_Maintenance_v1[ID_Antenne],_26_03_2026_Registre_Maintenance_v1[Technologie],"non trouvé")</f>
        <v>non trouvé</v>
      </c>
      <c r="J717" t="str">
        <f>_xlfn.XLOOKUP(_26_03_2026_Log_Reseau_v15[[#This Row],[Cell_ID]],_26_03_2026_Registre_Maintenance_v1[ID_Antenne],_26_03_2026_Registre_Maintenance_v1[Equipementier],"pas trouvé")</f>
        <v>pas trouvé</v>
      </c>
      <c r="K717" t="str">
        <f>_xlfn.XLOOKUP(_26_03_2026_Log_Reseau_v15[[#This Row],[province RDC]],_26_03_2026_Client_Churn_v1[Province_Client],_26_03_2026_Client_Churn_v1[ID_Client],"non trouvé")</f>
        <v>non trouvé</v>
      </c>
      <c r="L717" t="str">
        <f>_xlfn.XLOOKUP(_26_03_2026_Log_Reseau_v15[[#This Row],[province RDC]],_26_03_2026_Client_Churn_v1[Province_Client],_26_03_2026_Client_Churn_v1[Anciennete_Mois],"non trouvé")</f>
        <v>non trouvé</v>
      </c>
      <c r="M717" t="str">
        <f>_xlfn.XLOOKUP(_26_03_2026_Log_Reseau_v15[[#This Row],[province RDC]],_26_03_2026_Client_Churn_v1[Province_Client],_26_03_2026_Client_Churn_v1[Type_Forfait],"non trouvé")</f>
        <v>non trouvé</v>
      </c>
      <c r="N717" t="str">
        <f>_xlfn.XLOOKUP(_26_03_2026_Log_Reseau_v15[[#This Row],[province RDC]],_26_03_2026_Client_Churn_v1[Province_Client],_26_03_2026_Client_Churn_v1[Duree_Cumulee_Panne_Min],"non trouvé")</f>
        <v>non trouvé</v>
      </c>
      <c r="O717" t="str">
        <f>_xlfn.XLOOKUP(_26_03_2026_Log_Reseau_v15[[#This Row],[province RDC]],_26_03_2026_Client_Churn_v1[Province_Client],_26_03_2026_Client_Churn_v1[Facture_Mensuelle],"non trouvé")</f>
        <v>non trouvé</v>
      </c>
      <c r="P717" t="str">
        <f>_xlfn.XLOOKUP(_26_03_2026_Log_Reseau_v15[[#This Row],[province RDC]],_26_03_2026_Client_Churn_v1[Province_Client],_26_03_2026_Client_Churn_v1[Plaintes_Service_Client],"non trouvé")</f>
        <v>non trouvé</v>
      </c>
    </row>
    <row r="718" spans="1:16" x14ac:dyDescent="0.25">
      <c r="A718" s="1">
        <v>45230</v>
      </c>
      <c r="B718" s="2">
        <v>0.3034722222222222</v>
      </c>
      <c r="C718" t="s">
        <v>1252</v>
      </c>
      <c r="D718">
        <v>83</v>
      </c>
      <c r="E718" t="s">
        <v>812</v>
      </c>
      <c r="F718" t="str">
        <f>_xlfn.XLOOKUP(_26_03_2026_Log_Reseau_v15[[#This Row],[Cell_ID]],_26_03_2026_Registre_Maintenance_v1[ID_Antenne],_26_03_2026_Registre_Maintenance_v1[zone],"pas trouvé")</f>
        <v>Kongo-Central</v>
      </c>
      <c r="G718">
        <f>_xlfn.XLOOKUP(_26_03_2026_Log_Reseau_v15[[#This Row],[Cell_ID]],_26_03_2026_Registre_Maintenance_v1[ID_Antenne],_26_03_2026_Registre_Maintenance_v1[Latitude],"non trouvé")</f>
        <v>-9.8208710000000004</v>
      </c>
      <c r="H718">
        <f>_xlfn.XLOOKUP(_26_03_2026_Log_Reseau_v15[[#This Row],[Cell_ID]],_26_03_2026_Registre_Maintenance_v1[ID_Antenne],_26_03_2026_Registre_Maintenance_v1[Longitude],"pas trouvé")</f>
        <v>23.229807000000001</v>
      </c>
      <c r="I718" t="str">
        <f>_xlfn.XLOOKUP(_26_03_2026_Log_Reseau_v15[[#This Row],[Cell_ID]],_26_03_2026_Registre_Maintenance_v1[ID_Antenne],_26_03_2026_Registre_Maintenance_v1[Technologie],"non trouvé")</f>
        <v>5G</v>
      </c>
      <c r="J718" t="str">
        <f>_xlfn.XLOOKUP(_26_03_2026_Log_Reseau_v15[[#This Row],[Cell_ID]],_26_03_2026_Registre_Maintenance_v1[ID_Antenne],_26_03_2026_Registre_Maintenance_v1[Equipementier],"pas trouvé")</f>
        <v>Nokia</v>
      </c>
      <c r="K718" t="str">
        <f>_xlfn.XLOOKUP(_26_03_2026_Log_Reseau_v15[[#This Row],[province RDC]],_26_03_2026_Client_Churn_v1[Province_Client],_26_03_2026_Client_Churn_v1[ID_Client],"non trouvé")</f>
        <v>CLI-01233</v>
      </c>
      <c r="L718">
        <f>_xlfn.XLOOKUP(_26_03_2026_Log_Reseau_v15[[#This Row],[province RDC]],_26_03_2026_Client_Churn_v1[Province_Client],_26_03_2026_Client_Churn_v1[Anciennete_Mois],"non trouvé")</f>
        <v>101</v>
      </c>
      <c r="M718" t="str">
        <f>_xlfn.XLOOKUP(_26_03_2026_Log_Reseau_v15[[#This Row],[province RDC]],_26_03_2026_Client_Churn_v1[Province_Client],_26_03_2026_Client_Churn_v1[Type_Forfait],"non trouvé")</f>
        <v>Pro Monde</v>
      </c>
      <c r="N718">
        <f>_xlfn.XLOOKUP(_26_03_2026_Log_Reseau_v15[[#This Row],[province RDC]],_26_03_2026_Client_Churn_v1[Province_Client],_26_03_2026_Client_Churn_v1[Duree_Cumulee_Panne_Min],"non trouvé")</f>
        <v>333</v>
      </c>
      <c r="O718">
        <f>_xlfn.XLOOKUP(_26_03_2026_Log_Reseau_v15[[#This Row],[province RDC]],_26_03_2026_Client_Churn_v1[Province_Client],_26_03_2026_Client_Churn_v1[Facture_Mensuelle],"non trouvé")</f>
        <v>74.319999999999993</v>
      </c>
      <c r="P718">
        <f>_xlfn.XLOOKUP(_26_03_2026_Log_Reseau_v15[[#This Row],[province RDC]],_26_03_2026_Client_Churn_v1[Province_Client],_26_03_2026_Client_Churn_v1[Plaintes_Service_Client],"non trouvé")</f>
        <v>1</v>
      </c>
    </row>
    <row r="719" spans="1:16" x14ac:dyDescent="0.25">
      <c r="A719" s="1">
        <v>45220</v>
      </c>
      <c r="B719" s="2">
        <v>0.15486111111111112</v>
      </c>
      <c r="C719" t="s">
        <v>1252</v>
      </c>
      <c r="D719">
        <v>53</v>
      </c>
      <c r="E719" t="s">
        <v>807</v>
      </c>
      <c r="F719" t="str">
        <f>_xlfn.XLOOKUP(_26_03_2026_Log_Reseau_v15[[#This Row],[Cell_ID]],_26_03_2026_Registre_Maintenance_v1[ID_Antenne],_26_03_2026_Registre_Maintenance_v1[zone],"pas trouvé")</f>
        <v>Kongo-Central</v>
      </c>
      <c r="G719">
        <f>_xlfn.XLOOKUP(_26_03_2026_Log_Reseau_v15[[#This Row],[Cell_ID]],_26_03_2026_Registre_Maintenance_v1[ID_Antenne],_26_03_2026_Registre_Maintenance_v1[Latitude],"non trouvé")</f>
        <v>-9.8208710000000004</v>
      </c>
      <c r="H719">
        <f>_xlfn.XLOOKUP(_26_03_2026_Log_Reseau_v15[[#This Row],[Cell_ID]],_26_03_2026_Registre_Maintenance_v1[ID_Antenne],_26_03_2026_Registre_Maintenance_v1[Longitude],"pas trouvé")</f>
        <v>23.229807000000001</v>
      </c>
      <c r="I719" t="str">
        <f>_xlfn.XLOOKUP(_26_03_2026_Log_Reseau_v15[[#This Row],[Cell_ID]],_26_03_2026_Registre_Maintenance_v1[ID_Antenne],_26_03_2026_Registre_Maintenance_v1[Technologie],"non trouvé")</f>
        <v>5G</v>
      </c>
      <c r="J719" t="str">
        <f>_xlfn.XLOOKUP(_26_03_2026_Log_Reseau_v15[[#This Row],[Cell_ID]],_26_03_2026_Registre_Maintenance_v1[ID_Antenne],_26_03_2026_Registre_Maintenance_v1[Equipementier],"pas trouvé")</f>
        <v>Nokia</v>
      </c>
      <c r="K719" t="str">
        <f>_xlfn.XLOOKUP(_26_03_2026_Log_Reseau_v15[[#This Row],[province RDC]],_26_03_2026_Client_Churn_v1[Province_Client],_26_03_2026_Client_Churn_v1[ID_Client],"non trouvé")</f>
        <v>CLI-01233</v>
      </c>
      <c r="L719">
        <f>_xlfn.XLOOKUP(_26_03_2026_Log_Reseau_v15[[#This Row],[province RDC]],_26_03_2026_Client_Churn_v1[Province_Client],_26_03_2026_Client_Churn_v1[Anciennete_Mois],"non trouvé")</f>
        <v>101</v>
      </c>
      <c r="M719" t="str">
        <f>_xlfn.XLOOKUP(_26_03_2026_Log_Reseau_v15[[#This Row],[province RDC]],_26_03_2026_Client_Churn_v1[Province_Client],_26_03_2026_Client_Churn_v1[Type_Forfait],"non trouvé")</f>
        <v>Pro Monde</v>
      </c>
      <c r="N719">
        <f>_xlfn.XLOOKUP(_26_03_2026_Log_Reseau_v15[[#This Row],[province RDC]],_26_03_2026_Client_Churn_v1[Province_Client],_26_03_2026_Client_Churn_v1[Duree_Cumulee_Panne_Min],"non trouvé")</f>
        <v>333</v>
      </c>
      <c r="O719">
        <f>_xlfn.XLOOKUP(_26_03_2026_Log_Reseau_v15[[#This Row],[province RDC]],_26_03_2026_Client_Churn_v1[Province_Client],_26_03_2026_Client_Churn_v1[Facture_Mensuelle],"non trouvé")</f>
        <v>74.319999999999993</v>
      </c>
      <c r="P719">
        <f>_xlfn.XLOOKUP(_26_03_2026_Log_Reseau_v15[[#This Row],[province RDC]],_26_03_2026_Client_Churn_v1[Province_Client],_26_03_2026_Client_Churn_v1[Plaintes_Service_Client],"non trouvé")</f>
        <v>1</v>
      </c>
    </row>
    <row r="720" spans="1:16" hidden="1" x14ac:dyDescent="0.25">
      <c r="A720" s="1">
        <v>45226</v>
      </c>
      <c r="B720" s="2">
        <v>0.88541666666666663</v>
      </c>
      <c r="C720" t="s">
        <v>1253</v>
      </c>
      <c r="D720">
        <v>96</v>
      </c>
      <c r="E720" t="s">
        <v>812</v>
      </c>
      <c r="F720" t="str">
        <f>_xlfn.XLOOKUP(_26_03_2026_Log_Reseau_v15[[#This Row],[Cell_ID]],_26_03_2026_Registre_Maintenance_v1[ID_Antenne],_26_03_2026_Registre_Maintenance_v1[zone],"pas trouvé")</f>
        <v>pas trouvé</v>
      </c>
      <c r="G720" t="str">
        <f>_xlfn.XLOOKUP(_26_03_2026_Log_Reseau_v15[[#This Row],[Cell_ID]],_26_03_2026_Registre_Maintenance_v1[ID_Antenne],_26_03_2026_Registre_Maintenance_v1[Latitude],"non trouvé")</f>
        <v>non trouvé</v>
      </c>
      <c r="H720" t="str">
        <f>_xlfn.XLOOKUP(_26_03_2026_Log_Reseau_v15[[#This Row],[Cell_ID]],_26_03_2026_Registre_Maintenance_v1[ID_Antenne],_26_03_2026_Registre_Maintenance_v1[Longitude],"pas trouvé")</f>
        <v>pas trouvé</v>
      </c>
      <c r="I720" t="str">
        <f>_xlfn.XLOOKUP(_26_03_2026_Log_Reseau_v15[[#This Row],[Cell_ID]],_26_03_2026_Registre_Maintenance_v1[ID_Antenne],_26_03_2026_Registre_Maintenance_v1[Technologie],"non trouvé")</f>
        <v>non trouvé</v>
      </c>
      <c r="J720" t="str">
        <f>_xlfn.XLOOKUP(_26_03_2026_Log_Reseau_v15[[#This Row],[Cell_ID]],_26_03_2026_Registre_Maintenance_v1[ID_Antenne],_26_03_2026_Registre_Maintenance_v1[Equipementier],"pas trouvé")</f>
        <v>pas trouvé</v>
      </c>
      <c r="K720" t="str">
        <f>_xlfn.XLOOKUP(_26_03_2026_Log_Reseau_v15[[#This Row],[province RDC]],_26_03_2026_Client_Churn_v1[Province_Client],_26_03_2026_Client_Churn_v1[ID_Client],"non trouvé")</f>
        <v>non trouvé</v>
      </c>
      <c r="L720" t="str">
        <f>_xlfn.XLOOKUP(_26_03_2026_Log_Reseau_v15[[#This Row],[province RDC]],_26_03_2026_Client_Churn_v1[Province_Client],_26_03_2026_Client_Churn_v1[Anciennete_Mois],"non trouvé")</f>
        <v>non trouvé</v>
      </c>
      <c r="M720" t="str">
        <f>_xlfn.XLOOKUP(_26_03_2026_Log_Reseau_v15[[#This Row],[province RDC]],_26_03_2026_Client_Churn_v1[Province_Client],_26_03_2026_Client_Churn_v1[Type_Forfait],"non trouvé")</f>
        <v>non trouvé</v>
      </c>
      <c r="N720" t="str">
        <f>_xlfn.XLOOKUP(_26_03_2026_Log_Reseau_v15[[#This Row],[province RDC]],_26_03_2026_Client_Churn_v1[Province_Client],_26_03_2026_Client_Churn_v1[Duree_Cumulee_Panne_Min],"non trouvé")</f>
        <v>non trouvé</v>
      </c>
      <c r="O720" t="str">
        <f>_xlfn.XLOOKUP(_26_03_2026_Log_Reseau_v15[[#This Row],[province RDC]],_26_03_2026_Client_Churn_v1[Province_Client],_26_03_2026_Client_Churn_v1[Facture_Mensuelle],"non trouvé")</f>
        <v>non trouvé</v>
      </c>
      <c r="P720" t="str">
        <f>_xlfn.XLOOKUP(_26_03_2026_Log_Reseau_v15[[#This Row],[province RDC]],_26_03_2026_Client_Churn_v1[Province_Client],_26_03_2026_Client_Churn_v1[Plaintes_Service_Client],"non trouvé")</f>
        <v>non trouvé</v>
      </c>
    </row>
    <row r="721" spans="1:16" x14ac:dyDescent="0.25">
      <c r="A721" s="1">
        <v>45202</v>
      </c>
      <c r="B721" s="2">
        <v>0.52916666666666667</v>
      </c>
      <c r="C721" t="s">
        <v>1254</v>
      </c>
      <c r="D721">
        <v>109</v>
      </c>
      <c r="E721" t="s">
        <v>808</v>
      </c>
      <c r="F721" t="str">
        <f>_xlfn.XLOOKUP(_26_03_2026_Log_Reseau_v15[[#This Row],[Cell_ID]],_26_03_2026_Registre_Maintenance_v1[ID_Antenne],_26_03_2026_Registre_Maintenance_v1[zone],"pas trouvé")</f>
        <v>Haut-Uele</v>
      </c>
      <c r="G721">
        <f>_xlfn.XLOOKUP(_26_03_2026_Log_Reseau_v15[[#This Row],[Cell_ID]],_26_03_2026_Registre_Maintenance_v1[ID_Antenne],_26_03_2026_Registre_Maintenance_v1[Latitude],"non trouvé")</f>
        <v>-7.1483749999999997</v>
      </c>
      <c r="H721">
        <f>_xlfn.XLOOKUP(_26_03_2026_Log_Reseau_v15[[#This Row],[Cell_ID]],_26_03_2026_Registre_Maintenance_v1[ID_Antenne],_26_03_2026_Registre_Maintenance_v1[Longitude],"pas trouvé")</f>
        <v>26.014271000000001</v>
      </c>
      <c r="I721" t="str">
        <f>_xlfn.XLOOKUP(_26_03_2026_Log_Reseau_v15[[#This Row],[Cell_ID]],_26_03_2026_Registre_Maintenance_v1[ID_Antenne],_26_03_2026_Registre_Maintenance_v1[Technologie],"non trouvé")</f>
        <v>5G</v>
      </c>
      <c r="J721" t="str">
        <f>_xlfn.XLOOKUP(_26_03_2026_Log_Reseau_v15[[#This Row],[Cell_ID]],_26_03_2026_Registre_Maintenance_v1[ID_Antenne],_26_03_2026_Registre_Maintenance_v1[Equipementier],"pas trouvé")</f>
        <v>Huawei</v>
      </c>
      <c r="K721" t="str">
        <f>_xlfn.XLOOKUP(_26_03_2026_Log_Reseau_v15[[#This Row],[province RDC]],_26_03_2026_Client_Churn_v1[Province_Client],_26_03_2026_Client_Churn_v1[ID_Client],"non trouvé")</f>
        <v>CLI-00439</v>
      </c>
      <c r="L721">
        <f>_xlfn.XLOOKUP(_26_03_2026_Log_Reseau_v15[[#This Row],[province RDC]],_26_03_2026_Client_Churn_v1[Province_Client],_26_03_2026_Client_Churn_v1[Anciennete_Mois],"non trouvé")</f>
        <v>40</v>
      </c>
      <c r="M721" t="str">
        <f>_xlfn.XLOOKUP(_26_03_2026_Log_Reseau_v15[[#This Row],[province RDC]],_26_03_2026_Client_Churn_v1[Province_Client],_26_03_2026_Client_Churn_v1[Type_Forfait],"non trouvé")</f>
        <v>Premium 5G 150Go</v>
      </c>
      <c r="N721">
        <f>_xlfn.XLOOKUP(_26_03_2026_Log_Reseau_v15[[#This Row],[province RDC]],_26_03_2026_Client_Churn_v1[Province_Client],_26_03_2026_Client_Churn_v1[Duree_Cumulee_Panne_Min],"non trouvé")</f>
        <v>345</v>
      </c>
      <c r="O721">
        <f>_xlfn.XLOOKUP(_26_03_2026_Log_Reseau_v15[[#This Row],[province RDC]],_26_03_2026_Client_Churn_v1[Province_Client],_26_03_2026_Client_Churn_v1[Facture_Mensuelle],"non trouvé")</f>
        <v>89.55</v>
      </c>
      <c r="P721">
        <f>_xlfn.XLOOKUP(_26_03_2026_Log_Reseau_v15[[#This Row],[province RDC]],_26_03_2026_Client_Churn_v1[Province_Client],_26_03_2026_Client_Churn_v1[Plaintes_Service_Client],"non trouvé")</f>
        <v>3</v>
      </c>
    </row>
    <row r="722" spans="1:16" x14ac:dyDescent="0.25">
      <c r="A722" s="1">
        <v>45219</v>
      </c>
      <c r="B722" s="2">
        <v>0.52708333333333335</v>
      </c>
      <c r="C722" t="s">
        <v>1254</v>
      </c>
      <c r="D722">
        <v>95</v>
      </c>
      <c r="E722" t="s">
        <v>807</v>
      </c>
      <c r="F722" t="str">
        <f>_xlfn.XLOOKUP(_26_03_2026_Log_Reseau_v15[[#This Row],[Cell_ID]],_26_03_2026_Registre_Maintenance_v1[ID_Antenne],_26_03_2026_Registre_Maintenance_v1[zone],"pas trouvé")</f>
        <v>Haut-Uele</v>
      </c>
      <c r="G722">
        <f>_xlfn.XLOOKUP(_26_03_2026_Log_Reseau_v15[[#This Row],[Cell_ID]],_26_03_2026_Registre_Maintenance_v1[ID_Antenne],_26_03_2026_Registre_Maintenance_v1[Latitude],"non trouvé")</f>
        <v>-7.1483749999999997</v>
      </c>
      <c r="H722">
        <f>_xlfn.XLOOKUP(_26_03_2026_Log_Reseau_v15[[#This Row],[Cell_ID]],_26_03_2026_Registre_Maintenance_v1[ID_Antenne],_26_03_2026_Registre_Maintenance_v1[Longitude],"pas trouvé")</f>
        <v>26.014271000000001</v>
      </c>
      <c r="I722" t="str">
        <f>_xlfn.XLOOKUP(_26_03_2026_Log_Reseau_v15[[#This Row],[Cell_ID]],_26_03_2026_Registre_Maintenance_v1[ID_Antenne],_26_03_2026_Registre_Maintenance_v1[Technologie],"non trouvé")</f>
        <v>5G</v>
      </c>
      <c r="J722" t="str">
        <f>_xlfn.XLOOKUP(_26_03_2026_Log_Reseau_v15[[#This Row],[Cell_ID]],_26_03_2026_Registre_Maintenance_v1[ID_Antenne],_26_03_2026_Registre_Maintenance_v1[Equipementier],"pas trouvé")</f>
        <v>Huawei</v>
      </c>
      <c r="K722" t="str">
        <f>_xlfn.XLOOKUP(_26_03_2026_Log_Reseau_v15[[#This Row],[province RDC]],_26_03_2026_Client_Churn_v1[Province_Client],_26_03_2026_Client_Churn_v1[ID_Client],"non trouvé")</f>
        <v>CLI-00439</v>
      </c>
      <c r="L722">
        <f>_xlfn.XLOOKUP(_26_03_2026_Log_Reseau_v15[[#This Row],[province RDC]],_26_03_2026_Client_Churn_v1[Province_Client],_26_03_2026_Client_Churn_v1[Anciennete_Mois],"non trouvé")</f>
        <v>40</v>
      </c>
      <c r="M722" t="str">
        <f>_xlfn.XLOOKUP(_26_03_2026_Log_Reseau_v15[[#This Row],[province RDC]],_26_03_2026_Client_Churn_v1[Province_Client],_26_03_2026_Client_Churn_v1[Type_Forfait],"non trouvé")</f>
        <v>Premium 5G 150Go</v>
      </c>
      <c r="N722">
        <f>_xlfn.XLOOKUP(_26_03_2026_Log_Reseau_v15[[#This Row],[province RDC]],_26_03_2026_Client_Churn_v1[Province_Client],_26_03_2026_Client_Churn_v1[Duree_Cumulee_Panne_Min],"non trouvé")</f>
        <v>345</v>
      </c>
      <c r="O722">
        <f>_xlfn.XLOOKUP(_26_03_2026_Log_Reseau_v15[[#This Row],[province RDC]],_26_03_2026_Client_Churn_v1[Province_Client],_26_03_2026_Client_Churn_v1[Facture_Mensuelle],"non trouvé")</f>
        <v>89.55</v>
      </c>
      <c r="P722">
        <f>_xlfn.XLOOKUP(_26_03_2026_Log_Reseau_v15[[#This Row],[province RDC]],_26_03_2026_Client_Churn_v1[Province_Client],_26_03_2026_Client_Churn_v1[Plaintes_Service_Client],"non trouvé")</f>
        <v>3</v>
      </c>
    </row>
    <row r="723" spans="1:16" x14ac:dyDescent="0.25">
      <c r="A723" s="1">
        <v>45211</v>
      </c>
      <c r="B723" s="2">
        <v>0.88888888888888884</v>
      </c>
      <c r="C723" t="s">
        <v>1254</v>
      </c>
      <c r="D723">
        <v>87</v>
      </c>
      <c r="E723" t="s">
        <v>808</v>
      </c>
      <c r="F723" t="str">
        <f>_xlfn.XLOOKUP(_26_03_2026_Log_Reseau_v15[[#This Row],[Cell_ID]],_26_03_2026_Registre_Maintenance_v1[ID_Antenne],_26_03_2026_Registre_Maintenance_v1[zone],"pas trouvé")</f>
        <v>Haut-Uele</v>
      </c>
      <c r="G723">
        <f>_xlfn.XLOOKUP(_26_03_2026_Log_Reseau_v15[[#This Row],[Cell_ID]],_26_03_2026_Registre_Maintenance_v1[ID_Antenne],_26_03_2026_Registre_Maintenance_v1[Latitude],"non trouvé")</f>
        <v>-7.1483749999999997</v>
      </c>
      <c r="H723">
        <f>_xlfn.XLOOKUP(_26_03_2026_Log_Reseau_v15[[#This Row],[Cell_ID]],_26_03_2026_Registre_Maintenance_v1[ID_Antenne],_26_03_2026_Registre_Maintenance_v1[Longitude],"pas trouvé")</f>
        <v>26.014271000000001</v>
      </c>
      <c r="I723" t="str">
        <f>_xlfn.XLOOKUP(_26_03_2026_Log_Reseau_v15[[#This Row],[Cell_ID]],_26_03_2026_Registre_Maintenance_v1[ID_Antenne],_26_03_2026_Registre_Maintenance_v1[Technologie],"non trouvé")</f>
        <v>5G</v>
      </c>
      <c r="J723" t="str">
        <f>_xlfn.XLOOKUP(_26_03_2026_Log_Reseau_v15[[#This Row],[Cell_ID]],_26_03_2026_Registre_Maintenance_v1[ID_Antenne],_26_03_2026_Registre_Maintenance_v1[Equipementier],"pas trouvé")</f>
        <v>Huawei</v>
      </c>
      <c r="K723" t="str">
        <f>_xlfn.XLOOKUP(_26_03_2026_Log_Reseau_v15[[#This Row],[province RDC]],_26_03_2026_Client_Churn_v1[Province_Client],_26_03_2026_Client_Churn_v1[ID_Client],"non trouvé")</f>
        <v>CLI-00439</v>
      </c>
      <c r="L723">
        <f>_xlfn.XLOOKUP(_26_03_2026_Log_Reseau_v15[[#This Row],[province RDC]],_26_03_2026_Client_Churn_v1[Province_Client],_26_03_2026_Client_Churn_v1[Anciennete_Mois],"non trouvé")</f>
        <v>40</v>
      </c>
      <c r="M723" t="str">
        <f>_xlfn.XLOOKUP(_26_03_2026_Log_Reseau_v15[[#This Row],[province RDC]],_26_03_2026_Client_Churn_v1[Province_Client],_26_03_2026_Client_Churn_v1[Type_Forfait],"non trouvé")</f>
        <v>Premium 5G 150Go</v>
      </c>
      <c r="N723">
        <f>_xlfn.XLOOKUP(_26_03_2026_Log_Reseau_v15[[#This Row],[province RDC]],_26_03_2026_Client_Churn_v1[Province_Client],_26_03_2026_Client_Churn_v1[Duree_Cumulee_Panne_Min],"non trouvé")</f>
        <v>345</v>
      </c>
      <c r="O723">
        <f>_xlfn.XLOOKUP(_26_03_2026_Log_Reseau_v15[[#This Row],[province RDC]],_26_03_2026_Client_Churn_v1[Province_Client],_26_03_2026_Client_Churn_v1[Facture_Mensuelle],"non trouvé")</f>
        <v>89.55</v>
      </c>
      <c r="P723">
        <f>_xlfn.XLOOKUP(_26_03_2026_Log_Reseau_v15[[#This Row],[province RDC]],_26_03_2026_Client_Churn_v1[Province_Client],_26_03_2026_Client_Churn_v1[Plaintes_Service_Client],"non trouvé")</f>
        <v>3</v>
      </c>
    </row>
    <row r="724" spans="1:16" x14ac:dyDescent="0.25">
      <c r="A724" s="1">
        <v>45226</v>
      </c>
      <c r="B724" s="2">
        <v>0.99791666666666667</v>
      </c>
      <c r="C724" t="s">
        <v>1255</v>
      </c>
      <c r="D724">
        <v>53</v>
      </c>
      <c r="E724" t="s">
        <v>812</v>
      </c>
      <c r="F724" t="str">
        <f>_xlfn.XLOOKUP(_26_03_2026_Log_Reseau_v15[[#This Row],[Cell_ID]],_26_03_2026_Registre_Maintenance_v1[ID_Antenne],_26_03_2026_Registre_Maintenance_v1[zone],"pas trouvé")</f>
        <v>Nord-Ubangi</v>
      </c>
      <c r="G724">
        <f>_xlfn.XLOOKUP(_26_03_2026_Log_Reseau_v15[[#This Row],[Cell_ID]],_26_03_2026_Registre_Maintenance_v1[ID_Antenne],_26_03_2026_Registre_Maintenance_v1[Latitude],"non trouvé")</f>
        <v>-7.8373179999999998</v>
      </c>
      <c r="H724">
        <f>_xlfn.XLOOKUP(_26_03_2026_Log_Reseau_v15[[#This Row],[Cell_ID]],_26_03_2026_Registre_Maintenance_v1[ID_Antenne],_26_03_2026_Registre_Maintenance_v1[Longitude],"pas trouvé")</f>
        <v>20.527591999999999</v>
      </c>
      <c r="I724" t="str">
        <f>_xlfn.XLOOKUP(_26_03_2026_Log_Reseau_v15[[#This Row],[Cell_ID]],_26_03_2026_Registre_Maintenance_v1[ID_Antenne],_26_03_2026_Registre_Maintenance_v1[Technologie],"non trouvé")</f>
        <v>4G</v>
      </c>
      <c r="J724" t="str">
        <f>_xlfn.XLOOKUP(_26_03_2026_Log_Reseau_v15[[#This Row],[Cell_ID]],_26_03_2026_Registre_Maintenance_v1[ID_Antenne],_26_03_2026_Registre_Maintenance_v1[Equipementier],"pas trouvé")</f>
        <v>Ericsson</v>
      </c>
      <c r="K724" t="str">
        <f>_xlfn.XLOOKUP(_26_03_2026_Log_Reseau_v15[[#This Row],[province RDC]],_26_03_2026_Client_Churn_v1[Province_Client],_26_03_2026_Client_Churn_v1[ID_Client],"non trouvé")</f>
        <v>CLI-01170</v>
      </c>
      <c r="L724">
        <f>_xlfn.XLOOKUP(_26_03_2026_Log_Reseau_v15[[#This Row],[province RDC]],_26_03_2026_Client_Churn_v1[Province_Client],_26_03_2026_Client_Churn_v1[Anciennete_Mois],"non trouvé")</f>
        <v>98</v>
      </c>
      <c r="M724" t="str">
        <f>_xlfn.XLOOKUP(_26_03_2026_Log_Reseau_v15[[#This Row],[province RDC]],_26_03_2026_Client_Churn_v1[Province_Client],_26_03_2026_Client_Churn_v1[Type_Forfait],"non trouvé")</f>
        <v>Pro Monde</v>
      </c>
      <c r="N724">
        <f>_xlfn.XLOOKUP(_26_03_2026_Log_Reseau_v15[[#This Row],[province RDC]],_26_03_2026_Client_Churn_v1[Province_Client],_26_03_2026_Client_Churn_v1[Duree_Cumulee_Panne_Min],"non trouvé")</f>
        <v>482</v>
      </c>
      <c r="O724">
        <f>_xlfn.XLOOKUP(_26_03_2026_Log_Reseau_v15[[#This Row],[province RDC]],_26_03_2026_Client_Churn_v1[Province_Client],_26_03_2026_Client_Churn_v1[Facture_Mensuelle],"non trouvé")</f>
        <v>55.04</v>
      </c>
      <c r="P724">
        <f>_xlfn.XLOOKUP(_26_03_2026_Log_Reseau_v15[[#This Row],[province RDC]],_26_03_2026_Client_Churn_v1[Province_Client],_26_03_2026_Client_Churn_v1[Plaintes_Service_Client],"non trouvé")</f>
        <v>5</v>
      </c>
    </row>
    <row r="725" spans="1:16" hidden="1" x14ac:dyDescent="0.25">
      <c r="A725" s="1">
        <v>45214</v>
      </c>
      <c r="B725" s="2">
        <v>8.1944444444444445E-2</v>
      </c>
      <c r="C725" t="s">
        <v>1256</v>
      </c>
      <c r="D725">
        <v>87</v>
      </c>
      <c r="E725" t="s">
        <v>808</v>
      </c>
      <c r="F725" t="str">
        <f>_xlfn.XLOOKUP(_26_03_2026_Log_Reseau_v15[[#This Row],[Cell_ID]],_26_03_2026_Registre_Maintenance_v1[ID_Antenne],_26_03_2026_Registre_Maintenance_v1[zone],"pas trouvé")</f>
        <v>pas trouvé</v>
      </c>
      <c r="G725" t="str">
        <f>_xlfn.XLOOKUP(_26_03_2026_Log_Reseau_v15[[#This Row],[Cell_ID]],_26_03_2026_Registre_Maintenance_v1[ID_Antenne],_26_03_2026_Registre_Maintenance_v1[Latitude],"non trouvé")</f>
        <v>non trouvé</v>
      </c>
      <c r="H725" t="str">
        <f>_xlfn.XLOOKUP(_26_03_2026_Log_Reseau_v15[[#This Row],[Cell_ID]],_26_03_2026_Registre_Maintenance_v1[ID_Antenne],_26_03_2026_Registre_Maintenance_v1[Longitude],"pas trouvé")</f>
        <v>pas trouvé</v>
      </c>
      <c r="I725" t="str">
        <f>_xlfn.XLOOKUP(_26_03_2026_Log_Reseau_v15[[#This Row],[Cell_ID]],_26_03_2026_Registre_Maintenance_v1[ID_Antenne],_26_03_2026_Registre_Maintenance_v1[Technologie],"non trouvé")</f>
        <v>non trouvé</v>
      </c>
      <c r="J725" t="str">
        <f>_xlfn.XLOOKUP(_26_03_2026_Log_Reseau_v15[[#This Row],[Cell_ID]],_26_03_2026_Registre_Maintenance_v1[ID_Antenne],_26_03_2026_Registre_Maintenance_v1[Equipementier],"pas trouvé")</f>
        <v>pas trouvé</v>
      </c>
      <c r="K725" t="str">
        <f>_xlfn.XLOOKUP(_26_03_2026_Log_Reseau_v15[[#This Row],[province RDC]],_26_03_2026_Client_Churn_v1[Province_Client],_26_03_2026_Client_Churn_v1[ID_Client],"non trouvé")</f>
        <v>non trouvé</v>
      </c>
      <c r="L725" t="str">
        <f>_xlfn.XLOOKUP(_26_03_2026_Log_Reseau_v15[[#This Row],[province RDC]],_26_03_2026_Client_Churn_v1[Province_Client],_26_03_2026_Client_Churn_v1[Anciennete_Mois],"non trouvé")</f>
        <v>non trouvé</v>
      </c>
      <c r="M725" t="str">
        <f>_xlfn.XLOOKUP(_26_03_2026_Log_Reseau_v15[[#This Row],[province RDC]],_26_03_2026_Client_Churn_v1[Province_Client],_26_03_2026_Client_Churn_v1[Type_Forfait],"non trouvé")</f>
        <v>non trouvé</v>
      </c>
      <c r="N725" t="str">
        <f>_xlfn.XLOOKUP(_26_03_2026_Log_Reseau_v15[[#This Row],[province RDC]],_26_03_2026_Client_Churn_v1[Province_Client],_26_03_2026_Client_Churn_v1[Duree_Cumulee_Panne_Min],"non trouvé")</f>
        <v>non trouvé</v>
      </c>
      <c r="O725" t="str">
        <f>_xlfn.XLOOKUP(_26_03_2026_Log_Reseau_v15[[#This Row],[province RDC]],_26_03_2026_Client_Churn_v1[Province_Client],_26_03_2026_Client_Churn_v1[Facture_Mensuelle],"non trouvé")</f>
        <v>non trouvé</v>
      </c>
      <c r="P725" t="str">
        <f>_xlfn.XLOOKUP(_26_03_2026_Log_Reseau_v15[[#This Row],[province RDC]],_26_03_2026_Client_Churn_v1[Province_Client],_26_03_2026_Client_Churn_v1[Plaintes_Service_Client],"non trouvé")</f>
        <v>non trouvé</v>
      </c>
    </row>
    <row r="726" spans="1:16" hidden="1" x14ac:dyDescent="0.25">
      <c r="A726" s="1">
        <v>45207</v>
      </c>
      <c r="B726" s="2">
        <v>0.19930555555555557</v>
      </c>
      <c r="C726" t="s">
        <v>1256</v>
      </c>
      <c r="D726">
        <v>28</v>
      </c>
      <c r="E726" t="s">
        <v>808</v>
      </c>
      <c r="F726" t="str">
        <f>_xlfn.XLOOKUP(_26_03_2026_Log_Reseau_v15[[#This Row],[Cell_ID]],_26_03_2026_Registre_Maintenance_v1[ID_Antenne],_26_03_2026_Registre_Maintenance_v1[zone],"pas trouvé")</f>
        <v>pas trouvé</v>
      </c>
      <c r="G726" t="str">
        <f>_xlfn.XLOOKUP(_26_03_2026_Log_Reseau_v15[[#This Row],[Cell_ID]],_26_03_2026_Registre_Maintenance_v1[ID_Antenne],_26_03_2026_Registre_Maintenance_v1[Latitude],"non trouvé")</f>
        <v>non trouvé</v>
      </c>
      <c r="H726" t="str">
        <f>_xlfn.XLOOKUP(_26_03_2026_Log_Reseau_v15[[#This Row],[Cell_ID]],_26_03_2026_Registre_Maintenance_v1[ID_Antenne],_26_03_2026_Registre_Maintenance_v1[Longitude],"pas trouvé")</f>
        <v>pas trouvé</v>
      </c>
      <c r="I726" t="str">
        <f>_xlfn.XLOOKUP(_26_03_2026_Log_Reseau_v15[[#This Row],[Cell_ID]],_26_03_2026_Registre_Maintenance_v1[ID_Antenne],_26_03_2026_Registre_Maintenance_v1[Technologie],"non trouvé")</f>
        <v>non trouvé</v>
      </c>
      <c r="J726" t="str">
        <f>_xlfn.XLOOKUP(_26_03_2026_Log_Reseau_v15[[#This Row],[Cell_ID]],_26_03_2026_Registre_Maintenance_v1[ID_Antenne],_26_03_2026_Registre_Maintenance_v1[Equipementier],"pas trouvé")</f>
        <v>pas trouvé</v>
      </c>
      <c r="K726" t="str">
        <f>_xlfn.XLOOKUP(_26_03_2026_Log_Reseau_v15[[#This Row],[province RDC]],_26_03_2026_Client_Churn_v1[Province_Client],_26_03_2026_Client_Churn_v1[ID_Client],"non trouvé")</f>
        <v>non trouvé</v>
      </c>
      <c r="L726" t="str">
        <f>_xlfn.XLOOKUP(_26_03_2026_Log_Reseau_v15[[#This Row],[province RDC]],_26_03_2026_Client_Churn_v1[Province_Client],_26_03_2026_Client_Churn_v1[Anciennete_Mois],"non trouvé")</f>
        <v>non trouvé</v>
      </c>
      <c r="M726" t="str">
        <f>_xlfn.XLOOKUP(_26_03_2026_Log_Reseau_v15[[#This Row],[province RDC]],_26_03_2026_Client_Churn_v1[Province_Client],_26_03_2026_Client_Churn_v1[Type_Forfait],"non trouvé")</f>
        <v>non trouvé</v>
      </c>
      <c r="N726" t="str">
        <f>_xlfn.XLOOKUP(_26_03_2026_Log_Reseau_v15[[#This Row],[province RDC]],_26_03_2026_Client_Churn_v1[Province_Client],_26_03_2026_Client_Churn_v1[Duree_Cumulee_Panne_Min],"non trouvé")</f>
        <v>non trouvé</v>
      </c>
      <c r="O726" t="str">
        <f>_xlfn.XLOOKUP(_26_03_2026_Log_Reseau_v15[[#This Row],[province RDC]],_26_03_2026_Client_Churn_v1[Province_Client],_26_03_2026_Client_Churn_v1[Facture_Mensuelle],"non trouvé")</f>
        <v>non trouvé</v>
      </c>
      <c r="P726" t="str">
        <f>_xlfn.XLOOKUP(_26_03_2026_Log_Reseau_v15[[#This Row],[province RDC]],_26_03_2026_Client_Churn_v1[Province_Client],_26_03_2026_Client_Churn_v1[Plaintes_Service_Client],"non trouvé")</f>
        <v>non trouvé</v>
      </c>
    </row>
    <row r="727" spans="1:16" x14ac:dyDescent="0.25">
      <c r="A727" s="1">
        <v>45219</v>
      </c>
      <c r="B727" s="2">
        <v>0.80138888888888893</v>
      </c>
      <c r="C727" t="s">
        <v>1257</v>
      </c>
      <c r="D727">
        <v>65</v>
      </c>
      <c r="E727" t="s">
        <v>808</v>
      </c>
      <c r="F727" t="str">
        <f>_xlfn.XLOOKUP(_26_03_2026_Log_Reseau_v15[[#This Row],[Cell_ID]],_26_03_2026_Registre_Maintenance_v1[ID_Antenne],_26_03_2026_Registre_Maintenance_v1[zone],"pas trouvé")</f>
        <v>Tshuapa</v>
      </c>
      <c r="G727">
        <f>_xlfn.XLOOKUP(_26_03_2026_Log_Reseau_v15[[#This Row],[Cell_ID]],_26_03_2026_Registre_Maintenance_v1[ID_Antenne],_26_03_2026_Registre_Maintenance_v1[Latitude],"non trouvé")</f>
        <v>0.52897499999999997</v>
      </c>
      <c r="H727">
        <f>_xlfn.XLOOKUP(_26_03_2026_Log_Reseau_v15[[#This Row],[Cell_ID]],_26_03_2026_Registre_Maintenance_v1[ID_Antenne],_26_03_2026_Registre_Maintenance_v1[Longitude],"pas trouvé")</f>
        <v>13.849651</v>
      </c>
      <c r="I727" t="str">
        <f>_xlfn.XLOOKUP(_26_03_2026_Log_Reseau_v15[[#This Row],[Cell_ID]],_26_03_2026_Registre_Maintenance_v1[ID_Antenne],_26_03_2026_Registre_Maintenance_v1[Technologie],"non trouvé")</f>
        <v>3G</v>
      </c>
      <c r="J727" t="str">
        <f>_xlfn.XLOOKUP(_26_03_2026_Log_Reseau_v15[[#This Row],[Cell_ID]],_26_03_2026_Registre_Maintenance_v1[ID_Antenne],_26_03_2026_Registre_Maintenance_v1[Equipementier],"pas trouvé")</f>
        <v>ZTE</v>
      </c>
      <c r="K727" t="str">
        <f>_xlfn.XLOOKUP(_26_03_2026_Log_Reseau_v15[[#This Row],[province RDC]],_26_03_2026_Client_Churn_v1[Province_Client],_26_03_2026_Client_Churn_v1[ID_Client],"non trouvé")</f>
        <v>CLI-00894</v>
      </c>
      <c r="L727">
        <f>_xlfn.XLOOKUP(_26_03_2026_Log_Reseau_v15[[#This Row],[province RDC]],_26_03_2026_Client_Churn_v1[Province_Client],_26_03_2026_Client_Churn_v1[Anciennete_Mois],"non trouvé")</f>
        <v>63</v>
      </c>
      <c r="M727" t="str">
        <f>_xlfn.XLOOKUP(_26_03_2026_Log_Reseau_v15[[#This Row],[province RDC]],_26_03_2026_Client_Churn_v1[Province_Client],_26_03_2026_Client_Churn_v1[Type_Forfait],"non trouvé")</f>
        <v>Pro Monde</v>
      </c>
      <c r="N727">
        <f>_xlfn.XLOOKUP(_26_03_2026_Log_Reseau_v15[[#This Row],[province RDC]],_26_03_2026_Client_Churn_v1[Province_Client],_26_03_2026_Client_Churn_v1[Duree_Cumulee_Panne_Min],"non trouvé")</f>
        <v>205</v>
      </c>
      <c r="O727">
        <f>_xlfn.XLOOKUP(_26_03_2026_Log_Reseau_v15[[#This Row],[province RDC]],_26_03_2026_Client_Churn_v1[Province_Client],_26_03_2026_Client_Churn_v1[Facture_Mensuelle],"non trouvé")</f>
        <v>89.19</v>
      </c>
      <c r="P727">
        <f>_xlfn.XLOOKUP(_26_03_2026_Log_Reseau_v15[[#This Row],[province RDC]],_26_03_2026_Client_Churn_v1[Province_Client],_26_03_2026_Client_Churn_v1[Plaintes_Service_Client],"non trouvé")</f>
        <v>0</v>
      </c>
    </row>
    <row r="728" spans="1:16" hidden="1" x14ac:dyDescent="0.25">
      <c r="A728" s="1">
        <v>45227</v>
      </c>
      <c r="B728" s="2">
        <v>0.11805555555555555</v>
      </c>
      <c r="C728" t="s">
        <v>1258</v>
      </c>
      <c r="D728">
        <v>61</v>
      </c>
      <c r="E728" t="s">
        <v>808</v>
      </c>
      <c r="F728" t="str">
        <f>_xlfn.XLOOKUP(_26_03_2026_Log_Reseau_v15[[#This Row],[Cell_ID]],_26_03_2026_Registre_Maintenance_v1[ID_Antenne],_26_03_2026_Registre_Maintenance_v1[zone],"pas trouvé")</f>
        <v>pas trouvé</v>
      </c>
      <c r="G728" t="str">
        <f>_xlfn.XLOOKUP(_26_03_2026_Log_Reseau_v15[[#This Row],[Cell_ID]],_26_03_2026_Registre_Maintenance_v1[ID_Antenne],_26_03_2026_Registre_Maintenance_v1[Latitude],"non trouvé")</f>
        <v>non trouvé</v>
      </c>
      <c r="H728" t="str">
        <f>_xlfn.XLOOKUP(_26_03_2026_Log_Reseau_v15[[#This Row],[Cell_ID]],_26_03_2026_Registre_Maintenance_v1[ID_Antenne],_26_03_2026_Registre_Maintenance_v1[Longitude],"pas trouvé")</f>
        <v>pas trouvé</v>
      </c>
      <c r="I728" t="str">
        <f>_xlfn.XLOOKUP(_26_03_2026_Log_Reseau_v15[[#This Row],[Cell_ID]],_26_03_2026_Registre_Maintenance_v1[ID_Antenne],_26_03_2026_Registre_Maintenance_v1[Technologie],"non trouvé")</f>
        <v>non trouvé</v>
      </c>
      <c r="J728" t="str">
        <f>_xlfn.XLOOKUP(_26_03_2026_Log_Reseau_v15[[#This Row],[Cell_ID]],_26_03_2026_Registre_Maintenance_v1[ID_Antenne],_26_03_2026_Registre_Maintenance_v1[Equipementier],"pas trouvé")</f>
        <v>pas trouvé</v>
      </c>
      <c r="K728" t="str">
        <f>_xlfn.XLOOKUP(_26_03_2026_Log_Reseau_v15[[#This Row],[province RDC]],_26_03_2026_Client_Churn_v1[Province_Client],_26_03_2026_Client_Churn_v1[ID_Client],"non trouvé")</f>
        <v>non trouvé</v>
      </c>
      <c r="L728" t="str">
        <f>_xlfn.XLOOKUP(_26_03_2026_Log_Reseau_v15[[#This Row],[province RDC]],_26_03_2026_Client_Churn_v1[Province_Client],_26_03_2026_Client_Churn_v1[Anciennete_Mois],"non trouvé")</f>
        <v>non trouvé</v>
      </c>
      <c r="M728" t="str">
        <f>_xlfn.XLOOKUP(_26_03_2026_Log_Reseau_v15[[#This Row],[province RDC]],_26_03_2026_Client_Churn_v1[Province_Client],_26_03_2026_Client_Churn_v1[Type_Forfait],"non trouvé")</f>
        <v>non trouvé</v>
      </c>
      <c r="N728" t="str">
        <f>_xlfn.XLOOKUP(_26_03_2026_Log_Reseau_v15[[#This Row],[province RDC]],_26_03_2026_Client_Churn_v1[Province_Client],_26_03_2026_Client_Churn_v1[Duree_Cumulee_Panne_Min],"non trouvé")</f>
        <v>non trouvé</v>
      </c>
      <c r="O728" t="str">
        <f>_xlfn.XLOOKUP(_26_03_2026_Log_Reseau_v15[[#This Row],[province RDC]],_26_03_2026_Client_Churn_v1[Province_Client],_26_03_2026_Client_Churn_v1[Facture_Mensuelle],"non trouvé")</f>
        <v>non trouvé</v>
      </c>
      <c r="P728" t="str">
        <f>_xlfn.XLOOKUP(_26_03_2026_Log_Reseau_v15[[#This Row],[province RDC]],_26_03_2026_Client_Churn_v1[Province_Client],_26_03_2026_Client_Churn_v1[Plaintes_Service_Client],"non trouvé")</f>
        <v>non trouvé</v>
      </c>
    </row>
    <row r="729" spans="1:16" x14ac:dyDescent="0.25">
      <c r="A729" s="1">
        <v>45225</v>
      </c>
      <c r="B729" s="2">
        <v>0.40694444444444444</v>
      </c>
      <c r="C729" t="s">
        <v>1259</v>
      </c>
      <c r="D729">
        <v>74</v>
      </c>
      <c r="E729" t="s">
        <v>807</v>
      </c>
      <c r="F729" t="str">
        <f>_xlfn.XLOOKUP(_26_03_2026_Log_Reseau_v15[[#This Row],[Cell_ID]],_26_03_2026_Registre_Maintenance_v1[ID_Antenne],_26_03_2026_Registre_Maintenance_v1[zone],"pas trouvé")</f>
        <v>Kwango</v>
      </c>
      <c r="G729">
        <f>_xlfn.XLOOKUP(_26_03_2026_Log_Reseau_v15[[#This Row],[Cell_ID]],_26_03_2026_Registre_Maintenance_v1[ID_Antenne],_26_03_2026_Registre_Maintenance_v1[Latitude],"non trouvé")</f>
        <v>-4.6957509999999996</v>
      </c>
      <c r="H729">
        <f>_xlfn.XLOOKUP(_26_03_2026_Log_Reseau_v15[[#This Row],[Cell_ID]],_26_03_2026_Registre_Maintenance_v1[ID_Antenne],_26_03_2026_Registre_Maintenance_v1[Longitude],"pas trouvé")</f>
        <v>14.233525999999999</v>
      </c>
      <c r="I729" t="str">
        <f>_xlfn.XLOOKUP(_26_03_2026_Log_Reseau_v15[[#This Row],[Cell_ID]],_26_03_2026_Registre_Maintenance_v1[ID_Antenne],_26_03_2026_Registre_Maintenance_v1[Technologie],"non trouvé")</f>
        <v>4G</v>
      </c>
      <c r="J729" t="str">
        <f>_xlfn.XLOOKUP(_26_03_2026_Log_Reseau_v15[[#This Row],[Cell_ID]],_26_03_2026_Registre_Maintenance_v1[ID_Antenne],_26_03_2026_Registre_Maintenance_v1[Equipementier],"pas trouvé")</f>
        <v>Nokia</v>
      </c>
      <c r="K729" t="str">
        <f>_xlfn.XLOOKUP(_26_03_2026_Log_Reseau_v15[[#This Row],[province RDC]],_26_03_2026_Client_Churn_v1[Province_Client],_26_03_2026_Client_Churn_v1[ID_Client],"non trouvé")</f>
        <v>CLI-00569</v>
      </c>
      <c r="L729">
        <f>_xlfn.XLOOKUP(_26_03_2026_Log_Reseau_v15[[#This Row],[province RDC]],_26_03_2026_Client_Churn_v1[Province_Client],_26_03_2026_Client_Churn_v1[Anciennete_Mois],"non trouvé")</f>
        <v>110</v>
      </c>
      <c r="M729" t="str">
        <f>_xlfn.XLOOKUP(_26_03_2026_Log_Reseau_v15[[#This Row],[province RDC]],_26_03_2026_Client_Churn_v1[Province_Client],_26_03_2026_Client_Churn_v1[Type_Forfait],"non trouvé")</f>
        <v>Pro Monde</v>
      </c>
      <c r="N729">
        <f>_xlfn.XLOOKUP(_26_03_2026_Log_Reseau_v15[[#This Row],[province RDC]],_26_03_2026_Client_Churn_v1[Province_Client],_26_03_2026_Client_Churn_v1[Duree_Cumulee_Panne_Min],"non trouvé")</f>
        <v>423</v>
      </c>
      <c r="O729">
        <f>_xlfn.XLOOKUP(_26_03_2026_Log_Reseau_v15[[#This Row],[province RDC]],_26_03_2026_Client_Churn_v1[Province_Client],_26_03_2026_Client_Churn_v1[Facture_Mensuelle],"non trouvé")</f>
        <v>37.35</v>
      </c>
      <c r="P729">
        <f>_xlfn.XLOOKUP(_26_03_2026_Log_Reseau_v15[[#This Row],[province RDC]],_26_03_2026_Client_Churn_v1[Province_Client],_26_03_2026_Client_Churn_v1[Plaintes_Service_Client],"non trouvé")</f>
        <v>4</v>
      </c>
    </row>
    <row r="730" spans="1:16" x14ac:dyDescent="0.25">
      <c r="A730" s="1">
        <v>45213</v>
      </c>
      <c r="B730" s="2">
        <v>0.90763888888888888</v>
      </c>
      <c r="C730" t="s">
        <v>1260</v>
      </c>
      <c r="D730">
        <v>52</v>
      </c>
      <c r="E730" t="s">
        <v>807</v>
      </c>
      <c r="F730" t="str">
        <f>_xlfn.XLOOKUP(_26_03_2026_Log_Reseau_v15[[#This Row],[Cell_ID]],_26_03_2026_Registre_Maintenance_v1[ID_Antenne],_26_03_2026_Registre_Maintenance_v1[zone],"pas trouvé")</f>
        <v>Nord-Kivu</v>
      </c>
      <c r="G730">
        <f>_xlfn.XLOOKUP(_26_03_2026_Log_Reseau_v15[[#This Row],[Cell_ID]],_26_03_2026_Registre_Maintenance_v1[ID_Antenne],_26_03_2026_Registre_Maintenance_v1[Latitude],"non trouvé")</f>
        <v>-10.298385</v>
      </c>
      <c r="H730">
        <f>_xlfn.XLOOKUP(_26_03_2026_Log_Reseau_v15[[#This Row],[Cell_ID]],_26_03_2026_Registre_Maintenance_v1[ID_Antenne],_26_03_2026_Registre_Maintenance_v1[Longitude],"pas trouvé")</f>
        <v>29.698117</v>
      </c>
      <c r="I730" t="str">
        <f>_xlfn.XLOOKUP(_26_03_2026_Log_Reseau_v15[[#This Row],[Cell_ID]],_26_03_2026_Registre_Maintenance_v1[ID_Antenne],_26_03_2026_Registre_Maintenance_v1[Technologie],"non trouvé")</f>
        <v>5G</v>
      </c>
      <c r="J730" t="str">
        <f>_xlfn.XLOOKUP(_26_03_2026_Log_Reseau_v15[[#This Row],[Cell_ID]],_26_03_2026_Registre_Maintenance_v1[ID_Antenne],_26_03_2026_Registre_Maintenance_v1[Equipementier],"pas trouvé")</f>
        <v>Nokia</v>
      </c>
      <c r="K730" t="str">
        <f>_xlfn.XLOOKUP(_26_03_2026_Log_Reseau_v15[[#This Row],[province RDC]],_26_03_2026_Client_Churn_v1[Province_Client],_26_03_2026_Client_Churn_v1[ID_Client],"non trouvé")</f>
        <v>CLI-00837</v>
      </c>
      <c r="L730">
        <f>_xlfn.XLOOKUP(_26_03_2026_Log_Reseau_v15[[#This Row],[province RDC]],_26_03_2026_Client_Churn_v1[Province_Client],_26_03_2026_Client_Churn_v1[Anciennete_Mois],"non trouvé")</f>
        <v>16</v>
      </c>
      <c r="M730" t="str">
        <f>_xlfn.XLOOKUP(_26_03_2026_Log_Reseau_v15[[#This Row],[province RDC]],_26_03_2026_Client_Churn_v1[Province_Client],_26_03_2026_Client_Churn_v1[Type_Forfait],"non trouvé")</f>
        <v>Bloqué 5Go</v>
      </c>
      <c r="N730">
        <f>_xlfn.XLOOKUP(_26_03_2026_Log_Reseau_v15[[#This Row],[province RDC]],_26_03_2026_Client_Churn_v1[Province_Client],_26_03_2026_Client_Churn_v1[Duree_Cumulee_Panne_Min],"non trouvé")</f>
        <v>390</v>
      </c>
      <c r="O730">
        <f>_xlfn.XLOOKUP(_26_03_2026_Log_Reseau_v15[[#This Row],[province RDC]],_26_03_2026_Client_Churn_v1[Province_Client],_26_03_2026_Client_Churn_v1[Facture_Mensuelle],"non trouvé")</f>
        <v>98.17</v>
      </c>
      <c r="P730">
        <f>_xlfn.XLOOKUP(_26_03_2026_Log_Reseau_v15[[#This Row],[province RDC]],_26_03_2026_Client_Churn_v1[Province_Client],_26_03_2026_Client_Churn_v1[Plaintes_Service_Client],"non trouvé")</f>
        <v>5</v>
      </c>
    </row>
    <row r="731" spans="1:16" x14ac:dyDescent="0.25">
      <c r="A731" s="1">
        <v>45224</v>
      </c>
      <c r="B731" s="2">
        <v>0.2298611111111111</v>
      </c>
      <c r="C731" t="s">
        <v>1260</v>
      </c>
      <c r="D731">
        <v>20</v>
      </c>
      <c r="E731" t="s">
        <v>807</v>
      </c>
      <c r="F731" t="str">
        <f>_xlfn.XLOOKUP(_26_03_2026_Log_Reseau_v15[[#This Row],[Cell_ID]],_26_03_2026_Registre_Maintenance_v1[ID_Antenne],_26_03_2026_Registre_Maintenance_v1[zone],"pas trouvé")</f>
        <v>Nord-Kivu</v>
      </c>
      <c r="G731">
        <f>_xlfn.XLOOKUP(_26_03_2026_Log_Reseau_v15[[#This Row],[Cell_ID]],_26_03_2026_Registre_Maintenance_v1[ID_Antenne],_26_03_2026_Registre_Maintenance_v1[Latitude],"non trouvé")</f>
        <v>-10.298385</v>
      </c>
      <c r="H731">
        <f>_xlfn.XLOOKUP(_26_03_2026_Log_Reseau_v15[[#This Row],[Cell_ID]],_26_03_2026_Registre_Maintenance_v1[ID_Antenne],_26_03_2026_Registre_Maintenance_v1[Longitude],"pas trouvé")</f>
        <v>29.698117</v>
      </c>
      <c r="I731" t="str">
        <f>_xlfn.XLOOKUP(_26_03_2026_Log_Reseau_v15[[#This Row],[Cell_ID]],_26_03_2026_Registre_Maintenance_v1[ID_Antenne],_26_03_2026_Registre_Maintenance_v1[Technologie],"non trouvé")</f>
        <v>5G</v>
      </c>
      <c r="J731" t="str">
        <f>_xlfn.XLOOKUP(_26_03_2026_Log_Reseau_v15[[#This Row],[Cell_ID]],_26_03_2026_Registre_Maintenance_v1[ID_Antenne],_26_03_2026_Registre_Maintenance_v1[Equipementier],"pas trouvé")</f>
        <v>Nokia</v>
      </c>
      <c r="K731" t="str">
        <f>_xlfn.XLOOKUP(_26_03_2026_Log_Reseau_v15[[#This Row],[province RDC]],_26_03_2026_Client_Churn_v1[Province_Client],_26_03_2026_Client_Churn_v1[ID_Client],"non trouvé")</f>
        <v>CLI-00837</v>
      </c>
      <c r="L731">
        <f>_xlfn.XLOOKUP(_26_03_2026_Log_Reseau_v15[[#This Row],[province RDC]],_26_03_2026_Client_Churn_v1[Province_Client],_26_03_2026_Client_Churn_v1[Anciennete_Mois],"non trouvé")</f>
        <v>16</v>
      </c>
      <c r="M731" t="str">
        <f>_xlfn.XLOOKUP(_26_03_2026_Log_Reseau_v15[[#This Row],[province RDC]],_26_03_2026_Client_Churn_v1[Province_Client],_26_03_2026_Client_Churn_v1[Type_Forfait],"non trouvé")</f>
        <v>Bloqué 5Go</v>
      </c>
      <c r="N731">
        <f>_xlfn.XLOOKUP(_26_03_2026_Log_Reseau_v15[[#This Row],[province RDC]],_26_03_2026_Client_Churn_v1[Province_Client],_26_03_2026_Client_Churn_v1[Duree_Cumulee_Panne_Min],"non trouvé")</f>
        <v>390</v>
      </c>
      <c r="O731">
        <f>_xlfn.XLOOKUP(_26_03_2026_Log_Reseau_v15[[#This Row],[province RDC]],_26_03_2026_Client_Churn_v1[Province_Client],_26_03_2026_Client_Churn_v1[Facture_Mensuelle],"non trouvé")</f>
        <v>98.17</v>
      </c>
      <c r="P731">
        <f>_xlfn.XLOOKUP(_26_03_2026_Log_Reseau_v15[[#This Row],[province RDC]],_26_03_2026_Client_Churn_v1[Province_Client],_26_03_2026_Client_Churn_v1[Plaintes_Service_Client],"non trouvé")</f>
        <v>5</v>
      </c>
    </row>
    <row r="732" spans="1:16" x14ac:dyDescent="0.25">
      <c r="A732" s="1">
        <v>45207</v>
      </c>
      <c r="B732" s="2">
        <v>7.4305555555555555E-2</v>
      </c>
      <c r="C732" t="s">
        <v>1261</v>
      </c>
      <c r="D732">
        <v>57</v>
      </c>
      <c r="E732" t="s">
        <v>807</v>
      </c>
      <c r="F732" t="str">
        <f>_xlfn.XLOOKUP(_26_03_2026_Log_Reseau_v15[[#This Row],[Cell_ID]],_26_03_2026_Registre_Maintenance_v1[ID_Antenne],_26_03_2026_Registre_Maintenance_v1[zone],"pas trouvé")</f>
        <v>Kongo-Central</v>
      </c>
      <c r="G732">
        <f>_xlfn.XLOOKUP(_26_03_2026_Log_Reseau_v15[[#This Row],[Cell_ID]],_26_03_2026_Registre_Maintenance_v1[ID_Antenne],_26_03_2026_Registre_Maintenance_v1[Latitude],"non trouvé")</f>
        <v>-7.1587569999999996</v>
      </c>
      <c r="H732">
        <f>_xlfn.XLOOKUP(_26_03_2026_Log_Reseau_v15[[#This Row],[Cell_ID]],_26_03_2026_Registre_Maintenance_v1[ID_Antenne],_26_03_2026_Registre_Maintenance_v1[Longitude],"pas trouvé")</f>
        <v>18.975141000000001</v>
      </c>
      <c r="I732" t="str">
        <f>_xlfn.XLOOKUP(_26_03_2026_Log_Reseau_v15[[#This Row],[Cell_ID]],_26_03_2026_Registre_Maintenance_v1[ID_Antenne],_26_03_2026_Registre_Maintenance_v1[Technologie],"non trouvé")</f>
        <v>5G</v>
      </c>
      <c r="J732" t="str">
        <f>_xlfn.XLOOKUP(_26_03_2026_Log_Reseau_v15[[#This Row],[Cell_ID]],_26_03_2026_Registre_Maintenance_v1[ID_Antenne],_26_03_2026_Registre_Maintenance_v1[Equipementier],"pas trouvé")</f>
        <v>Ericsson</v>
      </c>
      <c r="K732" t="str">
        <f>_xlfn.XLOOKUP(_26_03_2026_Log_Reseau_v15[[#This Row],[province RDC]],_26_03_2026_Client_Churn_v1[Province_Client],_26_03_2026_Client_Churn_v1[ID_Client],"non trouvé")</f>
        <v>CLI-01233</v>
      </c>
      <c r="L732">
        <f>_xlfn.XLOOKUP(_26_03_2026_Log_Reseau_v15[[#This Row],[province RDC]],_26_03_2026_Client_Churn_v1[Province_Client],_26_03_2026_Client_Churn_v1[Anciennete_Mois],"non trouvé")</f>
        <v>101</v>
      </c>
      <c r="M732" t="str">
        <f>_xlfn.XLOOKUP(_26_03_2026_Log_Reseau_v15[[#This Row],[province RDC]],_26_03_2026_Client_Churn_v1[Province_Client],_26_03_2026_Client_Churn_v1[Type_Forfait],"non trouvé")</f>
        <v>Pro Monde</v>
      </c>
      <c r="N732">
        <f>_xlfn.XLOOKUP(_26_03_2026_Log_Reseau_v15[[#This Row],[province RDC]],_26_03_2026_Client_Churn_v1[Province_Client],_26_03_2026_Client_Churn_v1[Duree_Cumulee_Panne_Min],"non trouvé")</f>
        <v>333</v>
      </c>
      <c r="O732">
        <f>_xlfn.XLOOKUP(_26_03_2026_Log_Reseau_v15[[#This Row],[province RDC]],_26_03_2026_Client_Churn_v1[Province_Client],_26_03_2026_Client_Churn_v1[Facture_Mensuelle],"non trouvé")</f>
        <v>74.319999999999993</v>
      </c>
      <c r="P732">
        <f>_xlfn.XLOOKUP(_26_03_2026_Log_Reseau_v15[[#This Row],[province RDC]],_26_03_2026_Client_Churn_v1[Province_Client],_26_03_2026_Client_Churn_v1[Plaintes_Service_Client],"non trouvé")</f>
        <v>1</v>
      </c>
    </row>
    <row r="733" spans="1:16" x14ac:dyDescent="0.25">
      <c r="A733" s="1">
        <v>45219</v>
      </c>
      <c r="B733" s="2">
        <v>0.56944444444444442</v>
      </c>
      <c r="C733" t="s">
        <v>1261</v>
      </c>
      <c r="D733">
        <v>96</v>
      </c>
      <c r="E733" t="s">
        <v>807</v>
      </c>
      <c r="F733" t="str">
        <f>_xlfn.XLOOKUP(_26_03_2026_Log_Reseau_v15[[#This Row],[Cell_ID]],_26_03_2026_Registre_Maintenance_v1[ID_Antenne],_26_03_2026_Registre_Maintenance_v1[zone],"pas trouvé")</f>
        <v>Kongo-Central</v>
      </c>
      <c r="G733">
        <f>_xlfn.XLOOKUP(_26_03_2026_Log_Reseau_v15[[#This Row],[Cell_ID]],_26_03_2026_Registre_Maintenance_v1[ID_Antenne],_26_03_2026_Registre_Maintenance_v1[Latitude],"non trouvé")</f>
        <v>-7.1587569999999996</v>
      </c>
      <c r="H733">
        <f>_xlfn.XLOOKUP(_26_03_2026_Log_Reseau_v15[[#This Row],[Cell_ID]],_26_03_2026_Registre_Maintenance_v1[ID_Antenne],_26_03_2026_Registre_Maintenance_v1[Longitude],"pas trouvé")</f>
        <v>18.975141000000001</v>
      </c>
      <c r="I733" t="str">
        <f>_xlfn.XLOOKUP(_26_03_2026_Log_Reseau_v15[[#This Row],[Cell_ID]],_26_03_2026_Registre_Maintenance_v1[ID_Antenne],_26_03_2026_Registre_Maintenance_v1[Technologie],"non trouvé")</f>
        <v>5G</v>
      </c>
      <c r="J733" t="str">
        <f>_xlfn.XLOOKUP(_26_03_2026_Log_Reseau_v15[[#This Row],[Cell_ID]],_26_03_2026_Registre_Maintenance_v1[ID_Antenne],_26_03_2026_Registre_Maintenance_v1[Equipementier],"pas trouvé")</f>
        <v>Ericsson</v>
      </c>
      <c r="K733" t="str">
        <f>_xlfn.XLOOKUP(_26_03_2026_Log_Reseau_v15[[#This Row],[province RDC]],_26_03_2026_Client_Churn_v1[Province_Client],_26_03_2026_Client_Churn_v1[ID_Client],"non trouvé")</f>
        <v>CLI-01233</v>
      </c>
      <c r="L733">
        <f>_xlfn.XLOOKUP(_26_03_2026_Log_Reseau_v15[[#This Row],[province RDC]],_26_03_2026_Client_Churn_v1[Province_Client],_26_03_2026_Client_Churn_v1[Anciennete_Mois],"non trouvé")</f>
        <v>101</v>
      </c>
      <c r="M733" t="str">
        <f>_xlfn.XLOOKUP(_26_03_2026_Log_Reseau_v15[[#This Row],[province RDC]],_26_03_2026_Client_Churn_v1[Province_Client],_26_03_2026_Client_Churn_v1[Type_Forfait],"non trouvé")</f>
        <v>Pro Monde</v>
      </c>
      <c r="N733">
        <f>_xlfn.XLOOKUP(_26_03_2026_Log_Reseau_v15[[#This Row],[province RDC]],_26_03_2026_Client_Churn_v1[Province_Client],_26_03_2026_Client_Churn_v1[Duree_Cumulee_Panne_Min],"non trouvé")</f>
        <v>333</v>
      </c>
      <c r="O733">
        <f>_xlfn.XLOOKUP(_26_03_2026_Log_Reseau_v15[[#This Row],[province RDC]],_26_03_2026_Client_Churn_v1[Province_Client],_26_03_2026_Client_Churn_v1[Facture_Mensuelle],"non trouvé")</f>
        <v>74.319999999999993</v>
      </c>
      <c r="P733">
        <f>_xlfn.XLOOKUP(_26_03_2026_Log_Reseau_v15[[#This Row],[province RDC]],_26_03_2026_Client_Churn_v1[Province_Client],_26_03_2026_Client_Churn_v1[Plaintes_Service_Client],"non trouvé")</f>
        <v>1</v>
      </c>
    </row>
    <row r="734" spans="1:16" x14ac:dyDescent="0.25">
      <c r="A734" s="1">
        <v>45207</v>
      </c>
      <c r="B734" s="2">
        <v>0.66805555555555551</v>
      </c>
      <c r="C734" t="s">
        <v>1261</v>
      </c>
      <c r="D734">
        <v>113</v>
      </c>
      <c r="E734" t="s">
        <v>807</v>
      </c>
      <c r="F734" t="str">
        <f>_xlfn.XLOOKUP(_26_03_2026_Log_Reseau_v15[[#This Row],[Cell_ID]],_26_03_2026_Registre_Maintenance_v1[ID_Antenne],_26_03_2026_Registre_Maintenance_v1[zone],"pas trouvé")</f>
        <v>Kongo-Central</v>
      </c>
      <c r="G734">
        <f>_xlfn.XLOOKUP(_26_03_2026_Log_Reseau_v15[[#This Row],[Cell_ID]],_26_03_2026_Registre_Maintenance_v1[ID_Antenne],_26_03_2026_Registre_Maintenance_v1[Latitude],"non trouvé")</f>
        <v>-7.1587569999999996</v>
      </c>
      <c r="H734">
        <f>_xlfn.XLOOKUP(_26_03_2026_Log_Reseau_v15[[#This Row],[Cell_ID]],_26_03_2026_Registre_Maintenance_v1[ID_Antenne],_26_03_2026_Registre_Maintenance_v1[Longitude],"pas trouvé")</f>
        <v>18.975141000000001</v>
      </c>
      <c r="I734" t="str">
        <f>_xlfn.XLOOKUP(_26_03_2026_Log_Reseau_v15[[#This Row],[Cell_ID]],_26_03_2026_Registre_Maintenance_v1[ID_Antenne],_26_03_2026_Registre_Maintenance_v1[Technologie],"non trouvé")</f>
        <v>5G</v>
      </c>
      <c r="J734" t="str">
        <f>_xlfn.XLOOKUP(_26_03_2026_Log_Reseau_v15[[#This Row],[Cell_ID]],_26_03_2026_Registre_Maintenance_v1[ID_Antenne],_26_03_2026_Registre_Maintenance_v1[Equipementier],"pas trouvé")</f>
        <v>Ericsson</v>
      </c>
      <c r="K734" t="str">
        <f>_xlfn.XLOOKUP(_26_03_2026_Log_Reseau_v15[[#This Row],[province RDC]],_26_03_2026_Client_Churn_v1[Province_Client],_26_03_2026_Client_Churn_v1[ID_Client],"non trouvé")</f>
        <v>CLI-01233</v>
      </c>
      <c r="L734">
        <f>_xlfn.XLOOKUP(_26_03_2026_Log_Reseau_v15[[#This Row],[province RDC]],_26_03_2026_Client_Churn_v1[Province_Client],_26_03_2026_Client_Churn_v1[Anciennete_Mois],"non trouvé")</f>
        <v>101</v>
      </c>
      <c r="M734" t="str">
        <f>_xlfn.XLOOKUP(_26_03_2026_Log_Reseau_v15[[#This Row],[province RDC]],_26_03_2026_Client_Churn_v1[Province_Client],_26_03_2026_Client_Churn_v1[Type_Forfait],"non trouvé")</f>
        <v>Pro Monde</v>
      </c>
      <c r="N734">
        <f>_xlfn.XLOOKUP(_26_03_2026_Log_Reseau_v15[[#This Row],[province RDC]],_26_03_2026_Client_Churn_v1[Province_Client],_26_03_2026_Client_Churn_v1[Duree_Cumulee_Panne_Min],"non trouvé")</f>
        <v>333</v>
      </c>
      <c r="O734">
        <f>_xlfn.XLOOKUP(_26_03_2026_Log_Reseau_v15[[#This Row],[province RDC]],_26_03_2026_Client_Churn_v1[Province_Client],_26_03_2026_Client_Churn_v1[Facture_Mensuelle],"non trouvé")</f>
        <v>74.319999999999993</v>
      </c>
      <c r="P734">
        <f>_xlfn.XLOOKUP(_26_03_2026_Log_Reseau_v15[[#This Row],[province RDC]],_26_03_2026_Client_Churn_v1[Province_Client],_26_03_2026_Client_Churn_v1[Plaintes_Service_Client],"non trouvé")</f>
        <v>1</v>
      </c>
    </row>
    <row r="735" spans="1:16" x14ac:dyDescent="0.25">
      <c r="A735" s="1">
        <v>45203</v>
      </c>
      <c r="B735" s="2">
        <v>0.9506944444444444</v>
      </c>
      <c r="C735" t="s">
        <v>1262</v>
      </c>
      <c r="D735">
        <v>8</v>
      </c>
      <c r="E735" t="s">
        <v>808</v>
      </c>
      <c r="F735" t="str">
        <f>_xlfn.XLOOKUP(_26_03_2026_Log_Reseau_v15[[#This Row],[Cell_ID]],_26_03_2026_Registre_Maintenance_v1[ID_Antenne],_26_03_2026_Registre_Maintenance_v1[zone],"pas trouvé")</f>
        <v>Tshuapa</v>
      </c>
      <c r="G735">
        <f>_xlfn.XLOOKUP(_26_03_2026_Log_Reseau_v15[[#This Row],[Cell_ID]],_26_03_2026_Registre_Maintenance_v1[ID_Antenne],_26_03_2026_Registre_Maintenance_v1[Latitude],"non trouvé")</f>
        <v>-0.79406600000000005</v>
      </c>
      <c r="H735">
        <f>_xlfn.XLOOKUP(_26_03_2026_Log_Reseau_v15[[#This Row],[Cell_ID]],_26_03_2026_Registre_Maintenance_v1[ID_Antenne],_26_03_2026_Registre_Maintenance_v1[Longitude],"pas trouvé")</f>
        <v>12.534793000000001</v>
      </c>
      <c r="I735" t="str">
        <f>_xlfn.XLOOKUP(_26_03_2026_Log_Reseau_v15[[#This Row],[Cell_ID]],_26_03_2026_Registre_Maintenance_v1[ID_Antenne],_26_03_2026_Registre_Maintenance_v1[Technologie],"non trouvé")</f>
        <v>3G</v>
      </c>
      <c r="J735" t="str">
        <f>_xlfn.XLOOKUP(_26_03_2026_Log_Reseau_v15[[#This Row],[Cell_ID]],_26_03_2026_Registre_Maintenance_v1[ID_Antenne],_26_03_2026_Registre_Maintenance_v1[Equipementier],"pas trouvé")</f>
        <v>Huawei</v>
      </c>
      <c r="K735" t="str">
        <f>_xlfn.XLOOKUP(_26_03_2026_Log_Reseau_v15[[#This Row],[province RDC]],_26_03_2026_Client_Churn_v1[Province_Client],_26_03_2026_Client_Churn_v1[ID_Client],"non trouvé")</f>
        <v>CLI-00894</v>
      </c>
      <c r="L735">
        <f>_xlfn.XLOOKUP(_26_03_2026_Log_Reseau_v15[[#This Row],[province RDC]],_26_03_2026_Client_Churn_v1[Province_Client],_26_03_2026_Client_Churn_v1[Anciennete_Mois],"non trouvé")</f>
        <v>63</v>
      </c>
      <c r="M735" t="str">
        <f>_xlfn.XLOOKUP(_26_03_2026_Log_Reseau_v15[[#This Row],[province RDC]],_26_03_2026_Client_Churn_v1[Province_Client],_26_03_2026_Client_Churn_v1[Type_Forfait],"non trouvé")</f>
        <v>Pro Monde</v>
      </c>
      <c r="N735">
        <f>_xlfn.XLOOKUP(_26_03_2026_Log_Reseau_v15[[#This Row],[province RDC]],_26_03_2026_Client_Churn_v1[Province_Client],_26_03_2026_Client_Churn_v1[Duree_Cumulee_Panne_Min],"non trouvé")</f>
        <v>205</v>
      </c>
      <c r="O735">
        <f>_xlfn.XLOOKUP(_26_03_2026_Log_Reseau_v15[[#This Row],[province RDC]],_26_03_2026_Client_Churn_v1[Province_Client],_26_03_2026_Client_Churn_v1[Facture_Mensuelle],"non trouvé")</f>
        <v>89.19</v>
      </c>
      <c r="P735">
        <f>_xlfn.XLOOKUP(_26_03_2026_Log_Reseau_v15[[#This Row],[province RDC]],_26_03_2026_Client_Churn_v1[Province_Client],_26_03_2026_Client_Churn_v1[Plaintes_Service_Client],"non trouvé")</f>
        <v>0</v>
      </c>
    </row>
    <row r="736" spans="1:16" hidden="1" x14ac:dyDescent="0.25">
      <c r="A736" s="1">
        <v>45205</v>
      </c>
      <c r="B736" s="2">
        <v>0.80555555555555558</v>
      </c>
      <c r="C736" t="s">
        <v>1263</v>
      </c>
      <c r="D736">
        <v>110</v>
      </c>
      <c r="E736" t="s">
        <v>807</v>
      </c>
      <c r="F736" t="str">
        <f>_xlfn.XLOOKUP(_26_03_2026_Log_Reseau_v15[[#This Row],[Cell_ID]],_26_03_2026_Registre_Maintenance_v1[ID_Antenne],_26_03_2026_Registre_Maintenance_v1[zone],"pas trouvé")</f>
        <v>pas trouvé</v>
      </c>
      <c r="G736" t="str">
        <f>_xlfn.XLOOKUP(_26_03_2026_Log_Reseau_v15[[#This Row],[Cell_ID]],_26_03_2026_Registre_Maintenance_v1[ID_Antenne],_26_03_2026_Registre_Maintenance_v1[Latitude],"non trouvé")</f>
        <v>non trouvé</v>
      </c>
      <c r="H736" t="str">
        <f>_xlfn.XLOOKUP(_26_03_2026_Log_Reseau_v15[[#This Row],[Cell_ID]],_26_03_2026_Registre_Maintenance_v1[ID_Antenne],_26_03_2026_Registre_Maintenance_v1[Longitude],"pas trouvé")</f>
        <v>pas trouvé</v>
      </c>
      <c r="I736" t="str">
        <f>_xlfn.XLOOKUP(_26_03_2026_Log_Reseau_v15[[#This Row],[Cell_ID]],_26_03_2026_Registre_Maintenance_v1[ID_Antenne],_26_03_2026_Registre_Maintenance_v1[Technologie],"non trouvé")</f>
        <v>non trouvé</v>
      </c>
      <c r="J736" t="str">
        <f>_xlfn.XLOOKUP(_26_03_2026_Log_Reseau_v15[[#This Row],[Cell_ID]],_26_03_2026_Registre_Maintenance_v1[ID_Antenne],_26_03_2026_Registre_Maintenance_v1[Equipementier],"pas trouvé")</f>
        <v>pas trouvé</v>
      </c>
      <c r="K736" t="str">
        <f>_xlfn.XLOOKUP(_26_03_2026_Log_Reseau_v15[[#This Row],[province RDC]],_26_03_2026_Client_Churn_v1[Province_Client],_26_03_2026_Client_Churn_v1[ID_Client],"non trouvé")</f>
        <v>non trouvé</v>
      </c>
      <c r="L736" t="str">
        <f>_xlfn.XLOOKUP(_26_03_2026_Log_Reseau_v15[[#This Row],[province RDC]],_26_03_2026_Client_Churn_v1[Province_Client],_26_03_2026_Client_Churn_v1[Anciennete_Mois],"non trouvé")</f>
        <v>non trouvé</v>
      </c>
      <c r="M736" t="str">
        <f>_xlfn.XLOOKUP(_26_03_2026_Log_Reseau_v15[[#This Row],[province RDC]],_26_03_2026_Client_Churn_v1[Province_Client],_26_03_2026_Client_Churn_v1[Type_Forfait],"non trouvé")</f>
        <v>non trouvé</v>
      </c>
      <c r="N736" t="str">
        <f>_xlfn.XLOOKUP(_26_03_2026_Log_Reseau_v15[[#This Row],[province RDC]],_26_03_2026_Client_Churn_v1[Province_Client],_26_03_2026_Client_Churn_v1[Duree_Cumulee_Panne_Min],"non trouvé")</f>
        <v>non trouvé</v>
      </c>
      <c r="O736" t="str">
        <f>_xlfn.XLOOKUP(_26_03_2026_Log_Reseau_v15[[#This Row],[province RDC]],_26_03_2026_Client_Churn_v1[Province_Client],_26_03_2026_Client_Churn_v1[Facture_Mensuelle],"non trouvé")</f>
        <v>non trouvé</v>
      </c>
      <c r="P736" t="str">
        <f>_xlfn.XLOOKUP(_26_03_2026_Log_Reseau_v15[[#This Row],[province RDC]],_26_03_2026_Client_Churn_v1[Province_Client],_26_03_2026_Client_Churn_v1[Plaintes_Service_Client],"non trouvé")</f>
        <v>non trouvé</v>
      </c>
    </row>
    <row r="737" spans="1:16" x14ac:dyDescent="0.25">
      <c r="A737" s="1">
        <v>45229</v>
      </c>
      <c r="B737" s="2">
        <v>0.63124999999999998</v>
      </c>
      <c r="C737" t="s">
        <v>1264</v>
      </c>
      <c r="D737">
        <v>81</v>
      </c>
      <c r="E737" t="s">
        <v>807</v>
      </c>
      <c r="F737" t="str">
        <f>_xlfn.XLOOKUP(_26_03_2026_Log_Reseau_v15[[#This Row],[Cell_ID]],_26_03_2026_Registre_Maintenance_v1[ID_Antenne],_26_03_2026_Registre_Maintenance_v1[zone],"pas trouvé")</f>
        <v>Tshuapa</v>
      </c>
      <c r="G737">
        <f>_xlfn.XLOOKUP(_26_03_2026_Log_Reseau_v15[[#This Row],[Cell_ID]],_26_03_2026_Registre_Maintenance_v1[ID_Antenne],_26_03_2026_Registre_Maintenance_v1[Latitude],"non trouvé")</f>
        <v>-10.574821</v>
      </c>
      <c r="H737">
        <f>_xlfn.XLOOKUP(_26_03_2026_Log_Reseau_v15[[#This Row],[Cell_ID]],_26_03_2026_Registre_Maintenance_v1[ID_Antenne],_26_03_2026_Registre_Maintenance_v1[Longitude],"pas trouvé")</f>
        <v>25.324966</v>
      </c>
      <c r="I737" t="str">
        <f>_xlfn.XLOOKUP(_26_03_2026_Log_Reseau_v15[[#This Row],[Cell_ID]],_26_03_2026_Registre_Maintenance_v1[ID_Antenne],_26_03_2026_Registre_Maintenance_v1[Technologie],"non trouvé")</f>
        <v>5G</v>
      </c>
      <c r="J737" t="str">
        <f>_xlfn.XLOOKUP(_26_03_2026_Log_Reseau_v15[[#This Row],[Cell_ID]],_26_03_2026_Registre_Maintenance_v1[ID_Antenne],_26_03_2026_Registre_Maintenance_v1[Equipementier],"pas trouvé")</f>
        <v>Ericsson</v>
      </c>
      <c r="K737" t="str">
        <f>_xlfn.XLOOKUP(_26_03_2026_Log_Reseau_v15[[#This Row],[province RDC]],_26_03_2026_Client_Churn_v1[Province_Client],_26_03_2026_Client_Churn_v1[ID_Client],"non trouvé")</f>
        <v>CLI-00894</v>
      </c>
      <c r="L737">
        <f>_xlfn.XLOOKUP(_26_03_2026_Log_Reseau_v15[[#This Row],[province RDC]],_26_03_2026_Client_Churn_v1[Province_Client],_26_03_2026_Client_Churn_v1[Anciennete_Mois],"non trouvé")</f>
        <v>63</v>
      </c>
      <c r="M737" t="str">
        <f>_xlfn.XLOOKUP(_26_03_2026_Log_Reseau_v15[[#This Row],[province RDC]],_26_03_2026_Client_Churn_v1[Province_Client],_26_03_2026_Client_Churn_v1[Type_Forfait],"non trouvé")</f>
        <v>Pro Monde</v>
      </c>
      <c r="N737">
        <f>_xlfn.XLOOKUP(_26_03_2026_Log_Reseau_v15[[#This Row],[province RDC]],_26_03_2026_Client_Churn_v1[Province_Client],_26_03_2026_Client_Churn_v1[Duree_Cumulee_Panne_Min],"non trouvé")</f>
        <v>205</v>
      </c>
      <c r="O737">
        <f>_xlfn.XLOOKUP(_26_03_2026_Log_Reseau_v15[[#This Row],[province RDC]],_26_03_2026_Client_Churn_v1[Province_Client],_26_03_2026_Client_Churn_v1[Facture_Mensuelle],"non trouvé")</f>
        <v>89.19</v>
      </c>
      <c r="P737">
        <f>_xlfn.XLOOKUP(_26_03_2026_Log_Reseau_v15[[#This Row],[province RDC]],_26_03_2026_Client_Churn_v1[Province_Client],_26_03_2026_Client_Churn_v1[Plaintes_Service_Client],"non trouvé")</f>
        <v>0</v>
      </c>
    </row>
    <row r="738" spans="1:16" hidden="1" x14ac:dyDescent="0.25">
      <c r="A738" s="1">
        <v>45204</v>
      </c>
      <c r="B738" s="2">
        <v>0.93125000000000002</v>
      </c>
      <c r="C738" t="s">
        <v>1265</v>
      </c>
      <c r="D738">
        <v>66</v>
      </c>
      <c r="E738" t="s">
        <v>807</v>
      </c>
      <c r="F738" t="str">
        <f>_xlfn.XLOOKUP(_26_03_2026_Log_Reseau_v15[[#This Row],[Cell_ID]],_26_03_2026_Registre_Maintenance_v1[ID_Antenne],_26_03_2026_Registre_Maintenance_v1[zone],"pas trouvé")</f>
        <v>pas trouvé</v>
      </c>
      <c r="G738" t="str">
        <f>_xlfn.XLOOKUP(_26_03_2026_Log_Reseau_v15[[#This Row],[Cell_ID]],_26_03_2026_Registre_Maintenance_v1[ID_Antenne],_26_03_2026_Registre_Maintenance_v1[Latitude],"non trouvé")</f>
        <v>non trouvé</v>
      </c>
      <c r="H738" t="str">
        <f>_xlfn.XLOOKUP(_26_03_2026_Log_Reseau_v15[[#This Row],[Cell_ID]],_26_03_2026_Registre_Maintenance_v1[ID_Antenne],_26_03_2026_Registre_Maintenance_v1[Longitude],"pas trouvé")</f>
        <v>pas trouvé</v>
      </c>
      <c r="I738" t="str">
        <f>_xlfn.XLOOKUP(_26_03_2026_Log_Reseau_v15[[#This Row],[Cell_ID]],_26_03_2026_Registre_Maintenance_v1[ID_Antenne],_26_03_2026_Registre_Maintenance_v1[Technologie],"non trouvé")</f>
        <v>non trouvé</v>
      </c>
      <c r="J738" t="str">
        <f>_xlfn.XLOOKUP(_26_03_2026_Log_Reseau_v15[[#This Row],[Cell_ID]],_26_03_2026_Registre_Maintenance_v1[ID_Antenne],_26_03_2026_Registre_Maintenance_v1[Equipementier],"pas trouvé")</f>
        <v>pas trouvé</v>
      </c>
      <c r="K738" t="str">
        <f>_xlfn.XLOOKUP(_26_03_2026_Log_Reseau_v15[[#This Row],[province RDC]],_26_03_2026_Client_Churn_v1[Province_Client],_26_03_2026_Client_Churn_v1[ID_Client],"non trouvé")</f>
        <v>non trouvé</v>
      </c>
      <c r="L738" t="str">
        <f>_xlfn.XLOOKUP(_26_03_2026_Log_Reseau_v15[[#This Row],[province RDC]],_26_03_2026_Client_Churn_v1[Province_Client],_26_03_2026_Client_Churn_v1[Anciennete_Mois],"non trouvé")</f>
        <v>non trouvé</v>
      </c>
      <c r="M738" t="str">
        <f>_xlfn.XLOOKUP(_26_03_2026_Log_Reseau_v15[[#This Row],[province RDC]],_26_03_2026_Client_Churn_v1[Province_Client],_26_03_2026_Client_Churn_v1[Type_Forfait],"non trouvé")</f>
        <v>non trouvé</v>
      </c>
      <c r="N738" t="str">
        <f>_xlfn.XLOOKUP(_26_03_2026_Log_Reseau_v15[[#This Row],[province RDC]],_26_03_2026_Client_Churn_v1[Province_Client],_26_03_2026_Client_Churn_v1[Duree_Cumulee_Panne_Min],"non trouvé")</f>
        <v>non trouvé</v>
      </c>
      <c r="O738" t="str">
        <f>_xlfn.XLOOKUP(_26_03_2026_Log_Reseau_v15[[#This Row],[province RDC]],_26_03_2026_Client_Churn_v1[Province_Client],_26_03_2026_Client_Churn_v1[Facture_Mensuelle],"non trouvé")</f>
        <v>non trouvé</v>
      </c>
      <c r="P738" t="str">
        <f>_xlfn.XLOOKUP(_26_03_2026_Log_Reseau_v15[[#This Row],[province RDC]],_26_03_2026_Client_Churn_v1[Province_Client],_26_03_2026_Client_Churn_v1[Plaintes_Service_Client],"non trouvé")</f>
        <v>non trouvé</v>
      </c>
    </row>
    <row r="739" spans="1:16" hidden="1" x14ac:dyDescent="0.25">
      <c r="A739" s="1">
        <v>45215</v>
      </c>
      <c r="B739" s="2">
        <v>0.23194444444444445</v>
      </c>
      <c r="C739" t="s">
        <v>1266</v>
      </c>
      <c r="D739">
        <v>25</v>
      </c>
      <c r="E739" t="s">
        <v>808</v>
      </c>
      <c r="F739" t="str">
        <f>_xlfn.XLOOKUP(_26_03_2026_Log_Reseau_v15[[#This Row],[Cell_ID]],_26_03_2026_Registre_Maintenance_v1[ID_Antenne],_26_03_2026_Registre_Maintenance_v1[zone],"pas trouvé")</f>
        <v>pas trouvé</v>
      </c>
      <c r="G739" t="str">
        <f>_xlfn.XLOOKUP(_26_03_2026_Log_Reseau_v15[[#This Row],[Cell_ID]],_26_03_2026_Registre_Maintenance_v1[ID_Antenne],_26_03_2026_Registre_Maintenance_v1[Latitude],"non trouvé")</f>
        <v>non trouvé</v>
      </c>
      <c r="H739" t="str">
        <f>_xlfn.XLOOKUP(_26_03_2026_Log_Reseau_v15[[#This Row],[Cell_ID]],_26_03_2026_Registre_Maintenance_v1[ID_Antenne],_26_03_2026_Registre_Maintenance_v1[Longitude],"pas trouvé")</f>
        <v>pas trouvé</v>
      </c>
      <c r="I739" t="str">
        <f>_xlfn.XLOOKUP(_26_03_2026_Log_Reseau_v15[[#This Row],[Cell_ID]],_26_03_2026_Registre_Maintenance_v1[ID_Antenne],_26_03_2026_Registre_Maintenance_v1[Technologie],"non trouvé")</f>
        <v>non trouvé</v>
      </c>
      <c r="J739" t="str">
        <f>_xlfn.XLOOKUP(_26_03_2026_Log_Reseau_v15[[#This Row],[Cell_ID]],_26_03_2026_Registre_Maintenance_v1[ID_Antenne],_26_03_2026_Registre_Maintenance_v1[Equipementier],"pas trouvé")</f>
        <v>pas trouvé</v>
      </c>
      <c r="K739" t="str">
        <f>_xlfn.XLOOKUP(_26_03_2026_Log_Reseau_v15[[#This Row],[province RDC]],_26_03_2026_Client_Churn_v1[Province_Client],_26_03_2026_Client_Churn_v1[ID_Client],"non trouvé")</f>
        <v>non trouvé</v>
      </c>
      <c r="L739" t="str">
        <f>_xlfn.XLOOKUP(_26_03_2026_Log_Reseau_v15[[#This Row],[province RDC]],_26_03_2026_Client_Churn_v1[Province_Client],_26_03_2026_Client_Churn_v1[Anciennete_Mois],"non trouvé")</f>
        <v>non trouvé</v>
      </c>
      <c r="M739" t="str">
        <f>_xlfn.XLOOKUP(_26_03_2026_Log_Reseau_v15[[#This Row],[province RDC]],_26_03_2026_Client_Churn_v1[Province_Client],_26_03_2026_Client_Churn_v1[Type_Forfait],"non trouvé")</f>
        <v>non trouvé</v>
      </c>
      <c r="N739" t="str">
        <f>_xlfn.XLOOKUP(_26_03_2026_Log_Reseau_v15[[#This Row],[province RDC]],_26_03_2026_Client_Churn_v1[Province_Client],_26_03_2026_Client_Churn_v1[Duree_Cumulee_Panne_Min],"non trouvé")</f>
        <v>non trouvé</v>
      </c>
      <c r="O739" t="str">
        <f>_xlfn.XLOOKUP(_26_03_2026_Log_Reseau_v15[[#This Row],[province RDC]],_26_03_2026_Client_Churn_v1[Province_Client],_26_03_2026_Client_Churn_v1[Facture_Mensuelle],"non trouvé")</f>
        <v>non trouvé</v>
      </c>
      <c r="P739" t="str">
        <f>_xlfn.XLOOKUP(_26_03_2026_Log_Reseau_v15[[#This Row],[province RDC]],_26_03_2026_Client_Churn_v1[Province_Client],_26_03_2026_Client_Churn_v1[Plaintes_Service_Client],"non trouvé")</f>
        <v>non trouvé</v>
      </c>
    </row>
    <row r="740" spans="1:16" hidden="1" x14ac:dyDescent="0.25">
      <c r="A740" s="1">
        <v>45204</v>
      </c>
      <c r="B740" s="2">
        <v>0.66527777777777775</v>
      </c>
      <c r="C740" t="s">
        <v>1266</v>
      </c>
      <c r="D740">
        <v>56</v>
      </c>
      <c r="E740" t="s">
        <v>807</v>
      </c>
      <c r="F740" t="str">
        <f>_xlfn.XLOOKUP(_26_03_2026_Log_Reseau_v15[[#This Row],[Cell_ID]],_26_03_2026_Registre_Maintenance_v1[ID_Antenne],_26_03_2026_Registre_Maintenance_v1[zone],"pas trouvé")</f>
        <v>pas trouvé</v>
      </c>
      <c r="G740" t="str">
        <f>_xlfn.XLOOKUP(_26_03_2026_Log_Reseau_v15[[#This Row],[Cell_ID]],_26_03_2026_Registre_Maintenance_v1[ID_Antenne],_26_03_2026_Registre_Maintenance_v1[Latitude],"non trouvé")</f>
        <v>non trouvé</v>
      </c>
      <c r="H740" t="str">
        <f>_xlfn.XLOOKUP(_26_03_2026_Log_Reseau_v15[[#This Row],[Cell_ID]],_26_03_2026_Registre_Maintenance_v1[ID_Antenne],_26_03_2026_Registre_Maintenance_v1[Longitude],"pas trouvé")</f>
        <v>pas trouvé</v>
      </c>
      <c r="I740" t="str">
        <f>_xlfn.XLOOKUP(_26_03_2026_Log_Reseau_v15[[#This Row],[Cell_ID]],_26_03_2026_Registre_Maintenance_v1[ID_Antenne],_26_03_2026_Registre_Maintenance_v1[Technologie],"non trouvé")</f>
        <v>non trouvé</v>
      </c>
      <c r="J740" t="str">
        <f>_xlfn.XLOOKUP(_26_03_2026_Log_Reseau_v15[[#This Row],[Cell_ID]],_26_03_2026_Registre_Maintenance_v1[ID_Antenne],_26_03_2026_Registre_Maintenance_v1[Equipementier],"pas trouvé")</f>
        <v>pas trouvé</v>
      </c>
      <c r="K740" t="str">
        <f>_xlfn.XLOOKUP(_26_03_2026_Log_Reseau_v15[[#This Row],[province RDC]],_26_03_2026_Client_Churn_v1[Province_Client],_26_03_2026_Client_Churn_v1[ID_Client],"non trouvé")</f>
        <v>non trouvé</v>
      </c>
      <c r="L740" t="str">
        <f>_xlfn.XLOOKUP(_26_03_2026_Log_Reseau_v15[[#This Row],[province RDC]],_26_03_2026_Client_Churn_v1[Province_Client],_26_03_2026_Client_Churn_v1[Anciennete_Mois],"non trouvé")</f>
        <v>non trouvé</v>
      </c>
      <c r="M740" t="str">
        <f>_xlfn.XLOOKUP(_26_03_2026_Log_Reseau_v15[[#This Row],[province RDC]],_26_03_2026_Client_Churn_v1[Province_Client],_26_03_2026_Client_Churn_v1[Type_Forfait],"non trouvé")</f>
        <v>non trouvé</v>
      </c>
      <c r="N740" t="str">
        <f>_xlfn.XLOOKUP(_26_03_2026_Log_Reseau_v15[[#This Row],[province RDC]],_26_03_2026_Client_Churn_v1[Province_Client],_26_03_2026_Client_Churn_v1[Duree_Cumulee_Panne_Min],"non trouvé")</f>
        <v>non trouvé</v>
      </c>
      <c r="O740" t="str">
        <f>_xlfn.XLOOKUP(_26_03_2026_Log_Reseau_v15[[#This Row],[province RDC]],_26_03_2026_Client_Churn_v1[Province_Client],_26_03_2026_Client_Churn_v1[Facture_Mensuelle],"non trouvé")</f>
        <v>non trouvé</v>
      </c>
      <c r="P740" t="str">
        <f>_xlfn.XLOOKUP(_26_03_2026_Log_Reseau_v15[[#This Row],[province RDC]],_26_03_2026_Client_Churn_v1[Province_Client],_26_03_2026_Client_Churn_v1[Plaintes_Service_Client],"non trouvé")</f>
        <v>non trouvé</v>
      </c>
    </row>
    <row r="741" spans="1:16" hidden="1" x14ac:dyDescent="0.25">
      <c r="A741" s="1">
        <v>45224</v>
      </c>
      <c r="B741" s="2">
        <v>0.28819444444444442</v>
      </c>
      <c r="C741" t="s">
        <v>1266</v>
      </c>
      <c r="D741">
        <v>116</v>
      </c>
      <c r="E741" t="s">
        <v>812</v>
      </c>
      <c r="F741" t="str">
        <f>_xlfn.XLOOKUP(_26_03_2026_Log_Reseau_v15[[#This Row],[Cell_ID]],_26_03_2026_Registre_Maintenance_v1[ID_Antenne],_26_03_2026_Registre_Maintenance_v1[zone],"pas trouvé")</f>
        <v>pas trouvé</v>
      </c>
      <c r="G741" t="str">
        <f>_xlfn.XLOOKUP(_26_03_2026_Log_Reseau_v15[[#This Row],[Cell_ID]],_26_03_2026_Registre_Maintenance_v1[ID_Antenne],_26_03_2026_Registre_Maintenance_v1[Latitude],"non trouvé")</f>
        <v>non trouvé</v>
      </c>
      <c r="H741" t="str">
        <f>_xlfn.XLOOKUP(_26_03_2026_Log_Reseau_v15[[#This Row],[Cell_ID]],_26_03_2026_Registre_Maintenance_v1[ID_Antenne],_26_03_2026_Registre_Maintenance_v1[Longitude],"pas trouvé")</f>
        <v>pas trouvé</v>
      </c>
      <c r="I741" t="str">
        <f>_xlfn.XLOOKUP(_26_03_2026_Log_Reseau_v15[[#This Row],[Cell_ID]],_26_03_2026_Registre_Maintenance_v1[ID_Antenne],_26_03_2026_Registre_Maintenance_v1[Technologie],"non trouvé")</f>
        <v>non trouvé</v>
      </c>
      <c r="J741" t="str">
        <f>_xlfn.XLOOKUP(_26_03_2026_Log_Reseau_v15[[#This Row],[Cell_ID]],_26_03_2026_Registre_Maintenance_v1[ID_Antenne],_26_03_2026_Registre_Maintenance_v1[Equipementier],"pas trouvé")</f>
        <v>pas trouvé</v>
      </c>
      <c r="K741" t="str">
        <f>_xlfn.XLOOKUP(_26_03_2026_Log_Reseau_v15[[#This Row],[province RDC]],_26_03_2026_Client_Churn_v1[Province_Client],_26_03_2026_Client_Churn_v1[ID_Client],"non trouvé")</f>
        <v>non trouvé</v>
      </c>
      <c r="L741" t="str">
        <f>_xlfn.XLOOKUP(_26_03_2026_Log_Reseau_v15[[#This Row],[province RDC]],_26_03_2026_Client_Churn_v1[Province_Client],_26_03_2026_Client_Churn_v1[Anciennete_Mois],"non trouvé")</f>
        <v>non trouvé</v>
      </c>
      <c r="M741" t="str">
        <f>_xlfn.XLOOKUP(_26_03_2026_Log_Reseau_v15[[#This Row],[province RDC]],_26_03_2026_Client_Churn_v1[Province_Client],_26_03_2026_Client_Churn_v1[Type_Forfait],"non trouvé")</f>
        <v>non trouvé</v>
      </c>
      <c r="N741" t="str">
        <f>_xlfn.XLOOKUP(_26_03_2026_Log_Reseau_v15[[#This Row],[province RDC]],_26_03_2026_Client_Churn_v1[Province_Client],_26_03_2026_Client_Churn_v1[Duree_Cumulee_Panne_Min],"non trouvé")</f>
        <v>non trouvé</v>
      </c>
      <c r="O741" t="str">
        <f>_xlfn.XLOOKUP(_26_03_2026_Log_Reseau_v15[[#This Row],[province RDC]],_26_03_2026_Client_Churn_v1[Province_Client],_26_03_2026_Client_Churn_v1[Facture_Mensuelle],"non trouvé")</f>
        <v>non trouvé</v>
      </c>
      <c r="P741" t="str">
        <f>_xlfn.XLOOKUP(_26_03_2026_Log_Reseau_v15[[#This Row],[province RDC]],_26_03_2026_Client_Churn_v1[Province_Client],_26_03_2026_Client_Churn_v1[Plaintes_Service_Client],"non trouvé")</f>
        <v>non trouvé</v>
      </c>
    </row>
    <row r="742" spans="1:16" hidden="1" x14ac:dyDescent="0.25">
      <c r="A742" s="1">
        <v>45213</v>
      </c>
      <c r="B742" s="2">
        <v>0.41736111111111113</v>
      </c>
      <c r="C742" t="s">
        <v>1266</v>
      </c>
      <c r="D742">
        <v>100</v>
      </c>
      <c r="E742" t="s">
        <v>807</v>
      </c>
      <c r="F742" t="str">
        <f>_xlfn.XLOOKUP(_26_03_2026_Log_Reseau_v15[[#This Row],[Cell_ID]],_26_03_2026_Registre_Maintenance_v1[ID_Antenne],_26_03_2026_Registre_Maintenance_v1[zone],"pas trouvé")</f>
        <v>pas trouvé</v>
      </c>
      <c r="G742" t="str">
        <f>_xlfn.XLOOKUP(_26_03_2026_Log_Reseau_v15[[#This Row],[Cell_ID]],_26_03_2026_Registre_Maintenance_v1[ID_Antenne],_26_03_2026_Registre_Maintenance_v1[Latitude],"non trouvé")</f>
        <v>non trouvé</v>
      </c>
      <c r="H742" t="str">
        <f>_xlfn.XLOOKUP(_26_03_2026_Log_Reseau_v15[[#This Row],[Cell_ID]],_26_03_2026_Registre_Maintenance_v1[ID_Antenne],_26_03_2026_Registre_Maintenance_v1[Longitude],"pas trouvé")</f>
        <v>pas trouvé</v>
      </c>
      <c r="I742" t="str">
        <f>_xlfn.XLOOKUP(_26_03_2026_Log_Reseau_v15[[#This Row],[Cell_ID]],_26_03_2026_Registre_Maintenance_v1[ID_Antenne],_26_03_2026_Registre_Maintenance_v1[Technologie],"non trouvé")</f>
        <v>non trouvé</v>
      </c>
      <c r="J742" t="str">
        <f>_xlfn.XLOOKUP(_26_03_2026_Log_Reseau_v15[[#This Row],[Cell_ID]],_26_03_2026_Registre_Maintenance_v1[ID_Antenne],_26_03_2026_Registre_Maintenance_v1[Equipementier],"pas trouvé")</f>
        <v>pas trouvé</v>
      </c>
      <c r="K742" t="str">
        <f>_xlfn.XLOOKUP(_26_03_2026_Log_Reseau_v15[[#This Row],[province RDC]],_26_03_2026_Client_Churn_v1[Province_Client],_26_03_2026_Client_Churn_v1[ID_Client],"non trouvé")</f>
        <v>non trouvé</v>
      </c>
      <c r="L742" t="str">
        <f>_xlfn.XLOOKUP(_26_03_2026_Log_Reseau_v15[[#This Row],[province RDC]],_26_03_2026_Client_Churn_v1[Province_Client],_26_03_2026_Client_Churn_v1[Anciennete_Mois],"non trouvé")</f>
        <v>non trouvé</v>
      </c>
      <c r="M742" t="str">
        <f>_xlfn.XLOOKUP(_26_03_2026_Log_Reseau_v15[[#This Row],[province RDC]],_26_03_2026_Client_Churn_v1[Province_Client],_26_03_2026_Client_Churn_v1[Type_Forfait],"non trouvé")</f>
        <v>non trouvé</v>
      </c>
      <c r="N742" t="str">
        <f>_xlfn.XLOOKUP(_26_03_2026_Log_Reseau_v15[[#This Row],[province RDC]],_26_03_2026_Client_Churn_v1[Province_Client],_26_03_2026_Client_Churn_v1[Duree_Cumulee_Panne_Min],"non trouvé")</f>
        <v>non trouvé</v>
      </c>
      <c r="O742" t="str">
        <f>_xlfn.XLOOKUP(_26_03_2026_Log_Reseau_v15[[#This Row],[province RDC]],_26_03_2026_Client_Churn_v1[Province_Client],_26_03_2026_Client_Churn_v1[Facture_Mensuelle],"non trouvé")</f>
        <v>non trouvé</v>
      </c>
      <c r="P742" t="str">
        <f>_xlfn.XLOOKUP(_26_03_2026_Log_Reseau_v15[[#This Row],[province RDC]],_26_03_2026_Client_Churn_v1[Province_Client],_26_03_2026_Client_Churn_v1[Plaintes_Service_Client],"non trouvé")</f>
        <v>non trouvé</v>
      </c>
    </row>
    <row r="743" spans="1:16" hidden="1" x14ac:dyDescent="0.25">
      <c r="A743" s="1">
        <v>45220</v>
      </c>
      <c r="B743" s="2">
        <v>0.51597222222222228</v>
      </c>
      <c r="C743" t="s">
        <v>1266</v>
      </c>
      <c r="D743">
        <v>15</v>
      </c>
      <c r="E743" t="s">
        <v>812</v>
      </c>
      <c r="F743" t="str">
        <f>_xlfn.XLOOKUP(_26_03_2026_Log_Reseau_v15[[#This Row],[Cell_ID]],_26_03_2026_Registre_Maintenance_v1[ID_Antenne],_26_03_2026_Registre_Maintenance_v1[zone],"pas trouvé")</f>
        <v>pas trouvé</v>
      </c>
      <c r="G743" t="str">
        <f>_xlfn.XLOOKUP(_26_03_2026_Log_Reseau_v15[[#This Row],[Cell_ID]],_26_03_2026_Registre_Maintenance_v1[ID_Antenne],_26_03_2026_Registre_Maintenance_v1[Latitude],"non trouvé")</f>
        <v>non trouvé</v>
      </c>
      <c r="H743" t="str">
        <f>_xlfn.XLOOKUP(_26_03_2026_Log_Reseau_v15[[#This Row],[Cell_ID]],_26_03_2026_Registre_Maintenance_v1[ID_Antenne],_26_03_2026_Registre_Maintenance_v1[Longitude],"pas trouvé")</f>
        <v>pas trouvé</v>
      </c>
      <c r="I743" t="str">
        <f>_xlfn.XLOOKUP(_26_03_2026_Log_Reseau_v15[[#This Row],[Cell_ID]],_26_03_2026_Registre_Maintenance_v1[ID_Antenne],_26_03_2026_Registre_Maintenance_v1[Technologie],"non trouvé")</f>
        <v>non trouvé</v>
      </c>
      <c r="J743" t="str">
        <f>_xlfn.XLOOKUP(_26_03_2026_Log_Reseau_v15[[#This Row],[Cell_ID]],_26_03_2026_Registre_Maintenance_v1[ID_Antenne],_26_03_2026_Registre_Maintenance_v1[Equipementier],"pas trouvé")</f>
        <v>pas trouvé</v>
      </c>
      <c r="K743" t="str">
        <f>_xlfn.XLOOKUP(_26_03_2026_Log_Reseau_v15[[#This Row],[province RDC]],_26_03_2026_Client_Churn_v1[Province_Client],_26_03_2026_Client_Churn_v1[ID_Client],"non trouvé")</f>
        <v>non trouvé</v>
      </c>
      <c r="L743" t="str">
        <f>_xlfn.XLOOKUP(_26_03_2026_Log_Reseau_v15[[#This Row],[province RDC]],_26_03_2026_Client_Churn_v1[Province_Client],_26_03_2026_Client_Churn_v1[Anciennete_Mois],"non trouvé")</f>
        <v>non trouvé</v>
      </c>
      <c r="M743" t="str">
        <f>_xlfn.XLOOKUP(_26_03_2026_Log_Reseau_v15[[#This Row],[province RDC]],_26_03_2026_Client_Churn_v1[Province_Client],_26_03_2026_Client_Churn_v1[Type_Forfait],"non trouvé")</f>
        <v>non trouvé</v>
      </c>
      <c r="N743" t="str">
        <f>_xlfn.XLOOKUP(_26_03_2026_Log_Reseau_v15[[#This Row],[province RDC]],_26_03_2026_Client_Churn_v1[Province_Client],_26_03_2026_Client_Churn_v1[Duree_Cumulee_Panne_Min],"non trouvé")</f>
        <v>non trouvé</v>
      </c>
      <c r="O743" t="str">
        <f>_xlfn.XLOOKUP(_26_03_2026_Log_Reseau_v15[[#This Row],[province RDC]],_26_03_2026_Client_Churn_v1[Province_Client],_26_03_2026_Client_Churn_v1[Facture_Mensuelle],"non trouvé")</f>
        <v>non trouvé</v>
      </c>
      <c r="P743" t="str">
        <f>_xlfn.XLOOKUP(_26_03_2026_Log_Reseau_v15[[#This Row],[province RDC]],_26_03_2026_Client_Churn_v1[Province_Client],_26_03_2026_Client_Churn_v1[Plaintes_Service_Client],"non trouvé")</f>
        <v>non trouvé</v>
      </c>
    </row>
    <row r="744" spans="1:16" x14ac:dyDescent="0.25">
      <c r="A744" s="1">
        <v>45204</v>
      </c>
      <c r="B744" s="2">
        <v>0.61597222222222225</v>
      </c>
      <c r="C744" t="s">
        <v>1267</v>
      </c>
      <c r="D744">
        <v>41</v>
      </c>
      <c r="E744" t="s">
        <v>812</v>
      </c>
      <c r="F744" t="str">
        <f>_xlfn.XLOOKUP(_26_03_2026_Log_Reseau_v15[[#This Row],[Cell_ID]],_26_03_2026_Registre_Maintenance_v1[ID_Antenne],_26_03_2026_Registre_Maintenance_v1[zone],"pas trouvé")</f>
        <v>Kinshasa</v>
      </c>
      <c r="G744">
        <f>_xlfn.XLOOKUP(_26_03_2026_Log_Reseau_v15[[#This Row],[Cell_ID]],_26_03_2026_Registre_Maintenance_v1[ID_Antenne],_26_03_2026_Registre_Maintenance_v1[Latitude],"non trouvé")</f>
        <v>1.3006180000000001</v>
      </c>
      <c r="H744">
        <f>_xlfn.XLOOKUP(_26_03_2026_Log_Reseau_v15[[#This Row],[Cell_ID]],_26_03_2026_Registre_Maintenance_v1[ID_Antenne],_26_03_2026_Registre_Maintenance_v1[Longitude],"pas trouvé")</f>
        <v>29.060970999999999</v>
      </c>
      <c r="I744" t="str">
        <f>_xlfn.XLOOKUP(_26_03_2026_Log_Reseau_v15[[#This Row],[Cell_ID]],_26_03_2026_Registre_Maintenance_v1[ID_Antenne],_26_03_2026_Registre_Maintenance_v1[Technologie],"non trouvé")</f>
        <v>3G</v>
      </c>
      <c r="J744" t="str">
        <f>_xlfn.XLOOKUP(_26_03_2026_Log_Reseau_v15[[#This Row],[Cell_ID]],_26_03_2026_Registre_Maintenance_v1[ID_Antenne],_26_03_2026_Registre_Maintenance_v1[Equipementier],"pas trouvé")</f>
        <v>ZTE</v>
      </c>
      <c r="K744" t="str">
        <f>_xlfn.XLOOKUP(_26_03_2026_Log_Reseau_v15[[#This Row],[province RDC]],_26_03_2026_Client_Churn_v1[Province_Client],_26_03_2026_Client_Churn_v1[ID_Client],"non trouvé")</f>
        <v>CLI-00611</v>
      </c>
      <c r="L744">
        <f>_xlfn.XLOOKUP(_26_03_2026_Log_Reseau_v15[[#This Row],[province RDC]],_26_03_2026_Client_Churn_v1[Province_Client],_26_03_2026_Client_Churn_v1[Anciennete_Mois],"non trouvé")</f>
        <v>79</v>
      </c>
      <c r="M744" t="str">
        <f>_xlfn.XLOOKUP(_26_03_2026_Log_Reseau_v15[[#This Row],[province RDC]],_26_03_2026_Client_Churn_v1[Province_Client],_26_03_2026_Client_Churn_v1[Type_Forfait],"non trouvé")</f>
        <v>Premium 5G 150Go</v>
      </c>
      <c r="N744">
        <f>_xlfn.XLOOKUP(_26_03_2026_Log_Reseau_v15[[#This Row],[province RDC]],_26_03_2026_Client_Churn_v1[Province_Client],_26_03_2026_Client_Churn_v1[Duree_Cumulee_Panne_Min],"non trouvé")</f>
        <v>226</v>
      </c>
      <c r="O744">
        <f>_xlfn.XLOOKUP(_26_03_2026_Log_Reseau_v15[[#This Row],[province RDC]],_26_03_2026_Client_Churn_v1[Province_Client],_26_03_2026_Client_Churn_v1[Facture_Mensuelle],"non trouvé")</f>
        <v>94.38</v>
      </c>
      <c r="P744">
        <f>_xlfn.XLOOKUP(_26_03_2026_Log_Reseau_v15[[#This Row],[province RDC]],_26_03_2026_Client_Churn_v1[Province_Client],_26_03_2026_Client_Churn_v1[Plaintes_Service_Client],"non trouvé")</f>
        <v>3</v>
      </c>
    </row>
    <row r="745" spans="1:16" x14ac:dyDescent="0.25">
      <c r="A745" s="1">
        <v>45209</v>
      </c>
      <c r="B745" s="2">
        <v>0.35486111111111113</v>
      </c>
      <c r="C745" t="s">
        <v>1267</v>
      </c>
      <c r="D745">
        <v>99</v>
      </c>
      <c r="E745" t="s">
        <v>808</v>
      </c>
      <c r="F745" t="str">
        <f>_xlfn.XLOOKUP(_26_03_2026_Log_Reseau_v15[[#This Row],[Cell_ID]],_26_03_2026_Registre_Maintenance_v1[ID_Antenne],_26_03_2026_Registre_Maintenance_v1[zone],"pas trouvé")</f>
        <v>Kinshasa</v>
      </c>
      <c r="G745">
        <f>_xlfn.XLOOKUP(_26_03_2026_Log_Reseau_v15[[#This Row],[Cell_ID]],_26_03_2026_Registre_Maintenance_v1[ID_Antenne],_26_03_2026_Registre_Maintenance_v1[Latitude],"non trouvé")</f>
        <v>1.3006180000000001</v>
      </c>
      <c r="H745">
        <f>_xlfn.XLOOKUP(_26_03_2026_Log_Reseau_v15[[#This Row],[Cell_ID]],_26_03_2026_Registre_Maintenance_v1[ID_Antenne],_26_03_2026_Registre_Maintenance_v1[Longitude],"pas trouvé")</f>
        <v>29.060970999999999</v>
      </c>
      <c r="I745" t="str">
        <f>_xlfn.XLOOKUP(_26_03_2026_Log_Reseau_v15[[#This Row],[Cell_ID]],_26_03_2026_Registre_Maintenance_v1[ID_Antenne],_26_03_2026_Registre_Maintenance_v1[Technologie],"non trouvé")</f>
        <v>3G</v>
      </c>
      <c r="J745" t="str">
        <f>_xlfn.XLOOKUP(_26_03_2026_Log_Reseau_v15[[#This Row],[Cell_ID]],_26_03_2026_Registre_Maintenance_v1[ID_Antenne],_26_03_2026_Registre_Maintenance_v1[Equipementier],"pas trouvé")</f>
        <v>ZTE</v>
      </c>
      <c r="K745" t="str">
        <f>_xlfn.XLOOKUP(_26_03_2026_Log_Reseau_v15[[#This Row],[province RDC]],_26_03_2026_Client_Churn_v1[Province_Client],_26_03_2026_Client_Churn_v1[ID_Client],"non trouvé")</f>
        <v>CLI-00611</v>
      </c>
      <c r="L745">
        <f>_xlfn.XLOOKUP(_26_03_2026_Log_Reseau_v15[[#This Row],[province RDC]],_26_03_2026_Client_Churn_v1[Province_Client],_26_03_2026_Client_Churn_v1[Anciennete_Mois],"non trouvé")</f>
        <v>79</v>
      </c>
      <c r="M745" t="str">
        <f>_xlfn.XLOOKUP(_26_03_2026_Log_Reseau_v15[[#This Row],[province RDC]],_26_03_2026_Client_Churn_v1[Province_Client],_26_03_2026_Client_Churn_v1[Type_Forfait],"non trouvé")</f>
        <v>Premium 5G 150Go</v>
      </c>
      <c r="N745">
        <f>_xlfn.XLOOKUP(_26_03_2026_Log_Reseau_v15[[#This Row],[province RDC]],_26_03_2026_Client_Churn_v1[Province_Client],_26_03_2026_Client_Churn_v1[Duree_Cumulee_Panne_Min],"non trouvé")</f>
        <v>226</v>
      </c>
      <c r="O745">
        <f>_xlfn.XLOOKUP(_26_03_2026_Log_Reseau_v15[[#This Row],[province RDC]],_26_03_2026_Client_Churn_v1[Province_Client],_26_03_2026_Client_Churn_v1[Facture_Mensuelle],"non trouvé")</f>
        <v>94.38</v>
      </c>
      <c r="P745">
        <f>_xlfn.XLOOKUP(_26_03_2026_Log_Reseau_v15[[#This Row],[province RDC]],_26_03_2026_Client_Churn_v1[Province_Client],_26_03_2026_Client_Churn_v1[Plaintes_Service_Client],"non trouvé")</f>
        <v>3</v>
      </c>
    </row>
    <row r="746" spans="1:16" x14ac:dyDescent="0.25">
      <c r="A746" s="1">
        <v>45229</v>
      </c>
      <c r="B746" s="2">
        <v>0.62083333333333335</v>
      </c>
      <c r="C746" t="s">
        <v>1268</v>
      </c>
      <c r="D746">
        <v>74</v>
      </c>
      <c r="E746" t="s">
        <v>812</v>
      </c>
      <c r="F746" t="str">
        <f>_xlfn.XLOOKUP(_26_03_2026_Log_Reseau_v15[[#This Row],[Cell_ID]],_26_03_2026_Registre_Maintenance_v1[ID_Antenne],_26_03_2026_Registre_Maintenance_v1[zone],"pas trouvé")</f>
        <v>Haut-Uele</v>
      </c>
      <c r="G746">
        <f>_xlfn.XLOOKUP(_26_03_2026_Log_Reseau_v15[[#This Row],[Cell_ID]],_26_03_2026_Registre_Maintenance_v1[ID_Antenne],_26_03_2026_Registre_Maintenance_v1[Latitude],"non trouvé")</f>
        <v>-12.488033</v>
      </c>
      <c r="H746">
        <f>_xlfn.XLOOKUP(_26_03_2026_Log_Reseau_v15[[#This Row],[Cell_ID]],_26_03_2026_Registre_Maintenance_v1[ID_Antenne],_26_03_2026_Registre_Maintenance_v1[Longitude],"pas trouvé")</f>
        <v>16.139648000000001</v>
      </c>
      <c r="I746" t="str">
        <f>_xlfn.XLOOKUP(_26_03_2026_Log_Reseau_v15[[#This Row],[Cell_ID]],_26_03_2026_Registre_Maintenance_v1[ID_Antenne],_26_03_2026_Registre_Maintenance_v1[Technologie],"non trouvé")</f>
        <v>4G</v>
      </c>
      <c r="J746" t="str">
        <f>_xlfn.XLOOKUP(_26_03_2026_Log_Reseau_v15[[#This Row],[Cell_ID]],_26_03_2026_Registre_Maintenance_v1[ID_Antenne],_26_03_2026_Registre_Maintenance_v1[Equipementier],"pas trouvé")</f>
        <v>Huawei</v>
      </c>
      <c r="K746" t="str">
        <f>_xlfn.XLOOKUP(_26_03_2026_Log_Reseau_v15[[#This Row],[province RDC]],_26_03_2026_Client_Churn_v1[Province_Client],_26_03_2026_Client_Churn_v1[ID_Client],"non trouvé")</f>
        <v>CLI-00439</v>
      </c>
      <c r="L746">
        <f>_xlfn.XLOOKUP(_26_03_2026_Log_Reseau_v15[[#This Row],[province RDC]],_26_03_2026_Client_Churn_v1[Province_Client],_26_03_2026_Client_Churn_v1[Anciennete_Mois],"non trouvé")</f>
        <v>40</v>
      </c>
      <c r="M746" t="str">
        <f>_xlfn.XLOOKUP(_26_03_2026_Log_Reseau_v15[[#This Row],[province RDC]],_26_03_2026_Client_Churn_v1[Province_Client],_26_03_2026_Client_Churn_v1[Type_Forfait],"non trouvé")</f>
        <v>Premium 5G 150Go</v>
      </c>
      <c r="N746">
        <f>_xlfn.XLOOKUP(_26_03_2026_Log_Reseau_v15[[#This Row],[province RDC]],_26_03_2026_Client_Churn_v1[Province_Client],_26_03_2026_Client_Churn_v1[Duree_Cumulee_Panne_Min],"non trouvé")</f>
        <v>345</v>
      </c>
      <c r="O746">
        <f>_xlfn.XLOOKUP(_26_03_2026_Log_Reseau_v15[[#This Row],[province RDC]],_26_03_2026_Client_Churn_v1[Province_Client],_26_03_2026_Client_Churn_v1[Facture_Mensuelle],"non trouvé")</f>
        <v>89.55</v>
      </c>
      <c r="P746">
        <f>_xlfn.XLOOKUP(_26_03_2026_Log_Reseau_v15[[#This Row],[province RDC]],_26_03_2026_Client_Churn_v1[Province_Client],_26_03_2026_Client_Churn_v1[Plaintes_Service_Client],"non trouvé")</f>
        <v>3</v>
      </c>
    </row>
    <row r="747" spans="1:16" x14ac:dyDescent="0.25">
      <c r="A747" s="1">
        <v>45206</v>
      </c>
      <c r="B747" s="2">
        <v>0.44305555555555554</v>
      </c>
      <c r="C747" t="s">
        <v>1269</v>
      </c>
      <c r="D747">
        <v>48</v>
      </c>
      <c r="E747" t="s">
        <v>812</v>
      </c>
      <c r="F747" t="str">
        <f>_xlfn.XLOOKUP(_26_03_2026_Log_Reseau_v15[[#This Row],[Cell_ID]],_26_03_2026_Registre_Maintenance_v1[ID_Antenne],_26_03_2026_Registre_Maintenance_v1[zone],"pas trouvé")</f>
        <v>Haut-Lomami</v>
      </c>
      <c r="G747">
        <f>_xlfn.XLOOKUP(_26_03_2026_Log_Reseau_v15[[#This Row],[Cell_ID]],_26_03_2026_Registre_Maintenance_v1[ID_Antenne],_26_03_2026_Registre_Maintenance_v1[Latitude],"non trouvé")</f>
        <v>0.16327700000000001</v>
      </c>
      <c r="H747">
        <f>_xlfn.XLOOKUP(_26_03_2026_Log_Reseau_v15[[#This Row],[Cell_ID]],_26_03_2026_Registre_Maintenance_v1[ID_Antenne],_26_03_2026_Registre_Maintenance_v1[Longitude],"pas trouvé")</f>
        <v>14.871577</v>
      </c>
      <c r="I747" t="str">
        <f>_xlfn.XLOOKUP(_26_03_2026_Log_Reseau_v15[[#This Row],[Cell_ID]],_26_03_2026_Registre_Maintenance_v1[ID_Antenne],_26_03_2026_Registre_Maintenance_v1[Technologie],"non trouvé")</f>
        <v>4G</v>
      </c>
      <c r="J747" t="str">
        <f>_xlfn.XLOOKUP(_26_03_2026_Log_Reseau_v15[[#This Row],[Cell_ID]],_26_03_2026_Registre_Maintenance_v1[ID_Antenne],_26_03_2026_Registre_Maintenance_v1[Equipementier],"pas trouvé")</f>
        <v>Huawei</v>
      </c>
      <c r="K747" t="str">
        <f>_xlfn.XLOOKUP(_26_03_2026_Log_Reseau_v15[[#This Row],[province RDC]],_26_03_2026_Client_Churn_v1[Province_Client],_26_03_2026_Client_Churn_v1[ID_Client],"non trouvé")</f>
        <v>CLI-01325</v>
      </c>
      <c r="L747">
        <f>_xlfn.XLOOKUP(_26_03_2026_Log_Reseau_v15[[#This Row],[province RDC]],_26_03_2026_Client_Churn_v1[Province_Client],_26_03_2026_Client_Churn_v1[Anciennete_Mois],"non trouvé")</f>
        <v>44</v>
      </c>
      <c r="M747" t="str">
        <f>_xlfn.XLOOKUP(_26_03_2026_Log_Reseau_v15[[#This Row],[province RDC]],_26_03_2026_Client_Churn_v1[Province_Client],_26_03_2026_Client_Churn_v1[Type_Forfait],"non trouvé")</f>
        <v>Bloqué 5Go</v>
      </c>
      <c r="N747">
        <f>_xlfn.XLOOKUP(_26_03_2026_Log_Reseau_v15[[#This Row],[province RDC]],_26_03_2026_Client_Churn_v1[Province_Client],_26_03_2026_Client_Churn_v1[Duree_Cumulee_Panne_Min],"non trouvé")</f>
        <v>348</v>
      </c>
      <c r="O747">
        <f>_xlfn.XLOOKUP(_26_03_2026_Log_Reseau_v15[[#This Row],[province RDC]],_26_03_2026_Client_Churn_v1[Province_Client],_26_03_2026_Client_Churn_v1[Facture_Mensuelle],"non trouvé")</f>
        <v>58.67</v>
      </c>
      <c r="P747">
        <f>_xlfn.XLOOKUP(_26_03_2026_Log_Reseau_v15[[#This Row],[province RDC]],_26_03_2026_Client_Churn_v1[Province_Client],_26_03_2026_Client_Churn_v1[Plaintes_Service_Client],"non trouvé")</f>
        <v>0</v>
      </c>
    </row>
    <row r="748" spans="1:16" x14ac:dyDescent="0.25">
      <c r="A748" s="1">
        <v>45225</v>
      </c>
      <c r="B748" s="2">
        <v>0.28888888888888886</v>
      </c>
      <c r="C748" t="s">
        <v>1269</v>
      </c>
      <c r="D748">
        <v>89</v>
      </c>
      <c r="E748" t="s">
        <v>807</v>
      </c>
      <c r="F748" t="str">
        <f>_xlfn.XLOOKUP(_26_03_2026_Log_Reseau_v15[[#This Row],[Cell_ID]],_26_03_2026_Registre_Maintenance_v1[ID_Antenne],_26_03_2026_Registre_Maintenance_v1[zone],"pas trouvé")</f>
        <v>Haut-Lomami</v>
      </c>
      <c r="G748">
        <f>_xlfn.XLOOKUP(_26_03_2026_Log_Reseau_v15[[#This Row],[Cell_ID]],_26_03_2026_Registre_Maintenance_v1[ID_Antenne],_26_03_2026_Registre_Maintenance_v1[Latitude],"non trouvé")</f>
        <v>0.16327700000000001</v>
      </c>
      <c r="H748">
        <f>_xlfn.XLOOKUP(_26_03_2026_Log_Reseau_v15[[#This Row],[Cell_ID]],_26_03_2026_Registre_Maintenance_v1[ID_Antenne],_26_03_2026_Registre_Maintenance_v1[Longitude],"pas trouvé")</f>
        <v>14.871577</v>
      </c>
      <c r="I748" t="str">
        <f>_xlfn.XLOOKUP(_26_03_2026_Log_Reseau_v15[[#This Row],[Cell_ID]],_26_03_2026_Registre_Maintenance_v1[ID_Antenne],_26_03_2026_Registre_Maintenance_v1[Technologie],"non trouvé")</f>
        <v>4G</v>
      </c>
      <c r="J748" t="str">
        <f>_xlfn.XLOOKUP(_26_03_2026_Log_Reseau_v15[[#This Row],[Cell_ID]],_26_03_2026_Registre_Maintenance_v1[ID_Antenne],_26_03_2026_Registre_Maintenance_v1[Equipementier],"pas trouvé")</f>
        <v>Huawei</v>
      </c>
      <c r="K748" t="str">
        <f>_xlfn.XLOOKUP(_26_03_2026_Log_Reseau_v15[[#This Row],[province RDC]],_26_03_2026_Client_Churn_v1[Province_Client],_26_03_2026_Client_Churn_v1[ID_Client],"non trouvé")</f>
        <v>CLI-01325</v>
      </c>
      <c r="L748">
        <f>_xlfn.XLOOKUP(_26_03_2026_Log_Reseau_v15[[#This Row],[province RDC]],_26_03_2026_Client_Churn_v1[Province_Client],_26_03_2026_Client_Churn_v1[Anciennete_Mois],"non trouvé")</f>
        <v>44</v>
      </c>
      <c r="M748" t="str">
        <f>_xlfn.XLOOKUP(_26_03_2026_Log_Reseau_v15[[#This Row],[province RDC]],_26_03_2026_Client_Churn_v1[Province_Client],_26_03_2026_Client_Churn_v1[Type_Forfait],"non trouvé")</f>
        <v>Bloqué 5Go</v>
      </c>
      <c r="N748">
        <f>_xlfn.XLOOKUP(_26_03_2026_Log_Reseau_v15[[#This Row],[province RDC]],_26_03_2026_Client_Churn_v1[Province_Client],_26_03_2026_Client_Churn_v1[Duree_Cumulee_Panne_Min],"non trouvé")</f>
        <v>348</v>
      </c>
      <c r="O748">
        <f>_xlfn.XLOOKUP(_26_03_2026_Log_Reseau_v15[[#This Row],[province RDC]],_26_03_2026_Client_Churn_v1[Province_Client],_26_03_2026_Client_Churn_v1[Facture_Mensuelle],"non trouvé")</f>
        <v>58.67</v>
      </c>
      <c r="P748">
        <f>_xlfn.XLOOKUP(_26_03_2026_Log_Reseau_v15[[#This Row],[province RDC]],_26_03_2026_Client_Churn_v1[Province_Client],_26_03_2026_Client_Churn_v1[Plaintes_Service_Client],"non trouvé")</f>
        <v>0</v>
      </c>
    </row>
    <row r="749" spans="1:16" x14ac:dyDescent="0.25">
      <c r="A749" s="1">
        <v>45211</v>
      </c>
      <c r="B749" s="2">
        <v>0.72291666666666665</v>
      </c>
      <c r="C749" t="s">
        <v>1270</v>
      </c>
      <c r="D749">
        <v>28</v>
      </c>
      <c r="E749" t="s">
        <v>807</v>
      </c>
      <c r="F749" t="str">
        <f>_xlfn.XLOOKUP(_26_03_2026_Log_Reseau_v15[[#This Row],[Cell_ID]],_26_03_2026_Registre_Maintenance_v1[ID_Antenne],_26_03_2026_Registre_Maintenance_v1[zone],"pas trouvé")</f>
        <v>Haut-Uele</v>
      </c>
      <c r="G749">
        <f>_xlfn.XLOOKUP(_26_03_2026_Log_Reseau_v15[[#This Row],[Cell_ID]],_26_03_2026_Registre_Maintenance_v1[ID_Antenne],_26_03_2026_Registre_Maintenance_v1[Latitude],"non trouvé")</f>
        <v>-6.9624990000000002</v>
      </c>
      <c r="H749">
        <f>_xlfn.XLOOKUP(_26_03_2026_Log_Reseau_v15[[#This Row],[Cell_ID]],_26_03_2026_Registre_Maintenance_v1[ID_Antenne],_26_03_2026_Registre_Maintenance_v1[Longitude],"pas trouvé")</f>
        <v>20.759834999999999</v>
      </c>
      <c r="I749" t="str">
        <f>_xlfn.XLOOKUP(_26_03_2026_Log_Reseau_v15[[#This Row],[Cell_ID]],_26_03_2026_Registre_Maintenance_v1[ID_Antenne],_26_03_2026_Registre_Maintenance_v1[Technologie],"non trouvé")</f>
        <v>4G</v>
      </c>
      <c r="J749" t="str">
        <f>_xlfn.XLOOKUP(_26_03_2026_Log_Reseau_v15[[#This Row],[Cell_ID]],_26_03_2026_Registre_Maintenance_v1[ID_Antenne],_26_03_2026_Registre_Maintenance_v1[Equipementier],"pas trouvé")</f>
        <v>Huawei</v>
      </c>
      <c r="K749" t="str">
        <f>_xlfn.XLOOKUP(_26_03_2026_Log_Reseau_v15[[#This Row],[province RDC]],_26_03_2026_Client_Churn_v1[Province_Client],_26_03_2026_Client_Churn_v1[ID_Client],"non trouvé")</f>
        <v>CLI-00439</v>
      </c>
      <c r="L749">
        <f>_xlfn.XLOOKUP(_26_03_2026_Log_Reseau_v15[[#This Row],[province RDC]],_26_03_2026_Client_Churn_v1[Province_Client],_26_03_2026_Client_Churn_v1[Anciennete_Mois],"non trouvé")</f>
        <v>40</v>
      </c>
      <c r="M749" t="str">
        <f>_xlfn.XLOOKUP(_26_03_2026_Log_Reseau_v15[[#This Row],[province RDC]],_26_03_2026_Client_Churn_v1[Province_Client],_26_03_2026_Client_Churn_v1[Type_Forfait],"non trouvé")</f>
        <v>Premium 5G 150Go</v>
      </c>
      <c r="N749">
        <f>_xlfn.XLOOKUP(_26_03_2026_Log_Reseau_v15[[#This Row],[province RDC]],_26_03_2026_Client_Churn_v1[Province_Client],_26_03_2026_Client_Churn_v1[Duree_Cumulee_Panne_Min],"non trouvé")</f>
        <v>345</v>
      </c>
      <c r="O749">
        <f>_xlfn.XLOOKUP(_26_03_2026_Log_Reseau_v15[[#This Row],[province RDC]],_26_03_2026_Client_Churn_v1[Province_Client],_26_03_2026_Client_Churn_v1[Facture_Mensuelle],"non trouvé")</f>
        <v>89.55</v>
      </c>
      <c r="P749">
        <f>_xlfn.XLOOKUP(_26_03_2026_Log_Reseau_v15[[#This Row],[province RDC]],_26_03_2026_Client_Churn_v1[Province_Client],_26_03_2026_Client_Churn_v1[Plaintes_Service_Client],"non trouvé")</f>
        <v>3</v>
      </c>
    </row>
    <row r="750" spans="1:16" hidden="1" x14ac:dyDescent="0.25">
      <c r="A750" s="1">
        <v>45207</v>
      </c>
      <c r="B750" s="2">
        <v>0.54305555555555551</v>
      </c>
      <c r="C750" t="s">
        <v>1271</v>
      </c>
      <c r="D750">
        <v>54</v>
      </c>
      <c r="E750" t="s">
        <v>807</v>
      </c>
      <c r="F750" t="str">
        <f>_xlfn.XLOOKUP(_26_03_2026_Log_Reseau_v15[[#This Row],[Cell_ID]],_26_03_2026_Registre_Maintenance_v1[ID_Antenne],_26_03_2026_Registre_Maintenance_v1[zone],"pas trouvé")</f>
        <v>pas trouvé</v>
      </c>
      <c r="G750" t="str">
        <f>_xlfn.XLOOKUP(_26_03_2026_Log_Reseau_v15[[#This Row],[Cell_ID]],_26_03_2026_Registre_Maintenance_v1[ID_Antenne],_26_03_2026_Registre_Maintenance_v1[Latitude],"non trouvé")</f>
        <v>non trouvé</v>
      </c>
      <c r="H750" t="str">
        <f>_xlfn.XLOOKUP(_26_03_2026_Log_Reseau_v15[[#This Row],[Cell_ID]],_26_03_2026_Registre_Maintenance_v1[ID_Antenne],_26_03_2026_Registre_Maintenance_v1[Longitude],"pas trouvé")</f>
        <v>pas trouvé</v>
      </c>
      <c r="I750" t="str">
        <f>_xlfn.XLOOKUP(_26_03_2026_Log_Reseau_v15[[#This Row],[Cell_ID]],_26_03_2026_Registre_Maintenance_v1[ID_Antenne],_26_03_2026_Registre_Maintenance_v1[Technologie],"non trouvé")</f>
        <v>non trouvé</v>
      </c>
      <c r="J750" t="str">
        <f>_xlfn.XLOOKUP(_26_03_2026_Log_Reseau_v15[[#This Row],[Cell_ID]],_26_03_2026_Registre_Maintenance_v1[ID_Antenne],_26_03_2026_Registre_Maintenance_v1[Equipementier],"pas trouvé")</f>
        <v>pas trouvé</v>
      </c>
      <c r="K750" t="str">
        <f>_xlfn.XLOOKUP(_26_03_2026_Log_Reseau_v15[[#This Row],[province RDC]],_26_03_2026_Client_Churn_v1[Province_Client],_26_03_2026_Client_Churn_v1[ID_Client],"non trouvé")</f>
        <v>non trouvé</v>
      </c>
      <c r="L750" t="str">
        <f>_xlfn.XLOOKUP(_26_03_2026_Log_Reseau_v15[[#This Row],[province RDC]],_26_03_2026_Client_Churn_v1[Province_Client],_26_03_2026_Client_Churn_v1[Anciennete_Mois],"non trouvé")</f>
        <v>non trouvé</v>
      </c>
      <c r="M750" t="str">
        <f>_xlfn.XLOOKUP(_26_03_2026_Log_Reseau_v15[[#This Row],[province RDC]],_26_03_2026_Client_Churn_v1[Province_Client],_26_03_2026_Client_Churn_v1[Type_Forfait],"non trouvé")</f>
        <v>non trouvé</v>
      </c>
      <c r="N750" t="str">
        <f>_xlfn.XLOOKUP(_26_03_2026_Log_Reseau_v15[[#This Row],[province RDC]],_26_03_2026_Client_Churn_v1[Province_Client],_26_03_2026_Client_Churn_v1[Duree_Cumulee_Panne_Min],"non trouvé")</f>
        <v>non trouvé</v>
      </c>
      <c r="O750" t="str">
        <f>_xlfn.XLOOKUP(_26_03_2026_Log_Reseau_v15[[#This Row],[province RDC]],_26_03_2026_Client_Churn_v1[Province_Client],_26_03_2026_Client_Churn_v1[Facture_Mensuelle],"non trouvé")</f>
        <v>non trouvé</v>
      </c>
      <c r="P750" t="str">
        <f>_xlfn.XLOOKUP(_26_03_2026_Log_Reseau_v15[[#This Row],[province RDC]],_26_03_2026_Client_Churn_v1[Province_Client],_26_03_2026_Client_Churn_v1[Plaintes_Service_Client],"non trouvé")</f>
        <v>non trouvé</v>
      </c>
    </row>
    <row r="751" spans="1:16" hidden="1" x14ac:dyDescent="0.25">
      <c r="A751" s="1">
        <v>45225</v>
      </c>
      <c r="B751" s="2">
        <v>0.99652777777777779</v>
      </c>
      <c r="C751" t="s">
        <v>1271</v>
      </c>
      <c r="D751">
        <v>55</v>
      </c>
      <c r="E751" t="s">
        <v>808</v>
      </c>
      <c r="F751" t="str">
        <f>_xlfn.XLOOKUP(_26_03_2026_Log_Reseau_v15[[#This Row],[Cell_ID]],_26_03_2026_Registre_Maintenance_v1[ID_Antenne],_26_03_2026_Registre_Maintenance_v1[zone],"pas trouvé")</f>
        <v>pas trouvé</v>
      </c>
      <c r="G751" t="str">
        <f>_xlfn.XLOOKUP(_26_03_2026_Log_Reseau_v15[[#This Row],[Cell_ID]],_26_03_2026_Registre_Maintenance_v1[ID_Antenne],_26_03_2026_Registre_Maintenance_v1[Latitude],"non trouvé")</f>
        <v>non trouvé</v>
      </c>
      <c r="H751" t="str">
        <f>_xlfn.XLOOKUP(_26_03_2026_Log_Reseau_v15[[#This Row],[Cell_ID]],_26_03_2026_Registre_Maintenance_v1[ID_Antenne],_26_03_2026_Registre_Maintenance_v1[Longitude],"pas trouvé")</f>
        <v>pas trouvé</v>
      </c>
      <c r="I751" t="str">
        <f>_xlfn.XLOOKUP(_26_03_2026_Log_Reseau_v15[[#This Row],[Cell_ID]],_26_03_2026_Registre_Maintenance_v1[ID_Antenne],_26_03_2026_Registre_Maintenance_v1[Technologie],"non trouvé")</f>
        <v>non trouvé</v>
      </c>
      <c r="J751" t="str">
        <f>_xlfn.XLOOKUP(_26_03_2026_Log_Reseau_v15[[#This Row],[Cell_ID]],_26_03_2026_Registre_Maintenance_v1[ID_Antenne],_26_03_2026_Registre_Maintenance_v1[Equipementier],"pas trouvé")</f>
        <v>pas trouvé</v>
      </c>
      <c r="K751" t="str">
        <f>_xlfn.XLOOKUP(_26_03_2026_Log_Reseau_v15[[#This Row],[province RDC]],_26_03_2026_Client_Churn_v1[Province_Client],_26_03_2026_Client_Churn_v1[ID_Client],"non trouvé")</f>
        <v>non trouvé</v>
      </c>
      <c r="L751" t="str">
        <f>_xlfn.XLOOKUP(_26_03_2026_Log_Reseau_v15[[#This Row],[province RDC]],_26_03_2026_Client_Churn_v1[Province_Client],_26_03_2026_Client_Churn_v1[Anciennete_Mois],"non trouvé")</f>
        <v>non trouvé</v>
      </c>
      <c r="M751" t="str">
        <f>_xlfn.XLOOKUP(_26_03_2026_Log_Reseau_v15[[#This Row],[province RDC]],_26_03_2026_Client_Churn_v1[Province_Client],_26_03_2026_Client_Churn_v1[Type_Forfait],"non trouvé")</f>
        <v>non trouvé</v>
      </c>
      <c r="N751" t="str">
        <f>_xlfn.XLOOKUP(_26_03_2026_Log_Reseau_v15[[#This Row],[province RDC]],_26_03_2026_Client_Churn_v1[Province_Client],_26_03_2026_Client_Churn_v1[Duree_Cumulee_Panne_Min],"non trouvé")</f>
        <v>non trouvé</v>
      </c>
      <c r="O751" t="str">
        <f>_xlfn.XLOOKUP(_26_03_2026_Log_Reseau_v15[[#This Row],[province RDC]],_26_03_2026_Client_Churn_v1[Province_Client],_26_03_2026_Client_Churn_v1[Facture_Mensuelle],"non trouvé")</f>
        <v>non trouvé</v>
      </c>
      <c r="P751" t="str">
        <f>_xlfn.XLOOKUP(_26_03_2026_Log_Reseau_v15[[#This Row],[province RDC]],_26_03_2026_Client_Churn_v1[Province_Client],_26_03_2026_Client_Churn_v1[Plaintes_Service_Client],"non trouvé")</f>
        <v>non trouvé</v>
      </c>
    </row>
    <row r="752" spans="1:16" hidden="1" x14ac:dyDescent="0.25">
      <c r="A752" s="1">
        <v>45225</v>
      </c>
      <c r="B752" s="2">
        <v>0.32291666666666669</v>
      </c>
      <c r="C752" t="s">
        <v>1272</v>
      </c>
      <c r="D752">
        <v>47</v>
      </c>
      <c r="E752" t="s">
        <v>812</v>
      </c>
      <c r="F752" t="str">
        <f>_xlfn.XLOOKUP(_26_03_2026_Log_Reseau_v15[[#This Row],[Cell_ID]],_26_03_2026_Registre_Maintenance_v1[ID_Antenne],_26_03_2026_Registre_Maintenance_v1[zone],"pas trouvé")</f>
        <v>pas trouvé</v>
      </c>
      <c r="G752" t="str">
        <f>_xlfn.XLOOKUP(_26_03_2026_Log_Reseau_v15[[#This Row],[Cell_ID]],_26_03_2026_Registre_Maintenance_v1[ID_Antenne],_26_03_2026_Registre_Maintenance_v1[Latitude],"non trouvé")</f>
        <v>non trouvé</v>
      </c>
      <c r="H752" t="str">
        <f>_xlfn.XLOOKUP(_26_03_2026_Log_Reseau_v15[[#This Row],[Cell_ID]],_26_03_2026_Registre_Maintenance_v1[ID_Antenne],_26_03_2026_Registre_Maintenance_v1[Longitude],"pas trouvé")</f>
        <v>pas trouvé</v>
      </c>
      <c r="I752" t="str">
        <f>_xlfn.XLOOKUP(_26_03_2026_Log_Reseau_v15[[#This Row],[Cell_ID]],_26_03_2026_Registre_Maintenance_v1[ID_Antenne],_26_03_2026_Registre_Maintenance_v1[Technologie],"non trouvé")</f>
        <v>non trouvé</v>
      </c>
      <c r="J752" t="str">
        <f>_xlfn.XLOOKUP(_26_03_2026_Log_Reseau_v15[[#This Row],[Cell_ID]],_26_03_2026_Registre_Maintenance_v1[ID_Antenne],_26_03_2026_Registre_Maintenance_v1[Equipementier],"pas trouvé")</f>
        <v>pas trouvé</v>
      </c>
      <c r="K752" t="str">
        <f>_xlfn.XLOOKUP(_26_03_2026_Log_Reseau_v15[[#This Row],[province RDC]],_26_03_2026_Client_Churn_v1[Province_Client],_26_03_2026_Client_Churn_v1[ID_Client],"non trouvé")</f>
        <v>non trouvé</v>
      </c>
      <c r="L752" t="str">
        <f>_xlfn.XLOOKUP(_26_03_2026_Log_Reseau_v15[[#This Row],[province RDC]],_26_03_2026_Client_Churn_v1[Province_Client],_26_03_2026_Client_Churn_v1[Anciennete_Mois],"non trouvé")</f>
        <v>non trouvé</v>
      </c>
      <c r="M752" t="str">
        <f>_xlfn.XLOOKUP(_26_03_2026_Log_Reseau_v15[[#This Row],[province RDC]],_26_03_2026_Client_Churn_v1[Province_Client],_26_03_2026_Client_Churn_v1[Type_Forfait],"non trouvé")</f>
        <v>non trouvé</v>
      </c>
      <c r="N752" t="str">
        <f>_xlfn.XLOOKUP(_26_03_2026_Log_Reseau_v15[[#This Row],[province RDC]],_26_03_2026_Client_Churn_v1[Province_Client],_26_03_2026_Client_Churn_v1[Duree_Cumulee_Panne_Min],"non trouvé")</f>
        <v>non trouvé</v>
      </c>
      <c r="O752" t="str">
        <f>_xlfn.XLOOKUP(_26_03_2026_Log_Reseau_v15[[#This Row],[province RDC]],_26_03_2026_Client_Churn_v1[Province_Client],_26_03_2026_Client_Churn_v1[Facture_Mensuelle],"non trouvé")</f>
        <v>non trouvé</v>
      </c>
      <c r="P752" t="str">
        <f>_xlfn.XLOOKUP(_26_03_2026_Log_Reseau_v15[[#This Row],[province RDC]],_26_03_2026_Client_Churn_v1[Province_Client],_26_03_2026_Client_Churn_v1[Plaintes_Service_Client],"non trouvé")</f>
        <v>non trouvé</v>
      </c>
    </row>
    <row r="753" spans="1:16" x14ac:dyDescent="0.25">
      <c r="A753" s="1">
        <v>45214</v>
      </c>
      <c r="B753" s="2">
        <v>0.2902777777777778</v>
      </c>
      <c r="C753" t="s">
        <v>1273</v>
      </c>
      <c r="D753">
        <v>27</v>
      </c>
      <c r="E753" t="s">
        <v>808</v>
      </c>
      <c r="F753" t="str">
        <f>_xlfn.XLOOKUP(_26_03_2026_Log_Reseau_v15[[#This Row],[Cell_ID]],_26_03_2026_Registre_Maintenance_v1[ID_Antenne],_26_03_2026_Registre_Maintenance_v1[zone],"pas trouvé")</f>
        <v>Equateur</v>
      </c>
      <c r="G753">
        <f>_xlfn.XLOOKUP(_26_03_2026_Log_Reseau_v15[[#This Row],[Cell_ID]],_26_03_2026_Registre_Maintenance_v1[ID_Antenne],_26_03_2026_Registre_Maintenance_v1[Latitude],"non trouvé")</f>
        <v>-12.839263000000001</v>
      </c>
      <c r="H753">
        <f>_xlfn.XLOOKUP(_26_03_2026_Log_Reseau_v15[[#This Row],[Cell_ID]],_26_03_2026_Registre_Maintenance_v1[ID_Antenne],_26_03_2026_Registre_Maintenance_v1[Longitude],"pas trouvé")</f>
        <v>12.355677</v>
      </c>
      <c r="I753" t="str">
        <f>_xlfn.XLOOKUP(_26_03_2026_Log_Reseau_v15[[#This Row],[Cell_ID]],_26_03_2026_Registre_Maintenance_v1[ID_Antenne],_26_03_2026_Registre_Maintenance_v1[Technologie],"non trouvé")</f>
        <v>3G</v>
      </c>
      <c r="J753" t="str">
        <f>_xlfn.XLOOKUP(_26_03_2026_Log_Reseau_v15[[#This Row],[Cell_ID]],_26_03_2026_Registre_Maintenance_v1[ID_Antenne],_26_03_2026_Registre_Maintenance_v1[Equipementier],"pas trouvé")</f>
        <v>Huawei</v>
      </c>
      <c r="K753" t="str">
        <f>_xlfn.XLOOKUP(_26_03_2026_Log_Reseau_v15[[#This Row],[province RDC]],_26_03_2026_Client_Churn_v1[Province_Client],_26_03_2026_Client_Churn_v1[ID_Client],"non trouvé")</f>
        <v>CLI-00643</v>
      </c>
      <c r="L753">
        <f>_xlfn.XLOOKUP(_26_03_2026_Log_Reseau_v15[[#This Row],[province RDC]],_26_03_2026_Client_Churn_v1[Province_Client],_26_03_2026_Client_Churn_v1[Anciennete_Mois],"non trouvé")</f>
        <v>14</v>
      </c>
      <c r="M753" t="str">
        <f>_xlfn.XLOOKUP(_26_03_2026_Log_Reseau_v15[[#This Row],[province RDC]],_26_03_2026_Client_Churn_v1[Province_Client],_26_03_2026_Client_Churn_v1[Type_Forfait],"non trouvé")</f>
        <v>Pro Monde</v>
      </c>
      <c r="N753">
        <f>_xlfn.XLOOKUP(_26_03_2026_Log_Reseau_v15[[#This Row],[province RDC]],_26_03_2026_Client_Churn_v1[Province_Client],_26_03_2026_Client_Churn_v1[Duree_Cumulee_Panne_Min],"non trouvé")</f>
        <v>316</v>
      </c>
      <c r="O753">
        <f>_xlfn.XLOOKUP(_26_03_2026_Log_Reseau_v15[[#This Row],[province RDC]],_26_03_2026_Client_Churn_v1[Province_Client],_26_03_2026_Client_Churn_v1[Facture_Mensuelle],"non trouvé")</f>
        <v>62.34</v>
      </c>
      <c r="P753">
        <f>_xlfn.XLOOKUP(_26_03_2026_Log_Reseau_v15[[#This Row],[province RDC]],_26_03_2026_Client_Churn_v1[Province_Client],_26_03_2026_Client_Churn_v1[Plaintes_Service_Client],"non trouvé")</f>
        <v>4</v>
      </c>
    </row>
    <row r="754" spans="1:16" x14ac:dyDescent="0.25">
      <c r="A754" s="1">
        <v>45226</v>
      </c>
      <c r="B754" s="2">
        <v>0.31319444444444444</v>
      </c>
      <c r="C754" t="s">
        <v>1273</v>
      </c>
      <c r="D754">
        <v>66</v>
      </c>
      <c r="E754" t="s">
        <v>812</v>
      </c>
      <c r="F754" t="str">
        <f>_xlfn.XLOOKUP(_26_03_2026_Log_Reseau_v15[[#This Row],[Cell_ID]],_26_03_2026_Registre_Maintenance_v1[ID_Antenne],_26_03_2026_Registre_Maintenance_v1[zone],"pas trouvé")</f>
        <v>Equateur</v>
      </c>
      <c r="G754">
        <f>_xlfn.XLOOKUP(_26_03_2026_Log_Reseau_v15[[#This Row],[Cell_ID]],_26_03_2026_Registre_Maintenance_v1[ID_Antenne],_26_03_2026_Registre_Maintenance_v1[Latitude],"non trouvé")</f>
        <v>-12.839263000000001</v>
      </c>
      <c r="H754">
        <f>_xlfn.XLOOKUP(_26_03_2026_Log_Reseau_v15[[#This Row],[Cell_ID]],_26_03_2026_Registre_Maintenance_v1[ID_Antenne],_26_03_2026_Registre_Maintenance_v1[Longitude],"pas trouvé")</f>
        <v>12.355677</v>
      </c>
      <c r="I754" t="str">
        <f>_xlfn.XLOOKUP(_26_03_2026_Log_Reseau_v15[[#This Row],[Cell_ID]],_26_03_2026_Registre_Maintenance_v1[ID_Antenne],_26_03_2026_Registre_Maintenance_v1[Technologie],"non trouvé")</f>
        <v>3G</v>
      </c>
      <c r="J754" t="str">
        <f>_xlfn.XLOOKUP(_26_03_2026_Log_Reseau_v15[[#This Row],[Cell_ID]],_26_03_2026_Registre_Maintenance_v1[ID_Antenne],_26_03_2026_Registre_Maintenance_v1[Equipementier],"pas trouvé")</f>
        <v>Huawei</v>
      </c>
      <c r="K754" t="str">
        <f>_xlfn.XLOOKUP(_26_03_2026_Log_Reseau_v15[[#This Row],[province RDC]],_26_03_2026_Client_Churn_v1[Province_Client],_26_03_2026_Client_Churn_v1[ID_Client],"non trouvé")</f>
        <v>CLI-00643</v>
      </c>
      <c r="L754">
        <f>_xlfn.XLOOKUP(_26_03_2026_Log_Reseau_v15[[#This Row],[province RDC]],_26_03_2026_Client_Churn_v1[Province_Client],_26_03_2026_Client_Churn_v1[Anciennete_Mois],"non trouvé")</f>
        <v>14</v>
      </c>
      <c r="M754" t="str">
        <f>_xlfn.XLOOKUP(_26_03_2026_Log_Reseau_v15[[#This Row],[province RDC]],_26_03_2026_Client_Churn_v1[Province_Client],_26_03_2026_Client_Churn_v1[Type_Forfait],"non trouvé")</f>
        <v>Pro Monde</v>
      </c>
      <c r="N754">
        <f>_xlfn.XLOOKUP(_26_03_2026_Log_Reseau_v15[[#This Row],[province RDC]],_26_03_2026_Client_Churn_v1[Province_Client],_26_03_2026_Client_Churn_v1[Duree_Cumulee_Panne_Min],"non trouvé")</f>
        <v>316</v>
      </c>
      <c r="O754">
        <f>_xlfn.XLOOKUP(_26_03_2026_Log_Reseau_v15[[#This Row],[province RDC]],_26_03_2026_Client_Churn_v1[Province_Client],_26_03_2026_Client_Churn_v1[Facture_Mensuelle],"non trouvé")</f>
        <v>62.34</v>
      </c>
      <c r="P754">
        <f>_xlfn.XLOOKUP(_26_03_2026_Log_Reseau_v15[[#This Row],[province RDC]],_26_03_2026_Client_Churn_v1[Province_Client],_26_03_2026_Client_Churn_v1[Plaintes_Service_Client],"non trouvé")</f>
        <v>4</v>
      </c>
    </row>
    <row r="755" spans="1:16" x14ac:dyDescent="0.25">
      <c r="A755" s="1">
        <v>45224</v>
      </c>
      <c r="B755" s="2">
        <v>0.10486111111111111</v>
      </c>
      <c r="C755" t="s">
        <v>1274</v>
      </c>
      <c r="D755">
        <v>98</v>
      </c>
      <c r="E755" t="s">
        <v>812</v>
      </c>
      <c r="F755" t="str">
        <f>_xlfn.XLOOKUP(_26_03_2026_Log_Reseau_v15[[#This Row],[Cell_ID]],_26_03_2026_Registre_Maintenance_v1[ID_Antenne],_26_03_2026_Registre_Maintenance_v1[zone],"pas trouvé")</f>
        <v>Tanganyika</v>
      </c>
      <c r="G755">
        <f>_xlfn.XLOOKUP(_26_03_2026_Log_Reseau_v15[[#This Row],[Cell_ID]],_26_03_2026_Registre_Maintenance_v1[ID_Antenne],_26_03_2026_Registre_Maintenance_v1[Latitude],"non trouvé")</f>
        <v>-7.0007840000000003</v>
      </c>
      <c r="H755">
        <f>_xlfn.XLOOKUP(_26_03_2026_Log_Reseau_v15[[#This Row],[Cell_ID]],_26_03_2026_Registre_Maintenance_v1[ID_Antenne],_26_03_2026_Registre_Maintenance_v1[Longitude],"pas trouvé")</f>
        <v>22.787997000000001</v>
      </c>
      <c r="I755" t="str">
        <f>_xlfn.XLOOKUP(_26_03_2026_Log_Reseau_v15[[#This Row],[Cell_ID]],_26_03_2026_Registre_Maintenance_v1[ID_Antenne],_26_03_2026_Registre_Maintenance_v1[Technologie],"non trouvé")</f>
        <v>5G</v>
      </c>
      <c r="J755" t="str">
        <f>_xlfn.XLOOKUP(_26_03_2026_Log_Reseau_v15[[#This Row],[Cell_ID]],_26_03_2026_Registre_Maintenance_v1[ID_Antenne],_26_03_2026_Registre_Maintenance_v1[Equipementier],"pas trouvé")</f>
        <v>ZTE</v>
      </c>
      <c r="K755" t="str">
        <f>_xlfn.XLOOKUP(_26_03_2026_Log_Reseau_v15[[#This Row],[province RDC]],_26_03_2026_Client_Churn_v1[Province_Client],_26_03_2026_Client_Churn_v1[ID_Client],"non trouvé")</f>
        <v>CLI-01618</v>
      </c>
      <c r="L755">
        <f>_xlfn.XLOOKUP(_26_03_2026_Log_Reseau_v15[[#This Row],[province RDC]],_26_03_2026_Client_Churn_v1[Province_Client],_26_03_2026_Client_Churn_v1[Anciennete_Mois],"non trouvé")</f>
        <v>115</v>
      </c>
      <c r="M755" t="str">
        <f>_xlfn.XLOOKUP(_26_03_2026_Log_Reseau_v15[[#This Row],[province RDC]],_26_03_2026_Client_Churn_v1[Province_Client],_26_03_2026_Client_Churn_v1[Type_Forfait],"non trouvé")</f>
        <v>Bloqué 5Go</v>
      </c>
      <c r="N755">
        <f>_xlfn.XLOOKUP(_26_03_2026_Log_Reseau_v15[[#This Row],[province RDC]],_26_03_2026_Client_Churn_v1[Province_Client],_26_03_2026_Client_Churn_v1[Duree_Cumulee_Panne_Min],"non trouvé")</f>
        <v>176</v>
      </c>
      <c r="O755">
        <f>_xlfn.XLOOKUP(_26_03_2026_Log_Reseau_v15[[#This Row],[province RDC]],_26_03_2026_Client_Churn_v1[Province_Client],_26_03_2026_Client_Churn_v1[Facture_Mensuelle],"non trouvé")</f>
        <v>33.28</v>
      </c>
      <c r="P755">
        <f>_xlfn.XLOOKUP(_26_03_2026_Log_Reseau_v15[[#This Row],[province RDC]],_26_03_2026_Client_Churn_v1[Province_Client],_26_03_2026_Client_Churn_v1[Plaintes_Service_Client],"non trouvé")</f>
        <v>4</v>
      </c>
    </row>
    <row r="756" spans="1:16" hidden="1" x14ac:dyDescent="0.25">
      <c r="A756" s="1">
        <v>45224</v>
      </c>
      <c r="B756" s="2">
        <v>0.88472222222222219</v>
      </c>
      <c r="C756" t="s">
        <v>1275</v>
      </c>
      <c r="D756">
        <v>119</v>
      </c>
      <c r="E756" t="s">
        <v>808</v>
      </c>
      <c r="F756" t="str">
        <f>_xlfn.XLOOKUP(_26_03_2026_Log_Reseau_v15[[#This Row],[Cell_ID]],_26_03_2026_Registre_Maintenance_v1[ID_Antenne],_26_03_2026_Registre_Maintenance_v1[zone],"pas trouvé")</f>
        <v>pas trouvé</v>
      </c>
      <c r="G756" t="str">
        <f>_xlfn.XLOOKUP(_26_03_2026_Log_Reseau_v15[[#This Row],[Cell_ID]],_26_03_2026_Registre_Maintenance_v1[ID_Antenne],_26_03_2026_Registre_Maintenance_v1[Latitude],"non trouvé")</f>
        <v>non trouvé</v>
      </c>
      <c r="H756" t="str">
        <f>_xlfn.XLOOKUP(_26_03_2026_Log_Reseau_v15[[#This Row],[Cell_ID]],_26_03_2026_Registre_Maintenance_v1[ID_Antenne],_26_03_2026_Registre_Maintenance_v1[Longitude],"pas trouvé")</f>
        <v>pas trouvé</v>
      </c>
      <c r="I756" t="str">
        <f>_xlfn.XLOOKUP(_26_03_2026_Log_Reseau_v15[[#This Row],[Cell_ID]],_26_03_2026_Registre_Maintenance_v1[ID_Antenne],_26_03_2026_Registre_Maintenance_v1[Technologie],"non trouvé")</f>
        <v>non trouvé</v>
      </c>
      <c r="J756" t="str">
        <f>_xlfn.XLOOKUP(_26_03_2026_Log_Reseau_v15[[#This Row],[Cell_ID]],_26_03_2026_Registre_Maintenance_v1[ID_Antenne],_26_03_2026_Registre_Maintenance_v1[Equipementier],"pas trouvé")</f>
        <v>pas trouvé</v>
      </c>
      <c r="K756" t="str">
        <f>_xlfn.XLOOKUP(_26_03_2026_Log_Reseau_v15[[#This Row],[province RDC]],_26_03_2026_Client_Churn_v1[Province_Client],_26_03_2026_Client_Churn_v1[ID_Client],"non trouvé")</f>
        <v>non trouvé</v>
      </c>
      <c r="L756" t="str">
        <f>_xlfn.XLOOKUP(_26_03_2026_Log_Reseau_v15[[#This Row],[province RDC]],_26_03_2026_Client_Churn_v1[Province_Client],_26_03_2026_Client_Churn_v1[Anciennete_Mois],"non trouvé")</f>
        <v>non trouvé</v>
      </c>
      <c r="M756" t="str">
        <f>_xlfn.XLOOKUP(_26_03_2026_Log_Reseau_v15[[#This Row],[province RDC]],_26_03_2026_Client_Churn_v1[Province_Client],_26_03_2026_Client_Churn_v1[Type_Forfait],"non trouvé")</f>
        <v>non trouvé</v>
      </c>
      <c r="N756" t="str">
        <f>_xlfn.XLOOKUP(_26_03_2026_Log_Reseau_v15[[#This Row],[province RDC]],_26_03_2026_Client_Churn_v1[Province_Client],_26_03_2026_Client_Churn_v1[Duree_Cumulee_Panne_Min],"non trouvé")</f>
        <v>non trouvé</v>
      </c>
      <c r="O756" t="str">
        <f>_xlfn.XLOOKUP(_26_03_2026_Log_Reseau_v15[[#This Row],[province RDC]],_26_03_2026_Client_Churn_v1[Province_Client],_26_03_2026_Client_Churn_v1[Facture_Mensuelle],"non trouvé")</f>
        <v>non trouvé</v>
      </c>
      <c r="P756" t="str">
        <f>_xlfn.XLOOKUP(_26_03_2026_Log_Reseau_v15[[#This Row],[province RDC]],_26_03_2026_Client_Churn_v1[Province_Client],_26_03_2026_Client_Churn_v1[Plaintes_Service_Client],"non trouvé")</f>
        <v>non trouvé</v>
      </c>
    </row>
    <row r="757" spans="1:16" hidden="1" x14ac:dyDescent="0.25">
      <c r="A757" s="1">
        <v>45227</v>
      </c>
      <c r="B757" s="2">
        <v>0.39305555555555555</v>
      </c>
      <c r="C757" t="s">
        <v>1276</v>
      </c>
      <c r="D757">
        <v>67</v>
      </c>
      <c r="E757" t="s">
        <v>807</v>
      </c>
      <c r="F757" t="str">
        <f>_xlfn.XLOOKUP(_26_03_2026_Log_Reseau_v15[[#This Row],[Cell_ID]],_26_03_2026_Registre_Maintenance_v1[ID_Antenne],_26_03_2026_Registre_Maintenance_v1[zone],"pas trouvé")</f>
        <v>pas trouvé</v>
      </c>
      <c r="G757" t="str">
        <f>_xlfn.XLOOKUP(_26_03_2026_Log_Reseau_v15[[#This Row],[Cell_ID]],_26_03_2026_Registre_Maintenance_v1[ID_Antenne],_26_03_2026_Registre_Maintenance_v1[Latitude],"non trouvé")</f>
        <v>non trouvé</v>
      </c>
      <c r="H757" t="str">
        <f>_xlfn.XLOOKUP(_26_03_2026_Log_Reseau_v15[[#This Row],[Cell_ID]],_26_03_2026_Registre_Maintenance_v1[ID_Antenne],_26_03_2026_Registre_Maintenance_v1[Longitude],"pas trouvé")</f>
        <v>pas trouvé</v>
      </c>
      <c r="I757" t="str">
        <f>_xlfn.XLOOKUP(_26_03_2026_Log_Reseau_v15[[#This Row],[Cell_ID]],_26_03_2026_Registre_Maintenance_v1[ID_Antenne],_26_03_2026_Registre_Maintenance_v1[Technologie],"non trouvé")</f>
        <v>non trouvé</v>
      </c>
      <c r="J757" t="str">
        <f>_xlfn.XLOOKUP(_26_03_2026_Log_Reseau_v15[[#This Row],[Cell_ID]],_26_03_2026_Registre_Maintenance_v1[ID_Antenne],_26_03_2026_Registre_Maintenance_v1[Equipementier],"pas trouvé")</f>
        <v>pas trouvé</v>
      </c>
      <c r="K757" t="str">
        <f>_xlfn.XLOOKUP(_26_03_2026_Log_Reseau_v15[[#This Row],[province RDC]],_26_03_2026_Client_Churn_v1[Province_Client],_26_03_2026_Client_Churn_v1[ID_Client],"non trouvé")</f>
        <v>non trouvé</v>
      </c>
      <c r="L757" t="str">
        <f>_xlfn.XLOOKUP(_26_03_2026_Log_Reseau_v15[[#This Row],[province RDC]],_26_03_2026_Client_Churn_v1[Province_Client],_26_03_2026_Client_Churn_v1[Anciennete_Mois],"non trouvé")</f>
        <v>non trouvé</v>
      </c>
      <c r="M757" t="str">
        <f>_xlfn.XLOOKUP(_26_03_2026_Log_Reseau_v15[[#This Row],[province RDC]],_26_03_2026_Client_Churn_v1[Province_Client],_26_03_2026_Client_Churn_v1[Type_Forfait],"non trouvé")</f>
        <v>non trouvé</v>
      </c>
      <c r="N757" t="str">
        <f>_xlfn.XLOOKUP(_26_03_2026_Log_Reseau_v15[[#This Row],[province RDC]],_26_03_2026_Client_Churn_v1[Province_Client],_26_03_2026_Client_Churn_v1[Duree_Cumulee_Panne_Min],"non trouvé")</f>
        <v>non trouvé</v>
      </c>
      <c r="O757" t="str">
        <f>_xlfn.XLOOKUP(_26_03_2026_Log_Reseau_v15[[#This Row],[province RDC]],_26_03_2026_Client_Churn_v1[Province_Client],_26_03_2026_Client_Churn_v1[Facture_Mensuelle],"non trouvé")</f>
        <v>non trouvé</v>
      </c>
      <c r="P757" t="str">
        <f>_xlfn.XLOOKUP(_26_03_2026_Log_Reseau_v15[[#This Row],[province RDC]],_26_03_2026_Client_Churn_v1[Province_Client],_26_03_2026_Client_Churn_v1[Plaintes_Service_Client],"non trouvé")</f>
        <v>non trouvé</v>
      </c>
    </row>
    <row r="758" spans="1:16" hidden="1" x14ac:dyDescent="0.25">
      <c r="A758" s="1">
        <v>45200</v>
      </c>
      <c r="B758" s="2">
        <v>0.22013888888888888</v>
      </c>
      <c r="C758" t="s">
        <v>1276</v>
      </c>
      <c r="D758">
        <v>53</v>
      </c>
      <c r="E758" t="s">
        <v>808</v>
      </c>
      <c r="F758" t="str">
        <f>_xlfn.XLOOKUP(_26_03_2026_Log_Reseau_v15[[#This Row],[Cell_ID]],_26_03_2026_Registre_Maintenance_v1[ID_Antenne],_26_03_2026_Registre_Maintenance_v1[zone],"pas trouvé")</f>
        <v>pas trouvé</v>
      </c>
      <c r="G758" t="str">
        <f>_xlfn.XLOOKUP(_26_03_2026_Log_Reseau_v15[[#This Row],[Cell_ID]],_26_03_2026_Registre_Maintenance_v1[ID_Antenne],_26_03_2026_Registre_Maintenance_v1[Latitude],"non trouvé")</f>
        <v>non trouvé</v>
      </c>
      <c r="H758" t="str">
        <f>_xlfn.XLOOKUP(_26_03_2026_Log_Reseau_v15[[#This Row],[Cell_ID]],_26_03_2026_Registre_Maintenance_v1[ID_Antenne],_26_03_2026_Registre_Maintenance_v1[Longitude],"pas trouvé")</f>
        <v>pas trouvé</v>
      </c>
      <c r="I758" t="str">
        <f>_xlfn.XLOOKUP(_26_03_2026_Log_Reseau_v15[[#This Row],[Cell_ID]],_26_03_2026_Registre_Maintenance_v1[ID_Antenne],_26_03_2026_Registre_Maintenance_v1[Technologie],"non trouvé")</f>
        <v>non trouvé</v>
      </c>
      <c r="J758" t="str">
        <f>_xlfn.XLOOKUP(_26_03_2026_Log_Reseau_v15[[#This Row],[Cell_ID]],_26_03_2026_Registre_Maintenance_v1[ID_Antenne],_26_03_2026_Registre_Maintenance_v1[Equipementier],"pas trouvé")</f>
        <v>pas trouvé</v>
      </c>
      <c r="K758" t="str">
        <f>_xlfn.XLOOKUP(_26_03_2026_Log_Reseau_v15[[#This Row],[province RDC]],_26_03_2026_Client_Churn_v1[Province_Client],_26_03_2026_Client_Churn_v1[ID_Client],"non trouvé")</f>
        <v>non trouvé</v>
      </c>
      <c r="L758" t="str">
        <f>_xlfn.XLOOKUP(_26_03_2026_Log_Reseau_v15[[#This Row],[province RDC]],_26_03_2026_Client_Churn_v1[Province_Client],_26_03_2026_Client_Churn_v1[Anciennete_Mois],"non trouvé")</f>
        <v>non trouvé</v>
      </c>
      <c r="M758" t="str">
        <f>_xlfn.XLOOKUP(_26_03_2026_Log_Reseau_v15[[#This Row],[province RDC]],_26_03_2026_Client_Churn_v1[Province_Client],_26_03_2026_Client_Churn_v1[Type_Forfait],"non trouvé")</f>
        <v>non trouvé</v>
      </c>
      <c r="N758" t="str">
        <f>_xlfn.XLOOKUP(_26_03_2026_Log_Reseau_v15[[#This Row],[province RDC]],_26_03_2026_Client_Churn_v1[Province_Client],_26_03_2026_Client_Churn_v1[Duree_Cumulee_Panne_Min],"non trouvé")</f>
        <v>non trouvé</v>
      </c>
      <c r="O758" t="str">
        <f>_xlfn.XLOOKUP(_26_03_2026_Log_Reseau_v15[[#This Row],[province RDC]],_26_03_2026_Client_Churn_v1[Province_Client],_26_03_2026_Client_Churn_v1[Facture_Mensuelle],"non trouvé")</f>
        <v>non trouvé</v>
      </c>
      <c r="P758" t="str">
        <f>_xlfn.XLOOKUP(_26_03_2026_Log_Reseau_v15[[#This Row],[province RDC]],_26_03_2026_Client_Churn_v1[Province_Client],_26_03_2026_Client_Churn_v1[Plaintes_Service_Client],"non trouvé")</f>
        <v>non trouvé</v>
      </c>
    </row>
    <row r="759" spans="1:16" x14ac:dyDescent="0.25">
      <c r="A759" s="1">
        <v>45218</v>
      </c>
      <c r="B759" s="2">
        <v>3.8194444444444448E-2</v>
      </c>
      <c r="C759" t="s">
        <v>1277</v>
      </c>
      <c r="D759">
        <v>6</v>
      </c>
      <c r="E759" t="s">
        <v>807</v>
      </c>
      <c r="F759" t="str">
        <f>_xlfn.XLOOKUP(_26_03_2026_Log_Reseau_v15[[#This Row],[Cell_ID]],_26_03_2026_Registre_Maintenance_v1[ID_Antenne],_26_03_2026_Registre_Maintenance_v1[zone],"pas trouvé")</f>
        <v>Kwango</v>
      </c>
      <c r="G759">
        <f>_xlfn.XLOOKUP(_26_03_2026_Log_Reseau_v15[[#This Row],[Cell_ID]],_26_03_2026_Registre_Maintenance_v1[ID_Antenne],_26_03_2026_Registre_Maintenance_v1[Latitude],"non trouvé")</f>
        <v>-9.7712979999999998</v>
      </c>
      <c r="H759">
        <f>_xlfn.XLOOKUP(_26_03_2026_Log_Reseau_v15[[#This Row],[Cell_ID]],_26_03_2026_Registre_Maintenance_v1[ID_Antenne],_26_03_2026_Registre_Maintenance_v1[Longitude],"pas trouvé")</f>
        <v>19.827895999999999</v>
      </c>
      <c r="I759" t="str">
        <f>_xlfn.XLOOKUP(_26_03_2026_Log_Reseau_v15[[#This Row],[Cell_ID]],_26_03_2026_Registre_Maintenance_v1[ID_Antenne],_26_03_2026_Registre_Maintenance_v1[Technologie],"non trouvé")</f>
        <v>3G</v>
      </c>
      <c r="J759" t="str">
        <f>_xlfn.XLOOKUP(_26_03_2026_Log_Reseau_v15[[#This Row],[Cell_ID]],_26_03_2026_Registre_Maintenance_v1[ID_Antenne],_26_03_2026_Registre_Maintenance_v1[Equipementier],"pas trouvé")</f>
        <v>ZTE</v>
      </c>
      <c r="K759" t="str">
        <f>_xlfn.XLOOKUP(_26_03_2026_Log_Reseau_v15[[#This Row],[province RDC]],_26_03_2026_Client_Churn_v1[Province_Client],_26_03_2026_Client_Churn_v1[ID_Client],"non trouvé")</f>
        <v>CLI-00569</v>
      </c>
      <c r="L759">
        <f>_xlfn.XLOOKUP(_26_03_2026_Log_Reseau_v15[[#This Row],[province RDC]],_26_03_2026_Client_Churn_v1[Province_Client],_26_03_2026_Client_Churn_v1[Anciennete_Mois],"non trouvé")</f>
        <v>110</v>
      </c>
      <c r="M759" t="str">
        <f>_xlfn.XLOOKUP(_26_03_2026_Log_Reseau_v15[[#This Row],[province RDC]],_26_03_2026_Client_Churn_v1[Province_Client],_26_03_2026_Client_Churn_v1[Type_Forfait],"non trouvé")</f>
        <v>Pro Monde</v>
      </c>
      <c r="N759">
        <f>_xlfn.XLOOKUP(_26_03_2026_Log_Reseau_v15[[#This Row],[province RDC]],_26_03_2026_Client_Churn_v1[Province_Client],_26_03_2026_Client_Churn_v1[Duree_Cumulee_Panne_Min],"non trouvé")</f>
        <v>423</v>
      </c>
      <c r="O759">
        <f>_xlfn.XLOOKUP(_26_03_2026_Log_Reseau_v15[[#This Row],[province RDC]],_26_03_2026_Client_Churn_v1[Province_Client],_26_03_2026_Client_Churn_v1[Facture_Mensuelle],"non trouvé")</f>
        <v>37.35</v>
      </c>
      <c r="P759">
        <f>_xlfn.XLOOKUP(_26_03_2026_Log_Reseau_v15[[#This Row],[province RDC]],_26_03_2026_Client_Churn_v1[Province_Client],_26_03_2026_Client_Churn_v1[Plaintes_Service_Client],"non trouvé")</f>
        <v>4</v>
      </c>
    </row>
    <row r="760" spans="1:16" x14ac:dyDescent="0.25">
      <c r="A760" s="1">
        <v>45224</v>
      </c>
      <c r="B760" s="2">
        <v>1.0416666666666666E-2</v>
      </c>
      <c r="C760" t="s">
        <v>1277</v>
      </c>
      <c r="D760">
        <v>114</v>
      </c>
      <c r="E760" t="s">
        <v>812</v>
      </c>
      <c r="F760" t="str">
        <f>_xlfn.XLOOKUP(_26_03_2026_Log_Reseau_v15[[#This Row],[Cell_ID]],_26_03_2026_Registre_Maintenance_v1[ID_Antenne],_26_03_2026_Registre_Maintenance_v1[zone],"pas trouvé")</f>
        <v>Kwango</v>
      </c>
      <c r="G760">
        <f>_xlfn.XLOOKUP(_26_03_2026_Log_Reseau_v15[[#This Row],[Cell_ID]],_26_03_2026_Registre_Maintenance_v1[ID_Antenne],_26_03_2026_Registre_Maintenance_v1[Latitude],"non trouvé")</f>
        <v>-9.7712979999999998</v>
      </c>
      <c r="H760">
        <f>_xlfn.XLOOKUP(_26_03_2026_Log_Reseau_v15[[#This Row],[Cell_ID]],_26_03_2026_Registre_Maintenance_v1[ID_Antenne],_26_03_2026_Registre_Maintenance_v1[Longitude],"pas trouvé")</f>
        <v>19.827895999999999</v>
      </c>
      <c r="I760" t="str">
        <f>_xlfn.XLOOKUP(_26_03_2026_Log_Reseau_v15[[#This Row],[Cell_ID]],_26_03_2026_Registre_Maintenance_v1[ID_Antenne],_26_03_2026_Registre_Maintenance_v1[Technologie],"non trouvé")</f>
        <v>3G</v>
      </c>
      <c r="J760" t="str">
        <f>_xlfn.XLOOKUP(_26_03_2026_Log_Reseau_v15[[#This Row],[Cell_ID]],_26_03_2026_Registre_Maintenance_v1[ID_Antenne],_26_03_2026_Registre_Maintenance_v1[Equipementier],"pas trouvé")</f>
        <v>ZTE</v>
      </c>
      <c r="K760" t="str">
        <f>_xlfn.XLOOKUP(_26_03_2026_Log_Reseau_v15[[#This Row],[province RDC]],_26_03_2026_Client_Churn_v1[Province_Client],_26_03_2026_Client_Churn_v1[ID_Client],"non trouvé")</f>
        <v>CLI-00569</v>
      </c>
      <c r="L760">
        <f>_xlfn.XLOOKUP(_26_03_2026_Log_Reseau_v15[[#This Row],[province RDC]],_26_03_2026_Client_Churn_v1[Province_Client],_26_03_2026_Client_Churn_v1[Anciennete_Mois],"non trouvé")</f>
        <v>110</v>
      </c>
      <c r="M760" t="str">
        <f>_xlfn.XLOOKUP(_26_03_2026_Log_Reseau_v15[[#This Row],[province RDC]],_26_03_2026_Client_Churn_v1[Province_Client],_26_03_2026_Client_Churn_v1[Type_Forfait],"non trouvé")</f>
        <v>Pro Monde</v>
      </c>
      <c r="N760">
        <f>_xlfn.XLOOKUP(_26_03_2026_Log_Reseau_v15[[#This Row],[province RDC]],_26_03_2026_Client_Churn_v1[Province_Client],_26_03_2026_Client_Churn_v1[Duree_Cumulee_Panne_Min],"non trouvé")</f>
        <v>423</v>
      </c>
      <c r="O760">
        <f>_xlfn.XLOOKUP(_26_03_2026_Log_Reseau_v15[[#This Row],[province RDC]],_26_03_2026_Client_Churn_v1[Province_Client],_26_03_2026_Client_Churn_v1[Facture_Mensuelle],"non trouvé")</f>
        <v>37.35</v>
      </c>
      <c r="P760">
        <f>_xlfn.XLOOKUP(_26_03_2026_Log_Reseau_v15[[#This Row],[province RDC]],_26_03_2026_Client_Churn_v1[Province_Client],_26_03_2026_Client_Churn_v1[Plaintes_Service_Client],"non trouvé")</f>
        <v>4</v>
      </c>
    </row>
    <row r="761" spans="1:16" x14ac:dyDescent="0.25">
      <c r="A761" s="1">
        <v>45219</v>
      </c>
      <c r="B761" s="2">
        <v>0.11319444444444444</v>
      </c>
      <c r="C761" t="s">
        <v>1277</v>
      </c>
      <c r="D761">
        <v>19</v>
      </c>
      <c r="E761" t="s">
        <v>807</v>
      </c>
      <c r="F761" t="str">
        <f>_xlfn.XLOOKUP(_26_03_2026_Log_Reseau_v15[[#This Row],[Cell_ID]],_26_03_2026_Registre_Maintenance_v1[ID_Antenne],_26_03_2026_Registre_Maintenance_v1[zone],"pas trouvé")</f>
        <v>Kwango</v>
      </c>
      <c r="G761">
        <f>_xlfn.XLOOKUP(_26_03_2026_Log_Reseau_v15[[#This Row],[Cell_ID]],_26_03_2026_Registre_Maintenance_v1[ID_Antenne],_26_03_2026_Registre_Maintenance_v1[Latitude],"non trouvé")</f>
        <v>-9.7712979999999998</v>
      </c>
      <c r="H761">
        <f>_xlfn.XLOOKUP(_26_03_2026_Log_Reseau_v15[[#This Row],[Cell_ID]],_26_03_2026_Registre_Maintenance_v1[ID_Antenne],_26_03_2026_Registre_Maintenance_v1[Longitude],"pas trouvé")</f>
        <v>19.827895999999999</v>
      </c>
      <c r="I761" t="str">
        <f>_xlfn.XLOOKUP(_26_03_2026_Log_Reseau_v15[[#This Row],[Cell_ID]],_26_03_2026_Registre_Maintenance_v1[ID_Antenne],_26_03_2026_Registre_Maintenance_v1[Technologie],"non trouvé")</f>
        <v>3G</v>
      </c>
      <c r="J761" t="str">
        <f>_xlfn.XLOOKUP(_26_03_2026_Log_Reseau_v15[[#This Row],[Cell_ID]],_26_03_2026_Registre_Maintenance_v1[ID_Antenne],_26_03_2026_Registre_Maintenance_v1[Equipementier],"pas trouvé")</f>
        <v>ZTE</v>
      </c>
      <c r="K761" t="str">
        <f>_xlfn.XLOOKUP(_26_03_2026_Log_Reseau_v15[[#This Row],[province RDC]],_26_03_2026_Client_Churn_v1[Province_Client],_26_03_2026_Client_Churn_v1[ID_Client],"non trouvé")</f>
        <v>CLI-00569</v>
      </c>
      <c r="L761">
        <f>_xlfn.XLOOKUP(_26_03_2026_Log_Reseau_v15[[#This Row],[province RDC]],_26_03_2026_Client_Churn_v1[Province_Client],_26_03_2026_Client_Churn_v1[Anciennete_Mois],"non trouvé")</f>
        <v>110</v>
      </c>
      <c r="M761" t="str">
        <f>_xlfn.XLOOKUP(_26_03_2026_Log_Reseau_v15[[#This Row],[province RDC]],_26_03_2026_Client_Churn_v1[Province_Client],_26_03_2026_Client_Churn_v1[Type_Forfait],"non trouvé")</f>
        <v>Pro Monde</v>
      </c>
      <c r="N761">
        <f>_xlfn.XLOOKUP(_26_03_2026_Log_Reseau_v15[[#This Row],[province RDC]],_26_03_2026_Client_Churn_v1[Province_Client],_26_03_2026_Client_Churn_v1[Duree_Cumulee_Panne_Min],"non trouvé")</f>
        <v>423</v>
      </c>
      <c r="O761">
        <f>_xlfn.XLOOKUP(_26_03_2026_Log_Reseau_v15[[#This Row],[province RDC]],_26_03_2026_Client_Churn_v1[Province_Client],_26_03_2026_Client_Churn_v1[Facture_Mensuelle],"non trouvé")</f>
        <v>37.35</v>
      </c>
      <c r="P761">
        <f>_xlfn.XLOOKUP(_26_03_2026_Log_Reseau_v15[[#This Row],[province RDC]],_26_03_2026_Client_Churn_v1[Province_Client],_26_03_2026_Client_Churn_v1[Plaintes_Service_Client],"non trouvé")</f>
        <v>4</v>
      </c>
    </row>
    <row r="762" spans="1:16" hidden="1" x14ac:dyDescent="0.25">
      <c r="A762" s="1">
        <v>45230</v>
      </c>
      <c r="B762" s="2">
        <v>0.92500000000000004</v>
      </c>
      <c r="C762" t="s">
        <v>1278</v>
      </c>
      <c r="D762">
        <v>90</v>
      </c>
      <c r="E762" t="s">
        <v>807</v>
      </c>
      <c r="F762" t="str">
        <f>_xlfn.XLOOKUP(_26_03_2026_Log_Reseau_v15[[#This Row],[Cell_ID]],_26_03_2026_Registre_Maintenance_v1[ID_Antenne],_26_03_2026_Registre_Maintenance_v1[zone],"pas trouvé")</f>
        <v>pas trouvé</v>
      </c>
      <c r="G762" t="str">
        <f>_xlfn.XLOOKUP(_26_03_2026_Log_Reseau_v15[[#This Row],[Cell_ID]],_26_03_2026_Registre_Maintenance_v1[ID_Antenne],_26_03_2026_Registre_Maintenance_v1[Latitude],"non trouvé")</f>
        <v>non trouvé</v>
      </c>
      <c r="H762" t="str">
        <f>_xlfn.XLOOKUP(_26_03_2026_Log_Reseau_v15[[#This Row],[Cell_ID]],_26_03_2026_Registre_Maintenance_v1[ID_Antenne],_26_03_2026_Registre_Maintenance_v1[Longitude],"pas trouvé")</f>
        <v>pas trouvé</v>
      </c>
      <c r="I762" t="str">
        <f>_xlfn.XLOOKUP(_26_03_2026_Log_Reseau_v15[[#This Row],[Cell_ID]],_26_03_2026_Registre_Maintenance_v1[ID_Antenne],_26_03_2026_Registre_Maintenance_v1[Technologie],"non trouvé")</f>
        <v>non trouvé</v>
      </c>
      <c r="J762" t="str">
        <f>_xlfn.XLOOKUP(_26_03_2026_Log_Reseau_v15[[#This Row],[Cell_ID]],_26_03_2026_Registre_Maintenance_v1[ID_Antenne],_26_03_2026_Registre_Maintenance_v1[Equipementier],"pas trouvé")</f>
        <v>pas trouvé</v>
      </c>
      <c r="K762" t="str">
        <f>_xlfn.XLOOKUP(_26_03_2026_Log_Reseau_v15[[#This Row],[province RDC]],_26_03_2026_Client_Churn_v1[Province_Client],_26_03_2026_Client_Churn_v1[ID_Client],"non trouvé")</f>
        <v>non trouvé</v>
      </c>
      <c r="L762" t="str">
        <f>_xlfn.XLOOKUP(_26_03_2026_Log_Reseau_v15[[#This Row],[province RDC]],_26_03_2026_Client_Churn_v1[Province_Client],_26_03_2026_Client_Churn_v1[Anciennete_Mois],"non trouvé")</f>
        <v>non trouvé</v>
      </c>
      <c r="M762" t="str">
        <f>_xlfn.XLOOKUP(_26_03_2026_Log_Reseau_v15[[#This Row],[province RDC]],_26_03_2026_Client_Churn_v1[Province_Client],_26_03_2026_Client_Churn_v1[Type_Forfait],"non trouvé")</f>
        <v>non trouvé</v>
      </c>
      <c r="N762" t="str">
        <f>_xlfn.XLOOKUP(_26_03_2026_Log_Reseau_v15[[#This Row],[province RDC]],_26_03_2026_Client_Churn_v1[Province_Client],_26_03_2026_Client_Churn_v1[Duree_Cumulee_Panne_Min],"non trouvé")</f>
        <v>non trouvé</v>
      </c>
      <c r="O762" t="str">
        <f>_xlfn.XLOOKUP(_26_03_2026_Log_Reseau_v15[[#This Row],[province RDC]],_26_03_2026_Client_Churn_v1[Province_Client],_26_03_2026_Client_Churn_v1[Facture_Mensuelle],"non trouvé")</f>
        <v>non trouvé</v>
      </c>
      <c r="P762" t="str">
        <f>_xlfn.XLOOKUP(_26_03_2026_Log_Reseau_v15[[#This Row],[province RDC]],_26_03_2026_Client_Churn_v1[Province_Client],_26_03_2026_Client_Churn_v1[Plaintes_Service_Client],"non trouvé")</f>
        <v>non trouvé</v>
      </c>
    </row>
    <row r="763" spans="1:16" hidden="1" x14ac:dyDescent="0.25">
      <c r="A763" s="1">
        <v>45210</v>
      </c>
      <c r="B763" s="2">
        <v>0.5</v>
      </c>
      <c r="C763" t="s">
        <v>1279</v>
      </c>
      <c r="D763">
        <v>30</v>
      </c>
      <c r="E763" t="s">
        <v>807</v>
      </c>
      <c r="F763" t="str">
        <f>_xlfn.XLOOKUP(_26_03_2026_Log_Reseau_v15[[#This Row],[Cell_ID]],_26_03_2026_Registre_Maintenance_v1[ID_Antenne],_26_03_2026_Registre_Maintenance_v1[zone],"pas trouvé")</f>
        <v>pas trouvé</v>
      </c>
      <c r="G763" t="str">
        <f>_xlfn.XLOOKUP(_26_03_2026_Log_Reseau_v15[[#This Row],[Cell_ID]],_26_03_2026_Registre_Maintenance_v1[ID_Antenne],_26_03_2026_Registre_Maintenance_v1[Latitude],"non trouvé")</f>
        <v>non trouvé</v>
      </c>
      <c r="H763" t="str">
        <f>_xlfn.XLOOKUP(_26_03_2026_Log_Reseau_v15[[#This Row],[Cell_ID]],_26_03_2026_Registre_Maintenance_v1[ID_Antenne],_26_03_2026_Registre_Maintenance_v1[Longitude],"pas trouvé")</f>
        <v>pas trouvé</v>
      </c>
      <c r="I763" t="str">
        <f>_xlfn.XLOOKUP(_26_03_2026_Log_Reseau_v15[[#This Row],[Cell_ID]],_26_03_2026_Registre_Maintenance_v1[ID_Antenne],_26_03_2026_Registre_Maintenance_v1[Technologie],"non trouvé")</f>
        <v>non trouvé</v>
      </c>
      <c r="J763" t="str">
        <f>_xlfn.XLOOKUP(_26_03_2026_Log_Reseau_v15[[#This Row],[Cell_ID]],_26_03_2026_Registre_Maintenance_v1[ID_Antenne],_26_03_2026_Registre_Maintenance_v1[Equipementier],"pas trouvé")</f>
        <v>pas trouvé</v>
      </c>
      <c r="K763" t="str">
        <f>_xlfn.XLOOKUP(_26_03_2026_Log_Reseau_v15[[#This Row],[province RDC]],_26_03_2026_Client_Churn_v1[Province_Client],_26_03_2026_Client_Churn_v1[ID_Client],"non trouvé")</f>
        <v>non trouvé</v>
      </c>
      <c r="L763" t="str">
        <f>_xlfn.XLOOKUP(_26_03_2026_Log_Reseau_v15[[#This Row],[province RDC]],_26_03_2026_Client_Churn_v1[Province_Client],_26_03_2026_Client_Churn_v1[Anciennete_Mois],"non trouvé")</f>
        <v>non trouvé</v>
      </c>
      <c r="M763" t="str">
        <f>_xlfn.XLOOKUP(_26_03_2026_Log_Reseau_v15[[#This Row],[province RDC]],_26_03_2026_Client_Churn_v1[Province_Client],_26_03_2026_Client_Churn_v1[Type_Forfait],"non trouvé")</f>
        <v>non trouvé</v>
      </c>
      <c r="N763" t="str">
        <f>_xlfn.XLOOKUP(_26_03_2026_Log_Reseau_v15[[#This Row],[province RDC]],_26_03_2026_Client_Churn_v1[Province_Client],_26_03_2026_Client_Churn_v1[Duree_Cumulee_Panne_Min],"non trouvé")</f>
        <v>non trouvé</v>
      </c>
      <c r="O763" t="str">
        <f>_xlfn.XLOOKUP(_26_03_2026_Log_Reseau_v15[[#This Row],[province RDC]],_26_03_2026_Client_Churn_v1[Province_Client],_26_03_2026_Client_Churn_v1[Facture_Mensuelle],"non trouvé")</f>
        <v>non trouvé</v>
      </c>
      <c r="P763" t="str">
        <f>_xlfn.XLOOKUP(_26_03_2026_Log_Reseau_v15[[#This Row],[province RDC]],_26_03_2026_Client_Churn_v1[Province_Client],_26_03_2026_Client_Churn_v1[Plaintes_Service_Client],"non trouvé")</f>
        <v>non trouvé</v>
      </c>
    </row>
    <row r="764" spans="1:16" hidden="1" x14ac:dyDescent="0.25">
      <c r="A764" s="1">
        <v>45210</v>
      </c>
      <c r="B764" s="2">
        <v>0.9243055555555556</v>
      </c>
      <c r="C764" t="s">
        <v>1280</v>
      </c>
      <c r="D764">
        <v>32</v>
      </c>
      <c r="E764" t="s">
        <v>808</v>
      </c>
      <c r="F764" t="str">
        <f>_xlfn.XLOOKUP(_26_03_2026_Log_Reseau_v15[[#This Row],[Cell_ID]],_26_03_2026_Registre_Maintenance_v1[ID_Antenne],_26_03_2026_Registre_Maintenance_v1[zone],"pas trouvé")</f>
        <v>pas trouvé</v>
      </c>
      <c r="G764" t="str">
        <f>_xlfn.XLOOKUP(_26_03_2026_Log_Reseau_v15[[#This Row],[Cell_ID]],_26_03_2026_Registre_Maintenance_v1[ID_Antenne],_26_03_2026_Registre_Maintenance_v1[Latitude],"non trouvé")</f>
        <v>non trouvé</v>
      </c>
      <c r="H764" t="str">
        <f>_xlfn.XLOOKUP(_26_03_2026_Log_Reseau_v15[[#This Row],[Cell_ID]],_26_03_2026_Registre_Maintenance_v1[ID_Antenne],_26_03_2026_Registre_Maintenance_v1[Longitude],"pas trouvé")</f>
        <v>pas trouvé</v>
      </c>
      <c r="I764" t="str">
        <f>_xlfn.XLOOKUP(_26_03_2026_Log_Reseau_v15[[#This Row],[Cell_ID]],_26_03_2026_Registre_Maintenance_v1[ID_Antenne],_26_03_2026_Registre_Maintenance_v1[Technologie],"non trouvé")</f>
        <v>non trouvé</v>
      </c>
      <c r="J764" t="str">
        <f>_xlfn.XLOOKUP(_26_03_2026_Log_Reseau_v15[[#This Row],[Cell_ID]],_26_03_2026_Registre_Maintenance_v1[ID_Antenne],_26_03_2026_Registre_Maintenance_v1[Equipementier],"pas trouvé")</f>
        <v>pas trouvé</v>
      </c>
      <c r="K764" t="str">
        <f>_xlfn.XLOOKUP(_26_03_2026_Log_Reseau_v15[[#This Row],[province RDC]],_26_03_2026_Client_Churn_v1[Province_Client],_26_03_2026_Client_Churn_v1[ID_Client],"non trouvé")</f>
        <v>non trouvé</v>
      </c>
      <c r="L764" t="str">
        <f>_xlfn.XLOOKUP(_26_03_2026_Log_Reseau_v15[[#This Row],[province RDC]],_26_03_2026_Client_Churn_v1[Province_Client],_26_03_2026_Client_Churn_v1[Anciennete_Mois],"non trouvé")</f>
        <v>non trouvé</v>
      </c>
      <c r="M764" t="str">
        <f>_xlfn.XLOOKUP(_26_03_2026_Log_Reseau_v15[[#This Row],[province RDC]],_26_03_2026_Client_Churn_v1[Province_Client],_26_03_2026_Client_Churn_v1[Type_Forfait],"non trouvé")</f>
        <v>non trouvé</v>
      </c>
      <c r="N764" t="str">
        <f>_xlfn.XLOOKUP(_26_03_2026_Log_Reseau_v15[[#This Row],[province RDC]],_26_03_2026_Client_Churn_v1[Province_Client],_26_03_2026_Client_Churn_v1[Duree_Cumulee_Panne_Min],"non trouvé")</f>
        <v>non trouvé</v>
      </c>
      <c r="O764" t="str">
        <f>_xlfn.XLOOKUP(_26_03_2026_Log_Reseau_v15[[#This Row],[province RDC]],_26_03_2026_Client_Churn_v1[Province_Client],_26_03_2026_Client_Churn_v1[Facture_Mensuelle],"non trouvé")</f>
        <v>non trouvé</v>
      </c>
      <c r="P764" t="str">
        <f>_xlfn.XLOOKUP(_26_03_2026_Log_Reseau_v15[[#This Row],[province RDC]],_26_03_2026_Client_Churn_v1[Province_Client],_26_03_2026_Client_Churn_v1[Plaintes_Service_Client],"non trouvé")</f>
        <v>non trouvé</v>
      </c>
    </row>
    <row r="765" spans="1:16" x14ac:dyDescent="0.25">
      <c r="A765" s="1">
        <v>45223</v>
      </c>
      <c r="B765" s="2">
        <v>0.5541666666666667</v>
      </c>
      <c r="C765" t="s">
        <v>1281</v>
      </c>
      <c r="D765">
        <v>86</v>
      </c>
      <c r="E765" t="s">
        <v>808</v>
      </c>
      <c r="F765" t="str">
        <f>_xlfn.XLOOKUP(_26_03_2026_Log_Reseau_v15[[#This Row],[Cell_ID]],_26_03_2026_Registre_Maintenance_v1[ID_Antenne],_26_03_2026_Registre_Maintenance_v1[zone],"pas trouvé")</f>
        <v>Sud-Ubangi</v>
      </c>
      <c r="G765">
        <f>_xlfn.XLOOKUP(_26_03_2026_Log_Reseau_v15[[#This Row],[Cell_ID]],_26_03_2026_Registre_Maintenance_v1[ID_Antenne],_26_03_2026_Registre_Maintenance_v1[Latitude],"non trouvé")</f>
        <v>-12.050063</v>
      </c>
      <c r="H765">
        <f>_xlfn.XLOOKUP(_26_03_2026_Log_Reseau_v15[[#This Row],[Cell_ID]],_26_03_2026_Registre_Maintenance_v1[ID_Antenne],_26_03_2026_Registre_Maintenance_v1[Longitude],"pas trouvé")</f>
        <v>26.636987999999999</v>
      </c>
      <c r="I765" t="str">
        <f>_xlfn.XLOOKUP(_26_03_2026_Log_Reseau_v15[[#This Row],[Cell_ID]],_26_03_2026_Registre_Maintenance_v1[ID_Antenne],_26_03_2026_Registre_Maintenance_v1[Technologie],"non trouvé")</f>
        <v>3G</v>
      </c>
      <c r="J765" t="str">
        <f>_xlfn.XLOOKUP(_26_03_2026_Log_Reseau_v15[[#This Row],[Cell_ID]],_26_03_2026_Registre_Maintenance_v1[ID_Antenne],_26_03_2026_Registre_Maintenance_v1[Equipementier],"pas trouvé")</f>
        <v>Nokia</v>
      </c>
      <c r="K765" t="str">
        <f>_xlfn.XLOOKUP(_26_03_2026_Log_Reseau_v15[[#This Row],[province RDC]],_26_03_2026_Client_Churn_v1[Province_Client],_26_03_2026_Client_Churn_v1[ID_Client],"non trouvé")</f>
        <v>CLI-00280</v>
      </c>
      <c r="L765">
        <f>_xlfn.XLOOKUP(_26_03_2026_Log_Reseau_v15[[#This Row],[province RDC]],_26_03_2026_Client_Churn_v1[Province_Client],_26_03_2026_Client_Churn_v1[Anciennete_Mois],"non trouvé")</f>
        <v>113</v>
      </c>
      <c r="M765" t="str">
        <f>_xlfn.XLOOKUP(_26_03_2026_Log_Reseau_v15[[#This Row],[province RDC]],_26_03_2026_Client_Churn_v1[Province_Client],_26_03_2026_Client_Churn_v1[Type_Forfait],"non trouvé")</f>
        <v>Illimité 50Go</v>
      </c>
      <c r="N765">
        <f>_xlfn.XLOOKUP(_26_03_2026_Log_Reseau_v15[[#This Row],[province RDC]],_26_03_2026_Client_Churn_v1[Province_Client],_26_03_2026_Client_Churn_v1[Duree_Cumulee_Panne_Min],"non trouvé")</f>
        <v>380</v>
      </c>
      <c r="O765">
        <f>_xlfn.XLOOKUP(_26_03_2026_Log_Reseau_v15[[#This Row],[province RDC]],_26_03_2026_Client_Churn_v1[Province_Client],_26_03_2026_Client_Churn_v1[Facture_Mensuelle],"non trouvé")</f>
        <v>12.11</v>
      </c>
      <c r="P765">
        <f>_xlfn.XLOOKUP(_26_03_2026_Log_Reseau_v15[[#This Row],[province RDC]],_26_03_2026_Client_Churn_v1[Province_Client],_26_03_2026_Client_Churn_v1[Plaintes_Service_Client],"non trouvé")</f>
        <v>0</v>
      </c>
    </row>
    <row r="766" spans="1:16" x14ac:dyDescent="0.25">
      <c r="A766" s="1">
        <v>45227</v>
      </c>
      <c r="B766" s="2">
        <v>0.75138888888888888</v>
      </c>
      <c r="C766" t="s">
        <v>1281</v>
      </c>
      <c r="D766">
        <v>42</v>
      </c>
      <c r="E766" t="s">
        <v>807</v>
      </c>
      <c r="F766" t="str">
        <f>_xlfn.XLOOKUP(_26_03_2026_Log_Reseau_v15[[#This Row],[Cell_ID]],_26_03_2026_Registre_Maintenance_v1[ID_Antenne],_26_03_2026_Registre_Maintenance_v1[zone],"pas trouvé")</f>
        <v>Sud-Ubangi</v>
      </c>
      <c r="G766">
        <f>_xlfn.XLOOKUP(_26_03_2026_Log_Reseau_v15[[#This Row],[Cell_ID]],_26_03_2026_Registre_Maintenance_v1[ID_Antenne],_26_03_2026_Registre_Maintenance_v1[Latitude],"non trouvé")</f>
        <v>-12.050063</v>
      </c>
      <c r="H766">
        <f>_xlfn.XLOOKUP(_26_03_2026_Log_Reseau_v15[[#This Row],[Cell_ID]],_26_03_2026_Registre_Maintenance_v1[ID_Antenne],_26_03_2026_Registre_Maintenance_v1[Longitude],"pas trouvé")</f>
        <v>26.636987999999999</v>
      </c>
      <c r="I766" t="str">
        <f>_xlfn.XLOOKUP(_26_03_2026_Log_Reseau_v15[[#This Row],[Cell_ID]],_26_03_2026_Registre_Maintenance_v1[ID_Antenne],_26_03_2026_Registre_Maintenance_v1[Technologie],"non trouvé")</f>
        <v>3G</v>
      </c>
      <c r="J766" t="str">
        <f>_xlfn.XLOOKUP(_26_03_2026_Log_Reseau_v15[[#This Row],[Cell_ID]],_26_03_2026_Registre_Maintenance_v1[ID_Antenne],_26_03_2026_Registre_Maintenance_v1[Equipementier],"pas trouvé")</f>
        <v>Nokia</v>
      </c>
      <c r="K766" t="str">
        <f>_xlfn.XLOOKUP(_26_03_2026_Log_Reseau_v15[[#This Row],[province RDC]],_26_03_2026_Client_Churn_v1[Province_Client],_26_03_2026_Client_Churn_v1[ID_Client],"non trouvé")</f>
        <v>CLI-00280</v>
      </c>
      <c r="L766">
        <f>_xlfn.XLOOKUP(_26_03_2026_Log_Reseau_v15[[#This Row],[province RDC]],_26_03_2026_Client_Churn_v1[Province_Client],_26_03_2026_Client_Churn_v1[Anciennete_Mois],"non trouvé")</f>
        <v>113</v>
      </c>
      <c r="M766" t="str">
        <f>_xlfn.XLOOKUP(_26_03_2026_Log_Reseau_v15[[#This Row],[province RDC]],_26_03_2026_Client_Churn_v1[Province_Client],_26_03_2026_Client_Churn_v1[Type_Forfait],"non trouvé")</f>
        <v>Illimité 50Go</v>
      </c>
      <c r="N766">
        <f>_xlfn.XLOOKUP(_26_03_2026_Log_Reseau_v15[[#This Row],[province RDC]],_26_03_2026_Client_Churn_v1[Province_Client],_26_03_2026_Client_Churn_v1[Duree_Cumulee_Panne_Min],"non trouvé")</f>
        <v>380</v>
      </c>
      <c r="O766">
        <f>_xlfn.XLOOKUP(_26_03_2026_Log_Reseau_v15[[#This Row],[province RDC]],_26_03_2026_Client_Churn_v1[Province_Client],_26_03_2026_Client_Churn_v1[Facture_Mensuelle],"non trouvé")</f>
        <v>12.11</v>
      </c>
      <c r="P766">
        <f>_xlfn.XLOOKUP(_26_03_2026_Log_Reseau_v15[[#This Row],[province RDC]],_26_03_2026_Client_Churn_v1[Province_Client],_26_03_2026_Client_Churn_v1[Plaintes_Service_Client],"non trouvé")</f>
        <v>0</v>
      </c>
    </row>
    <row r="767" spans="1:16" x14ac:dyDescent="0.25">
      <c r="A767" s="1">
        <v>45214</v>
      </c>
      <c r="B767" s="2">
        <v>0.16041666666666668</v>
      </c>
      <c r="C767" t="s">
        <v>1282</v>
      </c>
      <c r="D767">
        <v>108</v>
      </c>
      <c r="E767" t="s">
        <v>812</v>
      </c>
      <c r="F767" t="str">
        <f>_xlfn.XLOOKUP(_26_03_2026_Log_Reseau_v15[[#This Row],[Cell_ID]],_26_03_2026_Registre_Maintenance_v1[ID_Antenne],_26_03_2026_Registre_Maintenance_v1[zone],"pas trouvé")</f>
        <v>Mongala</v>
      </c>
      <c r="G767">
        <f>_xlfn.XLOOKUP(_26_03_2026_Log_Reseau_v15[[#This Row],[Cell_ID]],_26_03_2026_Registre_Maintenance_v1[ID_Antenne],_26_03_2026_Registre_Maintenance_v1[Latitude],"non trouvé")</f>
        <v>-11.407966</v>
      </c>
      <c r="H767">
        <f>_xlfn.XLOOKUP(_26_03_2026_Log_Reseau_v15[[#This Row],[Cell_ID]],_26_03_2026_Registre_Maintenance_v1[ID_Antenne],_26_03_2026_Registre_Maintenance_v1[Longitude],"pas trouvé")</f>
        <v>28.378274000000001</v>
      </c>
      <c r="I767" t="str">
        <f>_xlfn.XLOOKUP(_26_03_2026_Log_Reseau_v15[[#This Row],[Cell_ID]],_26_03_2026_Registre_Maintenance_v1[ID_Antenne],_26_03_2026_Registre_Maintenance_v1[Technologie],"non trouvé")</f>
        <v>4G</v>
      </c>
      <c r="J767" t="str">
        <f>_xlfn.XLOOKUP(_26_03_2026_Log_Reseau_v15[[#This Row],[Cell_ID]],_26_03_2026_Registre_Maintenance_v1[ID_Antenne],_26_03_2026_Registre_Maintenance_v1[Equipementier],"pas trouvé")</f>
        <v>ZTE</v>
      </c>
      <c r="K767" t="str">
        <f>_xlfn.XLOOKUP(_26_03_2026_Log_Reseau_v15[[#This Row],[province RDC]],_26_03_2026_Client_Churn_v1[Province_Client],_26_03_2026_Client_Churn_v1[ID_Client],"non trouvé")</f>
        <v>CLI-00865</v>
      </c>
      <c r="L767">
        <f>_xlfn.XLOOKUP(_26_03_2026_Log_Reseau_v15[[#This Row],[province RDC]],_26_03_2026_Client_Churn_v1[Province_Client],_26_03_2026_Client_Churn_v1[Anciennete_Mois],"non trouvé")</f>
        <v>34</v>
      </c>
      <c r="M767" t="str">
        <f>_xlfn.XLOOKUP(_26_03_2026_Log_Reseau_v15[[#This Row],[province RDC]],_26_03_2026_Client_Churn_v1[Province_Client],_26_03_2026_Client_Churn_v1[Type_Forfait],"non trouvé")</f>
        <v>Pro Monde</v>
      </c>
      <c r="N767">
        <f>_xlfn.XLOOKUP(_26_03_2026_Log_Reseau_v15[[#This Row],[province RDC]],_26_03_2026_Client_Churn_v1[Province_Client],_26_03_2026_Client_Churn_v1[Duree_Cumulee_Panne_Min],"non trouvé")</f>
        <v>453</v>
      </c>
      <c r="O767">
        <f>_xlfn.XLOOKUP(_26_03_2026_Log_Reseau_v15[[#This Row],[province RDC]],_26_03_2026_Client_Churn_v1[Province_Client],_26_03_2026_Client_Churn_v1[Facture_Mensuelle],"non trouvé")</f>
        <v>56.84</v>
      </c>
      <c r="P767">
        <f>_xlfn.XLOOKUP(_26_03_2026_Log_Reseau_v15[[#This Row],[province RDC]],_26_03_2026_Client_Churn_v1[Province_Client],_26_03_2026_Client_Churn_v1[Plaintes_Service_Client],"non trouvé")</f>
        <v>0</v>
      </c>
    </row>
    <row r="768" spans="1:16" x14ac:dyDescent="0.25">
      <c r="A768" s="1">
        <v>45210</v>
      </c>
      <c r="B768" s="2">
        <v>0.83680555555555558</v>
      </c>
      <c r="C768" t="s">
        <v>1282</v>
      </c>
      <c r="D768">
        <v>118</v>
      </c>
      <c r="E768" t="s">
        <v>807</v>
      </c>
      <c r="F768" t="str">
        <f>_xlfn.XLOOKUP(_26_03_2026_Log_Reseau_v15[[#This Row],[Cell_ID]],_26_03_2026_Registre_Maintenance_v1[ID_Antenne],_26_03_2026_Registre_Maintenance_v1[zone],"pas trouvé")</f>
        <v>Mongala</v>
      </c>
      <c r="G768">
        <f>_xlfn.XLOOKUP(_26_03_2026_Log_Reseau_v15[[#This Row],[Cell_ID]],_26_03_2026_Registre_Maintenance_v1[ID_Antenne],_26_03_2026_Registre_Maintenance_v1[Latitude],"non trouvé")</f>
        <v>-11.407966</v>
      </c>
      <c r="H768">
        <f>_xlfn.XLOOKUP(_26_03_2026_Log_Reseau_v15[[#This Row],[Cell_ID]],_26_03_2026_Registre_Maintenance_v1[ID_Antenne],_26_03_2026_Registre_Maintenance_v1[Longitude],"pas trouvé")</f>
        <v>28.378274000000001</v>
      </c>
      <c r="I768" t="str">
        <f>_xlfn.XLOOKUP(_26_03_2026_Log_Reseau_v15[[#This Row],[Cell_ID]],_26_03_2026_Registre_Maintenance_v1[ID_Antenne],_26_03_2026_Registre_Maintenance_v1[Technologie],"non trouvé")</f>
        <v>4G</v>
      </c>
      <c r="J768" t="str">
        <f>_xlfn.XLOOKUP(_26_03_2026_Log_Reseau_v15[[#This Row],[Cell_ID]],_26_03_2026_Registre_Maintenance_v1[ID_Antenne],_26_03_2026_Registre_Maintenance_v1[Equipementier],"pas trouvé")</f>
        <v>ZTE</v>
      </c>
      <c r="K768" t="str">
        <f>_xlfn.XLOOKUP(_26_03_2026_Log_Reseau_v15[[#This Row],[province RDC]],_26_03_2026_Client_Churn_v1[Province_Client],_26_03_2026_Client_Churn_v1[ID_Client],"non trouvé")</f>
        <v>CLI-00865</v>
      </c>
      <c r="L768">
        <f>_xlfn.XLOOKUP(_26_03_2026_Log_Reseau_v15[[#This Row],[province RDC]],_26_03_2026_Client_Churn_v1[Province_Client],_26_03_2026_Client_Churn_v1[Anciennete_Mois],"non trouvé")</f>
        <v>34</v>
      </c>
      <c r="M768" t="str">
        <f>_xlfn.XLOOKUP(_26_03_2026_Log_Reseau_v15[[#This Row],[province RDC]],_26_03_2026_Client_Churn_v1[Province_Client],_26_03_2026_Client_Churn_v1[Type_Forfait],"non trouvé")</f>
        <v>Pro Monde</v>
      </c>
      <c r="N768">
        <f>_xlfn.XLOOKUP(_26_03_2026_Log_Reseau_v15[[#This Row],[province RDC]],_26_03_2026_Client_Churn_v1[Province_Client],_26_03_2026_Client_Churn_v1[Duree_Cumulee_Panne_Min],"non trouvé")</f>
        <v>453</v>
      </c>
      <c r="O768">
        <f>_xlfn.XLOOKUP(_26_03_2026_Log_Reseau_v15[[#This Row],[province RDC]],_26_03_2026_Client_Churn_v1[Province_Client],_26_03_2026_Client_Churn_v1[Facture_Mensuelle],"non trouvé")</f>
        <v>56.84</v>
      </c>
      <c r="P768">
        <f>_xlfn.XLOOKUP(_26_03_2026_Log_Reseau_v15[[#This Row],[province RDC]],_26_03_2026_Client_Churn_v1[Province_Client],_26_03_2026_Client_Churn_v1[Plaintes_Service_Client],"non trouvé")</f>
        <v>0</v>
      </c>
    </row>
    <row r="769" spans="1:16" x14ac:dyDescent="0.25">
      <c r="A769" s="1">
        <v>45226</v>
      </c>
      <c r="B769" s="2">
        <v>0.79027777777777775</v>
      </c>
      <c r="C769" t="s">
        <v>1283</v>
      </c>
      <c r="D769">
        <v>68</v>
      </c>
      <c r="E769" t="s">
        <v>812</v>
      </c>
      <c r="F769" t="str">
        <f>_xlfn.XLOOKUP(_26_03_2026_Log_Reseau_v15[[#This Row],[Cell_ID]],_26_03_2026_Registre_Maintenance_v1[ID_Antenne],_26_03_2026_Registre_Maintenance_v1[zone],"pas trouvé")</f>
        <v>Equateur</v>
      </c>
      <c r="G769">
        <f>_xlfn.XLOOKUP(_26_03_2026_Log_Reseau_v15[[#This Row],[Cell_ID]],_26_03_2026_Registre_Maintenance_v1[ID_Antenne],_26_03_2026_Registre_Maintenance_v1[Latitude],"non trouvé")</f>
        <v>-0.37665700000000002</v>
      </c>
      <c r="H769">
        <f>_xlfn.XLOOKUP(_26_03_2026_Log_Reseau_v15[[#This Row],[Cell_ID]],_26_03_2026_Registre_Maintenance_v1[ID_Antenne],_26_03_2026_Registre_Maintenance_v1[Longitude],"pas trouvé")</f>
        <v>25.154807999999999</v>
      </c>
      <c r="I769" t="str">
        <f>_xlfn.XLOOKUP(_26_03_2026_Log_Reseau_v15[[#This Row],[Cell_ID]],_26_03_2026_Registre_Maintenance_v1[ID_Antenne],_26_03_2026_Registre_Maintenance_v1[Technologie],"non trouvé")</f>
        <v>3G</v>
      </c>
      <c r="J769" t="str">
        <f>_xlfn.XLOOKUP(_26_03_2026_Log_Reseau_v15[[#This Row],[Cell_ID]],_26_03_2026_Registre_Maintenance_v1[ID_Antenne],_26_03_2026_Registre_Maintenance_v1[Equipementier],"pas trouvé")</f>
        <v>Nokia</v>
      </c>
      <c r="K769" t="str">
        <f>_xlfn.XLOOKUP(_26_03_2026_Log_Reseau_v15[[#This Row],[province RDC]],_26_03_2026_Client_Churn_v1[Province_Client],_26_03_2026_Client_Churn_v1[ID_Client],"non trouvé")</f>
        <v>CLI-00643</v>
      </c>
      <c r="L769">
        <f>_xlfn.XLOOKUP(_26_03_2026_Log_Reseau_v15[[#This Row],[province RDC]],_26_03_2026_Client_Churn_v1[Province_Client],_26_03_2026_Client_Churn_v1[Anciennete_Mois],"non trouvé")</f>
        <v>14</v>
      </c>
      <c r="M769" t="str">
        <f>_xlfn.XLOOKUP(_26_03_2026_Log_Reseau_v15[[#This Row],[province RDC]],_26_03_2026_Client_Churn_v1[Province_Client],_26_03_2026_Client_Churn_v1[Type_Forfait],"non trouvé")</f>
        <v>Pro Monde</v>
      </c>
      <c r="N769">
        <f>_xlfn.XLOOKUP(_26_03_2026_Log_Reseau_v15[[#This Row],[province RDC]],_26_03_2026_Client_Churn_v1[Province_Client],_26_03_2026_Client_Churn_v1[Duree_Cumulee_Panne_Min],"non trouvé")</f>
        <v>316</v>
      </c>
      <c r="O769">
        <f>_xlfn.XLOOKUP(_26_03_2026_Log_Reseau_v15[[#This Row],[province RDC]],_26_03_2026_Client_Churn_v1[Province_Client],_26_03_2026_Client_Churn_v1[Facture_Mensuelle],"non trouvé")</f>
        <v>62.34</v>
      </c>
      <c r="P769">
        <f>_xlfn.XLOOKUP(_26_03_2026_Log_Reseau_v15[[#This Row],[province RDC]],_26_03_2026_Client_Churn_v1[Province_Client],_26_03_2026_Client_Churn_v1[Plaintes_Service_Client],"non trouvé")</f>
        <v>4</v>
      </c>
    </row>
    <row r="770" spans="1:16" x14ac:dyDescent="0.25">
      <c r="A770" s="1">
        <v>45230</v>
      </c>
      <c r="B770" s="2">
        <v>3.9583333333333331E-2</v>
      </c>
      <c r="C770" t="s">
        <v>1284</v>
      </c>
      <c r="D770">
        <v>117</v>
      </c>
      <c r="E770" t="s">
        <v>808</v>
      </c>
      <c r="F770" t="str">
        <f>_xlfn.XLOOKUP(_26_03_2026_Log_Reseau_v15[[#This Row],[Cell_ID]],_26_03_2026_Registre_Maintenance_v1[ID_Antenne],_26_03_2026_Registre_Maintenance_v1[zone],"pas trouvé")</f>
        <v>Kongo-Central</v>
      </c>
      <c r="G770">
        <f>_xlfn.XLOOKUP(_26_03_2026_Log_Reseau_v15[[#This Row],[Cell_ID]],_26_03_2026_Registre_Maintenance_v1[ID_Antenne],_26_03_2026_Registre_Maintenance_v1[Latitude],"non trouvé")</f>
        <v>1.981107</v>
      </c>
      <c r="H770">
        <f>_xlfn.XLOOKUP(_26_03_2026_Log_Reseau_v15[[#This Row],[Cell_ID]],_26_03_2026_Registre_Maintenance_v1[ID_Antenne],_26_03_2026_Registre_Maintenance_v1[Longitude],"pas trouvé")</f>
        <v>23.932569000000001</v>
      </c>
      <c r="I770" t="str">
        <f>_xlfn.XLOOKUP(_26_03_2026_Log_Reseau_v15[[#This Row],[Cell_ID]],_26_03_2026_Registre_Maintenance_v1[ID_Antenne],_26_03_2026_Registre_Maintenance_v1[Technologie],"non trouvé")</f>
        <v>3G</v>
      </c>
      <c r="J770" t="str">
        <f>_xlfn.XLOOKUP(_26_03_2026_Log_Reseau_v15[[#This Row],[Cell_ID]],_26_03_2026_Registre_Maintenance_v1[ID_Antenne],_26_03_2026_Registre_Maintenance_v1[Equipementier],"pas trouvé")</f>
        <v>Nokia</v>
      </c>
      <c r="K770" t="str">
        <f>_xlfn.XLOOKUP(_26_03_2026_Log_Reseau_v15[[#This Row],[province RDC]],_26_03_2026_Client_Churn_v1[Province_Client],_26_03_2026_Client_Churn_v1[ID_Client],"non trouvé")</f>
        <v>CLI-01233</v>
      </c>
      <c r="L770">
        <f>_xlfn.XLOOKUP(_26_03_2026_Log_Reseau_v15[[#This Row],[province RDC]],_26_03_2026_Client_Churn_v1[Province_Client],_26_03_2026_Client_Churn_v1[Anciennete_Mois],"non trouvé")</f>
        <v>101</v>
      </c>
      <c r="M770" t="str">
        <f>_xlfn.XLOOKUP(_26_03_2026_Log_Reseau_v15[[#This Row],[province RDC]],_26_03_2026_Client_Churn_v1[Province_Client],_26_03_2026_Client_Churn_v1[Type_Forfait],"non trouvé")</f>
        <v>Pro Monde</v>
      </c>
      <c r="N770">
        <f>_xlfn.XLOOKUP(_26_03_2026_Log_Reseau_v15[[#This Row],[province RDC]],_26_03_2026_Client_Churn_v1[Province_Client],_26_03_2026_Client_Churn_v1[Duree_Cumulee_Panne_Min],"non trouvé")</f>
        <v>333</v>
      </c>
      <c r="O770">
        <f>_xlfn.XLOOKUP(_26_03_2026_Log_Reseau_v15[[#This Row],[province RDC]],_26_03_2026_Client_Churn_v1[Province_Client],_26_03_2026_Client_Churn_v1[Facture_Mensuelle],"non trouvé")</f>
        <v>74.319999999999993</v>
      </c>
      <c r="P770">
        <f>_xlfn.XLOOKUP(_26_03_2026_Log_Reseau_v15[[#This Row],[province RDC]],_26_03_2026_Client_Churn_v1[Province_Client],_26_03_2026_Client_Churn_v1[Plaintes_Service_Client],"non trouvé")</f>
        <v>1</v>
      </c>
    </row>
    <row r="771" spans="1:16" x14ac:dyDescent="0.25">
      <c r="A771" s="1">
        <v>45202</v>
      </c>
      <c r="B771" s="2">
        <v>0.64513888888888893</v>
      </c>
      <c r="C771" t="s">
        <v>1284</v>
      </c>
      <c r="D771">
        <v>106</v>
      </c>
      <c r="E771" t="s">
        <v>812</v>
      </c>
      <c r="F771" t="str">
        <f>_xlfn.XLOOKUP(_26_03_2026_Log_Reseau_v15[[#This Row],[Cell_ID]],_26_03_2026_Registre_Maintenance_v1[ID_Antenne],_26_03_2026_Registre_Maintenance_v1[zone],"pas trouvé")</f>
        <v>Kongo-Central</v>
      </c>
      <c r="G771">
        <f>_xlfn.XLOOKUP(_26_03_2026_Log_Reseau_v15[[#This Row],[Cell_ID]],_26_03_2026_Registre_Maintenance_v1[ID_Antenne],_26_03_2026_Registre_Maintenance_v1[Latitude],"non trouvé")</f>
        <v>1.981107</v>
      </c>
      <c r="H771">
        <f>_xlfn.XLOOKUP(_26_03_2026_Log_Reseau_v15[[#This Row],[Cell_ID]],_26_03_2026_Registre_Maintenance_v1[ID_Antenne],_26_03_2026_Registre_Maintenance_v1[Longitude],"pas trouvé")</f>
        <v>23.932569000000001</v>
      </c>
      <c r="I771" t="str">
        <f>_xlfn.XLOOKUP(_26_03_2026_Log_Reseau_v15[[#This Row],[Cell_ID]],_26_03_2026_Registre_Maintenance_v1[ID_Antenne],_26_03_2026_Registre_Maintenance_v1[Technologie],"non trouvé")</f>
        <v>3G</v>
      </c>
      <c r="J771" t="str">
        <f>_xlfn.XLOOKUP(_26_03_2026_Log_Reseau_v15[[#This Row],[Cell_ID]],_26_03_2026_Registre_Maintenance_v1[ID_Antenne],_26_03_2026_Registre_Maintenance_v1[Equipementier],"pas trouvé")</f>
        <v>Nokia</v>
      </c>
      <c r="K771" t="str">
        <f>_xlfn.XLOOKUP(_26_03_2026_Log_Reseau_v15[[#This Row],[province RDC]],_26_03_2026_Client_Churn_v1[Province_Client],_26_03_2026_Client_Churn_v1[ID_Client],"non trouvé")</f>
        <v>CLI-01233</v>
      </c>
      <c r="L771">
        <f>_xlfn.XLOOKUP(_26_03_2026_Log_Reseau_v15[[#This Row],[province RDC]],_26_03_2026_Client_Churn_v1[Province_Client],_26_03_2026_Client_Churn_v1[Anciennete_Mois],"non trouvé")</f>
        <v>101</v>
      </c>
      <c r="M771" t="str">
        <f>_xlfn.XLOOKUP(_26_03_2026_Log_Reseau_v15[[#This Row],[province RDC]],_26_03_2026_Client_Churn_v1[Province_Client],_26_03_2026_Client_Churn_v1[Type_Forfait],"non trouvé")</f>
        <v>Pro Monde</v>
      </c>
      <c r="N771">
        <f>_xlfn.XLOOKUP(_26_03_2026_Log_Reseau_v15[[#This Row],[province RDC]],_26_03_2026_Client_Churn_v1[Province_Client],_26_03_2026_Client_Churn_v1[Duree_Cumulee_Panne_Min],"non trouvé")</f>
        <v>333</v>
      </c>
      <c r="O771">
        <f>_xlfn.XLOOKUP(_26_03_2026_Log_Reseau_v15[[#This Row],[province RDC]],_26_03_2026_Client_Churn_v1[Province_Client],_26_03_2026_Client_Churn_v1[Facture_Mensuelle],"non trouvé")</f>
        <v>74.319999999999993</v>
      </c>
      <c r="P771">
        <f>_xlfn.XLOOKUP(_26_03_2026_Log_Reseau_v15[[#This Row],[province RDC]],_26_03_2026_Client_Churn_v1[Province_Client],_26_03_2026_Client_Churn_v1[Plaintes_Service_Client],"non trouvé")</f>
        <v>1</v>
      </c>
    </row>
    <row r="772" spans="1:16" x14ac:dyDescent="0.25">
      <c r="A772" s="1">
        <v>45202</v>
      </c>
      <c r="B772" s="2">
        <v>0.77569444444444446</v>
      </c>
      <c r="C772" t="s">
        <v>1284</v>
      </c>
      <c r="D772">
        <v>72</v>
      </c>
      <c r="E772" t="s">
        <v>807</v>
      </c>
      <c r="F772" t="str">
        <f>_xlfn.XLOOKUP(_26_03_2026_Log_Reseau_v15[[#This Row],[Cell_ID]],_26_03_2026_Registre_Maintenance_v1[ID_Antenne],_26_03_2026_Registre_Maintenance_v1[zone],"pas trouvé")</f>
        <v>Kongo-Central</v>
      </c>
      <c r="G772">
        <f>_xlfn.XLOOKUP(_26_03_2026_Log_Reseau_v15[[#This Row],[Cell_ID]],_26_03_2026_Registre_Maintenance_v1[ID_Antenne],_26_03_2026_Registre_Maintenance_v1[Latitude],"non trouvé")</f>
        <v>1.981107</v>
      </c>
      <c r="H772">
        <f>_xlfn.XLOOKUP(_26_03_2026_Log_Reseau_v15[[#This Row],[Cell_ID]],_26_03_2026_Registre_Maintenance_v1[ID_Antenne],_26_03_2026_Registre_Maintenance_v1[Longitude],"pas trouvé")</f>
        <v>23.932569000000001</v>
      </c>
      <c r="I772" t="str">
        <f>_xlfn.XLOOKUP(_26_03_2026_Log_Reseau_v15[[#This Row],[Cell_ID]],_26_03_2026_Registre_Maintenance_v1[ID_Antenne],_26_03_2026_Registre_Maintenance_v1[Technologie],"non trouvé")</f>
        <v>3G</v>
      </c>
      <c r="J772" t="str">
        <f>_xlfn.XLOOKUP(_26_03_2026_Log_Reseau_v15[[#This Row],[Cell_ID]],_26_03_2026_Registre_Maintenance_v1[ID_Antenne],_26_03_2026_Registre_Maintenance_v1[Equipementier],"pas trouvé")</f>
        <v>Nokia</v>
      </c>
      <c r="K772" t="str">
        <f>_xlfn.XLOOKUP(_26_03_2026_Log_Reseau_v15[[#This Row],[province RDC]],_26_03_2026_Client_Churn_v1[Province_Client],_26_03_2026_Client_Churn_v1[ID_Client],"non trouvé")</f>
        <v>CLI-01233</v>
      </c>
      <c r="L772">
        <f>_xlfn.XLOOKUP(_26_03_2026_Log_Reseau_v15[[#This Row],[province RDC]],_26_03_2026_Client_Churn_v1[Province_Client],_26_03_2026_Client_Churn_v1[Anciennete_Mois],"non trouvé")</f>
        <v>101</v>
      </c>
      <c r="M772" t="str">
        <f>_xlfn.XLOOKUP(_26_03_2026_Log_Reseau_v15[[#This Row],[province RDC]],_26_03_2026_Client_Churn_v1[Province_Client],_26_03_2026_Client_Churn_v1[Type_Forfait],"non trouvé")</f>
        <v>Pro Monde</v>
      </c>
      <c r="N772">
        <f>_xlfn.XLOOKUP(_26_03_2026_Log_Reseau_v15[[#This Row],[province RDC]],_26_03_2026_Client_Churn_v1[Province_Client],_26_03_2026_Client_Churn_v1[Duree_Cumulee_Panne_Min],"non trouvé")</f>
        <v>333</v>
      </c>
      <c r="O772">
        <f>_xlfn.XLOOKUP(_26_03_2026_Log_Reseau_v15[[#This Row],[province RDC]],_26_03_2026_Client_Churn_v1[Province_Client],_26_03_2026_Client_Churn_v1[Facture_Mensuelle],"non trouvé")</f>
        <v>74.319999999999993</v>
      </c>
      <c r="P772">
        <f>_xlfn.XLOOKUP(_26_03_2026_Log_Reseau_v15[[#This Row],[province RDC]],_26_03_2026_Client_Churn_v1[Province_Client],_26_03_2026_Client_Churn_v1[Plaintes_Service_Client],"non trouvé")</f>
        <v>1</v>
      </c>
    </row>
    <row r="773" spans="1:16" x14ac:dyDescent="0.25">
      <c r="A773" s="1">
        <v>45226</v>
      </c>
      <c r="B773" s="2">
        <v>0.62361111111111112</v>
      </c>
      <c r="C773" t="s">
        <v>1285</v>
      </c>
      <c r="D773">
        <v>98</v>
      </c>
      <c r="E773" t="s">
        <v>812</v>
      </c>
      <c r="F773" t="str">
        <f>_xlfn.XLOOKUP(_26_03_2026_Log_Reseau_v15[[#This Row],[Cell_ID]],_26_03_2026_Registre_Maintenance_v1[ID_Antenne],_26_03_2026_Registre_Maintenance_v1[zone],"pas trouvé")</f>
        <v>Nord-Ubangi</v>
      </c>
      <c r="G773">
        <f>_xlfn.XLOOKUP(_26_03_2026_Log_Reseau_v15[[#This Row],[Cell_ID]],_26_03_2026_Registre_Maintenance_v1[ID_Antenne],_26_03_2026_Registre_Maintenance_v1[Latitude],"non trouvé")</f>
        <v>-7.9987219999999999</v>
      </c>
      <c r="H773">
        <f>_xlfn.XLOOKUP(_26_03_2026_Log_Reseau_v15[[#This Row],[Cell_ID]],_26_03_2026_Registre_Maintenance_v1[ID_Antenne],_26_03_2026_Registre_Maintenance_v1[Longitude],"pas trouvé")</f>
        <v>12.779335</v>
      </c>
      <c r="I773" t="str">
        <f>_xlfn.XLOOKUP(_26_03_2026_Log_Reseau_v15[[#This Row],[Cell_ID]],_26_03_2026_Registre_Maintenance_v1[ID_Antenne],_26_03_2026_Registre_Maintenance_v1[Technologie],"non trouvé")</f>
        <v>5G</v>
      </c>
      <c r="J773" t="str">
        <f>_xlfn.XLOOKUP(_26_03_2026_Log_Reseau_v15[[#This Row],[Cell_ID]],_26_03_2026_Registre_Maintenance_v1[ID_Antenne],_26_03_2026_Registre_Maintenance_v1[Equipementier],"pas trouvé")</f>
        <v>Nokia</v>
      </c>
      <c r="K773" t="str">
        <f>_xlfn.XLOOKUP(_26_03_2026_Log_Reseau_v15[[#This Row],[province RDC]],_26_03_2026_Client_Churn_v1[Province_Client],_26_03_2026_Client_Churn_v1[ID_Client],"non trouvé")</f>
        <v>CLI-01170</v>
      </c>
      <c r="L773">
        <f>_xlfn.XLOOKUP(_26_03_2026_Log_Reseau_v15[[#This Row],[province RDC]],_26_03_2026_Client_Churn_v1[Province_Client],_26_03_2026_Client_Churn_v1[Anciennete_Mois],"non trouvé")</f>
        <v>98</v>
      </c>
      <c r="M773" t="str">
        <f>_xlfn.XLOOKUP(_26_03_2026_Log_Reseau_v15[[#This Row],[province RDC]],_26_03_2026_Client_Churn_v1[Province_Client],_26_03_2026_Client_Churn_v1[Type_Forfait],"non trouvé")</f>
        <v>Pro Monde</v>
      </c>
      <c r="N773">
        <f>_xlfn.XLOOKUP(_26_03_2026_Log_Reseau_v15[[#This Row],[province RDC]],_26_03_2026_Client_Churn_v1[Province_Client],_26_03_2026_Client_Churn_v1[Duree_Cumulee_Panne_Min],"non trouvé")</f>
        <v>482</v>
      </c>
      <c r="O773">
        <f>_xlfn.XLOOKUP(_26_03_2026_Log_Reseau_v15[[#This Row],[province RDC]],_26_03_2026_Client_Churn_v1[Province_Client],_26_03_2026_Client_Churn_v1[Facture_Mensuelle],"non trouvé")</f>
        <v>55.04</v>
      </c>
      <c r="P773">
        <f>_xlfn.XLOOKUP(_26_03_2026_Log_Reseau_v15[[#This Row],[province RDC]],_26_03_2026_Client_Churn_v1[Province_Client],_26_03_2026_Client_Churn_v1[Plaintes_Service_Client],"non trouvé")</f>
        <v>5</v>
      </c>
    </row>
    <row r="774" spans="1:16" x14ac:dyDescent="0.25">
      <c r="A774" s="1">
        <v>45225</v>
      </c>
      <c r="B774" s="2">
        <v>0.31736111111111109</v>
      </c>
      <c r="C774" t="s">
        <v>1285</v>
      </c>
      <c r="D774">
        <v>56</v>
      </c>
      <c r="E774" t="s">
        <v>808</v>
      </c>
      <c r="F774" t="str">
        <f>_xlfn.XLOOKUP(_26_03_2026_Log_Reseau_v15[[#This Row],[Cell_ID]],_26_03_2026_Registre_Maintenance_v1[ID_Antenne],_26_03_2026_Registre_Maintenance_v1[zone],"pas trouvé")</f>
        <v>Nord-Ubangi</v>
      </c>
      <c r="G774">
        <f>_xlfn.XLOOKUP(_26_03_2026_Log_Reseau_v15[[#This Row],[Cell_ID]],_26_03_2026_Registre_Maintenance_v1[ID_Antenne],_26_03_2026_Registre_Maintenance_v1[Latitude],"non trouvé")</f>
        <v>-7.9987219999999999</v>
      </c>
      <c r="H774">
        <f>_xlfn.XLOOKUP(_26_03_2026_Log_Reseau_v15[[#This Row],[Cell_ID]],_26_03_2026_Registre_Maintenance_v1[ID_Antenne],_26_03_2026_Registre_Maintenance_v1[Longitude],"pas trouvé")</f>
        <v>12.779335</v>
      </c>
      <c r="I774" t="str">
        <f>_xlfn.XLOOKUP(_26_03_2026_Log_Reseau_v15[[#This Row],[Cell_ID]],_26_03_2026_Registre_Maintenance_v1[ID_Antenne],_26_03_2026_Registre_Maintenance_v1[Technologie],"non trouvé")</f>
        <v>5G</v>
      </c>
      <c r="J774" t="str">
        <f>_xlfn.XLOOKUP(_26_03_2026_Log_Reseau_v15[[#This Row],[Cell_ID]],_26_03_2026_Registre_Maintenance_v1[ID_Antenne],_26_03_2026_Registre_Maintenance_v1[Equipementier],"pas trouvé")</f>
        <v>Nokia</v>
      </c>
      <c r="K774" t="str">
        <f>_xlfn.XLOOKUP(_26_03_2026_Log_Reseau_v15[[#This Row],[province RDC]],_26_03_2026_Client_Churn_v1[Province_Client],_26_03_2026_Client_Churn_v1[ID_Client],"non trouvé")</f>
        <v>CLI-01170</v>
      </c>
      <c r="L774">
        <f>_xlfn.XLOOKUP(_26_03_2026_Log_Reseau_v15[[#This Row],[province RDC]],_26_03_2026_Client_Churn_v1[Province_Client],_26_03_2026_Client_Churn_v1[Anciennete_Mois],"non trouvé")</f>
        <v>98</v>
      </c>
      <c r="M774" t="str">
        <f>_xlfn.XLOOKUP(_26_03_2026_Log_Reseau_v15[[#This Row],[province RDC]],_26_03_2026_Client_Churn_v1[Province_Client],_26_03_2026_Client_Churn_v1[Type_Forfait],"non trouvé")</f>
        <v>Pro Monde</v>
      </c>
      <c r="N774">
        <f>_xlfn.XLOOKUP(_26_03_2026_Log_Reseau_v15[[#This Row],[province RDC]],_26_03_2026_Client_Churn_v1[Province_Client],_26_03_2026_Client_Churn_v1[Duree_Cumulee_Panne_Min],"non trouvé")</f>
        <v>482</v>
      </c>
      <c r="O774">
        <f>_xlfn.XLOOKUP(_26_03_2026_Log_Reseau_v15[[#This Row],[province RDC]],_26_03_2026_Client_Churn_v1[Province_Client],_26_03_2026_Client_Churn_v1[Facture_Mensuelle],"non trouvé")</f>
        <v>55.04</v>
      </c>
      <c r="P774">
        <f>_xlfn.XLOOKUP(_26_03_2026_Log_Reseau_v15[[#This Row],[province RDC]],_26_03_2026_Client_Churn_v1[Province_Client],_26_03_2026_Client_Churn_v1[Plaintes_Service_Client],"non trouvé")</f>
        <v>5</v>
      </c>
    </row>
    <row r="775" spans="1:16" x14ac:dyDescent="0.25">
      <c r="A775" s="1">
        <v>45221</v>
      </c>
      <c r="B775" s="2">
        <v>0.8618055555555556</v>
      </c>
      <c r="C775" t="s">
        <v>1286</v>
      </c>
      <c r="D775">
        <v>65</v>
      </c>
      <c r="E775" t="s">
        <v>807</v>
      </c>
      <c r="F775" t="str">
        <f>_xlfn.XLOOKUP(_26_03_2026_Log_Reseau_v15[[#This Row],[Cell_ID]],_26_03_2026_Registre_Maintenance_v1[ID_Antenne],_26_03_2026_Registre_Maintenance_v1[zone],"pas trouvé")</f>
        <v>Tanganyika</v>
      </c>
      <c r="G775">
        <f>_xlfn.XLOOKUP(_26_03_2026_Log_Reseau_v15[[#This Row],[Cell_ID]],_26_03_2026_Registre_Maintenance_v1[ID_Antenne],_26_03_2026_Registre_Maintenance_v1[Latitude],"non trouvé")</f>
        <v>-3.9148719999999999</v>
      </c>
      <c r="H775">
        <f>_xlfn.XLOOKUP(_26_03_2026_Log_Reseau_v15[[#This Row],[Cell_ID]],_26_03_2026_Registre_Maintenance_v1[ID_Antenne],_26_03_2026_Registre_Maintenance_v1[Longitude],"pas trouvé")</f>
        <v>12.260933</v>
      </c>
      <c r="I775" t="str">
        <f>_xlfn.XLOOKUP(_26_03_2026_Log_Reseau_v15[[#This Row],[Cell_ID]],_26_03_2026_Registre_Maintenance_v1[ID_Antenne],_26_03_2026_Registre_Maintenance_v1[Technologie],"non trouvé")</f>
        <v>4G</v>
      </c>
      <c r="J775" t="str">
        <f>_xlfn.XLOOKUP(_26_03_2026_Log_Reseau_v15[[#This Row],[Cell_ID]],_26_03_2026_Registre_Maintenance_v1[ID_Antenne],_26_03_2026_Registre_Maintenance_v1[Equipementier],"pas trouvé")</f>
        <v>Ericsson</v>
      </c>
      <c r="K775" t="str">
        <f>_xlfn.XLOOKUP(_26_03_2026_Log_Reseau_v15[[#This Row],[province RDC]],_26_03_2026_Client_Churn_v1[Province_Client],_26_03_2026_Client_Churn_v1[ID_Client],"non trouvé")</f>
        <v>CLI-01618</v>
      </c>
      <c r="L775">
        <f>_xlfn.XLOOKUP(_26_03_2026_Log_Reseau_v15[[#This Row],[province RDC]],_26_03_2026_Client_Churn_v1[Province_Client],_26_03_2026_Client_Churn_v1[Anciennete_Mois],"non trouvé")</f>
        <v>115</v>
      </c>
      <c r="M775" t="str">
        <f>_xlfn.XLOOKUP(_26_03_2026_Log_Reseau_v15[[#This Row],[province RDC]],_26_03_2026_Client_Churn_v1[Province_Client],_26_03_2026_Client_Churn_v1[Type_Forfait],"non trouvé")</f>
        <v>Bloqué 5Go</v>
      </c>
      <c r="N775">
        <f>_xlfn.XLOOKUP(_26_03_2026_Log_Reseau_v15[[#This Row],[province RDC]],_26_03_2026_Client_Churn_v1[Province_Client],_26_03_2026_Client_Churn_v1[Duree_Cumulee_Panne_Min],"non trouvé")</f>
        <v>176</v>
      </c>
      <c r="O775">
        <f>_xlfn.XLOOKUP(_26_03_2026_Log_Reseau_v15[[#This Row],[province RDC]],_26_03_2026_Client_Churn_v1[Province_Client],_26_03_2026_Client_Churn_v1[Facture_Mensuelle],"non trouvé")</f>
        <v>33.28</v>
      </c>
      <c r="P775">
        <f>_xlfn.XLOOKUP(_26_03_2026_Log_Reseau_v15[[#This Row],[province RDC]],_26_03_2026_Client_Churn_v1[Province_Client],_26_03_2026_Client_Churn_v1[Plaintes_Service_Client],"non trouvé")</f>
        <v>4</v>
      </c>
    </row>
    <row r="776" spans="1:16" hidden="1" x14ac:dyDescent="0.25">
      <c r="A776" s="1">
        <v>45206</v>
      </c>
      <c r="B776" s="2">
        <v>0.3840277777777778</v>
      </c>
      <c r="C776" t="s">
        <v>1287</v>
      </c>
      <c r="D776">
        <v>109</v>
      </c>
      <c r="E776" t="s">
        <v>812</v>
      </c>
      <c r="F776" t="str">
        <f>_xlfn.XLOOKUP(_26_03_2026_Log_Reseau_v15[[#This Row],[Cell_ID]],_26_03_2026_Registre_Maintenance_v1[ID_Antenne],_26_03_2026_Registre_Maintenance_v1[zone],"pas trouvé")</f>
        <v>pas trouvé</v>
      </c>
      <c r="G776" t="str">
        <f>_xlfn.XLOOKUP(_26_03_2026_Log_Reseau_v15[[#This Row],[Cell_ID]],_26_03_2026_Registre_Maintenance_v1[ID_Antenne],_26_03_2026_Registre_Maintenance_v1[Latitude],"non trouvé")</f>
        <v>non trouvé</v>
      </c>
      <c r="H776" t="str">
        <f>_xlfn.XLOOKUP(_26_03_2026_Log_Reseau_v15[[#This Row],[Cell_ID]],_26_03_2026_Registre_Maintenance_v1[ID_Antenne],_26_03_2026_Registre_Maintenance_v1[Longitude],"pas trouvé")</f>
        <v>pas trouvé</v>
      </c>
      <c r="I776" t="str">
        <f>_xlfn.XLOOKUP(_26_03_2026_Log_Reseau_v15[[#This Row],[Cell_ID]],_26_03_2026_Registre_Maintenance_v1[ID_Antenne],_26_03_2026_Registre_Maintenance_v1[Technologie],"non trouvé")</f>
        <v>non trouvé</v>
      </c>
      <c r="J776" t="str">
        <f>_xlfn.XLOOKUP(_26_03_2026_Log_Reseau_v15[[#This Row],[Cell_ID]],_26_03_2026_Registre_Maintenance_v1[ID_Antenne],_26_03_2026_Registre_Maintenance_v1[Equipementier],"pas trouvé")</f>
        <v>pas trouvé</v>
      </c>
      <c r="K776" t="str">
        <f>_xlfn.XLOOKUP(_26_03_2026_Log_Reseau_v15[[#This Row],[province RDC]],_26_03_2026_Client_Churn_v1[Province_Client],_26_03_2026_Client_Churn_v1[ID_Client],"non trouvé")</f>
        <v>non trouvé</v>
      </c>
      <c r="L776" t="str">
        <f>_xlfn.XLOOKUP(_26_03_2026_Log_Reseau_v15[[#This Row],[province RDC]],_26_03_2026_Client_Churn_v1[Province_Client],_26_03_2026_Client_Churn_v1[Anciennete_Mois],"non trouvé")</f>
        <v>non trouvé</v>
      </c>
      <c r="M776" t="str">
        <f>_xlfn.XLOOKUP(_26_03_2026_Log_Reseau_v15[[#This Row],[province RDC]],_26_03_2026_Client_Churn_v1[Province_Client],_26_03_2026_Client_Churn_v1[Type_Forfait],"non trouvé")</f>
        <v>non trouvé</v>
      </c>
      <c r="N776" t="str">
        <f>_xlfn.XLOOKUP(_26_03_2026_Log_Reseau_v15[[#This Row],[province RDC]],_26_03_2026_Client_Churn_v1[Province_Client],_26_03_2026_Client_Churn_v1[Duree_Cumulee_Panne_Min],"non trouvé")</f>
        <v>non trouvé</v>
      </c>
      <c r="O776" t="str">
        <f>_xlfn.XLOOKUP(_26_03_2026_Log_Reseau_v15[[#This Row],[province RDC]],_26_03_2026_Client_Churn_v1[Province_Client],_26_03_2026_Client_Churn_v1[Facture_Mensuelle],"non trouvé")</f>
        <v>non trouvé</v>
      </c>
      <c r="P776" t="str">
        <f>_xlfn.XLOOKUP(_26_03_2026_Log_Reseau_v15[[#This Row],[province RDC]],_26_03_2026_Client_Churn_v1[Province_Client],_26_03_2026_Client_Churn_v1[Plaintes_Service_Client],"non trouvé")</f>
        <v>non trouvé</v>
      </c>
    </row>
    <row r="777" spans="1:16" hidden="1" x14ac:dyDescent="0.25">
      <c r="A777" s="1">
        <v>45226</v>
      </c>
      <c r="B777" s="2">
        <v>7.2222222222222215E-2</v>
      </c>
      <c r="C777" t="s">
        <v>1288</v>
      </c>
      <c r="D777">
        <v>29</v>
      </c>
      <c r="E777" t="s">
        <v>812</v>
      </c>
      <c r="F777" t="str">
        <f>_xlfn.XLOOKUP(_26_03_2026_Log_Reseau_v15[[#This Row],[Cell_ID]],_26_03_2026_Registre_Maintenance_v1[ID_Antenne],_26_03_2026_Registre_Maintenance_v1[zone],"pas trouvé")</f>
        <v>pas trouvé</v>
      </c>
      <c r="G777" t="str">
        <f>_xlfn.XLOOKUP(_26_03_2026_Log_Reseau_v15[[#This Row],[Cell_ID]],_26_03_2026_Registre_Maintenance_v1[ID_Antenne],_26_03_2026_Registre_Maintenance_v1[Latitude],"non trouvé")</f>
        <v>non trouvé</v>
      </c>
      <c r="H777" t="str">
        <f>_xlfn.XLOOKUP(_26_03_2026_Log_Reseau_v15[[#This Row],[Cell_ID]],_26_03_2026_Registre_Maintenance_v1[ID_Antenne],_26_03_2026_Registre_Maintenance_v1[Longitude],"pas trouvé")</f>
        <v>pas trouvé</v>
      </c>
      <c r="I777" t="str">
        <f>_xlfn.XLOOKUP(_26_03_2026_Log_Reseau_v15[[#This Row],[Cell_ID]],_26_03_2026_Registre_Maintenance_v1[ID_Antenne],_26_03_2026_Registre_Maintenance_v1[Technologie],"non trouvé")</f>
        <v>non trouvé</v>
      </c>
      <c r="J777" t="str">
        <f>_xlfn.XLOOKUP(_26_03_2026_Log_Reseau_v15[[#This Row],[Cell_ID]],_26_03_2026_Registre_Maintenance_v1[ID_Antenne],_26_03_2026_Registre_Maintenance_v1[Equipementier],"pas trouvé")</f>
        <v>pas trouvé</v>
      </c>
      <c r="K777" t="str">
        <f>_xlfn.XLOOKUP(_26_03_2026_Log_Reseau_v15[[#This Row],[province RDC]],_26_03_2026_Client_Churn_v1[Province_Client],_26_03_2026_Client_Churn_v1[ID_Client],"non trouvé")</f>
        <v>non trouvé</v>
      </c>
      <c r="L777" t="str">
        <f>_xlfn.XLOOKUP(_26_03_2026_Log_Reseau_v15[[#This Row],[province RDC]],_26_03_2026_Client_Churn_v1[Province_Client],_26_03_2026_Client_Churn_v1[Anciennete_Mois],"non trouvé")</f>
        <v>non trouvé</v>
      </c>
      <c r="M777" t="str">
        <f>_xlfn.XLOOKUP(_26_03_2026_Log_Reseau_v15[[#This Row],[province RDC]],_26_03_2026_Client_Churn_v1[Province_Client],_26_03_2026_Client_Churn_v1[Type_Forfait],"non trouvé")</f>
        <v>non trouvé</v>
      </c>
      <c r="N777" t="str">
        <f>_xlfn.XLOOKUP(_26_03_2026_Log_Reseau_v15[[#This Row],[province RDC]],_26_03_2026_Client_Churn_v1[Province_Client],_26_03_2026_Client_Churn_v1[Duree_Cumulee_Panne_Min],"non trouvé")</f>
        <v>non trouvé</v>
      </c>
      <c r="O777" t="str">
        <f>_xlfn.XLOOKUP(_26_03_2026_Log_Reseau_v15[[#This Row],[province RDC]],_26_03_2026_Client_Churn_v1[Province_Client],_26_03_2026_Client_Churn_v1[Facture_Mensuelle],"non trouvé")</f>
        <v>non trouvé</v>
      </c>
      <c r="P777" t="str">
        <f>_xlfn.XLOOKUP(_26_03_2026_Log_Reseau_v15[[#This Row],[province RDC]],_26_03_2026_Client_Churn_v1[Province_Client],_26_03_2026_Client_Churn_v1[Plaintes_Service_Client],"non trouvé")</f>
        <v>non trouvé</v>
      </c>
    </row>
    <row r="778" spans="1:16" hidden="1" x14ac:dyDescent="0.25">
      <c r="A778" s="1">
        <v>45204</v>
      </c>
      <c r="B778" s="2">
        <v>9.0972222222222218E-2</v>
      </c>
      <c r="C778" t="s">
        <v>1289</v>
      </c>
      <c r="D778">
        <v>81</v>
      </c>
      <c r="E778" t="s">
        <v>807</v>
      </c>
      <c r="F778" t="str">
        <f>_xlfn.XLOOKUP(_26_03_2026_Log_Reseau_v15[[#This Row],[Cell_ID]],_26_03_2026_Registre_Maintenance_v1[ID_Antenne],_26_03_2026_Registre_Maintenance_v1[zone],"pas trouvé")</f>
        <v>pas trouvé</v>
      </c>
      <c r="G778" t="str">
        <f>_xlfn.XLOOKUP(_26_03_2026_Log_Reseau_v15[[#This Row],[Cell_ID]],_26_03_2026_Registre_Maintenance_v1[ID_Antenne],_26_03_2026_Registre_Maintenance_v1[Latitude],"non trouvé")</f>
        <v>non trouvé</v>
      </c>
      <c r="H778" t="str">
        <f>_xlfn.XLOOKUP(_26_03_2026_Log_Reseau_v15[[#This Row],[Cell_ID]],_26_03_2026_Registre_Maintenance_v1[ID_Antenne],_26_03_2026_Registre_Maintenance_v1[Longitude],"pas trouvé")</f>
        <v>pas trouvé</v>
      </c>
      <c r="I778" t="str">
        <f>_xlfn.XLOOKUP(_26_03_2026_Log_Reseau_v15[[#This Row],[Cell_ID]],_26_03_2026_Registre_Maintenance_v1[ID_Antenne],_26_03_2026_Registre_Maintenance_v1[Technologie],"non trouvé")</f>
        <v>non trouvé</v>
      </c>
      <c r="J778" t="str">
        <f>_xlfn.XLOOKUP(_26_03_2026_Log_Reseau_v15[[#This Row],[Cell_ID]],_26_03_2026_Registre_Maintenance_v1[ID_Antenne],_26_03_2026_Registre_Maintenance_v1[Equipementier],"pas trouvé")</f>
        <v>pas trouvé</v>
      </c>
      <c r="K778" t="str">
        <f>_xlfn.XLOOKUP(_26_03_2026_Log_Reseau_v15[[#This Row],[province RDC]],_26_03_2026_Client_Churn_v1[Province_Client],_26_03_2026_Client_Churn_v1[ID_Client],"non trouvé")</f>
        <v>non trouvé</v>
      </c>
      <c r="L778" t="str">
        <f>_xlfn.XLOOKUP(_26_03_2026_Log_Reseau_v15[[#This Row],[province RDC]],_26_03_2026_Client_Churn_v1[Province_Client],_26_03_2026_Client_Churn_v1[Anciennete_Mois],"non trouvé")</f>
        <v>non trouvé</v>
      </c>
      <c r="M778" t="str">
        <f>_xlfn.XLOOKUP(_26_03_2026_Log_Reseau_v15[[#This Row],[province RDC]],_26_03_2026_Client_Churn_v1[Province_Client],_26_03_2026_Client_Churn_v1[Type_Forfait],"non trouvé")</f>
        <v>non trouvé</v>
      </c>
      <c r="N778" t="str">
        <f>_xlfn.XLOOKUP(_26_03_2026_Log_Reseau_v15[[#This Row],[province RDC]],_26_03_2026_Client_Churn_v1[Province_Client],_26_03_2026_Client_Churn_v1[Duree_Cumulee_Panne_Min],"non trouvé")</f>
        <v>non trouvé</v>
      </c>
      <c r="O778" t="str">
        <f>_xlfn.XLOOKUP(_26_03_2026_Log_Reseau_v15[[#This Row],[province RDC]],_26_03_2026_Client_Churn_v1[Province_Client],_26_03_2026_Client_Churn_v1[Facture_Mensuelle],"non trouvé")</f>
        <v>non trouvé</v>
      </c>
      <c r="P778" t="str">
        <f>_xlfn.XLOOKUP(_26_03_2026_Log_Reseau_v15[[#This Row],[province RDC]],_26_03_2026_Client_Churn_v1[Province_Client],_26_03_2026_Client_Churn_v1[Plaintes_Service_Client],"non trouvé")</f>
        <v>non trouvé</v>
      </c>
    </row>
    <row r="779" spans="1:16" hidden="1" x14ac:dyDescent="0.25">
      <c r="A779" s="1">
        <v>45228</v>
      </c>
      <c r="B779" s="2">
        <v>0.98055555555555551</v>
      </c>
      <c r="C779" t="s">
        <v>1290</v>
      </c>
      <c r="D779">
        <v>37</v>
      </c>
      <c r="E779" t="s">
        <v>808</v>
      </c>
      <c r="F779" t="str">
        <f>_xlfn.XLOOKUP(_26_03_2026_Log_Reseau_v15[[#This Row],[Cell_ID]],_26_03_2026_Registre_Maintenance_v1[ID_Antenne],_26_03_2026_Registre_Maintenance_v1[zone],"pas trouvé")</f>
        <v>pas trouvé</v>
      </c>
      <c r="G779" t="str">
        <f>_xlfn.XLOOKUP(_26_03_2026_Log_Reseau_v15[[#This Row],[Cell_ID]],_26_03_2026_Registre_Maintenance_v1[ID_Antenne],_26_03_2026_Registre_Maintenance_v1[Latitude],"non trouvé")</f>
        <v>non trouvé</v>
      </c>
      <c r="H779" t="str">
        <f>_xlfn.XLOOKUP(_26_03_2026_Log_Reseau_v15[[#This Row],[Cell_ID]],_26_03_2026_Registre_Maintenance_v1[ID_Antenne],_26_03_2026_Registre_Maintenance_v1[Longitude],"pas trouvé")</f>
        <v>pas trouvé</v>
      </c>
      <c r="I779" t="str">
        <f>_xlfn.XLOOKUP(_26_03_2026_Log_Reseau_v15[[#This Row],[Cell_ID]],_26_03_2026_Registre_Maintenance_v1[ID_Antenne],_26_03_2026_Registre_Maintenance_v1[Technologie],"non trouvé")</f>
        <v>non trouvé</v>
      </c>
      <c r="J779" t="str">
        <f>_xlfn.XLOOKUP(_26_03_2026_Log_Reseau_v15[[#This Row],[Cell_ID]],_26_03_2026_Registre_Maintenance_v1[ID_Antenne],_26_03_2026_Registre_Maintenance_v1[Equipementier],"pas trouvé")</f>
        <v>pas trouvé</v>
      </c>
      <c r="K779" t="str">
        <f>_xlfn.XLOOKUP(_26_03_2026_Log_Reseau_v15[[#This Row],[province RDC]],_26_03_2026_Client_Churn_v1[Province_Client],_26_03_2026_Client_Churn_v1[ID_Client],"non trouvé")</f>
        <v>non trouvé</v>
      </c>
      <c r="L779" t="str">
        <f>_xlfn.XLOOKUP(_26_03_2026_Log_Reseau_v15[[#This Row],[province RDC]],_26_03_2026_Client_Churn_v1[Province_Client],_26_03_2026_Client_Churn_v1[Anciennete_Mois],"non trouvé")</f>
        <v>non trouvé</v>
      </c>
      <c r="M779" t="str">
        <f>_xlfn.XLOOKUP(_26_03_2026_Log_Reseau_v15[[#This Row],[province RDC]],_26_03_2026_Client_Churn_v1[Province_Client],_26_03_2026_Client_Churn_v1[Type_Forfait],"non trouvé")</f>
        <v>non trouvé</v>
      </c>
      <c r="N779" t="str">
        <f>_xlfn.XLOOKUP(_26_03_2026_Log_Reseau_v15[[#This Row],[province RDC]],_26_03_2026_Client_Churn_v1[Province_Client],_26_03_2026_Client_Churn_v1[Duree_Cumulee_Panne_Min],"non trouvé")</f>
        <v>non trouvé</v>
      </c>
      <c r="O779" t="str">
        <f>_xlfn.XLOOKUP(_26_03_2026_Log_Reseau_v15[[#This Row],[province RDC]],_26_03_2026_Client_Churn_v1[Province_Client],_26_03_2026_Client_Churn_v1[Facture_Mensuelle],"non trouvé")</f>
        <v>non trouvé</v>
      </c>
      <c r="P779" t="str">
        <f>_xlfn.XLOOKUP(_26_03_2026_Log_Reseau_v15[[#This Row],[province RDC]],_26_03_2026_Client_Churn_v1[Province_Client],_26_03_2026_Client_Churn_v1[Plaintes_Service_Client],"non trouvé")</f>
        <v>non trouvé</v>
      </c>
    </row>
    <row r="780" spans="1:16" hidden="1" x14ac:dyDescent="0.25">
      <c r="A780" s="1">
        <v>45221</v>
      </c>
      <c r="B780" s="2">
        <v>0.14305555555555555</v>
      </c>
      <c r="C780" t="s">
        <v>1290</v>
      </c>
      <c r="D780">
        <v>43</v>
      </c>
      <c r="E780" t="s">
        <v>807</v>
      </c>
      <c r="F780" t="str">
        <f>_xlfn.XLOOKUP(_26_03_2026_Log_Reseau_v15[[#This Row],[Cell_ID]],_26_03_2026_Registre_Maintenance_v1[ID_Antenne],_26_03_2026_Registre_Maintenance_v1[zone],"pas trouvé")</f>
        <v>pas trouvé</v>
      </c>
      <c r="G780" t="str">
        <f>_xlfn.XLOOKUP(_26_03_2026_Log_Reseau_v15[[#This Row],[Cell_ID]],_26_03_2026_Registre_Maintenance_v1[ID_Antenne],_26_03_2026_Registre_Maintenance_v1[Latitude],"non trouvé")</f>
        <v>non trouvé</v>
      </c>
      <c r="H780" t="str">
        <f>_xlfn.XLOOKUP(_26_03_2026_Log_Reseau_v15[[#This Row],[Cell_ID]],_26_03_2026_Registre_Maintenance_v1[ID_Antenne],_26_03_2026_Registre_Maintenance_v1[Longitude],"pas trouvé")</f>
        <v>pas trouvé</v>
      </c>
      <c r="I780" t="str">
        <f>_xlfn.XLOOKUP(_26_03_2026_Log_Reseau_v15[[#This Row],[Cell_ID]],_26_03_2026_Registre_Maintenance_v1[ID_Antenne],_26_03_2026_Registre_Maintenance_v1[Technologie],"non trouvé")</f>
        <v>non trouvé</v>
      </c>
      <c r="J780" t="str">
        <f>_xlfn.XLOOKUP(_26_03_2026_Log_Reseau_v15[[#This Row],[Cell_ID]],_26_03_2026_Registre_Maintenance_v1[ID_Antenne],_26_03_2026_Registre_Maintenance_v1[Equipementier],"pas trouvé")</f>
        <v>pas trouvé</v>
      </c>
      <c r="K780" t="str">
        <f>_xlfn.XLOOKUP(_26_03_2026_Log_Reseau_v15[[#This Row],[province RDC]],_26_03_2026_Client_Churn_v1[Province_Client],_26_03_2026_Client_Churn_v1[ID_Client],"non trouvé")</f>
        <v>non trouvé</v>
      </c>
      <c r="L780" t="str">
        <f>_xlfn.XLOOKUP(_26_03_2026_Log_Reseau_v15[[#This Row],[province RDC]],_26_03_2026_Client_Churn_v1[Province_Client],_26_03_2026_Client_Churn_v1[Anciennete_Mois],"non trouvé")</f>
        <v>non trouvé</v>
      </c>
      <c r="M780" t="str">
        <f>_xlfn.XLOOKUP(_26_03_2026_Log_Reseau_v15[[#This Row],[province RDC]],_26_03_2026_Client_Churn_v1[Province_Client],_26_03_2026_Client_Churn_v1[Type_Forfait],"non trouvé")</f>
        <v>non trouvé</v>
      </c>
      <c r="N780" t="str">
        <f>_xlfn.XLOOKUP(_26_03_2026_Log_Reseau_v15[[#This Row],[province RDC]],_26_03_2026_Client_Churn_v1[Province_Client],_26_03_2026_Client_Churn_v1[Duree_Cumulee_Panne_Min],"non trouvé")</f>
        <v>non trouvé</v>
      </c>
      <c r="O780" t="str">
        <f>_xlfn.XLOOKUP(_26_03_2026_Log_Reseau_v15[[#This Row],[province RDC]],_26_03_2026_Client_Churn_v1[Province_Client],_26_03_2026_Client_Churn_v1[Facture_Mensuelle],"non trouvé")</f>
        <v>non trouvé</v>
      </c>
      <c r="P780" t="str">
        <f>_xlfn.XLOOKUP(_26_03_2026_Log_Reseau_v15[[#This Row],[province RDC]],_26_03_2026_Client_Churn_v1[Province_Client],_26_03_2026_Client_Churn_v1[Plaintes_Service_Client],"non trouvé")</f>
        <v>non trouvé</v>
      </c>
    </row>
    <row r="781" spans="1:16" hidden="1" x14ac:dyDescent="0.25">
      <c r="A781" s="1">
        <v>45230</v>
      </c>
      <c r="B781" s="2">
        <v>0.91180555555555554</v>
      </c>
      <c r="C781" t="s">
        <v>1290</v>
      </c>
      <c r="D781">
        <v>16</v>
      </c>
      <c r="E781" t="s">
        <v>808</v>
      </c>
      <c r="F781" t="str">
        <f>_xlfn.XLOOKUP(_26_03_2026_Log_Reseau_v15[[#This Row],[Cell_ID]],_26_03_2026_Registre_Maintenance_v1[ID_Antenne],_26_03_2026_Registre_Maintenance_v1[zone],"pas trouvé")</f>
        <v>pas trouvé</v>
      </c>
      <c r="G781" t="str">
        <f>_xlfn.XLOOKUP(_26_03_2026_Log_Reseau_v15[[#This Row],[Cell_ID]],_26_03_2026_Registre_Maintenance_v1[ID_Antenne],_26_03_2026_Registre_Maintenance_v1[Latitude],"non trouvé")</f>
        <v>non trouvé</v>
      </c>
      <c r="H781" t="str">
        <f>_xlfn.XLOOKUP(_26_03_2026_Log_Reseau_v15[[#This Row],[Cell_ID]],_26_03_2026_Registre_Maintenance_v1[ID_Antenne],_26_03_2026_Registre_Maintenance_v1[Longitude],"pas trouvé")</f>
        <v>pas trouvé</v>
      </c>
      <c r="I781" t="str">
        <f>_xlfn.XLOOKUP(_26_03_2026_Log_Reseau_v15[[#This Row],[Cell_ID]],_26_03_2026_Registre_Maintenance_v1[ID_Antenne],_26_03_2026_Registre_Maintenance_v1[Technologie],"non trouvé")</f>
        <v>non trouvé</v>
      </c>
      <c r="J781" t="str">
        <f>_xlfn.XLOOKUP(_26_03_2026_Log_Reseau_v15[[#This Row],[Cell_ID]],_26_03_2026_Registre_Maintenance_v1[ID_Antenne],_26_03_2026_Registre_Maintenance_v1[Equipementier],"pas trouvé")</f>
        <v>pas trouvé</v>
      </c>
      <c r="K781" t="str">
        <f>_xlfn.XLOOKUP(_26_03_2026_Log_Reseau_v15[[#This Row],[province RDC]],_26_03_2026_Client_Churn_v1[Province_Client],_26_03_2026_Client_Churn_v1[ID_Client],"non trouvé")</f>
        <v>non trouvé</v>
      </c>
      <c r="L781" t="str">
        <f>_xlfn.XLOOKUP(_26_03_2026_Log_Reseau_v15[[#This Row],[province RDC]],_26_03_2026_Client_Churn_v1[Province_Client],_26_03_2026_Client_Churn_v1[Anciennete_Mois],"non trouvé")</f>
        <v>non trouvé</v>
      </c>
      <c r="M781" t="str">
        <f>_xlfn.XLOOKUP(_26_03_2026_Log_Reseau_v15[[#This Row],[province RDC]],_26_03_2026_Client_Churn_v1[Province_Client],_26_03_2026_Client_Churn_v1[Type_Forfait],"non trouvé")</f>
        <v>non trouvé</v>
      </c>
      <c r="N781" t="str">
        <f>_xlfn.XLOOKUP(_26_03_2026_Log_Reseau_v15[[#This Row],[province RDC]],_26_03_2026_Client_Churn_v1[Province_Client],_26_03_2026_Client_Churn_v1[Duree_Cumulee_Panne_Min],"non trouvé")</f>
        <v>non trouvé</v>
      </c>
      <c r="O781" t="str">
        <f>_xlfn.XLOOKUP(_26_03_2026_Log_Reseau_v15[[#This Row],[province RDC]],_26_03_2026_Client_Churn_v1[Province_Client],_26_03_2026_Client_Churn_v1[Facture_Mensuelle],"non trouvé")</f>
        <v>non trouvé</v>
      </c>
      <c r="P781" t="str">
        <f>_xlfn.XLOOKUP(_26_03_2026_Log_Reseau_v15[[#This Row],[province RDC]],_26_03_2026_Client_Churn_v1[Province_Client],_26_03_2026_Client_Churn_v1[Plaintes_Service_Client],"non trouvé")</f>
        <v>non trouvé</v>
      </c>
    </row>
    <row r="782" spans="1:16" hidden="1" x14ac:dyDescent="0.25">
      <c r="A782" s="1">
        <v>45211</v>
      </c>
      <c r="B782" s="2">
        <v>0.92500000000000004</v>
      </c>
      <c r="C782" t="s">
        <v>1291</v>
      </c>
      <c r="D782">
        <v>40</v>
      </c>
      <c r="E782" t="s">
        <v>812</v>
      </c>
      <c r="F782" t="str">
        <f>_xlfn.XLOOKUP(_26_03_2026_Log_Reseau_v15[[#This Row],[Cell_ID]],_26_03_2026_Registre_Maintenance_v1[ID_Antenne],_26_03_2026_Registre_Maintenance_v1[zone],"pas trouvé")</f>
        <v>pas trouvé</v>
      </c>
      <c r="G782" t="str">
        <f>_xlfn.XLOOKUP(_26_03_2026_Log_Reseau_v15[[#This Row],[Cell_ID]],_26_03_2026_Registre_Maintenance_v1[ID_Antenne],_26_03_2026_Registre_Maintenance_v1[Latitude],"non trouvé")</f>
        <v>non trouvé</v>
      </c>
      <c r="H782" t="str">
        <f>_xlfn.XLOOKUP(_26_03_2026_Log_Reseau_v15[[#This Row],[Cell_ID]],_26_03_2026_Registre_Maintenance_v1[ID_Antenne],_26_03_2026_Registre_Maintenance_v1[Longitude],"pas trouvé")</f>
        <v>pas trouvé</v>
      </c>
      <c r="I782" t="str">
        <f>_xlfn.XLOOKUP(_26_03_2026_Log_Reseau_v15[[#This Row],[Cell_ID]],_26_03_2026_Registre_Maintenance_v1[ID_Antenne],_26_03_2026_Registre_Maintenance_v1[Technologie],"non trouvé")</f>
        <v>non trouvé</v>
      </c>
      <c r="J782" t="str">
        <f>_xlfn.XLOOKUP(_26_03_2026_Log_Reseau_v15[[#This Row],[Cell_ID]],_26_03_2026_Registre_Maintenance_v1[ID_Antenne],_26_03_2026_Registre_Maintenance_v1[Equipementier],"pas trouvé")</f>
        <v>pas trouvé</v>
      </c>
      <c r="K782" t="str">
        <f>_xlfn.XLOOKUP(_26_03_2026_Log_Reseau_v15[[#This Row],[province RDC]],_26_03_2026_Client_Churn_v1[Province_Client],_26_03_2026_Client_Churn_v1[ID_Client],"non trouvé")</f>
        <v>non trouvé</v>
      </c>
      <c r="L782" t="str">
        <f>_xlfn.XLOOKUP(_26_03_2026_Log_Reseau_v15[[#This Row],[province RDC]],_26_03_2026_Client_Churn_v1[Province_Client],_26_03_2026_Client_Churn_v1[Anciennete_Mois],"non trouvé")</f>
        <v>non trouvé</v>
      </c>
      <c r="M782" t="str">
        <f>_xlfn.XLOOKUP(_26_03_2026_Log_Reseau_v15[[#This Row],[province RDC]],_26_03_2026_Client_Churn_v1[Province_Client],_26_03_2026_Client_Churn_v1[Type_Forfait],"non trouvé")</f>
        <v>non trouvé</v>
      </c>
      <c r="N782" t="str">
        <f>_xlfn.XLOOKUP(_26_03_2026_Log_Reseau_v15[[#This Row],[province RDC]],_26_03_2026_Client_Churn_v1[Province_Client],_26_03_2026_Client_Churn_v1[Duree_Cumulee_Panne_Min],"non trouvé")</f>
        <v>non trouvé</v>
      </c>
      <c r="O782" t="str">
        <f>_xlfn.XLOOKUP(_26_03_2026_Log_Reseau_v15[[#This Row],[province RDC]],_26_03_2026_Client_Churn_v1[Province_Client],_26_03_2026_Client_Churn_v1[Facture_Mensuelle],"non trouvé")</f>
        <v>non trouvé</v>
      </c>
      <c r="P782" t="str">
        <f>_xlfn.XLOOKUP(_26_03_2026_Log_Reseau_v15[[#This Row],[province RDC]],_26_03_2026_Client_Churn_v1[Province_Client],_26_03_2026_Client_Churn_v1[Plaintes_Service_Client],"non trouvé")</f>
        <v>non trouvé</v>
      </c>
    </row>
    <row r="783" spans="1:16" hidden="1" x14ac:dyDescent="0.25">
      <c r="A783" s="1">
        <v>45216</v>
      </c>
      <c r="B783" s="2">
        <v>0.45902777777777776</v>
      </c>
      <c r="C783" t="s">
        <v>1291</v>
      </c>
      <c r="D783">
        <v>100</v>
      </c>
      <c r="E783" t="s">
        <v>808</v>
      </c>
      <c r="F783" t="str">
        <f>_xlfn.XLOOKUP(_26_03_2026_Log_Reseau_v15[[#This Row],[Cell_ID]],_26_03_2026_Registre_Maintenance_v1[ID_Antenne],_26_03_2026_Registre_Maintenance_v1[zone],"pas trouvé")</f>
        <v>pas trouvé</v>
      </c>
      <c r="G783" t="str">
        <f>_xlfn.XLOOKUP(_26_03_2026_Log_Reseau_v15[[#This Row],[Cell_ID]],_26_03_2026_Registre_Maintenance_v1[ID_Antenne],_26_03_2026_Registre_Maintenance_v1[Latitude],"non trouvé")</f>
        <v>non trouvé</v>
      </c>
      <c r="H783" t="str">
        <f>_xlfn.XLOOKUP(_26_03_2026_Log_Reseau_v15[[#This Row],[Cell_ID]],_26_03_2026_Registre_Maintenance_v1[ID_Antenne],_26_03_2026_Registre_Maintenance_v1[Longitude],"pas trouvé")</f>
        <v>pas trouvé</v>
      </c>
      <c r="I783" t="str">
        <f>_xlfn.XLOOKUP(_26_03_2026_Log_Reseau_v15[[#This Row],[Cell_ID]],_26_03_2026_Registre_Maintenance_v1[ID_Antenne],_26_03_2026_Registre_Maintenance_v1[Technologie],"non trouvé")</f>
        <v>non trouvé</v>
      </c>
      <c r="J783" t="str">
        <f>_xlfn.XLOOKUP(_26_03_2026_Log_Reseau_v15[[#This Row],[Cell_ID]],_26_03_2026_Registre_Maintenance_v1[ID_Antenne],_26_03_2026_Registre_Maintenance_v1[Equipementier],"pas trouvé")</f>
        <v>pas trouvé</v>
      </c>
      <c r="K783" t="str">
        <f>_xlfn.XLOOKUP(_26_03_2026_Log_Reseau_v15[[#This Row],[province RDC]],_26_03_2026_Client_Churn_v1[Province_Client],_26_03_2026_Client_Churn_v1[ID_Client],"non trouvé")</f>
        <v>non trouvé</v>
      </c>
      <c r="L783" t="str">
        <f>_xlfn.XLOOKUP(_26_03_2026_Log_Reseau_v15[[#This Row],[province RDC]],_26_03_2026_Client_Churn_v1[Province_Client],_26_03_2026_Client_Churn_v1[Anciennete_Mois],"non trouvé")</f>
        <v>non trouvé</v>
      </c>
      <c r="M783" t="str">
        <f>_xlfn.XLOOKUP(_26_03_2026_Log_Reseau_v15[[#This Row],[province RDC]],_26_03_2026_Client_Churn_v1[Province_Client],_26_03_2026_Client_Churn_v1[Type_Forfait],"non trouvé")</f>
        <v>non trouvé</v>
      </c>
      <c r="N783" t="str">
        <f>_xlfn.XLOOKUP(_26_03_2026_Log_Reseau_v15[[#This Row],[province RDC]],_26_03_2026_Client_Churn_v1[Province_Client],_26_03_2026_Client_Churn_v1[Duree_Cumulee_Panne_Min],"non trouvé")</f>
        <v>non trouvé</v>
      </c>
      <c r="O783" t="str">
        <f>_xlfn.XLOOKUP(_26_03_2026_Log_Reseau_v15[[#This Row],[province RDC]],_26_03_2026_Client_Churn_v1[Province_Client],_26_03_2026_Client_Churn_v1[Facture_Mensuelle],"non trouvé")</f>
        <v>non trouvé</v>
      </c>
      <c r="P783" t="str">
        <f>_xlfn.XLOOKUP(_26_03_2026_Log_Reseau_v15[[#This Row],[province RDC]],_26_03_2026_Client_Churn_v1[Province_Client],_26_03_2026_Client_Churn_v1[Plaintes_Service_Client],"non trouvé")</f>
        <v>non trouvé</v>
      </c>
    </row>
    <row r="784" spans="1:16" hidden="1" x14ac:dyDescent="0.25">
      <c r="A784" s="1">
        <v>45205</v>
      </c>
      <c r="B784" s="2">
        <v>0.64027777777777772</v>
      </c>
      <c r="C784" t="s">
        <v>1291</v>
      </c>
      <c r="D784">
        <v>52</v>
      </c>
      <c r="E784" t="s">
        <v>807</v>
      </c>
      <c r="F784" t="str">
        <f>_xlfn.XLOOKUP(_26_03_2026_Log_Reseau_v15[[#This Row],[Cell_ID]],_26_03_2026_Registre_Maintenance_v1[ID_Antenne],_26_03_2026_Registre_Maintenance_v1[zone],"pas trouvé")</f>
        <v>pas trouvé</v>
      </c>
      <c r="G784" t="str">
        <f>_xlfn.XLOOKUP(_26_03_2026_Log_Reseau_v15[[#This Row],[Cell_ID]],_26_03_2026_Registre_Maintenance_v1[ID_Antenne],_26_03_2026_Registre_Maintenance_v1[Latitude],"non trouvé")</f>
        <v>non trouvé</v>
      </c>
      <c r="H784" t="str">
        <f>_xlfn.XLOOKUP(_26_03_2026_Log_Reseau_v15[[#This Row],[Cell_ID]],_26_03_2026_Registre_Maintenance_v1[ID_Antenne],_26_03_2026_Registre_Maintenance_v1[Longitude],"pas trouvé")</f>
        <v>pas trouvé</v>
      </c>
      <c r="I784" t="str">
        <f>_xlfn.XLOOKUP(_26_03_2026_Log_Reseau_v15[[#This Row],[Cell_ID]],_26_03_2026_Registre_Maintenance_v1[ID_Antenne],_26_03_2026_Registre_Maintenance_v1[Technologie],"non trouvé")</f>
        <v>non trouvé</v>
      </c>
      <c r="J784" t="str">
        <f>_xlfn.XLOOKUP(_26_03_2026_Log_Reseau_v15[[#This Row],[Cell_ID]],_26_03_2026_Registre_Maintenance_v1[ID_Antenne],_26_03_2026_Registre_Maintenance_v1[Equipementier],"pas trouvé")</f>
        <v>pas trouvé</v>
      </c>
      <c r="K784" t="str">
        <f>_xlfn.XLOOKUP(_26_03_2026_Log_Reseau_v15[[#This Row],[province RDC]],_26_03_2026_Client_Churn_v1[Province_Client],_26_03_2026_Client_Churn_v1[ID_Client],"non trouvé")</f>
        <v>non trouvé</v>
      </c>
      <c r="L784" t="str">
        <f>_xlfn.XLOOKUP(_26_03_2026_Log_Reseau_v15[[#This Row],[province RDC]],_26_03_2026_Client_Churn_v1[Province_Client],_26_03_2026_Client_Churn_v1[Anciennete_Mois],"non trouvé")</f>
        <v>non trouvé</v>
      </c>
      <c r="M784" t="str">
        <f>_xlfn.XLOOKUP(_26_03_2026_Log_Reseau_v15[[#This Row],[province RDC]],_26_03_2026_Client_Churn_v1[Province_Client],_26_03_2026_Client_Churn_v1[Type_Forfait],"non trouvé")</f>
        <v>non trouvé</v>
      </c>
      <c r="N784" t="str">
        <f>_xlfn.XLOOKUP(_26_03_2026_Log_Reseau_v15[[#This Row],[province RDC]],_26_03_2026_Client_Churn_v1[Province_Client],_26_03_2026_Client_Churn_v1[Duree_Cumulee_Panne_Min],"non trouvé")</f>
        <v>non trouvé</v>
      </c>
      <c r="O784" t="str">
        <f>_xlfn.XLOOKUP(_26_03_2026_Log_Reseau_v15[[#This Row],[province RDC]],_26_03_2026_Client_Churn_v1[Province_Client],_26_03_2026_Client_Churn_v1[Facture_Mensuelle],"non trouvé")</f>
        <v>non trouvé</v>
      </c>
      <c r="P784" t="str">
        <f>_xlfn.XLOOKUP(_26_03_2026_Log_Reseau_v15[[#This Row],[province RDC]],_26_03_2026_Client_Churn_v1[Province_Client],_26_03_2026_Client_Churn_v1[Plaintes_Service_Client],"non trouvé")</f>
        <v>non trouvé</v>
      </c>
    </row>
    <row r="785" spans="1:16" hidden="1" x14ac:dyDescent="0.25">
      <c r="A785" s="1">
        <v>45215</v>
      </c>
      <c r="B785" s="2">
        <v>0.87986111111111109</v>
      </c>
      <c r="C785" t="s">
        <v>1291</v>
      </c>
      <c r="D785">
        <v>16</v>
      </c>
      <c r="E785" t="s">
        <v>808</v>
      </c>
      <c r="F785" t="str">
        <f>_xlfn.XLOOKUP(_26_03_2026_Log_Reseau_v15[[#This Row],[Cell_ID]],_26_03_2026_Registre_Maintenance_v1[ID_Antenne],_26_03_2026_Registre_Maintenance_v1[zone],"pas trouvé")</f>
        <v>pas trouvé</v>
      </c>
      <c r="G785" t="str">
        <f>_xlfn.XLOOKUP(_26_03_2026_Log_Reseau_v15[[#This Row],[Cell_ID]],_26_03_2026_Registre_Maintenance_v1[ID_Antenne],_26_03_2026_Registre_Maintenance_v1[Latitude],"non trouvé")</f>
        <v>non trouvé</v>
      </c>
      <c r="H785" t="str">
        <f>_xlfn.XLOOKUP(_26_03_2026_Log_Reseau_v15[[#This Row],[Cell_ID]],_26_03_2026_Registre_Maintenance_v1[ID_Antenne],_26_03_2026_Registre_Maintenance_v1[Longitude],"pas trouvé")</f>
        <v>pas trouvé</v>
      </c>
      <c r="I785" t="str">
        <f>_xlfn.XLOOKUP(_26_03_2026_Log_Reseau_v15[[#This Row],[Cell_ID]],_26_03_2026_Registre_Maintenance_v1[ID_Antenne],_26_03_2026_Registre_Maintenance_v1[Technologie],"non trouvé")</f>
        <v>non trouvé</v>
      </c>
      <c r="J785" t="str">
        <f>_xlfn.XLOOKUP(_26_03_2026_Log_Reseau_v15[[#This Row],[Cell_ID]],_26_03_2026_Registre_Maintenance_v1[ID_Antenne],_26_03_2026_Registre_Maintenance_v1[Equipementier],"pas trouvé")</f>
        <v>pas trouvé</v>
      </c>
      <c r="K785" t="str">
        <f>_xlfn.XLOOKUP(_26_03_2026_Log_Reseau_v15[[#This Row],[province RDC]],_26_03_2026_Client_Churn_v1[Province_Client],_26_03_2026_Client_Churn_v1[ID_Client],"non trouvé")</f>
        <v>non trouvé</v>
      </c>
      <c r="L785" t="str">
        <f>_xlfn.XLOOKUP(_26_03_2026_Log_Reseau_v15[[#This Row],[province RDC]],_26_03_2026_Client_Churn_v1[Province_Client],_26_03_2026_Client_Churn_v1[Anciennete_Mois],"non trouvé")</f>
        <v>non trouvé</v>
      </c>
      <c r="M785" t="str">
        <f>_xlfn.XLOOKUP(_26_03_2026_Log_Reseau_v15[[#This Row],[province RDC]],_26_03_2026_Client_Churn_v1[Province_Client],_26_03_2026_Client_Churn_v1[Type_Forfait],"non trouvé")</f>
        <v>non trouvé</v>
      </c>
      <c r="N785" t="str">
        <f>_xlfn.XLOOKUP(_26_03_2026_Log_Reseau_v15[[#This Row],[province RDC]],_26_03_2026_Client_Churn_v1[Province_Client],_26_03_2026_Client_Churn_v1[Duree_Cumulee_Panne_Min],"non trouvé")</f>
        <v>non trouvé</v>
      </c>
      <c r="O785" t="str">
        <f>_xlfn.XLOOKUP(_26_03_2026_Log_Reseau_v15[[#This Row],[province RDC]],_26_03_2026_Client_Churn_v1[Province_Client],_26_03_2026_Client_Churn_v1[Facture_Mensuelle],"non trouvé")</f>
        <v>non trouvé</v>
      </c>
      <c r="P785" t="str">
        <f>_xlfn.XLOOKUP(_26_03_2026_Log_Reseau_v15[[#This Row],[province RDC]],_26_03_2026_Client_Churn_v1[Province_Client],_26_03_2026_Client_Churn_v1[Plaintes_Service_Client],"non trouvé")</f>
        <v>non trouvé</v>
      </c>
    </row>
    <row r="786" spans="1:16" hidden="1" x14ac:dyDescent="0.25">
      <c r="A786" s="1">
        <v>45221</v>
      </c>
      <c r="B786" s="2">
        <v>0.98888888888888893</v>
      </c>
      <c r="C786" t="s">
        <v>1292</v>
      </c>
      <c r="D786">
        <v>72</v>
      </c>
      <c r="E786" t="s">
        <v>808</v>
      </c>
      <c r="F786" t="str">
        <f>_xlfn.XLOOKUP(_26_03_2026_Log_Reseau_v15[[#This Row],[Cell_ID]],_26_03_2026_Registre_Maintenance_v1[ID_Antenne],_26_03_2026_Registre_Maintenance_v1[zone],"pas trouvé")</f>
        <v>pas trouvé</v>
      </c>
      <c r="G786" t="str">
        <f>_xlfn.XLOOKUP(_26_03_2026_Log_Reseau_v15[[#This Row],[Cell_ID]],_26_03_2026_Registre_Maintenance_v1[ID_Antenne],_26_03_2026_Registre_Maintenance_v1[Latitude],"non trouvé")</f>
        <v>non trouvé</v>
      </c>
      <c r="H786" t="str">
        <f>_xlfn.XLOOKUP(_26_03_2026_Log_Reseau_v15[[#This Row],[Cell_ID]],_26_03_2026_Registre_Maintenance_v1[ID_Antenne],_26_03_2026_Registre_Maintenance_v1[Longitude],"pas trouvé")</f>
        <v>pas trouvé</v>
      </c>
      <c r="I786" t="str">
        <f>_xlfn.XLOOKUP(_26_03_2026_Log_Reseau_v15[[#This Row],[Cell_ID]],_26_03_2026_Registre_Maintenance_v1[ID_Antenne],_26_03_2026_Registre_Maintenance_v1[Technologie],"non trouvé")</f>
        <v>non trouvé</v>
      </c>
      <c r="J786" t="str">
        <f>_xlfn.XLOOKUP(_26_03_2026_Log_Reseau_v15[[#This Row],[Cell_ID]],_26_03_2026_Registre_Maintenance_v1[ID_Antenne],_26_03_2026_Registre_Maintenance_v1[Equipementier],"pas trouvé")</f>
        <v>pas trouvé</v>
      </c>
      <c r="K786" t="str">
        <f>_xlfn.XLOOKUP(_26_03_2026_Log_Reseau_v15[[#This Row],[province RDC]],_26_03_2026_Client_Churn_v1[Province_Client],_26_03_2026_Client_Churn_v1[ID_Client],"non trouvé")</f>
        <v>non trouvé</v>
      </c>
      <c r="L786" t="str">
        <f>_xlfn.XLOOKUP(_26_03_2026_Log_Reseau_v15[[#This Row],[province RDC]],_26_03_2026_Client_Churn_v1[Province_Client],_26_03_2026_Client_Churn_v1[Anciennete_Mois],"non trouvé")</f>
        <v>non trouvé</v>
      </c>
      <c r="M786" t="str">
        <f>_xlfn.XLOOKUP(_26_03_2026_Log_Reseau_v15[[#This Row],[province RDC]],_26_03_2026_Client_Churn_v1[Province_Client],_26_03_2026_Client_Churn_v1[Type_Forfait],"non trouvé")</f>
        <v>non trouvé</v>
      </c>
      <c r="N786" t="str">
        <f>_xlfn.XLOOKUP(_26_03_2026_Log_Reseau_v15[[#This Row],[province RDC]],_26_03_2026_Client_Churn_v1[Province_Client],_26_03_2026_Client_Churn_v1[Duree_Cumulee_Panne_Min],"non trouvé")</f>
        <v>non trouvé</v>
      </c>
      <c r="O786" t="str">
        <f>_xlfn.XLOOKUP(_26_03_2026_Log_Reseau_v15[[#This Row],[province RDC]],_26_03_2026_Client_Churn_v1[Province_Client],_26_03_2026_Client_Churn_v1[Facture_Mensuelle],"non trouvé")</f>
        <v>non trouvé</v>
      </c>
      <c r="P786" t="str">
        <f>_xlfn.XLOOKUP(_26_03_2026_Log_Reseau_v15[[#This Row],[province RDC]],_26_03_2026_Client_Churn_v1[Province_Client],_26_03_2026_Client_Churn_v1[Plaintes_Service_Client],"non trouvé")</f>
        <v>non trouvé</v>
      </c>
    </row>
    <row r="787" spans="1:16" hidden="1" x14ac:dyDescent="0.25">
      <c r="A787" s="1">
        <v>45201</v>
      </c>
      <c r="B787" s="2">
        <v>0.42708333333333331</v>
      </c>
      <c r="C787" t="s">
        <v>1292</v>
      </c>
      <c r="D787">
        <v>98</v>
      </c>
      <c r="E787" t="s">
        <v>808</v>
      </c>
      <c r="F787" t="str">
        <f>_xlfn.XLOOKUP(_26_03_2026_Log_Reseau_v15[[#This Row],[Cell_ID]],_26_03_2026_Registre_Maintenance_v1[ID_Antenne],_26_03_2026_Registre_Maintenance_v1[zone],"pas trouvé")</f>
        <v>pas trouvé</v>
      </c>
      <c r="G787" t="str">
        <f>_xlfn.XLOOKUP(_26_03_2026_Log_Reseau_v15[[#This Row],[Cell_ID]],_26_03_2026_Registre_Maintenance_v1[ID_Antenne],_26_03_2026_Registre_Maintenance_v1[Latitude],"non trouvé")</f>
        <v>non trouvé</v>
      </c>
      <c r="H787" t="str">
        <f>_xlfn.XLOOKUP(_26_03_2026_Log_Reseau_v15[[#This Row],[Cell_ID]],_26_03_2026_Registre_Maintenance_v1[ID_Antenne],_26_03_2026_Registre_Maintenance_v1[Longitude],"pas trouvé")</f>
        <v>pas trouvé</v>
      </c>
      <c r="I787" t="str">
        <f>_xlfn.XLOOKUP(_26_03_2026_Log_Reseau_v15[[#This Row],[Cell_ID]],_26_03_2026_Registre_Maintenance_v1[ID_Antenne],_26_03_2026_Registre_Maintenance_v1[Technologie],"non trouvé")</f>
        <v>non trouvé</v>
      </c>
      <c r="J787" t="str">
        <f>_xlfn.XLOOKUP(_26_03_2026_Log_Reseau_v15[[#This Row],[Cell_ID]],_26_03_2026_Registre_Maintenance_v1[ID_Antenne],_26_03_2026_Registre_Maintenance_v1[Equipementier],"pas trouvé")</f>
        <v>pas trouvé</v>
      </c>
      <c r="K787" t="str">
        <f>_xlfn.XLOOKUP(_26_03_2026_Log_Reseau_v15[[#This Row],[province RDC]],_26_03_2026_Client_Churn_v1[Province_Client],_26_03_2026_Client_Churn_v1[ID_Client],"non trouvé")</f>
        <v>non trouvé</v>
      </c>
      <c r="L787" t="str">
        <f>_xlfn.XLOOKUP(_26_03_2026_Log_Reseau_v15[[#This Row],[province RDC]],_26_03_2026_Client_Churn_v1[Province_Client],_26_03_2026_Client_Churn_v1[Anciennete_Mois],"non trouvé")</f>
        <v>non trouvé</v>
      </c>
      <c r="M787" t="str">
        <f>_xlfn.XLOOKUP(_26_03_2026_Log_Reseau_v15[[#This Row],[province RDC]],_26_03_2026_Client_Churn_v1[Province_Client],_26_03_2026_Client_Churn_v1[Type_Forfait],"non trouvé")</f>
        <v>non trouvé</v>
      </c>
      <c r="N787" t="str">
        <f>_xlfn.XLOOKUP(_26_03_2026_Log_Reseau_v15[[#This Row],[province RDC]],_26_03_2026_Client_Churn_v1[Province_Client],_26_03_2026_Client_Churn_v1[Duree_Cumulee_Panne_Min],"non trouvé")</f>
        <v>non trouvé</v>
      </c>
      <c r="O787" t="str">
        <f>_xlfn.XLOOKUP(_26_03_2026_Log_Reseau_v15[[#This Row],[province RDC]],_26_03_2026_Client_Churn_v1[Province_Client],_26_03_2026_Client_Churn_v1[Facture_Mensuelle],"non trouvé")</f>
        <v>non trouvé</v>
      </c>
      <c r="P787" t="str">
        <f>_xlfn.XLOOKUP(_26_03_2026_Log_Reseau_v15[[#This Row],[province RDC]],_26_03_2026_Client_Churn_v1[Province_Client],_26_03_2026_Client_Churn_v1[Plaintes_Service_Client],"non trouvé")</f>
        <v>non trouvé</v>
      </c>
    </row>
    <row r="788" spans="1:16" x14ac:dyDescent="0.25">
      <c r="A788" s="1">
        <v>45201</v>
      </c>
      <c r="B788" s="2">
        <v>0.3125</v>
      </c>
      <c r="C788" t="s">
        <v>1293</v>
      </c>
      <c r="D788">
        <v>90</v>
      </c>
      <c r="E788" t="s">
        <v>808</v>
      </c>
      <c r="F788" t="str">
        <f>_xlfn.XLOOKUP(_26_03_2026_Log_Reseau_v15[[#This Row],[Cell_ID]],_26_03_2026_Registre_Maintenance_v1[ID_Antenne],_26_03_2026_Registre_Maintenance_v1[zone],"pas trouvé")</f>
        <v>Kasai-Oriental</v>
      </c>
      <c r="G788">
        <f>_xlfn.XLOOKUP(_26_03_2026_Log_Reseau_v15[[#This Row],[Cell_ID]],_26_03_2026_Registre_Maintenance_v1[ID_Antenne],_26_03_2026_Registre_Maintenance_v1[Latitude],"non trouvé")</f>
        <v>-12.333232000000001</v>
      </c>
      <c r="H788">
        <f>_xlfn.XLOOKUP(_26_03_2026_Log_Reseau_v15[[#This Row],[Cell_ID]],_26_03_2026_Registre_Maintenance_v1[ID_Antenne],_26_03_2026_Registre_Maintenance_v1[Longitude],"pas trouvé")</f>
        <v>25.229620000000001</v>
      </c>
      <c r="I788" t="str">
        <f>_xlfn.XLOOKUP(_26_03_2026_Log_Reseau_v15[[#This Row],[Cell_ID]],_26_03_2026_Registre_Maintenance_v1[ID_Antenne],_26_03_2026_Registre_Maintenance_v1[Technologie],"non trouvé")</f>
        <v>5G</v>
      </c>
      <c r="J788" t="str">
        <f>_xlfn.XLOOKUP(_26_03_2026_Log_Reseau_v15[[#This Row],[Cell_ID]],_26_03_2026_Registre_Maintenance_v1[ID_Antenne],_26_03_2026_Registre_Maintenance_v1[Equipementier],"pas trouvé")</f>
        <v>Nokia</v>
      </c>
      <c r="K788" t="str">
        <f>_xlfn.XLOOKUP(_26_03_2026_Log_Reseau_v15[[#This Row],[province RDC]],_26_03_2026_Client_Churn_v1[Province_Client],_26_03_2026_Client_Churn_v1[ID_Client],"non trouvé")</f>
        <v>CLI-01837</v>
      </c>
      <c r="L788">
        <f>_xlfn.XLOOKUP(_26_03_2026_Log_Reseau_v15[[#This Row],[province RDC]],_26_03_2026_Client_Churn_v1[Province_Client],_26_03_2026_Client_Churn_v1[Anciennete_Mois],"non trouvé")</f>
        <v>97</v>
      </c>
      <c r="M788" t="str">
        <f>_xlfn.XLOOKUP(_26_03_2026_Log_Reseau_v15[[#This Row],[province RDC]],_26_03_2026_Client_Churn_v1[Province_Client],_26_03_2026_Client_Churn_v1[Type_Forfait],"non trouvé")</f>
        <v>Pro Monde</v>
      </c>
      <c r="N788">
        <f>_xlfn.XLOOKUP(_26_03_2026_Log_Reseau_v15[[#This Row],[province RDC]],_26_03_2026_Client_Churn_v1[Province_Client],_26_03_2026_Client_Churn_v1[Duree_Cumulee_Panne_Min],"non trouvé")</f>
        <v>319</v>
      </c>
      <c r="O788">
        <f>_xlfn.XLOOKUP(_26_03_2026_Log_Reseau_v15[[#This Row],[province RDC]],_26_03_2026_Client_Churn_v1[Province_Client],_26_03_2026_Client_Churn_v1[Facture_Mensuelle],"non trouvé")</f>
        <v>31.25</v>
      </c>
      <c r="P788">
        <f>_xlfn.XLOOKUP(_26_03_2026_Log_Reseau_v15[[#This Row],[province RDC]],_26_03_2026_Client_Churn_v1[Province_Client],_26_03_2026_Client_Churn_v1[Plaintes_Service_Client],"non trouvé")</f>
        <v>1</v>
      </c>
    </row>
    <row r="789" spans="1:16" hidden="1" x14ac:dyDescent="0.25">
      <c r="A789" s="1">
        <v>45203</v>
      </c>
      <c r="B789" s="2">
        <v>0.42569444444444443</v>
      </c>
      <c r="C789" t="s">
        <v>1294</v>
      </c>
      <c r="D789">
        <v>62</v>
      </c>
      <c r="E789" t="s">
        <v>807</v>
      </c>
      <c r="F789" t="str">
        <f>_xlfn.XLOOKUP(_26_03_2026_Log_Reseau_v15[[#This Row],[Cell_ID]],_26_03_2026_Registre_Maintenance_v1[ID_Antenne],_26_03_2026_Registre_Maintenance_v1[zone],"pas trouvé")</f>
        <v>pas trouvé</v>
      </c>
      <c r="G789" t="str">
        <f>_xlfn.XLOOKUP(_26_03_2026_Log_Reseau_v15[[#This Row],[Cell_ID]],_26_03_2026_Registre_Maintenance_v1[ID_Antenne],_26_03_2026_Registre_Maintenance_v1[Latitude],"non trouvé")</f>
        <v>non trouvé</v>
      </c>
      <c r="H789" t="str">
        <f>_xlfn.XLOOKUP(_26_03_2026_Log_Reseau_v15[[#This Row],[Cell_ID]],_26_03_2026_Registre_Maintenance_v1[ID_Antenne],_26_03_2026_Registre_Maintenance_v1[Longitude],"pas trouvé")</f>
        <v>pas trouvé</v>
      </c>
      <c r="I789" t="str">
        <f>_xlfn.XLOOKUP(_26_03_2026_Log_Reseau_v15[[#This Row],[Cell_ID]],_26_03_2026_Registre_Maintenance_v1[ID_Antenne],_26_03_2026_Registre_Maintenance_v1[Technologie],"non trouvé")</f>
        <v>non trouvé</v>
      </c>
      <c r="J789" t="str">
        <f>_xlfn.XLOOKUP(_26_03_2026_Log_Reseau_v15[[#This Row],[Cell_ID]],_26_03_2026_Registre_Maintenance_v1[ID_Antenne],_26_03_2026_Registre_Maintenance_v1[Equipementier],"pas trouvé")</f>
        <v>pas trouvé</v>
      </c>
      <c r="K789" t="str">
        <f>_xlfn.XLOOKUP(_26_03_2026_Log_Reseau_v15[[#This Row],[province RDC]],_26_03_2026_Client_Churn_v1[Province_Client],_26_03_2026_Client_Churn_v1[ID_Client],"non trouvé")</f>
        <v>non trouvé</v>
      </c>
      <c r="L789" t="str">
        <f>_xlfn.XLOOKUP(_26_03_2026_Log_Reseau_v15[[#This Row],[province RDC]],_26_03_2026_Client_Churn_v1[Province_Client],_26_03_2026_Client_Churn_v1[Anciennete_Mois],"non trouvé")</f>
        <v>non trouvé</v>
      </c>
      <c r="M789" t="str">
        <f>_xlfn.XLOOKUP(_26_03_2026_Log_Reseau_v15[[#This Row],[province RDC]],_26_03_2026_Client_Churn_v1[Province_Client],_26_03_2026_Client_Churn_v1[Type_Forfait],"non trouvé")</f>
        <v>non trouvé</v>
      </c>
      <c r="N789" t="str">
        <f>_xlfn.XLOOKUP(_26_03_2026_Log_Reseau_v15[[#This Row],[province RDC]],_26_03_2026_Client_Churn_v1[Province_Client],_26_03_2026_Client_Churn_v1[Duree_Cumulee_Panne_Min],"non trouvé")</f>
        <v>non trouvé</v>
      </c>
      <c r="O789" t="str">
        <f>_xlfn.XLOOKUP(_26_03_2026_Log_Reseau_v15[[#This Row],[province RDC]],_26_03_2026_Client_Churn_v1[Province_Client],_26_03_2026_Client_Churn_v1[Facture_Mensuelle],"non trouvé")</f>
        <v>non trouvé</v>
      </c>
      <c r="P789" t="str">
        <f>_xlfn.XLOOKUP(_26_03_2026_Log_Reseau_v15[[#This Row],[province RDC]],_26_03_2026_Client_Churn_v1[Province_Client],_26_03_2026_Client_Churn_v1[Plaintes_Service_Client],"non trouvé")</f>
        <v>non trouvé</v>
      </c>
    </row>
    <row r="790" spans="1:16" x14ac:dyDescent="0.25">
      <c r="A790" s="1">
        <v>45215</v>
      </c>
      <c r="B790" s="2">
        <v>1.5972222222222221E-2</v>
      </c>
      <c r="C790" t="s">
        <v>1295</v>
      </c>
      <c r="D790">
        <v>74</v>
      </c>
      <c r="E790" t="s">
        <v>807</v>
      </c>
      <c r="F790" t="str">
        <f>_xlfn.XLOOKUP(_26_03_2026_Log_Reseau_v15[[#This Row],[Cell_ID]],_26_03_2026_Registre_Maintenance_v1[ID_Antenne],_26_03_2026_Registre_Maintenance_v1[zone],"pas trouvé")</f>
        <v>Kasai-Central</v>
      </c>
      <c r="G790">
        <f>_xlfn.XLOOKUP(_26_03_2026_Log_Reseau_v15[[#This Row],[Cell_ID]],_26_03_2026_Registre_Maintenance_v1[ID_Antenne],_26_03_2026_Registre_Maintenance_v1[Latitude],"non trouvé")</f>
        <v>-5.8352820000000003</v>
      </c>
      <c r="H790">
        <f>_xlfn.XLOOKUP(_26_03_2026_Log_Reseau_v15[[#This Row],[Cell_ID]],_26_03_2026_Registre_Maintenance_v1[ID_Antenne],_26_03_2026_Registre_Maintenance_v1[Longitude],"pas trouvé")</f>
        <v>26.603978000000001</v>
      </c>
      <c r="I790" t="str">
        <f>_xlfn.XLOOKUP(_26_03_2026_Log_Reseau_v15[[#This Row],[Cell_ID]],_26_03_2026_Registre_Maintenance_v1[ID_Antenne],_26_03_2026_Registre_Maintenance_v1[Technologie],"non trouvé")</f>
        <v>4G</v>
      </c>
      <c r="J790" t="str">
        <f>_xlfn.XLOOKUP(_26_03_2026_Log_Reseau_v15[[#This Row],[Cell_ID]],_26_03_2026_Registre_Maintenance_v1[ID_Antenne],_26_03_2026_Registre_Maintenance_v1[Equipementier],"pas trouvé")</f>
        <v>Huawei</v>
      </c>
      <c r="K790" t="str">
        <f>_xlfn.XLOOKUP(_26_03_2026_Log_Reseau_v15[[#This Row],[province RDC]],_26_03_2026_Client_Churn_v1[Province_Client],_26_03_2026_Client_Churn_v1[ID_Client],"non trouvé")</f>
        <v>CLI-00060</v>
      </c>
      <c r="L790">
        <f>_xlfn.XLOOKUP(_26_03_2026_Log_Reseau_v15[[#This Row],[province RDC]],_26_03_2026_Client_Churn_v1[Province_Client],_26_03_2026_Client_Churn_v1[Anciennete_Mois],"non trouvé")</f>
        <v>72</v>
      </c>
      <c r="M790" t="str">
        <f>_xlfn.XLOOKUP(_26_03_2026_Log_Reseau_v15[[#This Row],[province RDC]],_26_03_2026_Client_Churn_v1[Province_Client],_26_03_2026_Client_Churn_v1[Type_Forfait],"non trouvé")</f>
        <v>Pro Monde</v>
      </c>
      <c r="N790">
        <f>_xlfn.XLOOKUP(_26_03_2026_Log_Reseau_v15[[#This Row],[province RDC]],_26_03_2026_Client_Churn_v1[Province_Client],_26_03_2026_Client_Churn_v1[Duree_Cumulee_Panne_Min],"non trouvé")</f>
        <v>160</v>
      </c>
      <c r="O790">
        <f>_xlfn.XLOOKUP(_26_03_2026_Log_Reseau_v15[[#This Row],[province RDC]],_26_03_2026_Client_Churn_v1[Province_Client],_26_03_2026_Client_Churn_v1[Facture_Mensuelle],"non trouvé")</f>
        <v>90.13</v>
      </c>
      <c r="P790">
        <f>_xlfn.XLOOKUP(_26_03_2026_Log_Reseau_v15[[#This Row],[province RDC]],_26_03_2026_Client_Churn_v1[Province_Client],_26_03_2026_Client_Churn_v1[Plaintes_Service_Client],"non trouvé")</f>
        <v>2</v>
      </c>
    </row>
    <row r="791" spans="1:16" x14ac:dyDescent="0.25">
      <c r="A791" s="1">
        <v>45218</v>
      </c>
      <c r="B791" s="2">
        <v>0.38194444444444442</v>
      </c>
      <c r="C791" t="s">
        <v>1296</v>
      </c>
      <c r="D791">
        <v>81</v>
      </c>
      <c r="E791" t="s">
        <v>808</v>
      </c>
      <c r="F791" t="str">
        <f>_xlfn.XLOOKUP(_26_03_2026_Log_Reseau_v15[[#This Row],[Cell_ID]],_26_03_2026_Registre_Maintenance_v1[ID_Antenne],_26_03_2026_Registre_Maintenance_v1[zone],"pas trouvé")</f>
        <v>Kongo-Central</v>
      </c>
      <c r="G791">
        <f>_xlfn.XLOOKUP(_26_03_2026_Log_Reseau_v15[[#This Row],[Cell_ID]],_26_03_2026_Registre_Maintenance_v1[ID_Antenne],_26_03_2026_Registre_Maintenance_v1[Latitude],"non trouvé")</f>
        <v>-2.8211520000000001</v>
      </c>
      <c r="H791">
        <f>_xlfn.XLOOKUP(_26_03_2026_Log_Reseau_v15[[#This Row],[Cell_ID]],_26_03_2026_Registre_Maintenance_v1[ID_Antenne],_26_03_2026_Registre_Maintenance_v1[Longitude],"pas trouvé")</f>
        <v>20.651419000000001</v>
      </c>
      <c r="I791" t="str">
        <f>_xlfn.XLOOKUP(_26_03_2026_Log_Reseau_v15[[#This Row],[Cell_ID]],_26_03_2026_Registre_Maintenance_v1[ID_Antenne],_26_03_2026_Registre_Maintenance_v1[Technologie],"non trouvé")</f>
        <v>5G</v>
      </c>
      <c r="J791" t="str">
        <f>_xlfn.XLOOKUP(_26_03_2026_Log_Reseau_v15[[#This Row],[Cell_ID]],_26_03_2026_Registre_Maintenance_v1[ID_Antenne],_26_03_2026_Registre_Maintenance_v1[Equipementier],"pas trouvé")</f>
        <v>Ericsson</v>
      </c>
      <c r="K791" t="str">
        <f>_xlfn.XLOOKUP(_26_03_2026_Log_Reseau_v15[[#This Row],[province RDC]],_26_03_2026_Client_Churn_v1[Province_Client],_26_03_2026_Client_Churn_v1[ID_Client],"non trouvé")</f>
        <v>CLI-01233</v>
      </c>
      <c r="L791">
        <f>_xlfn.XLOOKUP(_26_03_2026_Log_Reseau_v15[[#This Row],[province RDC]],_26_03_2026_Client_Churn_v1[Province_Client],_26_03_2026_Client_Churn_v1[Anciennete_Mois],"non trouvé")</f>
        <v>101</v>
      </c>
      <c r="M791" t="str">
        <f>_xlfn.XLOOKUP(_26_03_2026_Log_Reseau_v15[[#This Row],[province RDC]],_26_03_2026_Client_Churn_v1[Province_Client],_26_03_2026_Client_Churn_v1[Type_Forfait],"non trouvé")</f>
        <v>Pro Monde</v>
      </c>
      <c r="N791">
        <f>_xlfn.XLOOKUP(_26_03_2026_Log_Reseau_v15[[#This Row],[province RDC]],_26_03_2026_Client_Churn_v1[Province_Client],_26_03_2026_Client_Churn_v1[Duree_Cumulee_Panne_Min],"non trouvé")</f>
        <v>333</v>
      </c>
      <c r="O791">
        <f>_xlfn.XLOOKUP(_26_03_2026_Log_Reseau_v15[[#This Row],[province RDC]],_26_03_2026_Client_Churn_v1[Province_Client],_26_03_2026_Client_Churn_v1[Facture_Mensuelle],"non trouvé")</f>
        <v>74.319999999999993</v>
      </c>
      <c r="P791">
        <f>_xlfn.XLOOKUP(_26_03_2026_Log_Reseau_v15[[#This Row],[province RDC]],_26_03_2026_Client_Churn_v1[Province_Client],_26_03_2026_Client_Churn_v1[Plaintes_Service_Client],"non trouvé")</f>
        <v>1</v>
      </c>
    </row>
    <row r="792" spans="1:16" x14ac:dyDescent="0.25">
      <c r="A792" s="1">
        <v>45219</v>
      </c>
      <c r="B792" s="2">
        <v>0.47638888888888886</v>
      </c>
      <c r="C792" t="s">
        <v>1296</v>
      </c>
      <c r="D792">
        <v>57</v>
      </c>
      <c r="E792" t="s">
        <v>807</v>
      </c>
      <c r="F792" t="str">
        <f>_xlfn.XLOOKUP(_26_03_2026_Log_Reseau_v15[[#This Row],[Cell_ID]],_26_03_2026_Registre_Maintenance_v1[ID_Antenne],_26_03_2026_Registre_Maintenance_v1[zone],"pas trouvé")</f>
        <v>Kongo-Central</v>
      </c>
      <c r="G792">
        <f>_xlfn.XLOOKUP(_26_03_2026_Log_Reseau_v15[[#This Row],[Cell_ID]],_26_03_2026_Registre_Maintenance_v1[ID_Antenne],_26_03_2026_Registre_Maintenance_v1[Latitude],"non trouvé")</f>
        <v>-2.8211520000000001</v>
      </c>
      <c r="H792">
        <f>_xlfn.XLOOKUP(_26_03_2026_Log_Reseau_v15[[#This Row],[Cell_ID]],_26_03_2026_Registre_Maintenance_v1[ID_Antenne],_26_03_2026_Registre_Maintenance_v1[Longitude],"pas trouvé")</f>
        <v>20.651419000000001</v>
      </c>
      <c r="I792" t="str">
        <f>_xlfn.XLOOKUP(_26_03_2026_Log_Reseau_v15[[#This Row],[Cell_ID]],_26_03_2026_Registre_Maintenance_v1[ID_Antenne],_26_03_2026_Registre_Maintenance_v1[Technologie],"non trouvé")</f>
        <v>5G</v>
      </c>
      <c r="J792" t="str">
        <f>_xlfn.XLOOKUP(_26_03_2026_Log_Reseau_v15[[#This Row],[Cell_ID]],_26_03_2026_Registre_Maintenance_v1[ID_Antenne],_26_03_2026_Registre_Maintenance_v1[Equipementier],"pas trouvé")</f>
        <v>Ericsson</v>
      </c>
      <c r="K792" t="str">
        <f>_xlfn.XLOOKUP(_26_03_2026_Log_Reseau_v15[[#This Row],[province RDC]],_26_03_2026_Client_Churn_v1[Province_Client],_26_03_2026_Client_Churn_v1[ID_Client],"non trouvé")</f>
        <v>CLI-01233</v>
      </c>
      <c r="L792">
        <f>_xlfn.XLOOKUP(_26_03_2026_Log_Reseau_v15[[#This Row],[province RDC]],_26_03_2026_Client_Churn_v1[Province_Client],_26_03_2026_Client_Churn_v1[Anciennete_Mois],"non trouvé")</f>
        <v>101</v>
      </c>
      <c r="M792" t="str">
        <f>_xlfn.XLOOKUP(_26_03_2026_Log_Reseau_v15[[#This Row],[province RDC]],_26_03_2026_Client_Churn_v1[Province_Client],_26_03_2026_Client_Churn_v1[Type_Forfait],"non trouvé")</f>
        <v>Pro Monde</v>
      </c>
      <c r="N792">
        <f>_xlfn.XLOOKUP(_26_03_2026_Log_Reseau_v15[[#This Row],[province RDC]],_26_03_2026_Client_Churn_v1[Province_Client],_26_03_2026_Client_Churn_v1[Duree_Cumulee_Panne_Min],"non trouvé")</f>
        <v>333</v>
      </c>
      <c r="O792">
        <f>_xlfn.XLOOKUP(_26_03_2026_Log_Reseau_v15[[#This Row],[province RDC]],_26_03_2026_Client_Churn_v1[Province_Client],_26_03_2026_Client_Churn_v1[Facture_Mensuelle],"non trouvé")</f>
        <v>74.319999999999993</v>
      </c>
      <c r="P792">
        <f>_xlfn.XLOOKUP(_26_03_2026_Log_Reseau_v15[[#This Row],[province RDC]],_26_03_2026_Client_Churn_v1[Province_Client],_26_03_2026_Client_Churn_v1[Plaintes_Service_Client],"non trouvé")</f>
        <v>1</v>
      </c>
    </row>
    <row r="793" spans="1:16" x14ac:dyDescent="0.25">
      <c r="A793" s="1">
        <v>45200</v>
      </c>
      <c r="B793" s="2">
        <v>0.92569444444444449</v>
      </c>
      <c r="C793" t="s">
        <v>1296</v>
      </c>
      <c r="D793">
        <v>76</v>
      </c>
      <c r="E793" t="s">
        <v>812</v>
      </c>
      <c r="F793" t="str">
        <f>_xlfn.XLOOKUP(_26_03_2026_Log_Reseau_v15[[#This Row],[Cell_ID]],_26_03_2026_Registre_Maintenance_v1[ID_Antenne],_26_03_2026_Registre_Maintenance_v1[zone],"pas trouvé")</f>
        <v>Kongo-Central</v>
      </c>
      <c r="G793">
        <f>_xlfn.XLOOKUP(_26_03_2026_Log_Reseau_v15[[#This Row],[Cell_ID]],_26_03_2026_Registre_Maintenance_v1[ID_Antenne],_26_03_2026_Registre_Maintenance_v1[Latitude],"non trouvé")</f>
        <v>-2.8211520000000001</v>
      </c>
      <c r="H793">
        <f>_xlfn.XLOOKUP(_26_03_2026_Log_Reseau_v15[[#This Row],[Cell_ID]],_26_03_2026_Registre_Maintenance_v1[ID_Antenne],_26_03_2026_Registre_Maintenance_v1[Longitude],"pas trouvé")</f>
        <v>20.651419000000001</v>
      </c>
      <c r="I793" t="str">
        <f>_xlfn.XLOOKUP(_26_03_2026_Log_Reseau_v15[[#This Row],[Cell_ID]],_26_03_2026_Registre_Maintenance_v1[ID_Antenne],_26_03_2026_Registre_Maintenance_v1[Technologie],"non trouvé")</f>
        <v>5G</v>
      </c>
      <c r="J793" t="str">
        <f>_xlfn.XLOOKUP(_26_03_2026_Log_Reseau_v15[[#This Row],[Cell_ID]],_26_03_2026_Registre_Maintenance_v1[ID_Antenne],_26_03_2026_Registre_Maintenance_v1[Equipementier],"pas trouvé")</f>
        <v>Ericsson</v>
      </c>
      <c r="K793" t="str">
        <f>_xlfn.XLOOKUP(_26_03_2026_Log_Reseau_v15[[#This Row],[province RDC]],_26_03_2026_Client_Churn_v1[Province_Client],_26_03_2026_Client_Churn_v1[ID_Client],"non trouvé")</f>
        <v>CLI-01233</v>
      </c>
      <c r="L793">
        <f>_xlfn.XLOOKUP(_26_03_2026_Log_Reseau_v15[[#This Row],[province RDC]],_26_03_2026_Client_Churn_v1[Province_Client],_26_03_2026_Client_Churn_v1[Anciennete_Mois],"non trouvé")</f>
        <v>101</v>
      </c>
      <c r="M793" t="str">
        <f>_xlfn.XLOOKUP(_26_03_2026_Log_Reseau_v15[[#This Row],[province RDC]],_26_03_2026_Client_Churn_v1[Province_Client],_26_03_2026_Client_Churn_v1[Type_Forfait],"non trouvé")</f>
        <v>Pro Monde</v>
      </c>
      <c r="N793">
        <f>_xlfn.XLOOKUP(_26_03_2026_Log_Reseau_v15[[#This Row],[province RDC]],_26_03_2026_Client_Churn_v1[Province_Client],_26_03_2026_Client_Churn_v1[Duree_Cumulee_Panne_Min],"non trouvé")</f>
        <v>333</v>
      </c>
      <c r="O793">
        <f>_xlfn.XLOOKUP(_26_03_2026_Log_Reseau_v15[[#This Row],[province RDC]],_26_03_2026_Client_Churn_v1[Province_Client],_26_03_2026_Client_Churn_v1[Facture_Mensuelle],"non trouvé")</f>
        <v>74.319999999999993</v>
      </c>
      <c r="P793">
        <f>_xlfn.XLOOKUP(_26_03_2026_Log_Reseau_v15[[#This Row],[province RDC]],_26_03_2026_Client_Churn_v1[Province_Client],_26_03_2026_Client_Churn_v1[Plaintes_Service_Client],"non trouvé")</f>
        <v>1</v>
      </c>
    </row>
    <row r="794" spans="1:16" x14ac:dyDescent="0.25">
      <c r="A794" s="1">
        <v>45213</v>
      </c>
      <c r="B794" s="2">
        <v>2.2916666666666665E-2</v>
      </c>
      <c r="C794" t="s">
        <v>1296</v>
      </c>
      <c r="D794">
        <v>56</v>
      </c>
      <c r="E794" t="s">
        <v>812</v>
      </c>
      <c r="F794" t="str">
        <f>_xlfn.XLOOKUP(_26_03_2026_Log_Reseau_v15[[#This Row],[Cell_ID]],_26_03_2026_Registre_Maintenance_v1[ID_Antenne],_26_03_2026_Registre_Maintenance_v1[zone],"pas trouvé")</f>
        <v>Kongo-Central</v>
      </c>
      <c r="G794">
        <f>_xlfn.XLOOKUP(_26_03_2026_Log_Reseau_v15[[#This Row],[Cell_ID]],_26_03_2026_Registre_Maintenance_v1[ID_Antenne],_26_03_2026_Registre_Maintenance_v1[Latitude],"non trouvé")</f>
        <v>-2.8211520000000001</v>
      </c>
      <c r="H794">
        <f>_xlfn.XLOOKUP(_26_03_2026_Log_Reseau_v15[[#This Row],[Cell_ID]],_26_03_2026_Registre_Maintenance_v1[ID_Antenne],_26_03_2026_Registre_Maintenance_v1[Longitude],"pas trouvé")</f>
        <v>20.651419000000001</v>
      </c>
      <c r="I794" t="str">
        <f>_xlfn.XLOOKUP(_26_03_2026_Log_Reseau_v15[[#This Row],[Cell_ID]],_26_03_2026_Registre_Maintenance_v1[ID_Antenne],_26_03_2026_Registre_Maintenance_v1[Technologie],"non trouvé")</f>
        <v>5G</v>
      </c>
      <c r="J794" t="str">
        <f>_xlfn.XLOOKUP(_26_03_2026_Log_Reseau_v15[[#This Row],[Cell_ID]],_26_03_2026_Registre_Maintenance_v1[ID_Antenne],_26_03_2026_Registre_Maintenance_v1[Equipementier],"pas trouvé")</f>
        <v>Ericsson</v>
      </c>
      <c r="K794" t="str">
        <f>_xlfn.XLOOKUP(_26_03_2026_Log_Reseau_v15[[#This Row],[province RDC]],_26_03_2026_Client_Churn_v1[Province_Client],_26_03_2026_Client_Churn_v1[ID_Client],"non trouvé")</f>
        <v>CLI-01233</v>
      </c>
      <c r="L794">
        <f>_xlfn.XLOOKUP(_26_03_2026_Log_Reseau_v15[[#This Row],[province RDC]],_26_03_2026_Client_Churn_v1[Province_Client],_26_03_2026_Client_Churn_v1[Anciennete_Mois],"non trouvé")</f>
        <v>101</v>
      </c>
      <c r="M794" t="str">
        <f>_xlfn.XLOOKUP(_26_03_2026_Log_Reseau_v15[[#This Row],[province RDC]],_26_03_2026_Client_Churn_v1[Province_Client],_26_03_2026_Client_Churn_v1[Type_Forfait],"non trouvé")</f>
        <v>Pro Monde</v>
      </c>
      <c r="N794">
        <f>_xlfn.XLOOKUP(_26_03_2026_Log_Reseau_v15[[#This Row],[province RDC]],_26_03_2026_Client_Churn_v1[Province_Client],_26_03_2026_Client_Churn_v1[Duree_Cumulee_Panne_Min],"non trouvé")</f>
        <v>333</v>
      </c>
      <c r="O794">
        <f>_xlfn.XLOOKUP(_26_03_2026_Log_Reseau_v15[[#This Row],[province RDC]],_26_03_2026_Client_Churn_v1[Province_Client],_26_03_2026_Client_Churn_v1[Facture_Mensuelle],"non trouvé")</f>
        <v>74.319999999999993</v>
      </c>
      <c r="P794">
        <f>_xlfn.XLOOKUP(_26_03_2026_Log_Reseau_v15[[#This Row],[province RDC]],_26_03_2026_Client_Churn_v1[Province_Client],_26_03_2026_Client_Churn_v1[Plaintes_Service_Client],"non trouvé")</f>
        <v>1</v>
      </c>
    </row>
    <row r="795" spans="1:16" x14ac:dyDescent="0.25">
      <c r="A795" s="1">
        <v>45213</v>
      </c>
      <c r="B795" s="2">
        <v>4.2361111111111113E-2</v>
      </c>
      <c r="C795" t="s">
        <v>1296</v>
      </c>
      <c r="D795">
        <v>119</v>
      </c>
      <c r="E795" t="s">
        <v>808</v>
      </c>
      <c r="F795" t="str">
        <f>_xlfn.XLOOKUP(_26_03_2026_Log_Reseau_v15[[#This Row],[Cell_ID]],_26_03_2026_Registre_Maintenance_v1[ID_Antenne],_26_03_2026_Registre_Maintenance_v1[zone],"pas trouvé")</f>
        <v>Kongo-Central</v>
      </c>
      <c r="G795">
        <f>_xlfn.XLOOKUP(_26_03_2026_Log_Reseau_v15[[#This Row],[Cell_ID]],_26_03_2026_Registre_Maintenance_v1[ID_Antenne],_26_03_2026_Registre_Maintenance_v1[Latitude],"non trouvé")</f>
        <v>-2.8211520000000001</v>
      </c>
      <c r="H795">
        <f>_xlfn.XLOOKUP(_26_03_2026_Log_Reseau_v15[[#This Row],[Cell_ID]],_26_03_2026_Registre_Maintenance_v1[ID_Antenne],_26_03_2026_Registre_Maintenance_v1[Longitude],"pas trouvé")</f>
        <v>20.651419000000001</v>
      </c>
      <c r="I795" t="str">
        <f>_xlfn.XLOOKUP(_26_03_2026_Log_Reseau_v15[[#This Row],[Cell_ID]],_26_03_2026_Registre_Maintenance_v1[ID_Antenne],_26_03_2026_Registre_Maintenance_v1[Technologie],"non trouvé")</f>
        <v>5G</v>
      </c>
      <c r="J795" t="str">
        <f>_xlfn.XLOOKUP(_26_03_2026_Log_Reseau_v15[[#This Row],[Cell_ID]],_26_03_2026_Registre_Maintenance_v1[ID_Antenne],_26_03_2026_Registre_Maintenance_v1[Equipementier],"pas trouvé")</f>
        <v>Ericsson</v>
      </c>
      <c r="K795" t="str">
        <f>_xlfn.XLOOKUP(_26_03_2026_Log_Reseau_v15[[#This Row],[province RDC]],_26_03_2026_Client_Churn_v1[Province_Client],_26_03_2026_Client_Churn_v1[ID_Client],"non trouvé")</f>
        <v>CLI-01233</v>
      </c>
      <c r="L795">
        <f>_xlfn.XLOOKUP(_26_03_2026_Log_Reseau_v15[[#This Row],[province RDC]],_26_03_2026_Client_Churn_v1[Province_Client],_26_03_2026_Client_Churn_v1[Anciennete_Mois],"non trouvé")</f>
        <v>101</v>
      </c>
      <c r="M795" t="str">
        <f>_xlfn.XLOOKUP(_26_03_2026_Log_Reseau_v15[[#This Row],[province RDC]],_26_03_2026_Client_Churn_v1[Province_Client],_26_03_2026_Client_Churn_v1[Type_Forfait],"non trouvé")</f>
        <v>Pro Monde</v>
      </c>
      <c r="N795">
        <f>_xlfn.XLOOKUP(_26_03_2026_Log_Reseau_v15[[#This Row],[province RDC]],_26_03_2026_Client_Churn_v1[Province_Client],_26_03_2026_Client_Churn_v1[Duree_Cumulee_Panne_Min],"non trouvé")</f>
        <v>333</v>
      </c>
      <c r="O795">
        <f>_xlfn.XLOOKUP(_26_03_2026_Log_Reseau_v15[[#This Row],[province RDC]],_26_03_2026_Client_Churn_v1[Province_Client],_26_03_2026_Client_Churn_v1[Facture_Mensuelle],"non trouvé")</f>
        <v>74.319999999999993</v>
      </c>
      <c r="P795">
        <f>_xlfn.XLOOKUP(_26_03_2026_Log_Reseau_v15[[#This Row],[province RDC]],_26_03_2026_Client_Churn_v1[Province_Client],_26_03_2026_Client_Churn_v1[Plaintes_Service_Client],"non trouvé")</f>
        <v>1</v>
      </c>
    </row>
    <row r="796" spans="1:16" x14ac:dyDescent="0.25">
      <c r="A796" s="1">
        <v>45224</v>
      </c>
      <c r="B796" s="2">
        <v>0.55277777777777781</v>
      </c>
      <c r="C796" t="s">
        <v>1297</v>
      </c>
      <c r="D796">
        <v>60</v>
      </c>
      <c r="E796" t="s">
        <v>808</v>
      </c>
      <c r="F796" t="str">
        <f>_xlfn.XLOOKUP(_26_03_2026_Log_Reseau_v15[[#This Row],[Cell_ID]],_26_03_2026_Registre_Maintenance_v1[ID_Antenne],_26_03_2026_Registre_Maintenance_v1[zone],"pas trouvé")</f>
        <v>Tanganyika</v>
      </c>
      <c r="G796">
        <f>_xlfn.XLOOKUP(_26_03_2026_Log_Reseau_v15[[#This Row],[Cell_ID]],_26_03_2026_Registre_Maintenance_v1[ID_Antenne],_26_03_2026_Registre_Maintenance_v1[Latitude],"non trouvé")</f>
        <v>-10.439686999999999</v>
      </c>
      <c r="H796">
        <f>_xlfn.XLOOKUP(_26_03_2026_Log_Reseau_v15[[#This Row],[Cell_ID]],_26_03_2026_Registre_Maintenance_v1[ID_Antenne],_26_03_2026_Registre_Maintenance_v1[Longitude],"pas trouvé")</f>
        <v>20.714210000000001</v>
      </c>
      <c r="I796" t="str">
        <f>_xlfn.XLOOKUP(_26_03_2026_Log_Reseau_v15[[#This Row],[Cell_ID]],_26_03_2026_Registre_Maintenance_v1[ID_Antenne],_26_03_2026_Registre_Maintenance_v1[Technologie],"non trouvé")</f>
        <v>4G</v>
      </c>
      <c r="J796" t="str">
        <f>_xlfn.XLOOKUP(_26_03_2026_Log_Reseau_v15[[#This Row],[Cell_ID]],_26_03_2026_Registre_Maintenance_v1[ID_Antenne],_26_03_2026_Registre_Maintenance_v1[Equipementier],"pas trouvé")</f>
        <v>ZTE</v>
      </c>
      <c r="K796" t="str">
        <f>_xlfn.XLOOKUP(_26_03_2026_Log_Reseau_v15[[#This Row],[province RDC]],_26_03_2026_Client_Churn_v1[Province_Client],_26_03_2026_Client_Churn_v1[ID_Client],"non trouvé")</f>
        <v>CLI-01618</v>
      </c>
      <c r="L796">
        <f>_xlfn.XLOOKUP(_26_03_2026_Log_Reseau_v15[[#This Row],[province RDC]],_26_03_2026_Client_Churn_v1[Province_Client],_26_03_2026_Client_Churn_v1[Anciennete_Mois],"non trouvé")</f>
        <v>115</v>
      </c>
      <c r="M796" t="str">
        <f>_xlfn.XLOOKUP(_26_03_2026_Log_Reseau_v15[[#This Row],[province RDC]],_26_03_2026_Client_Churn_v1[Province_Client],_26_03_2026_Client_Churn_v1[Type_Forfait],"non trouvé")</f>
        <v>Bloqué 5Go</v>
      </c>
      <c r="N796">
        <f>_xlfn.XLOOKUP(_26_03_2026_Log_Reseau_v15[[#This Row],[province RDC]],_26_03_2026_Client_Churn_v1[Province_Client],_26_03_2026_Client_Churn_v1[Duree_Cumulee_Panne_Min],"non trouvé")</f>
        <v>176</v>
      </c>
      <c r="O796">
        <f>_xlfn.XLOOKUP(_26_03_2026_Log_Reseau_v15[[#This Row],[province RDC]],_26_03_2026_Client_Churn_v1[Province_Client],_26_03_2026_Client_Churn_v1[Facture_Mensuelle],"non trouvé")</f>
        <v>33.28</v>
      </c>
      <c r="P796">
        <f>_xlfn.XLOOKUP(_26_03_2026_Log_Reseau_v15[[#This Row],[province RDC]],_26_03_2026_Client_Churn_v1[Province_Client],_26_03_2026_Client_Churn_v1[Plaintes_Service_Client],"non trouvé")</f>
        <v>4</v>
      </c>
    </row>
    <row r="797" spans="1:16" hidden="1" x14ac:dyDescent="0.25">
      <c r="A797" s="1">
        <v>45218</v>
      </c>
      <c r="B797" s="2">
        <v>0.24236111111111111</v>
      </c>
      <c r="C797" t="s">
        <v>1298</v>
      </c>
      <c r="D797">
        <v>64</v>
      </c>
      <c r="E797" t="s">
        <v>807</v>
      </c>
      <c r="F797" t="str">
        <f>_xlfn.XLOOKUP(_26_03_2026_Log_Reseau_v15[[#This Row],[Cell_ID]],_26_03_2026_Registre_Maintenance_v1[ID_Antenne],_26_03_2026_Registre_Maintenance_v1[zone],"pas trouvé")</f>
        <v>pas trouvé</v>
      </c>
      <c r="G797" t="str">
        <f>_xlfn.XLOOKUP(_26_03_2026_Log_Reseau_v15[[#This Row],[Cell_ID]],_26_03_2026_Registre_Maintenance_v1[ID_Antenne],_26_03_2026_Registre_Maintenance_v1[Latitude],"non trouvé")</f>
        <v>non trouvé</v>
      </c>
      <c r="H797" t="str">
        <f>_xlfn.XLOOKUP(_26_03_2026_Log_Reseau_v15[[#This Row],[Cell_ID]],_26_03_2026_Registre_Maintenance_v1[ID_Antenne],_26_03_2026_Registre_Maintenance_v1[Longitude],"pas trouvé")</f>
        <v>pas trouvé</v>
      </c>
      <c r="I797" t="str">
        <f>_xlfn.XLOOKUP(_26_03_2026_Log_Reseau_v15[[#This Row],[Cell_ID]],_26_03_2026_Registre_Maintenance_v1[ID_Antenne],_26_03_2026_Registre_Maintenance_v1[Technologie],"non trouvé")</f>
        <v>non trouvé</v>
      </c>
      <c r="J797" t="str">
        <f>_xlfn.XLOOKUP(_26_03_2026_Log_Reseau_v15[[#This Row],[Cell_ID]],_26_03_2026_Registre_Maintenance_v1[ID_Antenne],_26_03_2026_Registre_Maintenance_v1[Equipementier],"pas trouvé")</f>
        <v>pas trouvé</v>
      </c>
      <c r="K797" t="str">
        <f>_xlfn.XLOOKUP(_26_03_2026_Log_Reseau_v15[[#This Row],[province RDC]],_26_03_2026_Client_Churn_v1[Province_Client],_26_03_2026_Client_Churn_v1[ID_Client],"non trouvé")</f>
        <v>non trouvé</v>
      </c>
      <c r="L797" t="str">
        <f>_xlfn.XLOOKUP(_26_03_2026_Log_Reseau_v15[[#This Row],[province RDC]],_26_03_2026_Client_Churn_v1[Province_Client],_26_03_2026_Client_Churn_v1[Anciennete_Mois],"non trouvé")</f>
        <v>non trouvé</v>
      </c>
      <c r="M797" t="str">
        <f>_xlfn.XLOOKUP(_26_03_2026_Log_Reseau_v15[[#This Row],[province RDC]],_26_03_2026_Client_Churn_v1[Province_Client],_26_03_2026_Client_Churn_v1[Type_Forfait],"non trouvé")</f>
        <v>non trouvé</v>
      </c>
      <c r="N797" t="str">
        <f>_xlfn.XLOOKUP(_26_03_2026_Log_Reseau_v15[[#This Row],[province RDC]],_26_03_2026_Client_Churn_v1[Province_Client],_26_03_2026_Client_Churn_v1[Duree_Cumulee_Panne_Min],"non trouvé")</f>
        <v>non trouvé</v>
      </c>
      <c r="O797" t="str">
        <f>_xlfn.XLOOKUP(_26_03_2026_Log_Reseau_v15[[#This Row],[province RDC]],_26_03_2026_Client_Churn_v1[Province_Client],_26_03_2026_Client_Churn_v1[Facture_Mensuelle],"non trouvé")</f>
        <v>non trouvé</v>
      </c>
      <c r="P797" t="str">
        <f>_xlfn.XLOOKUP(_26_03_2026_Log_Reseau_v15[[#This Row],[province RDC]],_26_03_2026_Client_Churn_v1[Province_Client],_26_03_2026_Client_Churn_v1[Plaintes_Service_Client],"non trouvé")</f>
        <v>non trouvé</v>
      </c>
    </row>
    <row r="798" spans="1:16" hidden="1" x14ac:dyDescent="0.25">
      <c r="A798" s="1">
        <v>45202</v>
      </c>
      <c r="B798" s="2">
        <v>0.86805555555555558</v>
      </c>
      <c r="C798" t="s">
        <v>1298</v>
      </c>
      <c r="D798">
        <v>91</v>
      </c>
      <c r="E798" t="s">
        <v>808</v>
      </c>
      <c r="F798" t="str">
        <f>_xlfn.XLOOKUP(_26_03_2026_Log_Reseau_v15[[#This Row],[Cell_ID]],_26_03_2026_Registre_Maintenance_v1[ID_Antenne],_26_03_2026_Registre_Maintenance_v1[zone],"pas trouvé")</f>
        <v>pas trouvé</v>
      </c>
      <c r="G798" t="str">
        <f>_xlfn.XLOOKUP(_26_03_2026_Log_Reseau_v15[[#This Row],[Cell_ID]],_26_03_2026_Registre_Maintenance_v1[ID_Antenne],_26_03_2026_Registre_Maintenance_v1[Latitude],"non trouvé")</f>
        <v>non trouvé</v>
      </c>
      <c r="H798" t="str">
        <f>_xlfn.XLOOKUP(_26_03_2026_Log_Reseau_v15[[#This Row],[Cell_ID]],_26_03_2026_Registre_Maintenance_v1[ID_Antenne],_26_03_2026_Registre_Maintenance_v1[Longitude],"pas trouvé")</f>
        <v>pas trouvé</v>
      </c>
      <c r="I798" t="str">
        <f>_xlfn.XLOOKUP(_26_03_2026_Log_Reseau_v15[[#This Row],[Cell_ID]],_26_03_2026_Registre_Maintenance_v1[ID_Antenne],_26_03_2026_Registre_Maintenance_v1[Technologie],"non trouvé")</f>
        <v>non trouvé</v>
      </c>
      <c r="J798" t="str">
        <f>_xlfn.XLOOKUP(_26_03_2026_Log_Reseau_v15[[#This Row],[Cell_ID]],_26_03_2026_Registre_Maintenance_v1[ID_Antenne],_26_03_2026_Registre_Maintenance_v1[Equipementier],"pas trouvé")</f>
        <v>pas trouvé</v>
      </c>
      <c r="K798" t="str">
        <f>_xlfn.XLOOKUP(_26_03_2026_Log_Reseau_v15[[#This Row],[province RDC]],_26_03_2026_Client_Churn_v1[Province_Client],_26_03_2026_Client_Churn_v1[ID_Client],"non trouvé")</f>
        <v>non trouvé</v>
      </c>
      <c r="L798" t="str">
        <f>_xlfn.XLOOKUP(_26_03_2026_Log_Reseau_v15[[#This Row],[province RDC]],_26_03_2026_Client_Churn_v1[Province_Client],_26_03_2026_Client_Churn_v1[Anciennete_Mois],"non trouvé")</f>
        <v>non trouvé</v>
      </c>
      <c r="M798" t="str">
        <f>_xlfn.XLOOKUP(_26_03_2026_Log_Reseau_v15[[#This Row],[province RDC]],_26_03_2026_Client_Churn_v1[Province_Client],_26_03_2026_Client_Churn_v1[Type_Forfait],"non trouvé")</f>
        <v>non trouvé</v>
      </c>
      <c r="N798" t="str">
        <f>_xlfn.XLOOKUP(_26_03_2026_Log_Reseau_v15[[#This Row],[province RDC]],_26_03_2026_Client_Churn_v1[Province_Client],_26_03_2026_Client_Churn_v1[Duree_Cumulee_Panne_Min],"non trouvé")</f>
        <v>non trouvé</v>
      </c>
      <c r="O798" t="str">
        <f>_xlfn.XLOOKUP(_26_03_2026_Log_Reseau_v15[[#This Row],[province RDC]],_26_03_2026_Client_Churn_v1[Province_Client],_26_03_2026_Client_Churn_v1[Facture_Mensuelle],"non trouvé")</f>
        <v>non trouvé</v>
      </c>
      <c r="P798" t="str">
        <f>_xlfn.XLOOKUP(_26_03_2026_Log_Reseau_v15[[#This Row],[province RDC]],_26_03_2026_Client_Churn_v1[Province_Client],_26_03_2026_Client_Churn_v1[Plaintes_Service_Client],"non trouvé")</f>
        <v>non trouvé</v>
      </c>
    </row>
    <row r="799" spans="1:16" hidden="1" x14ac:dyDescent="0.25">
      <c r="A799" s="1">
        <v>45212</v>
      </c>
      <c r="B799" s="2">
        <v>0.62430555555555556</v>
      </c>
      <c r="C799" t="s">
        <v>1298</v>
      </c>
      <c r="D799">
        <v>113</v>
      </c>
      <c r="E799" t="s">
        <v>812</v>
      </c>
      <c r="F799" t="str">
        <f>_xlfn.XLOOKUP(_26_03_2026_Log_Reseau_v15[[#This Row],[Cell_ID]],_26_03_2026_Registre_Maintenance_v1[ID_Antenne],_26_03_2026_Registre_Maintenance_v1[zone],"pas trouvé")</f>
        <v>pas trouvé</v>
      </c>
      <c r="G799" t="str">
        <f>_xlfn.XLOOKUP(_26_03_2026_Log_Reseau_v15[[#This Row],[Cell_ID]],_26_03_2026_Registre_Maintenance_v1[ID_Antenne],_26_03_2026_Registre_Maintenance_v1[Latitude],"non trouvé")</f>
        <v>non trouvé</v>
      </c>
      <c r="H799" t="str">
        <f>_xlfn.XLOOKUP(_26_03_2026_Log_Reseau_v15[[#This Row],[Cell_ID]],_26_03_2026_Registre_Maintenance_v1[ID_Antenne],_26_03_2026_Registre_Maintenance_v1[Longitude],"pas trouvé")</f>
        <v>pas trouvé</v>
      </c>
      <c r="I799" t="str">
        <f>_xlfn.XLOOKUP(_26_03_2026_Log_Reseau_v15[[#This Row],[Cell_ID]],_26_03_2026_Registre_Maintenance_v1[ID_Antenne],_26_03_2026_Registre_Maintenance_v1[Technologie],"non trouvé")</f>
        <v>non trouvé</v>
      </c>
      <c r="J799" t="str">
        <f>_xlfn.XLOOKUP(_26_03_2026_Log_Reseau_v15[[#This Row],[Cell_ID]],_26_03_2026_Registre_Maintenance_v1[ID_Antenne],_26_03_2026_Registre_Maintenance_v1[Equipementier],"pas trouvé")</f>
        <v>pas trouvé</v>
      </c>
      <c r="K799" t="str">
        <f>_xlfn.XLOOKUP(_26_03_2026_Log_Reseau_v15[[#This Row],[province RDC]],_26_03_2026_Client_Churn_v1[Province_Client],_26_03_2026_Client_Churn_v1[ID_Client],"non trouvé")</f>
        <v>non trouvé</v>
      </c>
      <c r="L799" t="str">
        <f>_xlfn.XLOOKUP(_26_03_2026_Log_Reseau_v15[[#This Row],[province RDC]],_26_03_2026_Client_Churn_v1[Province_Client],_26_03_2026_Client_Churn_v1[Anciennete_Mois],"non trouvé")</f>
        <v>non trouvé</v>
      </c>
      <c r="M799" t="str">
        <f>_xlfn.XLOOKUP(_26_03_2026_Log_Reseau_v15[[#This Row],[province RDC]],_26_03_2026_Client_Churn_v1[Province_Client],_26_03_2026_Client_Churn_v1[Type_Forfait],"non trouvé")</f>
        <v>non trouvé</v>
      </c>
      <c r="N799" t="str">
        <f>_xlfn.XLOOKUP(_26_03_2026_Log_Reseau_v15[[#This Row],[province RDC]],_26_03_2026_Client_Churn_v1[Province_Client],_26_03_2026_Client_Churn_v1[Duree_Cumulee_Panne_Min],"non trouvé")</f>
        <v>non trouvé</v>
      </c>
      <c r="O799" t="str">
        <f>_xlfn.XLOOKUP(_26_03_2026_Log_Reseau_v15[[#This Row],[province RDC]],_26_03_2026_Client_Churn_v1[Province_Client],_26_03_2026_Client_Churn_v1[Facture_Mensuelle],"non trouvé")</f>
        <v>non trouvé</v>
      </c>
      <c r="P799" t="str">
        <f>_xlfn.XLOOKUP(_26_03_2026_Log_Reseau_v15[[#This Row],[province RDC]],_26_03_2026_Client_Churn_v1[Province_Client],_26_03_2026_Client_Churn_v1[Plaintes_Service_Client],"non trouvé")</f>
        <v>non trouvé</v>
      </c>
    </row>
    <row r="800" spans="1:16" hidden="1" x14ac:dyDescent="0.25">
      <c r="A800" s="1">
        <v>45221</v>
      </c>
      <c r="B800" s="2">
        <v>0.99791666666666667</v>
      </c>
      <c r="C800" t="s">
        <v>1299</v>
      </c>
      <c r="D800">
        <v>79</v>
      </c>
      <c r="E800" t="s">
        <v>812</v>
      </c>
      <c r="F800" t="str">
        <f>_xlfn.XLOOKUP(_26_03_2026_Log_Reseau_v15[[#This Row],[Cell_ID]],_26_03_2026_Registre_Maintenance_v1[ID_Antenne],_26_03_2026_Registre_Maintenance_v1[zone],"pas trouvé")</f>
        <v>pas trouvé</v>
      </c>
      <c r="G800" t="str">
        <f>_xlfn.XLOOKUP(_26_03_2026_Log_Reseau_v15[[#This Row],[Cell_ID]],_26_03_2026_Registre_Maintenance_v1[ID_Antenne],_26_03_2026_Registre_Maintenance_v1[Latitude],"non trouvé")</f>
        <v>non trouvé</v>
      </c>
      <c r="H800" t="str">
        <f>_xlfn.XLOOKUP(_26_03_2026_Log_Reseau_v15[[#This Row],[Cell_ID]],_26_03_2026_Registre_Maintenance_v1[ID_Antenne],_26_03_2026_Registre_Maintenance_v1[Longitude],"pas trouvé")</f>
        <v>pas trouvé</v>
      </c>
      <c r="I800" t="str">
        <f>_xlfn.XLOOKUP(_26_03_2026_Log_Reseau_v15[[#This Row],[Cell_ID]],_26_03_2026_Registre_Maintenance_v1[ID_Antenne],_26_03_2026_Registre_Maintenance_v1[Technologie],"non trouvé")</f>
        <v>non trouvé</v>
      </c>
      <c r="J800" t="str">
        <f>_xlfn.XLOOKUP(_26_03_2026_Log_Reseau_v15[[#This Row],[Cell_ID]],_26_03_2026_Registre_Maintenance_v1[ID_Antenne],_26_03_2026_Registre_Maintenance_v1[Equipementier],"pas trouvé")</f>
        <v>pas trouvé</v>
      </c>
      <c r="K800" t="str">
        <f>_xlfn.XLOOKUP(_26_03_2026_Log_Reseau_v15[[#This Row],[province RDC]],_26_03_2026_Client_Churn_v1[Province_Client],_26_03_2026_Client_Churn_v1[ID_Client],"non trouvé")</f>
        <v>non trouvé</v>
      </c>
      <c r="L800" t="str">
        <f>_xlfn.XLOOKUP(_26_03_2026_Log_Reseau_v15[[#This Row],[province RDC]],_26_03_2026_Client_Churn_v1[Province_Client],_26_03_2026_Client_Churn_v1[Anciennete_Mois],"non trouvé")</f>
        <v>non trouvé</v>
      </c>
      <c r="M800" t="str">
        <f>_xlfn.XLOOKUP(_26_03_2026_Log_Reseau_v15[[#This Row],[province RDC]],_26_03_2026_Client_Churn_v1[Province_Client],_26_03_2026_Client_Churn_v1[Type_Forfait],"non trouvé")</f>
        <v>non trouvé</v>
      </c>
      <c r="N800" t="str">
        <f>_xlfn.XLOOKUP(_26_03_2026_Log_Reseau_v15[[#This Row],[province RDC]],_26_03_2026_Client_Churn_v1[Province_Client],_26_03_2026_Client_Churn_v1[Duree_Cumulee_Panne_Min],"non trouvé")</f>
        <v>non trouvé</v>
      </c>
      <c r="O800" t="str">
        <f>_xlfn.XLOOKUP(_26_03_2026_Log_Reseau_v15[[#This Row],[province RDC]],_26_03_2026_Client_Churn_v1[Province_Client],_26_03_2026_Client_Churn_v1[Facture_Mensuelle],"non trouvé")</f>
        <v>non trouvé</v>
      </c>
      <c r="P800" t="str">
        <f>_xlfn.XLOOKUP(_26_03_2026_Log_Reseau_v15[[#This Row],[province RDC]],_26_03_2026_Client_Churn_v1[Province_Client],_26_03_2026_Client_Churn_v1[Plaintes_Service_Client],"non trouvé")</f>
        <v>non trouvé</v>
      </c>
    </row>
    <row r="801" spans="1:16" hidden="1" x14ac:dyDescent="0.25">
      <c r="A801" s="1">
        <v>45207</v>
      </c>
      <c r="B801" s="2">
        <v>0.30486111111111114</v>
      </c>
      <c r="C801" t="s">
        <v>1299</v>
      </c>
      <c r="D801">
        <v>50</v>
      </c>
      <c r="E801" t="s">
        <v>808</v>
      </c>
      <c r="F801" t="str">
        <f>_xlfn.XLOOKUP(_26_03_2026_Log_Reseau_v15[[#This Row],[Cell_ID]],_26_03_2026_Registre_Maintenance_v1[ID_Antenne],_26_03_2026_Registre_Maintenance_v1[zone],"pas trouvé")</f>
        <v>pas trouvé</v>
      </c>
      <c r="G801" t="str">
        <f>_xlfn.XLOOKUP(_26_03_2026_Log_Reseau_v15[[#This Row],[Cell_ID]],_26_03_2026_Registre_Maintenance_v1[ID_Antenne],_26_03_2026_Registre_Maintenance_v1[Latitude],"non trouvé")</f>
        <v>non trouvé</v>
      </c>
      <c r="H801" t="str">
        <f>_xlfn.XLOOKUP(_26_03_2026_Log_Reseau_v15[[#This Row],[Cell_ID]],_26_03_2026_Registre_Maintenance_v1[ID_Antenne],_26_03_2026_Registre_Maintenance_v1[Longitude],"pas trouvé")</f>
        <v>pas trouvé</v>
      </c>
      <c r="I801" t="str">
        <f>_xlfn.XLOOKUP(_26_03_2026_Log_Reseau_v15[[#This Row],[Cell_ID]],_26_03_2026_Registre_Maintenance_v1[ID_Antenne],_26_03_2026_Registre_Maintenance_v1[Technologie],"non trouvé")</f>
        <v>non trouvé</v>
      </c>
      <c r="J801" t="str">
        <f>_xlfn.XLOOKUP(_26_03_2026_Log_Reseau_v15[[#This Row],[Cell_ID]],_26_03_2026_Registre_Maintenance_v1[ID_Antenne],_26_03_2026_Registre_Maintenance_v1[Equipementier],"pas trouvé")</f>
        <v>pas trouvé</v>
      </c>
      <c r="K801" t="str">
        <f>_xlfn.XLOOKUP(_26_03_2026_Log_Reseau_v15[[#This Row],[province RDC]],_26_03_2026_Client_Churn_v1[Province_Client],_26_03_2026_Client_Churn_v1[ID_Client],"non trouvé")</f>
        <v>non trouvé</v>
      </c>
      <c r="L801" t="str">
        <f>_xlfn.XLOOKUP(_26_03_2026_Log_Reseau_v15[[#This Row],[province RDC]],_26_03_2026_Client_Churn_v1[Province_Client],_26_03_2026_Client_Churn_v1[Anciennete_Mois],"non trouvé")</f>
        <v>non trouvé</v>
      </c>
      <c r="M801" t="str">
        <f>_xlfn.XLOOKUP(_26_03_2026_Log_Reseau_v15[[#This Row],[province RDC]],_26_03_2026_Client_Churn_v1[Province_Client],_26_03_2026_Client_Churn_v1[Type_Forfait],"non trouvé")</f>
        <v>non trouvé</v>
      </c>
      <c r="N801" t="str">
        <f>_xlfn.XLOOKUP(_26_03_2026_Log_Reseau_v15[[#This Row],[province RDC]],_26_03_2026_Client_Churn_v1[Province_Client],_26_03_2026_Client_Churn_v1[Duree_Cumulee_Panne_Min],"non trouvé")</f>
        <v>non trouvé</v>
      </c>
      <c r="O801" t="str">
        <f>_xlfn.XLOOKUP(_26_03_2026_Log_Reseau_v15[[#This Row],[province RDC]],_26_03_2026_Client_Churn_v1[Province_Client],_26_03_2026_Client_Churn_v1[Facture_Mensuelle],"non trouvé")</f>
        <v>non trouvé</v>
      </c>
      <c r="P801" t="str">
        <f>_xlfn.XLOOKUP(_26_03_2026_Log_Reseau_v15[[#This Row],[province RDC]],_26_03_2026_Client_Churn_v1[Province_Client],_26_03_2026_Client_Churn_v1[Plaintes_Service_Client],"non trouvé")</f>
        <v>non trouvé</v>
      </c>
    </row>
    <row r="802" spans="1:16" hidden="1" x14ac:dyDescent="0.25">
      <c r="A802" s="1">
        <v>45202</v>
      </c>
      <c r="B802" s="2">
        <v>0.68611111111111112</v>
      </c>
      <c r="C802" t="s">
        <v>1300</v>
      </c>
      <c r="D802">
        <v>53</v>
      </c>
      <c r="E802" t="s">
        <v>807</v>
      </c>
      <c r="F802" t="str">
        <f>_xlfn.XLOOKUP(_26_03_2026_Log_Reseau_v15[[#This Row],[Cell_ID]],_26_03_2026_Registre_Maintenance_v1[ID_Antenne],_26_03_2026_Registre_Maintenance_v1[zone],"pas trouvé")</f>
        <v>pas trouvé</v>
      </c>
      <c r="G802" t="str">
        <f>_xlfn.XLOOKUP(_26_03_2026_Log_Reseau_v15[[#This Row],[Cell_ID]],_26_03_2026_Registre_Maintenance_v1[ID_Antenne],_26_03_2026_Registre_Maintenance_v1[Latitude],"non trouvé")</f>
        <v>non trouvé</v>
      </c>
      <c r="H802" t="str">
        <f>_xlfn.XLOOKUP(_26_03_2026_Log_Reseau_v15[[#This Row],[Cell_ID]],_26_03_2026_Registre_Maintenance_v1[ID_Antenne],_26_03_2026_Registre_Maintenance_v1[Longitude],"pas trouvé")</f>
        <v>pas trouvé</v>
      </c>
      <c r="I802" t="str">
        <f>_xlfn.XLOOKUP(_26_03_2026_Log_Reseau_v15[[#This Row],[Cell_ID]],_26_03_2026_Registre_Maintenance_v1[ID_Antenne],_26_03_2026_Registre_Maintenance_v1[Technologie],"non trouvé")</f>
        <v>non trouvé</v>
      </c>
      <c r="J802" t="str">
        <f>_xlfn.XLOOKUP(_26_03_2026_Log_Reseau_v15[[#This Row],[Cell_ID]],_26_03_2026_Registre_Maintenance_v1[ID_Antenne],_26_03_2026_Registre_Maintenance_v1[Equipementier],"pas trouvé")</f>
        <v>pas trouvé</v>
      </c>
      <c r="K802" t="str">
        <f>_xlfn.XLOOKUP(_26_03_2026_Log_Reseau_v15[[#This Row],[province RDC]],_26_03_2026_Client_Churn_v1[Province_Client],_26_03_2026_Client_Churn_v1[ID_Client],"non trouvé")</f>
        <v>non trouvé</v>
      </c>
      <c r="L802" t="str">
        <f>_xlfn.XLOOKUP(_26_03_2026_Log_Reseau_v15[[#This Row],[province RDC]],_26_03_2026_Client_Churn_v1[Province_Client],_26_03_2026_Client_Churn_v1[Anciennete_Mois],"non trouvé")</f>
        <v>non trouvé</v>
      </c>
      <c r="M802" t="str">
        <f>_xlfn.XLOOKUP(_26_03_2026_Log_Reseau_v15[[#This Row],[province RDC]],_26_03_2026_Client_Churn_v1[Province_Client],_26_03_2026_Client_Churn_v1[Type_Forfait],"non trouvé")</f>
        <v>non trouvé</v>
      </c>
      <c r="N802" t="str">
        <f>_xlfn.XLOOKUP(_26_03_2026_Log_Reseau_v15[[#This Row],[province RDC]],_26_03_2026_Client_Churn_v1[Province_Client],_26_03_2026_Client_Churn_v1[Duree_Cumulee_Panne_Min],"non trouvé")</f>
        <v>non trouvé</v>
      </c>
      <c r="O802" t="str">
        <f>_xlfn.XLOOKUP(_26_03_2026_Log_Reseau_v15[[#This Row],[province RDC]],_26_03_2026_Client_Churn_v1[Province_Client],_26_03_2026_Client_Churn_v1[Facture_Mensuelle],"non trouvé")</f>
        <v>non trouvé</v>
      </c>
      <c r="P802" t="str">
        <f>_xlfn.XLOOKUP(_26_03_2026_Log_Reseau_v15[[#This Row],[province RDC]],_26_03_2026_Client_Churn_v1[Province_Client],_26_03_2026_Client_Churn_v1[Plaintes_Service_Client],"non trouvé")</f>
        <v>non trouvé</v>
      </c>
    </row>
    <row r="803" spans="1:16" hidden="1" x14ac:dyDescent="0.25">
      <c r="A803" s="1">
        <v>45201</v>
      </c>
      <c r="B803" s="2">
        <v>0.95416666666666672</v>
      </c>
      <c r="C803" t="s">
        <v>1301</v>
      </c>
      <c r="D803">
        <v>32</v>
      </c>
      <c r="E803" t="s">
        <v>808</v>
      </c>
      <c r="F803" t="str">
        <f>_xlfn.XLOOKUP(_26_03_2026_Log_Reseau_v15[[#This Row],[Cell_ID]],_26_03_2026_Registre_Maintenance_v1[ID_Antenne],_26_03_2026_Registre_Maintenance_v1[zone],"pas trouvé")</f>
        <v>pas trouvé</v>
      </c>
      <c r="G803" t="str">
        <f>_xlfn.XLOOKUP(_26_03_2026_Log_Reseau_v15[[#This Row],[Cell_ID]],_26_03_2026_Registre_Maintenance_v1[ID_Antenne],_26_03_2026_Registre_Maintenance_v1[Latitude],"non trouvé")</f>
        <v>non trouvé</v>
      </c>
      <c r="H803" t="str">
        <f>_xlfn.XLOOKUP(_26_03_2026_Log_Reseau_v15[[#This Row],[Cell_ID]],_26_03_2026_Registre_Maintenance_v1[ID_Antenne],_26_03_2026_Registre_Maintenance_v1[Longitude],"pas trouvé")</f>
        <v>pas trouvé</v>
      </c>
      <c r="I803" t="str">
        <f>_xlfn.XLOOKUP(_26_03_2026_Log_Reseau_v15[[#This Row],[Cell_ID]],_26_03_2026_Registre_Maintenance_v1[ID_Antenne],_26_03_2026_Registre_Maintenance_v1[Technologie],"non trouvé")</f>
        <v>non trouvé</v>
      </c>
      <c r="J803" t="str">
        <f>_xlfn.XLOOKUP(_26_03_2026_Log_Reseau_v15[[#This Row],[Cell_ID]],_26_03_2026_Registre_Maintenance_v1[ID_Antenne],_26_03_2026_Registre_Maintenance_v1[Equipementier],"pas trouvé")</f>
        <v>pas trouvé</v>
      </c>
      <c r="K803" t="str">
        <f>_xlfn.XLOOKUP(_26_03_2026_Log_Reseau_v15[[#This Row],[province RDC]],_26_03_2026_Client_Churn_v1[Province_Client],_26_03_2026_Client_Churn_v1[ID_Client],"non trouvé")</f>
        <v>non trouvé</v>
      </c>
      <c r="L803" t="str">
        <f>_xlfn.XLOOKUP(_26_03_2026_Log_Reseau_v15[[#This Row],[province RDC]],_26_03_2026_Client_Churn_v1[Province_Client],_26_03_2026_Client_Churn_v1[Anciennete_Mois],"non trouvé")</f>
        <v>non trouvé</v>
      </c>
      <c r="M803" t="str">
        <f>_xlfn.XLOOKUP(_26_03_2026_Log_Reseau_v15[[#This Row],[province RDC]],_26_03_2026_Client_Churn_v1[Province_Client],_26_03_2026_Client_Churn_v1[Type_Forfait],"non trouvé")</f>
        <v>non trouvé</v>
      </c>
      <c r="N803" t="str">
        <f>_xlfn.XLOOKUP(_26_03_2026_Log_Reseau_v15[[#This Row],[province RDC]],_26_03_2026_Client_Churn_v1[Province_Client],_26_03_2026_Client_Churn_v1[Duree_Cumulee_Panne_Min],"non trouvé")</f>
        <v>non trouvé</v>
      </c>
      <c r="O803" t="str">
        <f>_xlfn.XLOOKUP(_26_03_2026_Log_Reseau_v15[[#This Row],[province RDC]],_26_03_2026_Client_Churn_v1[Province_Client],_26_03_2026_Client_Churn_v1[Facture_Mensuelle],"non trouvé")</f>
        <v>non trouvé</v>
      </c>
      <c r="P803" t="str">
        <f>_xlfn.XLOOKUP(_26_03_2026_Log_Reseau_v15[[#This Row],[province RDC]],_26_03_2026_Client_Churn_v1[Province_Client],_26_03_2026_Client_Churn_v1[Plaintes_Service_Client],"non trouvé")</f>
        <v>non trouvé</v>
      </c>
    </row>
    <row r="804" spans="1:16" x14ac:dyDescent="0.25">
      <c r="A804" s="1">
        <v>45211</v>
      </c>
      <c r="B804" s="2">
        <v>0.12847222222222221</v>
      </c>
      <c r="C804" t="s">
        <v>1302</v>
      </c>
      <c r="D804">
        <v>110</v>
      </c>
      <c r="E804" t="s">
        <v>808</v>
      </c>
      <c r="F804" t="str">
        <f>_xlfn.XLOOKUP(_26_03_2026_Log_Reseau_v15[[#This Row],[Cell_ID]],_26_03_2026_Registre_Maintenance_v1[ID_Antenne],_26_03_2026_Registre_Maintenance_v1[zone],"pas trouvé")</f>
        <v>Sud-Kivu</v>
      </c>
      <c r="G804">
        <f>_xlfn.XLOOKUP(_26_03_2026_Log_Reseau_v15[[#This Row],[Cell_ID]],_26_03_2026_Registre_Maintenance_v1[ID_Antenne],_26_03_2026_Registre_Maintenance_v1[Latitude],"non trouvé")</f>
        <v>2.453036</v>
      </c>
      <c r="H804">
        <f>_xlfn.XLOOKUP(_26_03_2026_Log_Reseau_v15[[#This Row],[Cell_ID]],_26_03_2026_Registre_Maintenance_v1[ID_Antenne],_26_03_2026_Registre_Maintenance_v1[Longitude],"pas trouvé")</f>
        <v>20.555484</v>
      </c>
      <c r="I804" t="str">
        <f>_xlfn.XLOOKUP(_26_03_2026_Log_Reseau_v15[[#This Row],[Cell_ID]],_26_03_2026_Registre_Maintenance_v1[ID_Antenne],_26_03_2026_Registre_Maintenance_v1[Technologie],"non trouvé")</f>
        <v>5G</v>
      </c>
      <c r="J804" t="str">
        <f>_xlfn.XLOOKUP(_26_03_2026_Log_Reseau_v15[[#This Row],[Cell_ID]],_26_03_2026_Registre_Maintenance_v1[ID_Antenne],_26_03_2026_Registre_Maintenance_v1[Equipementier],"pas trouvé")</f>
        <v>Ericsson</v>
      </c>
      <c r="K804" t="str">
        <f>_xlfn.XLOOKUP(_26_03_2026_Log_Reseau_v15[[#This Row],[province RDC]],_26_03_2026_Client_Churn_v1[Province_Client],_26_03_2026_Client_Churn_v1[ID_Client],"non trouvé")</f>
        <v>CLI-01855</v>
      </c>
      <c r="L804">
        <f>_xlfn.XLOOKUP(_26_03_2026_Log_Reseau_v15[[#This Row],[province RDC]],_26_03_2026_Client_Churn_v1[Province_Client],_26_03_2026_Client_Churn_v1[Anciennete_Mois],"non trouvé")</f>
        <v>101</v>
      </c>
      <c r="M804" t="str">
        <f>_xlfn.XLOOKUP(_26_03_2026_Log_Reseau_v15[[#This Row],[province RDC]],_26_03_2026_Client_Churn_v1[Province_Client],_26_03_2026_Client_Churn_v1[Type_Forfait],"non trouvé")</f>
        <v>Illimité 50Go</v>
      </c>
      <c r="N804">
        <f>_xlfn.XLOOKUP(_26_03_2026_Log_Reseau_v15[[#This Row],[province RDC]],_26_03_2026_Client_Churn_v1[Province_Client],_26_03_2026_Client_Churn_v1[Duree_Cumulee_Panne_Min],"non trouvé")</f>
        <v>358</v>
      </c>
      <c r="O804">
        <f>_xlfn.XLOOKUP(_26_03_2026_Log_Reseau_v15[[#This Row],[province RDC]],_26_03_2026_Client_Churn_v1[Province_Client],_26_03_2026_Client_Churn_v1[Facture_Mensuelle],"non trouvé")</f>
        <v>29.24</v>
      </c>
      <c r="P804">
        <f>_xlfn.XLOOKUP(_26_03_2026_Log_Reseau_v15[[#This Row],[province RDC]],_26_03_2026_Client_Churn_v1[Province_Client],_26_03_2026_Client_Churn_v1[Plaintes_Service_Client],"non trouvé")</f>
        <v>3</v>
      </c>
    </row>
    <row r="805" spans="1:16" x14ac:dyDescent="0.25">
      <c r="A805" s="1">
        <v>45207</v>
      </c>
      <c r="B805" s="2">
        <v>7.0833333333333331E-2</v>
      </c>
      <c r="C805" t="s">
        <v>1303</v>
      </c>
      <c r="D805">
        <v>94</v>
      </c>
      <c r="E805" t="s">
        <v>808</v>
      </c>
      <c r="F805" t="str">
        <f>_xlfn.XLOOKUP(_26_03_2026_Log_Reseau_v15[[#This Row],[Cell_ID]],_26_03_2026_Registre_Maintenance_v1[ID_Antenne],_26_03_2026_Registre_Maintenance_v1[zone],"pas trouvé")</f>
        <v>Equateur</v>
      </c>
      <c r="G805">
        <f>_xlfn.XLOOKUP(_26_03_2026_Log_Reseau_v15[[#This Row],[Cell_ID]],_26_03_2026_Registre_Maintenance_v1[ID_Antenne],_26_03_2026_Registre_Maintenance_v1[Latitude],"non trouvé")</f>
        <v>-1.1284540000000001</v>
      </c>
      <c r="H805">
        <f>_xlfn.XLOOKUP(_26_03_2026_Log_Reseau_v15[[#This Row],[Cell_ID]],_26_03_2026_Registre_Maintenance_v1[ID_Antenne],_26_03_2026_Registre_Maintenance_v1[Longitude],"pas trouvé")</f>
        <v>23.000360000000001</v>
      </c>
      <c r="I805" t="str">
        <f>_xlfn.XLOOKUP(_26_03_2026_Log_Reseau_v15[[#This Row],[Cell_ID]],_26_03_2026_Registre_Maintenance_v1[ID_Antenne],_26_03_2026_Registre_Maintenance_v1[Technologie],"non trouvé")</f>
        <v>5G</v>
      </c>
      <c r="J805" t="str">
        <f>_xlfn.XLOOKUP(_26_03_2026_Log_Reseau_v15[[#This Row],[Cell_ID]],_26_03_2026_Registre_Maintenance_v1[ID_Antenne],_26_03_2026_Registre_Maintenance_v1[Equipementier],"pas trouvé")</f>
        <v>Ericsson</v>
      </c>
      <c r="K805" t="str">
        <f>_xlfn.XLOOKUP(_26_03_2026_Log_Reseau_v15[[#This Row],[province RDC]],_26_03_2026_Client_Churn_v1[Province_Client],_26_03_2026_Client_Churn_v1[ID_Client],"non trouvé")</f>
        <v>CLI-00643</v>
      </c>
      <c r="L805">
        <f>_xlfn.XLOOKUP(_26_03_2026_Log_Reseau_v15[[#This Row],[province RDC]],_26_03_2026_Client_Churn_v1[Province_Client],_26_03_2026_Client_Churn_v1[Anciennete_Mois],"non trouvé")</f>
        <v>14</v>
      </c>
      <c r="M805" t="str">
        <f>_xlfn.XLOOKUP(_26_03_2026_Log_Reseau_v15[[#This Row],[province RDC]],_26_03_2026_Client_Churn_v1[Province_Client],_26_03_2026_Client_Churn_v1[Type_Forfait],"non trouvé")</f>
        <v>Pro Monde</v>
      </c>
      <c r="N805">
        <f>_xlfn.XLOOKUP(_26_03_2026_Log_Reseau_v15[[#This Row],[province RDC]],_26_03_2026_Client_Churn_v1[Province_Client],_26_03_2026_Client_Churn_v1[Duree_Cumulee_Panne_Min],"non trouvé")</f>
        <v>316</v>
      </c>
      <c r="O805">
        <f>_xlfn.XLOOKUP(_26_03_2026_Log_Reseau_v15[[#This Row],[province RDC]],_26_03_2026_Client_Churn_v1[Province_Client],_26_03_2026_Client_Churn_v1[Facture_Mensuelle],"non trouvé")</f>
        <v>62.34</v>
      </c>
      <c r="P805">
        <f>_xlfn.XLOOKUP(_26_03_2026_Log_Reseau_v15[[#This Row],[province RDC]],_26_03_2026_Client_Churn_v1[Province_Client],_26_03_2026_Client_Churn_v1[Plaintes_Service_Client],"non trouvé")</f>
        <v>4</v>
      </c>
    </row>
    <row r="806" spans="1:16" x14ac:dyDescent="0.25">
      <c r="A806" s="1">
        <v>45221</v>
      </c>
      <c r="B806" s="2">
        <v>0.72499999999999998</v>
      </c>
      <c r="C806" t="s">
        <v>1304</v>
      </c>
      <c r="D806">
        <v>55</v>
      </c>
      <c r="E806" t="s">
        <v>808</v>
      </c>
      <c r="F806" t="str">
        <f>_xlfn.XLOOKUP(_26_03_2026_Log_Reseau_v15[[#This Row],[Cell_ID]],_26_03_2026_Registre_Maintenance_v1[ID_Antenne],_26_03_2026_Registre_Maintenance_v1[zone],"pas trouvé")</f>
        <v>Kasai-Oriental</v>
      </c>
      <c r="G806">
        <f>_xlfn.XLOOKUP(_26_03_2026_Log_Reseau_v15[[#This Row],[Cell_ID]],_26_03_2026_Registre_Maintenance_v1[ID_Antenne],_26_03_2026_Registre_Maintenance_v1[Latitude],"non trouvé")</f>
        <v>-1.3976519999999999</v>
      </c>
      <c r="H806">
        <f>_xlfn.XLOOKUP(_26_03_2026_Log_Reseau_v15[[#This Row],[Cell_ID]],_26_03_2026_Registre_Maintenance_v1[ID_Antenne],_26_03_2026_Registre_Maintenance_v1[Longitude],"pas trouvé")</f>
        <v>14.098819000000001</v>
      </c>
      <c r="I806" t="str">
        <f>_xlfn.XLOOKUP(_26_03_2026_Log_Reseau_v15[[#This Row],[Cell_ID]],_26_03_2026_Registre_Maintenance_v1[ID_Antenne],_26_03_2026_Registre_Maintenance_v1[Technologie],"non trouvé")</f>
        <v>3G</v>
      </c>
      <c r="J806" t="str">
        <f>_xlfn.XLOOKUP(_26_03_2026_Log_Reseau_v15[[#This Row],[Cell_ID]],_26_03_2026_Registre_Maintenance_v1[ID_Antenne],_26_03_2026_Registre_Maintenance_v1[Equipementier],"pas trouvé")</f>
        <v>Ericsson</v>
      </c>
      <c r="K806" t="str">
        <f>_xlfn.XLOOKUP(_26_03_2026_Log_Reseau_v15[[#This Row],[province RDC]],_26_03_2026_Client_Churn_v1[Province_Client],_26_03_2026_Client_Churn_v1[ID_Client],"non trouvé")</f>
        <v>CLI-01837</v>
      </c>
      <c r="L806">
        <f>_xlfn.XLOOKUP(_26_03_2026_Log_Reseau_v15[[#This Row],[province RDC]],_26_03_2026_Client_Churn_v1[Province_Client],_26_03_2026_Client_Churn_v1[Anciennete_Mois],"non trouvé")</f>
        <v>97</v>
      </c>
      <c r="M806" t="str">
        <f>_xlfn.XLOOKUP(_26_03_2026_Log_Reseau_v15[[#This Row],[province RDC]],_26_03_2026_Client_Churn_v1[Province_Client],_26_03_2026_Client_Churn_v1[Type_Forfait],"non trouvé")</f>
        <v>Pro Monde</v>
      </c>
      <c r="N806">
        <f>_xlfn.XLOOKUP(_26_03_2026_Log_Reseau_v15[[#This Row],[province RDC]],_26_03_2026_Client_Churn_v1[Province_Client],_26_03_2026_Client_Churn_v1[Duree_Cumulee_Panne_Min],"non trouvé")</f>
        <v>319</v>
      </c>
      <c r="O806">
        <f>_xlfn.XLOOKUP(_26_03_2026_Log_Reseau_v15[[#This Row],[province RDC]],_26_03_2026_Client_Churn_v1[Province_Client],_26_03_2026_Client_Churn_v1[Facture_Mensuelle],"non trouvé")</f>
        <v>31.25</v>
      </c>
      <c r="P806">
        <f>_xlfn.XLOOKUP(_26_03_2026_Log_Reseau_v15[[#This Row],[province RDC]],_26_03_2026_Client_Churn_v1[Province_Client],_26_03_2026_Client_Churn_v1[Plaintes_Service_Client],"non trouvé")</f>
        <v>1</v>
      </c>
    </row>
    <row r="807" spans="1:16" x14ac:dyDescent="0.25">
      <c r="A807" s="1">
        <v>45203</v>
      </c>
      <c r="B807" s="2">
        <v>0.60347222222222219</v>
      </c>
      <c r="C807" t="s">
        <v>1305</v>
      </c>
      <c r="D807">
        <v>106</v>
      </c>
      <c r="E807" t="s">
        <v>808</v>
      </c>
      <c r="F807" t="str">
        <f>_xlfn.XLOOKUP(_26_03_2026_Log_Reseau_v15[[#This Row],[Cell_ID]],_26_03_2026_Registre_Maintenance_v1[ID_Antenne],_26_03_2026_Registre_Maintenance_v1[zone],"pas trouvé")</f>
        <v>Haut-Katanga</v>
      </c>
      <c r="G807">
        <f>_xlfn.XLOOKUP(_26_03_2026_Log_Reseau_v15[[#This Row],[Cell_ID]],_26_03_2026_Registre_Maintenance_v1[ID_Antenne],_26_03_2026_Registre_Maintenance_v1[Latitude],"non trouvé")</f>
        <v>-5.1507670000000001</v>
      </c>
      <c r="H807">
        <f>_xlfn.XLOOKUP(_26_03_2026_Log_Reseau_v15[[#This Row],[Cell_ID]],_26_03_2026_Registre_Maintenance_v1[ID_Antenne],_26_03_2026_Registre_Maintenance_v1[Longitude],"pas trouvé")</f>
        <v>28.075324999999999</v>
      </c>
      <c r="I807" t="str">
        <f>_xlfn.XLOOKUP(_26_03_2026_Log_Reseau_v15[[#This Row],[Cell_ID]],_26_03_2026_Registre_Maintenance_v1[ID_Antenne],_26_03_2026_Registre_Maintenance_v1[Technologie],"non trouvé")</f>
        <v>5G</v>
      </c>
      <c r="J807" t="str">
        <f>_xlfn.XLOOKUP(_26_03_2026_Log_Reseau_v15[[#This Row],[Cell_ID]],_26_03_2026_Registre_Maintenance_v1[ID_Antenne],_26_03_2026_Registre_Maintenance_v1[Equipementier],"pas trouvé")</f>
        <v>Huawei</v>
      </c>
      <c r="K807" t="str">
        <f>_xlfn.XLOOKUP(_26_03_2026_Log_Reseau_v15[[#This Row],[province RDC]],_26_03_2026_Client_Churn_v1[Province_Client],_26_03_2026_Client_Churn_v1[ID_Client],"non trouvé")</f>
        <v>CLI-00076</v>
      </c>
      <c r="L807">
        <f>_xlfn.XLOOKUP(_26_03_2026_Log_Reseau_v15[[#This Row],[province RDC]],_26_03_2026_Client_Churn_v1[Province_Client],_26_03_2026_Client_Churn_v1[Anciennete_Mois],"non trouvé")</f>
        <v>46</v>
      </c>
      <c r="M807" t="str">
        <f>_xlfn.XLOOKUP(_26_03_2026_Log_Reseau_v15[[#This Row],[province RDC]],_26_03_2026_Client_Churn_v1[Province_Client],_26_03_2026_Client_Churn_v1[Type_Forfait],"non trouvé")</f>
        <v>Premium 5G 150Go</v>
      </c>
      <c r="N807">
        <f>_xlfn.XLOOKUP(_26_03_2026_Log_Reseau_v15[[#This Row],[province RDC]],_26_03_2026_Client_Churn_v1[Province_Client],_26_03_2026_Client_Churn_v1[Duree_Cumulee_Panne_Min],"non trouvé")</f>
        <v>283</v>
      </c>
      <c r="O807">
        <f>_xlfn.XLOOKUP(_26_03_2026_Log_Reseau_v15[[#This Row],[province RDC]],_26_03_2026_Client_Churn_v1[Province_Client],_26_03_2026_Client_Churn_v1[Facture_Mensuelle],"non trouvé")</f>
        <v>56.05</v>
      </c>
      <c r="P807">
        <f>_xlfn.XLOOKUP(_26_03_2026_Log_Reseau_v15[[#This Row],[province RDC]],_26_03_2026_Client_Churn_v1[Province_Client],_26_03_2026_Client_Churn_v1[Plaintes_Service_Client],"non trouvé")</f>
        <v>1</v>
      </c>
    </row>
    <row r="808" spans="1:16" x14ac:dyDescent="0.25">
      <c r="A808" s="1">
        <v>45221</v>
      </c>
      <c r="B808" s="2">
        <v>0.6479166666666667</v>
      </c>
      <c r="C808" t="s">
        <v>1306</v>
      </c>
      <c r="D808">
        <v>67</v>
      </c>
      <c r="E808" t="s">
        <v>807</v>
      </c>
      <c r="F808" t="str">
        <f>_xlfn.XLOOKUP(_26_03_2026_Log_Reseau_v15[[#This Row],[Cell_ID]],_26_03_2026_Registre_Maintenance_v1[ID_Antenne],_26_03_2026_Registre_Maintenance_v1[zone],"pas trouvé")</f>
        <v>Haut-Uele</v>
      </c>
      <c r="G808">
        <f>_xlfn.XLOOKUP(_26_03_2026_Log_Reseau_v15[[#This Row],[Cell_ID]],_26_03_2026_Registre_Maintenance_v1[ID_Antenne],_26_03_2026_Registre_Maintenance_v1[Latitude],"non trouvé")</f>
        <v>-11.924048000000001</v>
      </c>
      <c r="H808">
        <f>_xlfn.XLOOKUP(_26_03_2026_Log_Reseau_v15[[#This Row],[Cell_ID]],_26_03_2026_Registre_Maintenance_v1[ID_Antenne],_26_03_2026_Registre_Maintenance_v1[Longitude],"pas trouvé")</f>
        <v>24.177174999999998</v>
      </c>
      <c r="I808" t="str">
        <f>_xlfn.XLOOKUP(_26_03_2026_Log_Reseau_v15[[#This Row],[Cell_ID]],_26_03_2026_Registre_Maintenance_v1[ID_Antenne],_26_03_2026_Registre_Maintenance_v1[Technologie],"non trouvé")</f>
        <v>3G</v>
      </c>
      <c r="J808" t="str">
        <f>_xlfn.XLOOKUP(_26_03_2026_Log_Reseau_v15[[#This Row],[Cell_ID]],_26_03_2026_Registre_Maintenance_v1[ID_Antenne],_26_03_2026_Registre_Maintenance_v1[Equipementier],"pas trouvé")</f>
        <v>Nokia</v>
      </c>
      <c r="K808" t="str">
        <f>_xlfn.XLOOKUP(_26_03_2026_Log_Reseau_v15[[#This Row],[province RDC]],_26_03_2026_Client_Churn_v1[Province_Client],_26_03_2026_Client_Churn_v1[ID_Client],"non trouvé")</f>
        <v>CLI-00439</v>
      </c>
      <c r="L808">
        <f>_xlfn.XLOOKUP(_26_03_2026_Log_Reseau_v15[[#This Row],[province RDC]],_26_03_2026_Client_Churn_v1[Province_Client],_26_03_2026_Client_Churn_v1[Anciennete_Mois],"non trouvé")</f>
        <v>40</v>
      </c>
      <c r="M808" t="str">
        <f>_xlfn.XLOOKUP(_26_03_2026_Log_Reseau_v15[[#This Row],[province RDC]],_26_03_2026_Client_Churn_v1[Province_Client],_26_03_2026_Client_Churn_v1[Type_Forfait],"non trouvé")</f>
        <v>Premium 5G 150Go</v>
      </c>
      <c r="N808">
        <f>_xlfn.XLOOKUP(_26_03_2026_Log_Reseau_v15[[#This Row],[province RDC]],_26_03_2026_Client_Churn_v1[Province_Client],_26_03_2026_Client_Churn_v1[Duree_Cumulee_Panne_Min],"non trouvé")</f>
        <v>345</v>
      </c>
      <c r="O808">
        <f>_xlfn.XLOOKUP(_26_03_2026_Log_Reseau_v15[[#This Row],[province RDC]],_26_03_2026_Client_Churn_v1[Province_Client],_26_03_2026_Client_Churn_v1[Facture_Mensuelle],"non trouvé")</f>
        <v>89.55</v>
      </c>
      <c r="P808">
        <f>_xlfn.XLOOKUP(_26_03_2026_Log_Reseau_v15[[#This Row],[province RDC]],_26_03_2026_Client_Churn_v1[Province_Client],_26_03_2026_Client_Churn_v1[Plaintes_Service_Client],"non trouvé")</f>
        <v>3</v>
      </c>
    </row>
    <row r="809" spans="1:16" hidden="1" x14ac:dyDescent="0.25">
      <c r="A809" s="1">
        <v>45217</v>
      </c>
      <c r="B809" s="2">
        <v>0.29583333333333334</v>
      </c>
      <c r="C809" t="s">
        <v>1307</v>
      </c>
      <c r="D809">
        <v>119</v>
      </c>
      <c r="E809" t="s">
        <v>807</v>
      </c>
      <c r="F809" t="str">
        <f>_xlfn.XLOOKUP(_26_03_2026_Log_Reseau_v15[[#This Row],[Cell_ID]],_26_03_2026_Registre_Maintenance_v1[ID_Antenne],_26_03_2026_Registre_Maintenance_v1[zone],"pas trouvé")</f>
        <v>pas trouvé</v>
      </c>
      <c r="G809" t="str">
        <f>_xlfn.XLOOKUP(_26_03_2026_Log_Reseau_v15[[#This Row],[Cell_ID]],_26_03_2026_Registre_Maintenance_v1[ID_Antenne],_26_03_2026_Registre_Maintenance_v1[Latitude],"non trouvé")</f>
        <v>non trouvé</v>
      </c>
      <c r="H809" t="str">
        <f>_xlfn.XLOOKUP(_26_03_2026_Log_Reseau_v15[[#This Row],[Cell_ID]],_26_03_2026_Registre_Maintenance_v1[ID_Antenne],_26_03_2026_Registre_Maintenance_v1[Longitude],"pas trouvé")</f>
        <v>pas trouvé</v>
      </c>
      <c r="I809" t="str">
        <f>_xlfn.XLOOKUP(_26_03_2026_Log_Reseau_v15[[#This Row],[Cell_ID]],_26_03_2026_Registre_Maintenance_v1[ID_Antenne],_26_03_2026_Registre_Maintenance_v1[Technologie],"non trouvé")</f>
        <v>non trouvé</v>
      </c>
      <c r="J809" t="str">
        <f>_xlfn.XLOOKUP(_26_03_2026_Log_Reseau_v15[[#This Row],[Cell_ID]],_26_03_2026_Registre_Maintenance_v1[ID_Antenne],_26_03_2026_Registre_Maintenance_v1[Equipementier],"pas trouvé")</f>
        <v>pas trouvé</v>
      </c>
      <c r="K809" t="str">
        <f>_xlfn.XLOOKUP(_26_03_2026_Log_Reseau_v15[[#This Row],[province RDC]],_26_03_2026_Client_Churn_v1[Province_Client],_26_03_2026_Client_Churn_v1[ID_Client],"non trouvé")</f>
        <v>non trouvé</v>
      </c>
      <c r="L809" t="str">
        <f>_xlfn.XLOOKUP(_26_03_2026_Log_Reseau_v15[[#This Row],[province RDC]],_26_03_2026_Client_Churn_v1[Province_Client],_26_03_2026_Client_Churn_v1[Anciennete_Mois],"non trouvé")</f>
        <v>non trouvé</v>
      </c>
      <c r="M809" t="str">
        <f>_xlfn.XLOOKUP(_26_03_2026_Log_Reseau_v15[[#This Row],[province RDC]],_26_03_2026_Client_Churn_v1[Province_Client],_26_03_2026_Client_Churn_v1[Type_Forfait],"non trouvé")</f>
        <v>non trouvé</v>
      </c>
      <c r="N809" t="str">
        <f>_xlfn.XLOOKUP(_26_03_2026_Log_Reseau_v15[[#This Row],[province RDC]],_26_03_2026_Client_Churn_v1[Province_Client],_26_03_2026_Client_Churn_v1[Duree_Cumulee_Panne_Min],"non trouvé")</f>
        <v>non trouvé</v>
      </c>
      <c r="O809" t="str">
        <f>_xlfn.XLOOKUP(_26_03_2026_Log_Reseau_v15[[#This Row],[province RDC]],_26_03_2026_Client_Churn_v1[Province_Client],_26_03_2026_Client_Churn_v1[Facture_Mensuelle],"non trouvé")</f>
        <v>non trouvé</v>
      </c>
      <c r="P809" t="str">
        <f>_xlfn.XLOOKUP(_26_03_2026_Log_Reseau_v15[[#This Row],[province RDC]],_26_03_2026_Client_Churn_v1[Province_Client],_26_03_2026_Client_Churn_v1[Plaintes_Service_Client],"non trouvé")</f>
        <v>non trouvé</v>
      </c>
    </row>
    <row r="810" spans="1:16" hidden="1" x14ac:dyDescent="0.25">
      <c r="A810" s="1">
        <v>45222</v>
      </c>
      <c r="B810" s="2">
        <v>0.93819444444444444</v>
      </c>
      <c r="C810" t="s">
        <v>1308</v>
      </c>
      <c r="D810">
        <v>36</v>
      </c>
      <c r="E810" t="s">
        <v>807</v>
      </c>
      <c r="F810" t="str">
        <f>_xlfn.XLOOKUP(_26_03_2026_Log_Reseau_v15[[#This Row],[Cell_ID]],_26_03_2026_Registre_Maintenance_v1[ID_Antenne],_26_03_2026_Registre_Maintenance_v1[zone],"pas trouvé")</f>
        <v>pas trouvé</v>
      </c>
      <c r="G810" t="str">
        <f>_xlfn.XLOOKUP(_26_03_2026_Log_Reseau_v15[[#This Row],[Cell_ID]],_26_03_2026_Registre_Maintenance_v1[ID_Antenne],_26_03_2026_Registre_Maintenance_v1[Latitude],"non trouvé")</f>
        <v>non trouvé</v>
      </c>
      <c r="H810" t="str">
        <f>_xlfn.XLOOKUP(_26_03_2026_Log_Reseau_v15[[#This Row],[Cell_ID]],_26_03_2026_Registre_Maintenance_v1[ID_Antenne],_26_03_2026_Registre_Maintenance_v1[Longitude],"pas trouvé")</f>
        <v>pas trouvé</v>
      </c>
      <c r="I810" t="str">
        <f>_xlfn.XLOOKUP(_26_03_2026_Log_Reseau_v15[[#This Row],[Cell_ID]],_26_03_2026_Registre_Maintenance_v1[ID_Antenne],_26_03_2026_Registre_Maintenance_v1[Technologie],"non trouvé")</f>
        <v>non trouvé</v>
      </c>
      <c r="J810" t="str">
        <f>_xlfn.XLOOKUP(_26_03_2026_Log_Reseau_v15[[#This Row],[Cell_ID]],_26_03_2026_Registre_Maintenance_v1[ID_Antenne],_26_03_2026_Registre_Maintenance_v1[Equipementier],"pas trouvé")</f>
        <v>pas trouvé</v>
      </c>
      <c r="K810" t="str">
        <f>_xlfn.XLOOKUP(_26_03_2026_Log_Reseau_v15[[#This Row],[province RDC]],_26_03_2026_Client_Churn_v1[Province_Client],_26_03_2026_Client_Churn_v1[ID_Client],"non trouvé")</f>
        <v>non trouvé</v>
      </c>
      <c r="L810" t="str">
        <f>_xlfn.XLOOKUP(_26_03_2026_Log_Reseau_v15[[#This Row],[province RDC]],_26_03_2026_Client_Churn_v1[Province_Client],_26_03_2026_Client_Churn_v1[Anciennete_Mois],"non trouvé")</f>
        <v>non trouvé</v>
      </c>
      <c r="M810" t="str">
        <f>_xlfn.XLOOKUP(_26_03_2026_Log_Reseau_v15[[#This Row],[province RDC]],_26_03_2026_Client_Churn_v1[Province_Client],_26_03_2026_Client_Churn_v1[Type_Forfait],"non trouvé")</f>
        <v>non trouvé</v>
      </c>
      <c r="N810" t="str">
        <f>_xlfn.XLOOKUP(_26_03_2026_Log_Reseau_v15[[#This Row],[province RDC]],_26_03_2026_Client_Churn_v1[Province_Client],_26_03_2026_Client_Churn_v1[Duree_Cumulee_Panne_Min],"non trouvé")</f>
        <v>non trouvé</v>
      </c>
      <c r="O810" t="str">
        <f>_xlfn.XLOOKUP(_26_03_2026_Log_Reseau_v15[[#This Row],[province RDC]],_26_03_2026_Client_Churn_v1[Province_Client],_26_03_2026_Client_Churn_v1[Facture_Mensuelle],"non trouvé")</f>
        <v>non trouvé</v>
      </c>
      <c r="P810" t="str">
        <f>_xlfn.XLOOKUP(_26_03_2026_Log_Reseau_v15[[#This Row],[province RDC]],_26_03_2026_Client_Churn_v1[Province_Client],_26_03_2026_Client_Churn_v1[Plaintes_Service_Client],"non trouvé")</f>
        <v>non trouvé</v>
      </c>
    </row>
    <row r="811" spans="1:16" x14ac:dyDescent="0.25">
      <c r="A811" s="1">
        <v>45213</v>
      </c>
      <c r="B811" s="2">
        <v>0.94861111111111107</v>
      </c>
      <c r="C811" t="s">
        <v>1309</v>
      </c>
      <c r="D811">
        <v>72</v>
      </c>
      <c r="E811" t="s">
        <v>808</v>
      </c>
      <c r="F811" t="str">
        <f>_xlfn.XLOOKUP(_26_03_2026_Log_Reseau_v15[[#This Row],[Cell_ID]],_26_03_2026_Registre_Maintenance_v1[ID_Antenne],_26_03_2026_Registre_Maintenance_v1[zone],"pas trouvé")</f>
        <v>Sankuru</v>
      </c>
      <c r="G811">
        <f>_xlfn.XLOOKUP(_26_03_2026_Log_Reseau_v15[[#This Row],[Cell_ID]],_26_03_2026_Registre_Maintenance_v1[ID_Antenne],_26_03_2026_Registre_Maintenance_v1[Latitude],"non trouvé")</f>
        <v>-2.7140689999999998</v>
      </c>
      <c r="H811">
        <f>_xlfn.XLOOKUP(_26_03_2026_Log_Reseau_v15[[#This Row],[Cell_ID]],_26_03_2026_Registre_Maintenance_v1[ID_Antenne],_26_03_2026_Registre_Maintenance_v1[Longitude],"pas trouvé")</f>
        <v>22.222104000000002</v>
      </c>
      <c r="I811" t="str">
        <f>_xlfn.XLOOKUP(_26_03_2026_Log_Reseau_v15[[#This Row],[Cell_ID]],_26_03_2026_Registre_Maintenance_v1[ID_Antenne],_26_03_2026_Registre_Maintenance_v1[Technologie],"non trouvé")</f>
        <v>4G</v>
      </c>
      <c r="J811" t="str">
        <f>_xlfn.XLOOKUP(_26_03_2026_Log_Reseau_v15[[#This Row],[Cell_ID]],_26_03_2026_Registre_Maintenance_v1[ID_Antenne],_26_03_2026_Registre_Maintenance_v1[Equipementier],"pas trouvé")</f>
        <v>Nokia</v>
      </c>
      <c r="K811" t="str">
        <f>_xlfn.XLOOKUP(_26_03_2026_Log_Reseau_v15[[#This Row],[province RDC]],_26_03_2026_Client_Churn_v1[Province_Client],_26_03_2026_Client_Churn_v1[ID_Client],"non trouvé")</f>
        <v>CLI-00530</v>
      </c>
      <c r="L811">
        <f>_xlfn.XLOOKUP(_26_03_2026_Log_Reseau_v15[[#This Row],[province RDC]],_26_03_2026_Client_Churn_v1[Province_Client],_26_03_2026_Client_Churn_v1[Anciennete_Mois],"non trouvé")</f>
        <v>35</v>
      </c>
      <c r="M811" t="str">
        <f>_xlfn.XLOOKUP(_26_03_2026_Log_Reseau_v15[[#This Row],[province RDC]],_26_03_2026_Client_Churn_v1[Province_Client],_26_03_2026_Client_Churn_v1[Type_Forfait],"non trouvé")</f>
        <v>Pro Monde</v>
      </c>
      <c r="N811">
        <f>_xlfn.XLOOKUP(_26_03_2026_Log_Reseau_v15[[#This Row],[province RDC]],_26_03_2026_Client_Churn_v1[Province_Client],_26_03_2026_Client_Churn_v1[Duree_Cumulee_Panne_Min],"non trouvé")</f>
        <v>465</v>
      </c>
      <c r="O811">
        <f>_xlfn.XLOOKUP(_26_03_2026_Log_Reseau_v15[[#This Row],[province RDC]],_26_03_2026_Client_Churn_v1[Province_Client],_26_03_2026_Client_Churn_v1[Facture_Mensuelle],"non trouvé")</f>
        <v>58.59</v>
      </c>
      <c r="P811">
        <f>_xlfn.XLOOKUP(_26_03_2026_Log_Reseau_v15[[#This Row],[province RDC]],_26_03_2026_Client_Churn_v1[Province_Client],_26_03_2026_Client_Churn_v1[Plaintes_Service_Client],"non trouvé")</f>
        <v>5</v>
      </c>
    </row>
    <row r="812" spans="1:16" hidden="1" x14ac:dyDescent="0.25">
      <c r="A812" s="1">
        <v>45211</v>
      </c>
      <c r="B812" s="2">
        <v>0.38958333333333334</v>
      </c>
      <c r="C812" t="s">
        <v>1310</v>
      </c>
      <c r="D812">
        <v>76</v>
      </c>
      <c r="E812" t="s">
        <v>808</v>
      </c>
      <c r="F812" t="str">
        <f>_xlfn.XLOOKUP(_26_03_2026_Log_Reseau_v15[[#This Row],[Cell_ID]],_26_03_2026_Registre_Maintenance_v1[ID_Antenne],_26_03_2026_Registre_Maintenance_v1[zone],"pas trouvé")</f>
        <v>pas trouvé</v>
      </c>
      <c r="G812" t="str">
        <f>_xlfn.XLOOKUP(_26_03_2026_Log_Reseau_v15[[#This Row],[Cell_ID]],_26_03_2026_Registre_Maintenance_v1[ID_Antenne],_26_03_2026_Registre_Maintenance_v1[Latitude],"non trouvé")</f>
        <v>non trouvé</v>
      </c>
      <c r="H812" t="str">
        <f>_xlfn.XLOOKUP(_26_03_2026_Log_Reseau_v15[[#This Row],[Cell_ID]],_26_03_2026_Registre_Maintenance_v1[ID_Antenne],_26_03_2026_Registre_Maintenance_v1[Longitude],"pas trouvé")</f>
        <v>pas trouvé</v>
      </c>
      <c r="I812" t="str">
        <f>_xlfn.XLOOKUP(_26_03_2026_Log_Reseau_v15[[#This Row],[Cell_ID]],_26_03_2026_Registre_Maintenance_v1[ID_Antenne],_26_03_2026_Registre_Maintenance_v1[Technologie],"non trouvé")</f>
        <v>non trouvé</v>
      </c>
      <c r="J812" t="str">
        <f>_xlfn.XLOOKUP(_26_03_2026_Log_Reseau_v15[[#This Row],[Cell_ID]],_26_03_2026_Registre_Maintenance_v1[ID_Antenne],_26_03_2026_Registre_Maintenance_v1[Equipementier],"pas trouvé")</f>
        <v>pas trouvé</v>
      </c>
      <c r="K812" t="str">
        <f>_xlfn.XLOOKUP(_26_03_2026_Log_Reseau_v15[[#This Row],[province RDC]],_26_03_2026_Client_Churn_v1[Province_Client],_26_03_2026_Client_Churn_v1[ID_Client],"non trouvé")</f>
        <v>non trouvé</v>
      </c>
      <c r="L812" t="str">
        <f>_xlfn.XLOOKUP(_26_03_2026_Log_Reseau_v15[[#This Row],[province RDC]],_26_03_2026_Client_Churn_v1[Province_Client],_26_03_2026_Client_Churn_v1[Anciennete_Mois],"non trouvé")</f>
        <v>non trouvé</v>
      </c>
      <c r="M812" t="str">
        <f>_xlfn.XLOOKUP(_26_03_2026_Log_Reseau_v15[[#This Row],[province RDC]],_26_03_2026_Client_Churn_v1[Province_Client],_26_03_2026_Client_Churn_v1[Type_Forfait],"non trouvé")</f>
        <v>non trouvé</v>
      </c>
      <c r="N812" t="str">
        <f>_xlfn.XLOOKUP(_26_03_2026_Log_Reseau_v15[[#This Row],[province RDC]],_26_03_2026_Client_Churn_v1[Province_Client],_26_03_2026_Client_Churn_v1[Duree_Cumulee_Panne_Min],"non trouvé")</f>
        <v>non trouvé</v>
      </c>
      <c r="O812" t="str">
        <f>_xlfn.XLOOKUP(_26_03_2026_Log_Reseau_v15[[#This Row],[province RDC]],_26_03_2026_Client_Churn_v1[Province_Client],_26_03_2026_Client_Churn_v1[Facture_Mensuelle],"non trouvé")</f>
        <v>non trouvé</v>
      </c>
      <c r="P812" t="str">
        <f>_xlfn.XLOOKUP(_26_03_2026_Log_Reseau_v15[[#This Row],[province RDC]],_26_03_2026_Client_Churn_v1[Province_Client],_26_03_2026_Client_Churn_v1[Plaintes_Service_Client],"non trouvé")</f>
        <v>non trouvé</v>
      </c>
    </row>
    <row r="813" spans="1:16" hidden="1" x14ac:dyDescent="0.25">
      <c r="A813" s="1">
        <v>45212</v>
      </c>
      <c r="B813" s="2">
        <v>0.9291666666666667</v>
      </c>
      <c r="C813" t="s">
        <v>1311</v>
      </c>
      <c r="D813">
        <v>118</v>
      </c>
      <c r="E813" t="s">
        <v>812</v>
      </c>
      <c r="F813" t="str">
        <f>_xlfn.XLOOKUP(_26_03_2026_Log_Reseau_v15[[#This Row],[Cell_ID]],_26_03_2026_Registre_Maintenance_v1[ID_Antenne],_26_03_2026_Registre_Maintenance_v1[zone],"pas trouvé")</f>
        <v>pas trouvé</v>
      </c>
      <c r="G813" t="str">
        <f>_xlfn.XLOOKUP(_26_03_2026_Log_Reseau_v15[[#This Row],[Cell_ID]],_26_03_2026_Registre_Maintenance_v1[ID_Antenne],_26_03_2026_Registre_Maintenance_v1[Latitude],"non trouvé")</f>
        <v>non trouvé</v>
      </c>
      <c r="H813" t="str">
        <f>_xlfn.XLOOKUP(_26_03_2026_Log_Reseau_v15[[#This Row],[Cell_ID]],_26_03_2026_Registre_Maintenance_v1[ID_Antenne],_26_03_2026_Registre_Maintenance_v1[Longitude],"pas trouvé")</f>
        <v>pas trouvé</v>
      </c>
      <c r="I813" t="str">
        <f>_xlfn.XLOOKUP(_26_03_2026_Log_Reseau_v15[[#This Row],[Cell_ID]],_26_03_2026_Registre_Maintenance_v1[ID_Antenne],_26_03_2026_Registre_Maintenance_v1[Technologie],"non trouvé")</f>
        <v>non trouvé</v>
      </c>
      <c r="J813" t="str">
        <f>_xlfn.XLOOKUP(_26_03_2026_Log_Reseau_v15[[#This Row],[Cell_ID]],_26_03_2026_Registre_Maintenance_v1[ID_Antenne],_26_03_2026_Registre_Maintenance_v1[Equipementier],"pas trouvé")</f>
        <v>pas trouvé</v>
      </c>
      <c r="K813" t="str">
        <f>_xlfn.XLOOKUP(_26_03_2026_Log_Reseau_v15[[#This Row],[province RDC]],_26_03_2026_Client_Churn_v1[Province_Client],_26_03_2026_Client_Churn_v1[ID_Client],"non trouvé")</f>
        <v>non trouvé</v>
      </c>
      <c r="L813" t="str">
        <f>_xlfn.XLOOKUP(_26_03_2026_Log_Reseau_v15[[#This Row],[province RDC]],_26_03_2026_Client_Churn_v1[Province_Client],_26_03_2026_Client_Churn_v1[Anciennete_Mois],"non trouvé")</f>
        <v>non trouvé</v>
      </c>
      <c r="M813" t="str">
        <f>_xlfn.XLOOKUP(_26_03_2026_Log_Reseau_v15[[#This Row],[province RDC]],_26_03_2026_Client_Churn_v1[Province_Client],_26_03_2026_Client_Churn_v1[Type_Forfait],"non trouvé")</f>
        <v>non trouvé</v>
      </c>
      <c r="N813" t="str">
        <f>_xlfn.XLOOKUP(_26_03_2026_Log_Reseau_v15[[#This Row],[province RDC]],_26_03_2026_Client_Churn_v1[Province_Client],_26_03_2026_Client_Churn_v1[Duree_Cumulee_Panne_Min],"non trouvé")</f>
        <v>non trouvé</v>
      </c>
      <c r="O813" t="str">
        <f>_xlfn.XLOOKUP(_26_03_2026_Log_Reseau_v15[[#This Row],[province RDC]],_26_03_2026_Client_Churn_v1[Province_Client],_26_03_2026_Client_Churn_v1[Facture_Mensuelle],"non trouvé")</f>
        <v>non trouvé</v>
      </c>
      <c r="P813" t="str">
        <f>_xlfn.XLOOKUP(_26_03_2026_Log_Reseau_v15[[#This Row],[province RDC]],_26_03_2026_Client_Churn_v1[Province_Client],_26_03_2026_Client_Churn_v1[Plaintes_Service_Client],"non trouvé")</f>
        <v>non trouvé</v>
      </c>
    </row>
    <row r="814" spans="1:16" hidden="1" x14ac:dyDescent="0.25">
      <c r="A814" s="1">
        <v>45215</v>
      </c>
      <c r="B814" s="2">
        <v>0.81111111111111112</v>
      </c>
      <c r="C814" t="s">
        <v>1312</v>
      </c>
      <c r="D814">
        <v>7</v>
      </c>
      <c r="E814" t="s">
        <v>812</v>
      </c>
      <c r="F814" t="str">
        <f>_xlfn.XLOOKUP(_26_03_2026_Log_Reseau_v15[[#This Row],[Cell_ID]],_26_03_2026_Registre_Maintenance_v1[ID_Antenne],_26_03_2026_Registre_Maintenance_v1[zone],"pas trouvé")</f>
        <v>pas trouvé</v>
      </c>
      <c r="G814" t="str">
        <f>_xlfn.XLOOKUP(_26_03_2026_Log_Reseau_v15[[#This Row],[Cell_ID]],_26_03_2026_Registre_Maintenance_v1[ID_Antenne],_26_03_2026_Registre_Maintenance_v1[Latitude],"non trouvé")</f>
        <v>non trouvé</v>
      </c>
      <c r="H814" t="str">
        <f>_xlfn.XLOOKUP(_26_03_2026_Log_Reseau_v15[[#This Row],[Cell_ID]],_26_03_2026_Registre_Maintenance_v1[ID_Antenne],_26_03_2026_Registre_Maintenance_v1[Longitude],"pas trouvé")</f>
        <v>pas trouvé</v>
      </c>
      <c r="I814" t="str">
        <f>_xlfn.XLOOKUP(_26_03_2026_Log_Reseau_v15[[#This Row],[Cell_ID]],_26_03_2026_Registre_Maintenance_v1[ID_Antenne],_26_03_2026_Registre_Maintenance_v1[Technologie],"non trouvé")</f>
        <v>non trouvé</v>
      </c>
      <c r="J814" t="str">
        <f>_xlfn.XLOOKUP(_26_03_2026_Log_Reseau_v15[[#This Row],[Cell_ID]],_26_03_2026_Registre_Maintenance_v1[ID_Antenne],_26_03_2026_Registre_Maintenance_v1[Equipementier],"pas trouvé")</f>
        <v>pas trouvé</v>
      </c>
      <c r="K814" t="str">
        <f>_xlfn.XLOOKUP(_26_03_2026_Log_Reseau_v15[[#This Row],[province RDC]],_26_03_2026_Client_Churn_v1[Province_Client],_26_03_2026_Client_Churn_v1[ID_Client],"non trouvé")</f>
        <v>non trouvé</v>
      </c>
      <c r="L814" t="str">
        <f>_xlfn.XLOOKUP(_26_03_2026_Log_Reseau_v15[[#This Row],[province RDC]],_26_03_2026_Client_Churn_v1[Province_Client],_26_03_2026_Client_Churn_v1[Anciennete_Mois],"non trouvé")</f>
        <v>non trouvé</v>
      </c>
      <c r="M814" t="str">
        <f>_xlfn.XLOOKUP(_26_03_2026_Log_Reseau_v15[[#This Row],[province RDC]],_26_03_2026_Client_Churn_v1[Province_Client],_26_03_2026_Client_Churn_v1[Type_Forfait],"non trouvé")</f>
        <v>non trouvé</v>
      </c>
      <c r="N814" t="str">
        <f>_xlfn.XLOOKUP(_26_03_2026_Log_Reseau_v15[[#This Row],[province RDC]],_26_03_2026_Client_Churn_v1[Province_Client],_26_03_2026_Client_Churn_v1[Duree_Cumulee_Panne_Min],"non trouvé")</f>
        <v>non trouvé</v>
      </c>
      <c r="O814" t="str">
        <f>_xlfn.XLOOKUP(_26_03_2026_Log_Reseau_v15[[#This Row],[province RDC]],_26_03_2026_Client_Churn_v1[Province_Client],_26_03_2026_Client_Churn_v1[Facture_Mensuelle],"non trouvé")</f>
        <v>non trouvé</v>
      </c>
      <c r="P814" t="str">
        <f>_xlfn.XLOOKUP(_26_03_2026_Log_Reseau_v15[[#This Row],[province RDC]],_26_03_2026_Client_Churn_v1[Province_Client],_26_03_2026_Client_Churn_v1[Plaintes_Service_Client],"non trouvé")</f>
        <v>non trouvé</v>
      </c>
    </row>
    <row r="815" spans="1:16" hidden="1" x14ac:dyDescent="0.25">
      <c r="A815" s="1">
        <v>45215</v>
      </c>
      <c r="B815" s="2">
        <v>0.14374999999999999</v>
      </c>
      <c r="C815" t="s">
        <v>1312</v>
      </c>
      <c r="D815">
        <v>107</v>
      </c>
      <c r="E815" t="s">
        <v>808</v>
      </c>
      <c r="F815" t="str">
        <f>_xlfn.XLOOKUP(_26_03_2026_Log_Reseau_v15[[#This Row],[Cell_ID]],_26_03_2026_Registre_Maintenance_v1[ID_Antenne],_26_03_2026_Registre_Maintenance_v1[zone],"pas trouvé")</f>
        <v>pas trouvé</v>
      </c>
      <c r="G815" t="str">
        <f>_xlfn.XLOOKUP(_26_03_2026_Log_Reseau_v15[[#This Row],[Cell_ID]],_26_03_2026_Registre_Maintenance_v1[ID_Antenne],_26_03_2026_Registre_Maintenance_v1[Latitude],"non trouvé")</f>
        <v>non trouvé</v>
      </c>
      <c r="H815" t="str">
        <f>_xlfn.XLOOKUP(_26_03_2026_Log_Reseau_v15[[#This Row],[Cell_ID]],_26_03_2026_Registre_Maintenance_v1[ID_Antenne],_26_03_2026_Registre_Maintenance_v1[Longitude],"pas trouvé")</f>
        <v>pas trouvé</v>
      </c>
      <c r="I815" t="str">
        <f>_xlfn.XLOOKUP(_26_03_2026_Log_Reseau_v15[[#This Row],[Cell_ID]],_26_03_2026_Registre_Maintenance_v1[ID_Antenne],_26_03_2026_Registre_Maintenance_v1[Technologie],"non trouvé")</f>
        <v>non trouvé</v>
      </c>
      <c r="J815" t="str">
        <f>_xlfn.XLOOKUP(_26_03_2026_Log_Reseau_v15[[#This Row],[Cell_ID]],_26_03_2026_Registre_Maintenance_v1[ID_Antenne],_26_03_2026_Registre_Maintenance_v1[Equipementier],"pas trouvé")</f>
        <v>pas trouvé</v>
      </c>
      <c r="K815" t="str">
        <f>_xlfn.XLOOKUP(_26_03_2026_Log_Reseau_v15[[#This Row],[province RDC]],_26_03_2026_Client_Churn_v1[Province_Client],_26_03_2026_Client_Churn_v1[ID_Client],"non trouvé")</f>
        <v>non trouvé</v>
      </c>
      <c r="L815" t="str">
        <f>_xlfn.XLOOKUP(_26_03_2026_Log_Reseau_v15[[#This Row],[province RDC]],_26_03_2026_Client_Churn_v1[Province_Client],_26_03_2026_Client_Churn_v1[Anciennete_Mois],"non trouvé")</f>
        <v>non trouvé</v>
      </c>
      <c r="M815" t="str">
        <f>_xlfn.XLOOKUP(_26_03_2026_Log_Reseau_v15[[#This Row],[province RDC]],_26_03_2026_Client_Churn_v1[Province_Client],_26_03_2026_Client_Churn_v1[Type_Forfait],"non trouvé")</f>
        <v>non trouvé</v>
      </c>
      <c r="N815" t="str">
        <f>_xlfn.XLOOKUP(_26_03_2026_Log_Reseau_v15[[#This Row],[province RDC]],_26_03_2026_Client_Churn_v1[Province_Client],_26_03_2026_Client_Churn_v1[Duree_Cumulee_Panne_Min],"non trouvé")</f>
        <v>non trouvé</v>
      </c>
      <c r="O815" t="str">
        <f>_xlfn.XLOOKUP(_26_03_2026_Log_Reseau_v15[[#This Row],[province RDC]],_26_03_2026_Client_Churn_v1[Province_Client],_26_03_2026_Client_Churn_v1[Facture_Mensuelle],"non trouvé")</f>
        <v>non trouvé</v>
      </c>
      <c r="P815" t="str">
        <f>_xlfn.XLOOKUP(_26_03_2026_Log_Reseau_v15[[#This Row],[province RDC]],_26_03_2026_Client_Churn_v1[Province_Client],_26_03_2026_Client_Churn_v1[Plaintes_Service_Client],"non trouvé")</f>
        <v>non trouvé</v>
      </c>
    </row>
    <row r="816" spans="1:16" hidden="1" x14ac:dyDescent="0.25">
      <c r="A816" s="1">
        <v>45218</v>
      </c>
      <c r="B816" s="2">
        <v>0.90694444444444444</v>
      </c>
      <c r="C816" t="s">
        <v>1313</v>
      </c>
      <c r="D816">
        <v>8</v>
      </c>
      <c r="E816" t="s">
        <v>812</v>
      </c>
      <c r="F816" t="str">
        <f>_xlfn.XLOOKUP(_26_03_2026_Log_Reseau_v15[[#This Row],[Cell_ID]],_26_03_2026_Registre_Maintenance_v1[ID_Antenne],_26_03_2026_Registre_Maintenance_v1[zone],"pas trouvé")</f>
        <v>pas trouvé</v>
      </c>
      <c r="G816" t="str">
        <f>_xlfn.XLOOKUP(_26_03_2026_Log_Reseau_v15[[#This Row],[Cell_ID]],_26_03_2026_Registre_Maintenance_v1[ID_Antenne],_26_03_2026_Registre_Maintenance_v1[Latitude],"non trouvé")</f>
        <v>non trouvé</v>
      </c>
      <c r="H816" t="str">
        <f>_xlfn.XLOOKUP(_26_03_2026_Log_Reseau_v15[[#This Row],[Cell_ID]],_26_03_2026_Registre_Maintenance_v1[ID_Antenne],_26_03_2026_Registre_Maintenance_v1[Longitude],"pas trouvé")</f>
        <v>pas trouvé</v>
      </c>
      <c r="I816" t="str">
        <f>_xlfn.XLOOKUP(_26_03_2026_Log_Reseau_v15[[#This Row],[Cell_ID]],_26_03_2026_Registre_Maintenance_v1[ID_Antenne],_26_03_2026_Registre_Maintenance_v1[Technologie],"non trouvé")</f>
        <v>non trouvé</v>
      </c>
      <c r="J816" t="str">
        <f>_xlfn.XLOOKUP(_26_03_2026_Log_Reseau_v15[[#This Row],[Cell_ID]],_26_03_2026_Registre_Maintenance_v1[ID_Antenne],_26_03_2026_Registre_Maintenance_v1[Equipementier],"pas trouvé")</f>
        <v>pas trouvé</v>
      </c>
      <c r="K816" t="str">
        <f>_xlfn.XLOOKUP(_26_03_2026_Log_Reseau_v15[[#This Row],[province RDC]],_26_03_2026_Client_Churn_v1[Province_Client],_26_03_2026_Client_Churn_v1[ID_Client],"non trouvé")</f>
        <v>non trouvé</v>
      </c>
      <c r="L816" t="str">
        <f>_xlfn.XLOOKUP(_26_03_2026_Log_Reseau_v15[[#This Row],[province RDC]],_26_03_2026_Client_Churn_v1[Province_Client],_26_03_2026_Client_Churn_v1[Anciennete_Mois],"non trouvé")</f>
        <v>non trouvé</v>
      </c>
      <c r="M816" t="str">
        <f>_xlfn.XLOOKUP(_26_03_2026_Log_Reseau_v15[[#This Row],[province RDC]],_26_03_2026_Client_Churn_v1[Province_Client],_26_03_2026_Client_Churn_v1[Type_Forfait],"non trouvé")</f>
        <v>non trouvé</v>
      </c>
      <c r="N816" t="str">
        <f>_xlfn.XLOOKUP(_26_03_2026_Log_Reseau_v15[[#This Row],[province RDC]],_26_03_2026_Client_Churn_v1[Province_Client],_26_03_2026_Client_Churn_v1[Duree_Cumulee_Panne_Min],"non trouvé")</f>
        <v>non trouvé</v>
      </c>
      <c r="O816" t="str">
        <f>_xlfn.XLOOKUP(_26_03_2026_Log_Reseau_v15[[#This Row],[province RDC]],_26_03_2026_Client_Churn_v1[Province_Client],_26_03_2026_Client_Churn_v1[Facture_Mensuelle],"non trouvé")</f>
        <v>non trouvé</v>
      </c>
      <c r="P816" t="str">
        <f>_xlfn.XLOOKUP(_26_03_2026_Log_Reseau_v15[[#This Row],[province RDC]],_26_03_2026_Client_Churn_v1[Province_Client],_26_03_2026_Client_Churn_v1[Plaintes_Service_Client],"non trouvé")</f>
        <v>non trouvé</v>
      </c>
    </row>
    <row r="817" spans="1:16" hidden="1" x14ac:dyDescent="0.25">
      <c r="A817" s="1">
        <v>45223</v>
      </c>
      <c r="B817" s="2">
        <v>0.10208333333333333</v>
      </c>
      <c r="C817" t="s">
        <v>1313</v>
      </c>
      <c r="D817">
        <v>104</v>
      </c>
      <c r="E817" t="s">
        <v>808</v>
      </c>
      <c r="F817" t="str">
        <f>_xlfn.XLOOKUP(_26_03_2026_Log_Reseau_v15[[#This Row],[Cell_ID]],_26_03_2026_Registre_Maintenance_v1[ID_Antenne],_26_03_2026_Registre_Maintenance_v1[zone],"pas trouvé")</f>
        <v>pas trouvé</v>
      </c>
      <c r="G817" t="str">
        <f>_xlfn.XLOOKUP(_26_03_2026_Log_Reseau_v15[[#This Row],[Cell_ID]],_26_03_2026_Registre_Maintenance_v1[ID_Antenne],_26_03_2026_Registre_Maintenance_v1[Latitude],"non trouvé")</f>
        <v>non trouvé</v>
      </c>
      <c r="H817" t="str">
        <f>_xlfn.XLOOKUP(_26_03_2026_Log_Reseau_v15[[#This Row],[Cell_ID]],_26_03_2026_Registre_Maintenance_v1[ID_Antenne],_26_03_2026_Registre_Maintenance_v1[Longitude],"pas trouvé")</f>
        <v>pas trouvé</v>
      </c>
      <c r="I817" t="str">
        <f>_xlfn.XLOOKUP(_26_03_2026_Log_Reseau_v15[[#This Row],[Cell_ID]],_26_03_2026_Registre_Maintenance_v1[ID_Antenne],_26_03_2026_Registre_Maintenance_v1[Technologie],"non trouvé")</f>
        <v>non trouvé</v>
      </c>
      <c r="J817" t="str">
        <f>_xlfn.XLOOKUP(_26_03_2026_Log_Reseau_v15[[#This Row],[Cell_ID]],_26_03_2026_Registre_Maintenance_v1[ID_Antenne],_26_03_2026_Registre_Maintenance_v1[Equipementier],"pas trouvé")</f>
        <v>pas trouvé</v>
      </c>
      <c r="K817" t="str">
        <f>_xlfn.XLOOKUP(_26_03_2026_Log_Reseau_v15[[#This Row],[province RDC]],_26_03_2026_Client_Churn_v1[Province_Client],_26_03_2026_Client_Churn_v1[ID_Client],"non trouvé")</f>
        <v>non trouvé</v>
      </c>
      <c r="L817" t="str">
        <f>_xlfn.XLOOKUP(_26_03_2026_Log_Reseau_v15[[#This Row],[province RDC]],_26_03_2026_Client_Churn_v1[Province_Client],_26_03_2026_Client_Churn_v1[Anciennete_Mois],"non trouvé")</f>
        <v>non trouvé</v>
      </c>
      <c r="M817" t="str">
        <f>_xlfn.XLOOKUP(_26_03_2026_Log_Reseau_v15[[#This Row],[province RDC]],_26_03_2026_Client_Churn_v1[Province_Client],_26_03_2026_Client_Churn_v1[Type_Forfait],"non trouvé")</f>
        <v>non trouvé</v>
      </c>
      <c r="N817" t="str">
        <f>_xlfn.XLOOKUP(_26_03_2026_Log_Reseau_v15[[#This Row],[province RDC]],_26_03_2026_Client_Churn_v1[Province_Client],_26_03_2026_Client_Churn_v1[Duree_Cumulee_Panne_Min],"non trouvé")</f>
        <v>non trouvé</v>
      </c>
      <c r="O817" t="str">
        <f>_xlfn.XLOOKUP(_26_03_2026_Log_Reseau_v15[[#This Row],[province RDC]],_26_03_2026_Client_Churn_v1[Province_Client],_26_03_2026_Client_Churn_v1[Facture_Mensuelle],"non trouvé")</f>
        <v>non trouvé</v>
      </c>
      <c r="P817" t="str">
        <f>_xlfn.XLOOKUP(_26_03_2026_Log_Reseau_v15[[#This Row],[province RDC]],_26_03_2026_Client_Churn_v1[Province_Client],_26_03_2026_Client_Churn_v1[Plaintes_Service_Client],"non trouvé")</f>
        <v>non trouvé</v>
      </c>
    </row>
    <row r="818" spans="1:16" hidden="1" x14ac:dyDescent="0.25">
      <c r="A818" s="1">
        <v>45201</v>
      </c>
      <c r="B818" s="2">
        <v>4.583333333333333E-2</v>
      </c>
      <c r="C818" t="s">
        <v>1313</v>
      </c>
      <c r="D818">
        <v>83</v>
      </c>
      <c r="E818" t="s">
        <v>808</v>
      </c>
      <c r="F818" t="str">
        <f>_xlfn.XLOOKUP(_26_03_2026_Log_Reseau_v15[[#This Row],[Cell_ID]],_26_03_2026_Registre_Maintenance_v1[ID_Antenne],_26_03_2026_Registre_Maintenance_v1[zone],"pas trouvé")</f>
        <v>pas trouvé</v>
      </c>
      <c r="G818" t="str">
        <f>_xlfn.XLOOKUP(_26_03_2026_Log_Reseau_v15[[#This Row],[Cell_ID]],_26_03_2026_Registre_Maintenance_v1[ID_Antenne],_26_03_2026_Registre_Maintenance_v1[Latitude],"non trouvé")</f>
        <v>non trouvé</v>
      </c>
      <c r="H818" t="str">
        <f>_xlfn.XLOOKUP(_26_03_2026_Log_Reseau_v15[[#This Row],[Cell_ID]],_26_03_2026_Registre_Maintenance_v1[ID_Antenne],_26_03_2026_Registre_Maintenance_v1[Longitude],"pas trouvé")</f>
        <v>pas trouvé</v>
      </c>
      <c r="I818" t="str">
        <f>_xlfn.XLOOKUP(_26_03_2026_Log_Reseau_v15[[#This Row],[Cell_ID]],_26_03_2026_Registre_Maintenance_v1[ID_Antenne],_26_03_2026_Registre_Maintenance_v1[Technologie],"non trouvé")</f>
        <v>non trouvé</v>
      </c>
      <c r="J818" t="str">
        <f>_xlfn.XLOOKUP(_26_03_2026_Log_Reseau_v15[[#This Row],[Cell_ID]],_26_03_2026_Registre_Maintenance_v1[ID_Antenne],_26_03_2026_Registre_Maintenance_v1[Equipementier],"pas trouvé")</f>
        <v>pas trouvé</v>
      </c>
      <c r="K818" t="str">
        <f>_xlfn.XLOOKUP(_26_03_2026_Log_Reseau_v15[[#This Row],[province RDC]],_26_03_2026_Client_Churn_v1[Province_Client],_26_03_2026_Client_Churn_v1[ID_Client],"non trouvé")</f>
        <v>non trouvé</v>
      </c>
      <c r="L818" t="str">
        <f>_xlfn.XLOOKUP(_26_03_2026_Log_Reseau_v15[[#This Row],[province RDC]],_26_03_2026_Client_Churn_v1[Province_Client],_26_03_2026_Client_Churn_v1[Anciennete_Mois],"non trouvé")</f>
        <v>non trouvé</v>
      </c>
      <c r="M818" t="str">
        <f>_xlfn.XLOOKUP(_26_03_2026_Log_Reseau_v15[[#This Row],[province RDC]],_26_03_2026_Client_Churn_v1[Province_Client],_26_03_2026_Client_Churn_v1[Type_Forfait],"non trouvé")</f>
        <v>non trouvé</v>
      </c>
      <c r="N818" t="str">
        <f>_xlfn.XLOOKUP(_26_03_2026_Log_Reseau_v15[[#This Row],[province RDC]],_26_03_2026_Client_Churn_v1[Province_Client],_26_03_2026_Client_Churn_v1[Duree_Cumulee_Panne_Min],"non trouvé")</f>
        <v>non trouvé</v>
      </c>
      <c r="O818" t="str">
        <f>_xlfn.XLOOKUP(_26_03_2026_Log_Reseau_v15[[#This Row],[province RDC]],_26_03_2026_Client_Churn_v1[Province_Client],_26_03_2026_Client_Churn_v1[Facture_Mensuelle],"non trouvé")</f>
        <v>non trouvé</v>
      </c>
      <c r="P818" t="str">
        <f>_xlfn.XLOOKUP(_26_03_2026_Log_Reseau_v15[[#This Row],[province RDC]],_26_03_2026_Client_Churn_v1[Province_Client],_26_03_2026_Client_Churn_v1[Plaintes_Service_Client],"non trouvé")</f>
        <v>non trouvé</v>
      </c>
    </row>
    <row r="819" spans="1:16" x14ac:dyDescent="0.25">
      <c r="A819" s="1">
        <v>45210</v>
      </c>
      <c r="B819" s="2">
        <v>0.16805555555555557</v>
      </c>
      <c r="C819" t="s">
        <v>1314</v>
      </c>
      <c r="D819">
        <v>110</v>
      </c>
      <c r="E819" t="s">
        <v>807</v>
      </c>
      <c r="F819" t="str">
        <f>_xlfn.XLOOKUP(_26_03_2026_Log_Reseau_v15[[#This Row],[Cell_ID]],_26_03_2026_Registre_Maintenance_v1[ID_Antenne],_26_03_2026_Registre_Maintenance_v1[zone],"pas trouvé")</f>
        <v>Tanganyika</v>
      </c>
      <c r="G819">
        <f>_xlfn.XLOOKUP(_26_03_2026_Log_Reseau_v15[[#This Row],[Cell_ID]],_26_03_2026_Registre_Maintenance_v1[ID_Antenne],_26_03_2026_Registre_Maintenance_v1[Latitude],"non trouvé")</f>
        <v>-9.9565739999999998</v>
      </c>
      <c r="H819">
        <f>_xlfn.XLOOKUP(_26_03_2026_Log_Reseau_v15[[#This Row],[Cell_ID]],_26_03_2026_Registre_Maintenance_v1[ID_Antenne],_26_03_2026_Registre_Maintenance_v1[Longitude],"pas trouvé")</f>
        <v>21.017202000000001</v>
      </c>
      <c r="I819" t="str">
        <f>_xlfn.XLOOKUP(_26_03_2026_Log_Reseau_v15[[#This Row],[Cell_ID]],_26_03_2026_Registre_Maintenance_v1[ID_Antenne],_26_03_2026_Registre_Maintenance_v1[Technologie],"non trouvé")</f>
        <v>4G</v>
      </c>
      <c r="J819" t="str">
        <f>_xlfn.XLOOKUP(_26_03_2026_Log_Reseau_v15[[#This Row],[Cell_ID]],_26_03_2026_Registre_Maintenance_v1[ID_Antenne],_26_03_2026_Registre_Maintenance_v1[Equipementier],"pas trouvé")</f>
        <v>Huawei</v>
      </c>
      <c r="K819" t="str">
        <f>_xlfn.XLOOKUP(_26_03_2026_Log_Reseau_v15[[#This Row],[province RDC]],_26_03_2026_Client_Churn_v1[Province_Client],_26_03_2026_Client_Churn_v1[ID_Client],"non trouvé")</f>
        <v>CLI-01618</v>
      </c>
      <c r="L819">
        <f>_xlfn.XLOOKUP(_26_03_2026_Log_Reseau_v15[[#This Row],[province RDC]],_26_03_2026_Client_Churn_v1[Province_Client],_26_03_2026_Client_Churn_v1[Anciennete_Mois],"non trouvé")</f>
        <v>115</v>
      </c>
      <c r="M819" t="str">
        <f>_xlfn.XLOOKUP(_26_03_2026_Log_Reseau_v15[[#This Row],[province RDC]],_26_03_2026_Client_Churn_v1[Province_Client],_26_03_2026_Client_Churn_v1[Type_Forfait],"non trouvé")</f>
        <v>Bloqué 5Go</v>
      </c>
      <c r="N819">
        <f>_xlfn.XLOOKUP(_26_03_2026_Log_Reseau_v15[[#This Row],[province RDC]],_26_03_2026_Client_Churn_v1[Province_Client],_26_03_2026_Client_Churn_v1[Duree_Cumulee_Panne_Min],"non trouvé")</f>
        <v>176</v>
      </c>
      <c r="O819">
        <f>_xlfn.XLOOKUP(_26_03_2026_Log_Reseau_v15[[#This Row],[province RDC]],_26_03_2026_Client_Churn_v1[Province_Client],_26_03_2026_Client_Churn_v1[Facture_Mensuelle],"non trouvé")</f>
        <v>33.28</v>
      </c>
      <c r="P819">
        <f>_xlfn.XLOOKUP(_26_03_2026_Log_Reseau_v15[[#This Row],[province RDC]],_26_03_2026_Client_Churn_v1[Province_Client],_26_03_2026_Client_Churn_v1[Plaintes_Service_Client],"non trouvé")</f>
        <v>4</v>
      </c>
    </row>
    <row r="820" spans="1:16" x14ac:dyDescent="0.25">
      <c r="A820" s="1">
        <v>45209</v>
      </c>
      <c r="B820" s="2">
        <v>0.52430555555555558</v>
      </c>
      <c r="C820" t="s">
        <v>1315</v>
      </c>
      <c r="D820">
        <v>27</v>
      </c>
      <c r="E820" t="s">
        <v>812</v>
      </c>
      <c r="F820" t="str">
        <f>_xlfn.XLOOKUP(_26_03_2026_Log_Reseau_v15[[#This Row],[Cell_ID]],_26_03_2026_Registre_Maintenance_v1[ID_Antenne],_26_03_2026_Registre_Maintenance_v1[zone],"pas trouvé")</f>
        <v>Kwilu</v>
      </c>
      <c r="G820">
        <f>_xlfn.XLOOKUP(_26_03_2026_Log_Reseau_v15[[#This Row],[Cell_ID]],_26_03_2026_Registre_Maintenance_v1[ID_Antenne],_26_03_2026_Registre_Maintenance_v1[Latitude],"non trouvé")</f>
        <v>2.4741019999999998</v>
      </c>
      <c r="H820">
        <f>_xlfn.XLOOKUP(_26_03_2026_Log_Reseau_v15[[#This Row],[Cell_ID]],_26_03_2026_Registre_Maintenance_v1[ID_Antenne],_26_03_2026_Registre_Maintenance_v1[Longitude],"pas trouvé")</f>
        <v>29.297391000000001</v>
      </c>
      <c r="I820" t="str">
        <f>_xlfn.XLOOKUP(_26_03_2026_Log_Reseau_v15[[#This Row],[Cell_ID]],_26_03_2026_Registre_Maintenance_v1[ID_Antenne],_26_03_2026_Registre_Maintenance_v1[Technologie],"non trouvé")</f>
        <v>4G</v>
      </c>
      <c r="J820" t="str">
        <f>_xlfn.XLOOKUP(_26_03_2026_Log_Reseau_v15[[#This Row],[Cell_ID]],_26_03_2026_Registre_Maintenance_v1[ID_Antenne],_26_03_2026_Registre_Maintenance_v1[Equipementier],"pas trouvé")</f>
        <v>Ericsson</v>
      </c>
      <c r="K820" t="str">
        <f>_xlfn.XLOOKUP(_26_03_2026_Log_Reseau_v15[[#This Row],[province RDC]],_26_03_2026_Client_Churn_v1[Province_Client],_26_03_2026_Client_Churn_v1[ID_Client],"non trouvé")</f>
        <v>CLI-00996</v>
      </c>
      <c r="L820">
        <f>_xlfn.XLOOKUP(_26_03_2026_Log_Reseau_v15[[#This Row],[province RDC]],_26_03_2026_Client_Churn_v1[Province_Client],_26_03_2026_Client_Churn_v1[Anciennete_Mois],"non trouvé")</f>
        <v>119</v>
      </c>
      <c r="M820" t="str">
        <f>_xlfn.XLOOKUP(_26_03_2026_Log_Reseau_v15[[#This Row],[province RDC]],_26_03_2026_Client_Churn_v1[Province_Client],_26_03_2026_Client_Churn_v1[Type_Forfait],"non trouvé")</f>
        <v>Illimité 50Go</v>
      </c>
      <c r="N820">
        <f>_xlfn.XLOOKUP(_26_03_2026_Log_Reseau_v15[[#This Row],[province RDC]],_26_03_2026_Client_Churn_v1[Province_Client],_26_03_2026_Client_Churn_v1[Duree_Cumulee_Panne_Min],"non trouvé")</f>
        <v>228</v>
      </c>
      <c r="O820">
        <f>_xlfn.XLOOKUP(_26_03_2026_Log_Reseau_v15[[#This Row],[province RDC]],_26_03_2026_Client_Churn_v1[Province_Client],_26_03_2026_Client_Churn_v1[Facture_Mensuelle],"non trouvé")</f>
        <v>94.72</v>
      </c>
      <c r="P820">
        <f>_xlfn.XLOOKUP(_26_03_2026_Log_Reseau_v15[[#This Row],[province RDC]],_26_03_2026_Client_Churn_v1[Province_Client],_26_03_2026_Client_Churn_v1[Plaintes_Service_Client],"non trouvé")</f>
        <v>3</v>
      </c>
    </row>
    <row r="821" spans="1:16" x14ac:dyDescent="0.25">
      <c r="A821" s="1">
        <v>45221</v>
      </c>
      <c r="B821" s="2">
        <v>0.1673611111111111</v>
      </c>
      <c r="C821" t="s">
        <v>1315</v>
      </c>
      <c r="D821">
        <v>78</v>
      </c>
      <c r="E821" t="s">
        <v>808</v>
      </c>
      <c r="F821" t="str">
        <f>_xlfn.XLOOKUP(_26_03_2026_Log_Reseau_v15[[#This Row],[Cell_ID]],_26_03_2026_Registre_Maintenance_v1[ID_Antenne],_26_03_2026_Registre_Maintenance_v1[zone],"pas trouvé")</f>
        <v>Kwilu</v>
      </c>
      <c r="G821">
        <f>_xlfn.XLOOKUP(_26_03_2026_Log_Reseau_v15[[#This Row],[Cell_ID]],_26_03_2026_Registre_Maintenance_v1[ID_Antenne],_26_03_2026_Registre_Maintenance_v1[Latitude],"non trouvé")</f>
        <v>2.4741019999999998</v>
      </c>
      <c r="H821">
        <f>_xlfn.XLOOKUP(_26_03_2026_Log_Reseau_v15[[#This Row],[Cell_ID]],_26_03_2026_Registre_Maintenance_v1[ID_Antenne],_26_03_2026_Registre_Maintenance_v1[Longitude],"pas trouvé")</f>
        <v>29.297391000000001</v>
      </c>
      <c r="I821" t="str">
        <f>_xlfn.XLOOKUP(_26_03_2026_Log_Reseau_v15[[#This Row],[Cell_ID]],_26_03_2026_Registre_Maintenance_v1[ID_Antenne],_26_03_2026_Registre_Maintenance_v1[Technologie],"non trouvé")</f>
        <v>4G</v>
      </c>
      <c r="J821" t="str">
        <f>_xlfn.XLOOKUP(_26_03_2026_Log_Reseau_v15[[#This Row],[Cell_ID]],_26_03_2026_Registre_Maintenance_v1[ID_Antenne],_26_03_2026_Registre_Maintenance_v1[Equipementier],"pas trouvé")</f>
        <v>Ericsson</v>
      </c>
      <c r="K821" t="str">
        <f>_xlfn.XLOOKUP(_26_03_2026_Log_Reseau_v15[[#This Row],[province RDC]],_26_03_2026_Client_Churn_v1[Province_Client],_26_03_2026_Client_Churn_v1[ID_Client],"non trouvé")</f>
        <v>CLI-00996</v>
      </c>
      <c r="L821">
        <f>_xlfn.XLOOKUP(_26_03_2026_Log_Reseau_v15[[#This Row],[province RDC]],_26_03_2026_Client_Churn_v1[Province_Client],_26_03_2026_Client_Churn_v1[Anciennete_Mois],"non trouvé")</f>
        <v>119</v>
      </c>
      <c r="M821" t="str">
        <f>_xlfn.XLOOKUP(_26_03_2026_Log_Reseau_v15[[#This Row],[province RDC]],_26_03_2026_Client_Churn_v1[Province_Client],_26_03_2026_Client_Churn_v1[Type_Forfait],"non trouvé")</f>
        <v>Illimité 50Go</v>
      </c>
      <c r="N821">
        <f>_xlfn.XLOOKUP(_26_03_2026_Log_Reseau_v15[[#This Row],[province RDC]],_26_03_2026_Client_Churn_v1[Province_Client],_26_03_2026_Client_Churn_v1[Duree_Cumulee_Panne_Min],"non trouvé")</f>
        <v>228</v>
      </c>
      <c r="O821">
        <f>_xlfn.XLOOKUP(_26_03_2026_Log_Reseau_v15[[#This Row],[province RDC]],_26_03_2026_Client_Churn_v1[Province_Client],_26_03_2026_Client_Churn_v1[Facture_Mensuelle],"non trouvé")</f>
        <v>94.72</v>
      </c>
      <c r="P821">
        <f>_xlfn.XLOOKUP(_26_03_2026_Log_Reseau_v15[[#This Row],[province RDC]],_26_03_2026_Client_Churn_v1[Province_Client],_26_03_2026_Client_Churn_v1[Plaintes_Service_Client],"non trouvé")</f>
        <v>3</v>
      </c>
    </row>
    <row r="822" spans="1:16" x14ac:dyDescent="0.25">
      <c r="A822" s="1">
        <v>45212</v>
      </c>
      <c r="B822" s="2">
        <v>0.75486111111111109</v>
      </c>
      <c r="C822" t="s">
        <v>1315</v>
      </c>
      <c r="D822">
        <v>112</v>
      </c>
      <c r="E822" t="s">
        <v>812</v>
      </c>
      <c r="F822" t="str">
        <f>_xlfn.XLOOKUP(_26_03_2026_Log_Reseau_v15[[#This Row],[Cell_ID]],_26_03_2026_Registre_Maintenance_v1[ID_Antenne],_26_03_2026_Registre_Maintenance_v1[zone],"pas trouvé")</f>
        <v>Kwilu</v>
      </c>
      <c r="G822">
        <f>_xlfn.XLOOKUP(_26_03_2026_Log_Reseau_v15[[#This Row],[Cell_ID]],_26_03_2026_Registre_Maintenance_v1[ID_Antenne],_26_03_2026_Registre_Maintenance_v1[Latitude],"non trouvé")</f>
        <v>2.4741019999999998</v>
      </c>
      <c r="H822">
        <f>_xlfn.XLOOKUP(_26_03_2026_Log_Reseau_v15[[#This Row],[Cell_ID]],_26_03_2026_Registre_Maintenance_v1[ID_Antenne],_26_03_2026_Registre_Maintenance_v1[Longitude],"pas trouvé")</f>
        <v>29.297391000000001</v>
      </c>
      <c r="I822" t="str">
        <f>_xlfn.XLOOKUP(_26_03_2026_Log_Reseau_v15[[#This Row],[Cell_ID]],_26_03_2026_Registre_Maintenance_v1[ID_Antenne],_26_03_2026_Registre_Maintenance_v1[Technologie],"non trouvé")</f>
        <v>4G</v>
      </c>
      <c r="J822" t="str">
        <f>_xlfn.XLOOKUP(_26_03_2026_Log_Reseau_v15[[#This Row],[Cell_ID]],_26_03_2026_Registre_Maintenance_v1[ID_Antenne],_26_03_2026_Registre_Maintenance_v1[Equipementier],"pas trouvé")</f>
        <v>Ericsson</v>
      </c>
      <c r="K822" t="str">
        <f>_xlfn.XLOOKUP(_26_03_2026_Log_Reseau_v15[[#This Row],[province RDC]],_26_03_2026_Client_Churn_v1[Province_Client],_26_03_2026_Client_Churn_v1[ID_Client],"non trouvé")</f>
        <v>CLI-00996</v>
      </c>
      <c r="L822">
        <f>_xlfn.XLOOKUP(_26_03_2026_Log_Reseau_v15[[#This Row],[province RDC]],_26_03_2026_Client_Churn_v1[Province_Client],_26_03_2026_Client_Churn_v1[Anciennete_Mois],"non trouvé")</f>
        <v>119</v>
      </c>
      <c r="M822" t="str">
        <f>_xlfn.XLOOKUP(_26_03_2026_Log_Reseau_v15[[#This Row],[province RDC]],_26_03_2026_Client_Churn_v1[Province_Client],_26_03_2026_Client_Churn_v1[Type_Forfait],"non trouvé")</f>
        <v>Illimité 50Go</v>
      </c>
      <c r="N822">
        <f>_xlfn.XLOOKUP(_26_03_2026_Log_Reseau_v15[[#This Row],[province RDC]],_26_03_2026_Client_Churn_v1[Province_Client],_26_03_2026_Client_Churn_v1[Duree_Cumulee_Panne_Min],"non trouvé")</f>
        <v>228</v>
      </c>
      <c r="O822">
        <f>_xlfn.XLOOKUP(_26_03_2026_Log_Reseau_v15[[#This Row],[province RDC]],_26_03_2026_Client_Churn_v1[Province_Client],_26_03_2026_Client_Churn_v1[Facture_Mensuelle],"non trouvé")</f>
        <v>94.72</v>
      </c>
      <c r="P822">
        <f>_xlfn.XLOOKUP(_26_03_2026_Log_Reseau_v15[[#This Row],[province RDC]],_26_03_2026_Client_Churn_v1[Province_Client],_26_03_2026_Client_Churn_v1[Plaintes_Service_Client],"non trouvé")</f>
        <v>3</v>
      </c>
    </row>
    <row r="823" spans="1:16" hidden="1" x14ac:dyDescent="0.25">
      <c r="A823" s="1">
        <v>45230</v>
      </c>
      <c r="B823" s="2">
        <v>0.76736111111111116</v>
      </c>
      <c r="C823" t="s">
        <v>1316</v>
      </c>
      <c r="D823">
        <v>16</v>
      </c>
      <c r="E823" t="s">
        <v>812</v>
      </c>
      <c r="F823" t="str">
        <f>_xlfn.XLOOKUP(_26_03_2026_Log_Reseau_v15[[#This Row],[Cell_ID]],_26_03_2026_Registre_Maintenance_v1[ID_Antenne],_26_03_2026_Registre_Maintenance_v1[zone],"pas trouvé")</f>
        <v>pas trouvé</v>
      </c>
      <c r="G823" t="str">
        <f>_xlfn.XLOOKUP(_26_03_2026_Log_Reseau_v15[[#This Row],[Cell_ID]],_26_03_2026_Registre_Maintenance_v1[ID_Antenne],_26_03_2026_Registre_Maintenance_v1[Latitude],"non trouvé")</f>
        <v>non trouvé</v>
      </c>
      <c r="H823" t="str">
        <f>_xlfn.XLOOKUP(_26_03_2026_Log_Reseau_v15[[#This Row],[Cell_ID]],_26_03_2026_Registre_Maintenance_v1[ID_Antenne],_26_03_2026_Registre_Maintenance_v1[Longitude],"pas trouvé")</f>
        <v>pas trouvé</v>
      </c>
      <c r="I823" t="str">
        <f>_xlfn.XLOOKUP(_26_03_2026_Log_Reseau_v15[[#This Row],[Cell_ID]],_26_03_2026_Registre_Maintenance_v1[ID_Antenne],_26_03_2026_Registre_Maintenance_v1[Technologie],"non trouvé")</f>
        <v>non trouvé</v>
      </c>
      <c r="J823" t="str">
        <f>_xlfn.XLOOKUP(_26_03_2026_Log_Reseau_v15[[#This Row],[Cell_ID]],_26_03_2026_Registre_Maintenance_v1[ID_Antenne],_26_03_2026_Registre_Maintenance_v1[Equipementier],"pas trouvé")</f>
        <v>pas trouvé</v>
      </c>
      <c r="K823" t="str">
        <f>_xlfn.XLOOKUP(_26_03_2026_Log_Reseau_v15[[#This Row],[province RDC]],_26_03_2026_Client_Churn_v1[Province_Client],_26_03_2026_Client_Churn_v1[ID_Client],"non trouvé")</f>
        <v>non trouvé</v>
      </c>
      <c r="L823" t="str">
        <f>_xlfn.XLOOKUP(_26_03_2026_Log_Reseau_v15[[#This Row],[province RDC]],_26_03_2026_Client_Churn_v1[Province_Client],_26_03_2026_Client_Churn_v1[Anciennete_Mois],"non trouvé")</f>
        <v>non trouvé</v>
      </c>
      <c r="M823" t="str">
        <f>_xlfn.XLOOKUP(_26_03_2026_Log_Reseau_v15[[#This Row],[province RDC]],_26_03_2026_Client_Churn_v1[Province_Client],_26_03_2026_Client_Churn_v1[Type_Forfait],"non trouvé")</f>
        <v>non trouvé</v>
      </c>
      <c r="N823" t="str">
        <f>_xlfn.XLOOKUP(_26_03_2026_Log_Reseau_v15[[#This Row],[province RDC]],_26_03_2026_Client_Churn_v1[Province_Client],_26_03_2026_Client_Churn_v1[Duree_Cumulee_Panne_Min],"non trouvé")</f>
        <v>non trouvé</v>
      </c>
      <c r="O823" t="str">
        <f>_xlfn.XLOOKUP(_26_03_2026_Log_Reseau_v15[[#This Row],[province RDC]],_26_03_2026_Client_Churn_v1[Province_Client],_26_03_2026_Client_Churn_v1[Facture_Mensuelle],"non trouvé")</f>
        <v>non trouvé</v>
      </c>
      <c r="P823" t="str">
        <f>_xlfn.XLOOKUP(_26_03_2026_Log_Reseau_v15[[#This Row],[province RDC]],_26_03_2026_Client_Churn_v1[Province_Client],_26_03_2026_Client_Churn_v1[Plaintes_Service_Client],"non trouvé")</f>
        <v>non trouvé</v>
      </c>
    </row>
    <row r="824" spans="1:16" hidden="1" x14ac:dyDescent="0.25">
      <c r="A824" s="1">
        <v>45211</v>
      </c>
      <c r="B824" s="2">
        <v>0.99305555555555558</v>
      </c>
      <c r="C824" t="s">
        <v>1317</v>
      </c>
      <c r="D824">
        <v>29</v>
      </c>
      <c r="E824" t="s">
        <v>808</v>
      </c>
      <c r="F824" t="str">
        <f>_xlfn.XLOOKUP(_26_03_2026_Log_Reseau_v15[[#This Row],[Cell_ID]],_26_03_2026_Registre_Maintenance_v1[ID_Antenne],_26_03_2026_Registre_Maintenance_v1[zone],"pas trouvé")</f>
        <v>pas trouvé</v>
      </c>
      <c r="G824" t="str">
        <f>_xlfn.XLOOKUP(_26_03_2026_Log_Reseau_v15[[#This Row],[Cell_ID]],_26_03_2026_Registre_Maintenance_v1[ID_Antenne],_26_03_2026_Registre_Maintenance_v1[Latitude],"non trouvé")</f>
        <v>non trouvé</v>
      </c>
      <c r="H824" t="str">
        <f>_xlfn.XLOOKUP(_26_03_2026_Log_Reseau_v15[[#This Row],[Cell_ID]],_26_03_2026_Registre_Maintenance_v1[ID_Antenne],_26_03_2026_Registre_Maintenance_v1[Longitude],"pas trouvé")</f>
        <v>pas trouvé</v>
      </c>
      <c r="I824" t="str">
        <f>_xlfn.XLOOKUP(_26_03_2026_Log_Reseau_v15[[#This Row],[Cell_ID]],_26_03_2026_Registre_Maintenance_v1[ID_Antenne],_26_03_2026_Registre_Maintenance_v1[Technologie],"non trouvé")</f>
        <v>non trouvé</v>
      </c>
      <c r="J824" t="str">
        <f>_xlfn.XLOOKUP(_26_03_2026_Log_Reseau_v15[[#This Row],[Cell_ID]],_26_03_2026_Registre_Maintenance_v1[ID_Antenne],_26_03_2026_Registre_Maintenance_v1[Equipementier],"pas trouvé")</f>
        <v>pas trouvé</v>
      </c>
      <c r="K824" t="str">
        <f>_xlfn.XLOOKUP(_26_03_2026_Log_Reseau_v15[[#This Row],[province RDC]],_26_03_2026_Client_Churn_v1[Province_Client],_26_03_2026_Client_Churn_v1[ID_Client],"non trouvé")</f>
        <v>non trouvé</v>
      </c>
      <c r="L824" t="str">
        <f>_xlfn.XLOOKUP(_26_03_2026_Log_Reseau_v15[[#This Row],[province RDC]],_26_03_2026_Client_Churn_v1[Province_Client],_26_03_2026_Client_Churn_v1[Anciennete_Mois],"non trouvé")</f>
        <v>non trouvé</v>
      </c>
      <c r="M824" t="str">
        <f>_xlfn.XLOOKUP(_26_03_2026_Log_Reseau_v15[[#This Row],[province RDC]],_26_03_2026_Client_Churn_v1[Province_Client],_26_03_2026_Client_Churn_v1[Type_Forfait],"non trouvé")</f>
        <v>non trouvé</v>
      </c>
      <c r="N824" t="str">
        <f>_xlfn.XLOOKUP(_26_03_2026_Log_Reseau_v15[[#This Row],[province RDC]],_26_03_2026_Client_Churn_v1[Province_Client],_26_03_2026_Client_Churn_v1[Duree_Cumulee_Panne_Min],"non trouvé")</f>
        <v>non trouvé</v>
      </c>
      <c r="O824" t="str">
        <f>_xlfn.XLOOKUP(_26_03_2026_Log_Reseau_v15[[#This Row],[province RDC]],_26_03_2026_Client_Churn_v1[Province_Client],_26_03_2026_Client_Churn_v1[Facture_Mensuelle],"non trouvé")</f>
        <v>non trouvé</v>
      </c>
      <c r="P824" t="str">
        <f>_xlfn.XLOOKUP(_26_03_2026_Log_Reseau_v15[[#This Row],[province RDC]],_26_03_2026_Client_Churn_v1[Province_Client],_26_03_2026_Client_Churn_v1[Plaintes_Service_Client],"non trouvé")</f>
        <v>non trouvé</v>
      </c>
    </row>
    <row r="825" spans="1:16" x14ac:dyDescent="0.25">
      <c r="A825" s="1">
        <v>45209</v>
      </c>
      <c r="B825" s="2">
        <v>0.92152777777777772</v>
      </c>
      <c r="C825" t="s">
        <v>1318</v>
      </c>
      <c r="D825">
        <v>119</v>
      </c>
      <c r="E825" t="s">
        <v>807</v>
      </c>
      <c r="F825" t="str">
        <f>_xlfn.XLOOKUP(_26_03_2026_Log_Reseau_v15[[#This Row],[Cell_ID]],_26_03_2026_Registre_Maintenance_v1[ID_Antenne],_26_03_2026_Registre_Maintenance_v1[zone],"pas trouvé")</f>
        <v>Bas-Uele</v>
      </c>
      <c r="G825">
        <f>_xlfn.XLOOKUP(_26_03_2026_Log_Reseau_v15[[#This Row],[Cell_ID]],_26_03_2026_Registre_Maintenance_v1[ID_Antenne],_26_03_2026_Registre_Maintenance_v1[Latitude],"non trouvé")</f>
        <v>1.5278670000000001</v>
      </c>
      <c r="H825">
        <f>_xlfn.XLOOKUP(_26_03_2026_Log_Reseau_v15[[#This Row],[Cell_ID]],_26_03_2026_Registre_Maintenance_v1[ID_Antenne],_26_03_2026_Registre_Maintenance_v1[Longitude],"pas trouvé")</f>
        <v>13.899388999999999</v>
      </c>
      <c r="I825" t="str">
        <f>_xlfn.XLOOKUP(_26_03_2026_Log_Reseau_v15[[#This Row],[Cell_ID]],_26_03_2026_Registre_Maintenance_v1[ID_Antenne],_26_03_2026_Registre_Maintenance_v1[Technologie],"non trouvé")</f>
        <v>3G</v>
      </c>
      <c r="J825" t="str">
        <f>_xlfn.XLOOKUP(_26_03_2026_Log_Reseau_v15[[#This Row],[Cell_ID]],_26_03_2026_Registre_Maintenance_v1[ID_Antenne],_26_03_2026_Registre_Maintenance_v1[Equipementier],"pas trouvé")</f>
        <v>Huawei</v>
      </c>
      <c r="K825" t="str">
        <f>_xlfn.XLOOKUP(_26_03_2026_Log_Reseau_v15[[#This Row],[province RDC]],_26_03_2026_Client_Churn_v1[Province_Client],_26_03_2026_Client_Churn_v1[ID_Client],"non trouvé")</f>
        <v>CLI-00414</v>
      </c>
      <c r="L825">
        <f>_xlfn.XLOOKUP(_26_03_2026_Log_Reseau_v15[[#This Row],[province RDC]],_26_03_2026_Client_Churn_v1[Province_Client],_26_03_2026_Client_Churn_v1[Anciennete_Mois],"non trouvé")</f>
        <v>99</v>
      </c>
      <c r="M825" t="str">
        <f>_xlfn.XLOOKUP(_26_03_2026_Log_Reseau_v15[[#This Row],[province RDC]],_26_03_2026_Client_Churn_v1[Province_Client],_26_03_2026_Client_Churn_v1[Type_Forfait],"non trouvé")</f>
        <v>Premium 5G 150Go</v>
      </c>
      <c r="N825">
        <f>_xlfn.XLOOKUP(_26_03_2026_Log_Reseau_v15[[#This Row],[province RDC]],_26_03_2026_Client_Churn_v1[Province_Client],_26_03_2026_Client_Churn_v1[Duree_Cumulee_Panne_Min],"non trouvé")</f>
        <v>447</v>
      </c>
      <c r="O825">
        <f>_xlfn.XLOOKUP(_26_03_2026_Log_Reseau_v15[[#This Row],[province RDC]],_26_03_2026_Client_Churn_v1[Province_Client],_26_03_2026_Client_Churn_v1[Facture_Mensuelle],"non trouvé")</f>
        <v>38.1</v>
      </c>
      <c r="P825">
        <f>_xlfn.XLOOKUP(_26_03_2026_Log_Reseau_v15[[#This Row],[province RDC]],_26_03_2026_Client_Churn_v1[Province_Client],_26_03_2026_Client_Churn_v1[Plaintes_Service_Client],"non trouvé")</f>
        <v>3</v>
      </c>
    </row>
    <row r="826" spans="1:16" x14ac:dyDescent="0.25">
      <c r="A826" s="1">
        <v>45201</v>
      </c>
      <c r="B826" s="2">
        <v>0.92222222222222228</v>
      </c>
      <c r="C826" t="s">
        <v>1318</v>
      </c>
      <c r="D826">
        <v>32</v>
      </c>
      <c r="E826" t="s">
        <v>807</v>
      </c>
      <c r="F826" t="str">
        <f>_xlfn.XLOOKUP(_26_03_2026_Log_Reseau_v15[[#This Row],[Cell_ID]],_26_03_2026_Registre_Maintenance_v1[ID_Antenne],_26_03_2026_Registre_Maintenance_v1[zone],"pas trouvé")</f>
        <v>Bas-Uele</v>
      </c>
      <c r="G826">
        <f>_xlfn.XLOOKUP(_26_03_2026_Log_Reseau_v15[[#This Row],[Cell_ID]],_26_03_2026_Registre_Maintenance_v1[ID_Antenne],_26_03_2026_Registre_Maintenance_v1[Latitude],"non trouvé")</f>
        <v>1.5278670000000001</v>
      </c>
      <c r="H826">
        <f>_xlfn.XLOOKUP(_26_03_2026_Log_Reseau_v15[[#This Row],[Cell_ID]],_26_03_2026_Registre_Maintenance_v1[ID_Antenne],_26_03_2026_Registre_Maintenance_v1[Longitude],"pas trouvé")</f>
        <v>13.899388999999999</v>
      </c>
      <c r="I826" t="str">
        <f>_xlfn.XLOOKUP(_26_03_2026_Log_Reseau_v15[[#This Row],[Cell_ID]],_26_03_2026_Registre_Maintenance_v1[ID_Antenne],_26_03_2026_Registre_Maintenance_v1[Technologie],"non trouvé")</f>
        <v>3G</v>
      </c>
      <c r="J826" t="str">
        <f>_xlfn.XLOOKUP(_26_03_2026_Log_Reseau_v15[[#This Row],[Cell_ID]],_26_03_2026_Registre_Maintenance_v1[ID_Antenne],_26_03_2026_Registre_Maintenance_v1[Equipementier],"pas trouvé")</f>
        <v>Huawei</v>
      </c>
      <c r="K826" t="str">
        <f>_xlfn.XLOOKUP(_26_03_2026_Log_Reseau_v15[[#This Row],[province RDC]],_26_03_2026_Client_Churn_v1[Province_Client],_26_03_2026_Client_Churn_v1[ID_Client],"non trouvé")</f>
        <v>CLI-00414</v>
      </c>
      <c r="L826">
        <f>_xlfn.XLOOKUP(_26_03_2026_Log_Reseau_v15[[#This Row],[province RDC]],_26_03_2026_Client_Churn_v1[Province_Client],_26_03_2026_Client_Churn_v1[Anciennete_Mois],"non trouvé")</f>
        <v>99</v>
      </c>
      <c r="M826" t="str">
        <f>_xlfn.XLOOKUP(_26_03_2026_Log_Reseau_v15[[#This Row],[province RDC]],_26_03_2026_Client_Churn_v1[Province_Client],_26_03_2026_Client_Churn_v1[Type_Forfait],"non trouvé")</f>
        <v>Premium 5G 150Go</v>
      </c>
      <c r="N826">
        <f>_xlfn.XLOOKUP(_26_03_2026_Log_Reseau_v15[[#This Row],[province RDC]],_26_03_2026_Client_Churn_v1[Province_Client],_26_03_2026_Client_Churn_v1[Duree_Cumulee_Panne_Min],"non trouvé")</f>
        <v>447</v>
      </c>
      <c r="O826">
        <f>_xlfn.XLOOKUP(_26_03_2026_Log_Reseau_v15[[#This Row],[province RDC]],_26_03_2026_Client_Churn_v1[Province_Client],_26_03_2026_Client_Churn_v1[Facture_Mensuelle],"non trouvé")</f>
        <v>38.1</v>
      </c>
      <c r="P826">
        <f>_xlfn.XLOOKUP(_26_03_2026_Log_Reseau_v15[[#This Row],[province RDC]],_26_03_2026_Client_Churn_v1[Province_Client],_26_03_2026_Client_Churn_v1[Plaintes_Service_Client],"non trouvé")</f>
        <v>3</v>
      </c>
    </row>
    <row r="827" spans="1:16" x14ac:dyDescent="0.25">
      <c r="A827" s="1">
        <v>45200</v>
      </c>
      <c r="B827" s="2">
        <v>0.98541666666666672</v>
      </c>
      <c r="C827" t="s">
        <v>1318</v>
      </c>
      <c r="D827">
        <v>29</v>
      </c>
      <c r="E827" t="s">
        <v>812</v>
      </c>
      <c r="F827" t="str">
        <f>_xlfn.XLOOKUP(_26_03_2026_Log_Reseau_v15[[#This Row],[Cell_ID]],_26_03_2026_Registre_Maintenance_v1[ID_Antenne],_26_03_2026_Registre_Maintenance_v1[zone],"pas trouvé")</f>
        <v>Bas-Uele</v>
      </c>
      <c r="G827">
        <f>_xlfn.XLOOKUP(_26_03_2026_Log_Reseau_v15[[#This Row],[Cell_ID]],_26_03_2026_Registre_Maintenance_v1[ID_Antenne],_26_03_2026_Registre_Maintenance_v1[Latitude],"non trouvé")</f>
        <v>1.5278670000000001</v>
      </c>
      <c r="H827">
        <f>_xlfn.XLOOKUP(_26_03_2026_Log_Reseau_v15[[#This Row],[Cell_ID]],_26_03_2026_Registre_Maintenance_v1[ID_Antenne],_26_03_2026_Registre_Maintenance_v1[Longitude],"pas trouvé")</f>
        <v>13.899388999999999</v>
      </c>
      <c r="I827" t="str">
        <f>_xlfn.XLOOKUP(_26_03_2026_Log_Reseau_v15[[#This Row],[Cell_ID]],_26_03_2026_Registre_Maintenance_v1[ID_Antenne],_26_03_2026_Registre_Maintenance_v1[Technologie],"non trouvé")</f>
        <v>3G</v>
      </c>
      <c r="J827" t="str">
        <f>_xlfn.XLOOKUP(_26_03_2026_Log_Reseau_v15[[#This Row],[Cell_ID]],_26_03_2026_Registre_Maintenance_v1[ID_Antenne],_26_03_2026_Registre_Maintenance_v1[Equipementier],"pas trouvé")</f>
        <v>Huawei</v>
      </c>
      <c r="K827" t="str">
        <f>_xlfn.XLOOKUP(_26_03_2026_Log_Reseau_v15[[#This Row],[province RDC]],_26_03_2026_Client_Churn_v1[Province_Client],_26_03_2026_Client_Churn_v1[ID_Client],"non trouvé")</f>
        <v>CLI-00414</v>
      </c>
      <c r="L827">
        <f>_xlfn.XLOOKUP(_26_03_2026_Log_Reseau_v15[[#This Row],[province RDC]],_26_03_2026_Client_Churn_v1[Province_Client],_26_03_2026_Client_Churn_v1[Anciennete_Mois],"non trouvé")</f>
        <v>99</v>
      </c>
      <c r="M827" t="str">
        <f>_xlfn.XLOOKUP(_26_03_2026_Log_Reseau_v15[[#This Row],[province RDC]],_26_03_2026_Client_Churn_v1[Province_Client],_26_03_2026_Client_Churn_v1[Type_Forfait],"non trouvé")</f>
        <v>Premium 5G 150Go</v>
      </c>
      <c r="N827">
        <f>_xlfn.XLOOKUP(_26_03_2026_Log_Reseau_v15[[#This Row],[province RDC]],_26_03_2026_Client_Churn_v1[Province_Client],_26_03_2026_Client_Churn_v1[Duree_Cumulee_Panne_Min],"non trouvé")</f>
        <v>447</v>
      </c>
      <c r="O827">
        <f>_xlfn.XLOOKUP(_26_03_2026_Log_Reseau_v15[[#This Row],[province RDC]],_26_03_2026_Client_Churn_v1[Province_Client],_26_03_2026_Client_Churn_v1[Facture_Mensuelle],"non trouvé")</f>
        <v>38.1</v>
      </c>
      <c r="P827">
        <f>_xlfn.XLOOKUP(_26_03_2026_Log_Reseau_v15[[#This Row],[province RDC]],_26_03_2026_Client_Churn_v1[Province_Client],_26_03_2026_Client_Churn_v1[Plaintes_Service_Client],"non trouvé")</f>
        <v>3</v>
      </c>
    </row>
    <row r="828" spans="1:16" x14ac:dyDescent="0.25">
      <c r="A828" s="1">
        <v>45223</v>
      </c>
      <c r="B828" s="2">
        <v>0.43611111111111112</v>
      </c>
      <c r="C828" t="s">
        <v>1318</v>
      </c>
      <c r="D828">
        <v>26</v>
      </c>
      <c r="E828" t="s">
        <v>807</v>
      </c>
      <c r="F828" t="str">
        <f>_xlfn.XLOOKUP(_26_03_2026_Log_Reseau_v15[[#This Row],[Cell_ID]],_26_03_2026_Registre_Maintenance_v1[ID_Antenne],_26_03_2026_Registre_Maintenance_v1[zone],"pas trouvé")</f>
        <v>Bas-Uele</v>
      </c>
      <c r="G828">
        <f>_xlfn.XLOOKUP(_26_03_2026_Log_Reseau_v15[[#This Row],[Cell_ID]],_26_03_2026_Registre_Maintenance_v1[ID_Antenne],_26_03_2026_Registre_Maintenance_v1[Latitude],"non trouvé")</f>
        <v>1.5278670000000001</v>
      </c>
      <c r="H828">
        <f>_xlfn.XLOOKUP(_26_03_2026_Log_Reseau_v15[[#This Row],[Cell_ID]],_26_03_2026_Registre_Maintenance_v1[ID_Antenne],_26_03_2026_Registre_Maintenance_v1[Longitude],"pas trouvé")</f>
        <v>13.899388999999999</v>
      </c>
      <c r="I828" t="str">
        <f>_xlfn.XLOOKUP(_26_03_2026_Log_Reseau_v15[[#This Row],[Cell_ID]],_26_03_2026_Registre_Maintenance_v1[ID_Antenne],_26_03_2026_Registre_Maintenance_v1[Technologie],"non trouvé")</f>
        <v>3G</v>
      </c>
      <c r="J828" t="str">
        <f>_xlfn.XLOOKUP(_26_03_2026_Log_Reseau_v15[[#This Row],[Cell_ID]],_26_03_2026_Registre_Maintenance_v1[ID_Antenne],_26_03_2026_Registre_Maintenance_v1[Equipementier],"pas trouvé")</f>
        <v>Huawei</v>
      </c>
      <c r="K828" t="str">
        <f>_xlfn.XLOOKUP(_26_03_2026_Log_Reseau_v15[[#This Row],[province RDC]],_26_03_2026_Client_Churn_v1[Province_Client],_26_03_2026_Client_Churn_v1[ID_Client],"non trouvé")</f>
        <v>CLI-00414</v>
      </c>
      <c r="L828">
        <f>_xlfn.XLOOKUP(_26_03_2026_Log_Reseau_v15[[#This Row],[province RDC]],_26_03_2026_Client_Churn_v1[Province_Client],_26_03_2026_Client_Churn_v1[Anciennete_Mois],"non trouvé")</f>
        <v>99</v>
      </c>
      <c r="M828" t="str">
        <f>_xlfn.XLOOKUP(_26_03_2026_Log_Reseau_v15[[#This Row],[province RDC]],_26_03_2026_Client_Churn_v1[Province_Client],_26_03_2026_Client_Churn_v1[Type_Forfait],"non trouvé")</f>
        <v>Premium 5G 150Go</v>
      </c>
      <c r="N828">
        <f>_xlfn.XLOOKUP(_26_03_2026_Log_Reseau_v15[[#This Row],[province RDC]],_26_03_2026_Client_Churn_v1[Province_Client],_26_03_2026_Client_Churn_v1[Duree_Cumulee_Panne_Min],"non trouvé")</f>
        <v>447</v>
      </c>
      <c r="O828">
        <f>_xlfn.XLOOKUP(_26_03_2026_Log_Reseau_v15[[#This Row],[province RDC]],_26_03_2026_Client_Churn_v1[Province_Client],_26_03_2026_Client_Churn_v1[Facture_Mensuelle],"non trouvé")</f>
        <v>38.1</v>
      </c>
      <c r="P828">
        <f>_xlfn.XLOOKUP(_26_03_2026_Log_Reseau_v15[[#This Row],[province RDC]],_26_03_2026_Client_Churn_v1[Province_Client],_26_03_2026_Client_Churn_v1[Plaintes_Service_Client],"non trouvé")</f>
        <v>3</v>
      </c>
    </row>
    <row r="829" spans="1:16" x14ac:dyDescent="0.25">
      <c r="A829" s="1">
        <v>45205</v>
      </c>
      <c r="B829" s="2">
        <v>1.8055555555555554E-2</v>
      </c>
      <c r="C829" t="s">
        <v>1318</v>
      </c>
      <c r="D829">
        <v>67</v>
      </c>
      <c r="E829" t="s">
        <v>812</v>
      </c>
      <c r="F829" t="str">
        <f>_xlfn.XLOOKUP(_26_03_2026_Log_Reseau_v15[[#This Row],[Cell_ID]],_26_03_2026_Registre_Maintenance_v1[ID_Antenne],_26_03_2026_Registre_Maintenance_v1[zone],"pas trouvé")</f>
        <v>Bas-Uele</v>
      </c>
      <c r="G829">
        <f>_xlfn.XLOOKUP(_26_03_2026_Log_Reseau_v15[[#This Row],[Cell_ID]],_26_03_2026_Registre_Maintenance_v1[ID_Antenne],_26_03_2026_Registre_Maintenance_v1[Latitude],"non trouvé")</f>
        <v>1.5278670000000001</v>
      </c>
      <c r="H829">
        <f>_xlfn.XLOOKUP(_26_03_2026_Log_Reseau_v15[[#This Row],[Cell_ID]],_26_03_2026_Registre_Maintenance_v1[ID_Antenne],_26_03_2026_Registre_Maintenance_v1[Longitude],"pas trouvé")</f>
        <v>13.899388999999999</v>
      </c>
      <c r="I829" t="str">
        <f>_xlfn.XLOOKUP(_26_03_2026_Log_Reseau_v15[[#This Row],[Cell_ID]],_26_03_2026_Registre_Maintenance_v1[ID_Antenne],_26_03_2026_Registre_Maintenance_v1[Technologie],"non trouvé")</f>
        <v>3G</v>
      </c>
      <c r="J829" t="str">
        <f>_xlfn.XLOOKUP(_26_03_2026_Log_Reseau_v15[[#This Row],[Cell_ID]],_26_03_2026_Registre_Maintenance_v1[ID_Antenne],_26_03_2026_Registre_Maintenance_v1[Equipementier],"pas trouvé")</f>
        <v>Huawei</v>
      </c>
      <c r="K829" t="str">
        <f>_xlfn.XLOOKUP(_26_03_2026_Log_Reseau_v15[[#This Row],[province RDC]],_26_03_2026_Client_Churn_v1[Province_Client],_26_03_2026_Client_Churn_v1[ID_Client],"non trouvé")</f>
        <v>CLI-00414</v>
      </c>
      <c r="L829">
        <f>_xlfn.XLOOKUP(_26_03_2026_Log_Reseau_v15[[#This Row],[province RDC]],_26_03_2026_Client_Churn_v1[Province_Client],_26_03_2026_Client_Churn_v1[Anciennete_Mois],"non trouvé")</f>
        <v>99</v>
      </c>
      <c r="M829" t="str">
        <f>_xlfn.XLOOKUP(_26_03_2026_Log_Reseau_v15[[#This Row],[province RDC]],_26_03_2026_Client_Churn_v1[Province_Client],_26_03_2026_Client_Churn_v1[Type_Forfait],"non trouvé")</f>
        <v>Premium 5G 150Go</v>
      </c>
      <c r="N829">
        <f>_xlfn.XLOOKUP(_26_03_2026_Log_Reseau_v15[[#This Row],[province RDC]],_26_03_2026_Client_Churn_v1[Province_Client],_26_03_2026_Client_Churn_v1[Duree_Cumulee_Panne_Min],"non trouvé")</f>
        <v>447</v>
      </c>
      <c r="O829">
        <f>_xlfn.XLOOKUP(_26_03_2026_Log_Reseau_v15[[#This Row],[province RDC]],_26_03_2026_Client_Churn_v1[Province_Client],_26_03_2026_Client_Churn_v1[Facture_Mensuelle],"non trouvé")</f>
        <v>38.1</v>
      </c>
      <c r="P829">
        <f>_xlfn.XLOOKUP(_26_03_2026_Log_Reseau_v15[[#This Row],[province RDC]],_26_03_2026_Client_Churn_v1[Province_Client],_26_03_2026_Client_Churn_v1[Plaintes_Service_Client],"non trouvé")</f>
        <v>3</v>
      </c>
    </row>
    <row r="830" spans="1:16" hidden="1" x14ac:dyDescent="0.25">
      <c r="A830" s="1">
        <v>45220</v>
      </c>
      <c r="B830" s="2">
        <v>0.11736111111111111</v>
      </c>
      <c r="C830" t="s">
        <v>1319</v>
      </c>
      <c r="D830">
        <v>39</v>
      </c>
      <c r="E830" t="s">
        <v>807</v>
      </c>
      <c r="F830" t="str">
        <f>_xlfn.XLOOKUP(_26_03_2026_Log_Reseau_v15[[#This Row],[Cell_ID]],_26_03_2026_Registre_Maintenance_v1[ID_Antenne],_26_03_2026_Registre_Maintenance_v1[zone],"pas trouvé")</f>
        <v>pas trouvé</v>
      </c>
      <c r="G830" t="str">
        <f>_xlfn.XLOOKUP(_26_03_2026_Log_Reseau_v15[[#This Row],[Cell_ID]],_26_03_2026_Registre_Maintenance_v1[ID_Antenne],_26_03_2026_Registre_Maintenance_v1[Latitude],"non trouvé")</f>
        <v>non trouvé</v>
      </c>
      <c r="H830" t="str">
        <f>_xlfn.XLOOKUP(_26_03_2026_Log_Reseau_v15[[#This Row],[Cell_ID]],_26_03_2026_Registre_Maintenance_v1[ID_Antenne],_26_03_2026_Registre_Maintenance_v1[Longitude],"pas trouvé")</f>
        <v>pas trouvé</v>
      </c>
      <c r="I830" t="str">
        <f>_xlfn.XLOOKUP(_26_03_2026_Log_Reseau_v15[[#This Row],[Cell_ID]],_26_03_2026_Registre_Maintenance_v1[ID_Antenne],_26_03_2026_Registre_Maintenance_v1[Technologie],"non trouvé")</f>
        <v>non trouvé</v>
      </c>
      <c r="J830" t="str">
        <f>_xlfn.XLOOKUP(_26_03_2026_Log_Reseau_v15[[#This Row],[Cell_ID]],_26_03_2026_Registre_Maintenance_v1[ID_Antenne],_26_03_2026_Registre_Maintenance_v1[Equipementier],"pas trouvé")</f>
        <v>pas trouvé</v>
      </c>
      <c r="K830" t="str">
        <f>_xlfn.XLOOKUP(_26_03_2026_Log_Reseau_v15[[#This Row],[province RDC]],_26_03_2026_Client_Churn_v1[Province_Client],_26_03_2026_Client_Churn_v1[ID_Client],"non trouvé")</f>
        <v>non trouvé</v>
      </c>
      <c r="L830" t="str">
        <f>_xlfn.XLOOKUP(_26_03_2026_Log_Reseau_v15[[#This Row],[province RDC]],_26_03_2026_Client_Churn_v1[Province_Client],_26_03_2026_Client_Churn_v1[Anciennete_Mois],"non trouvé")</f>
        <v>non trouvé</v>
      </c>
      <c r="M830" t="str">
        <f>_xlfn.XLOOKUP(_26_03_2026_Log_Reseau_v15[[#This Row],[province RDC]],_26_03_2026_Client_Churn_v1[Province_Client],_26_03_2026_Client_Churn_v1[Type_Forfait],"non trouvé")</f>
        <v>non trouvé</v>
      </c>
      <c r="N830" t="str">
        <f>_xlfn.XLOOKUP(_26_03_2026_Log_Reseau_v15[[#This Row],[province RDC]],_26_03_2026_Client_Churn_v1[Province_Client],_26_03_2026_Client_Churn_v1[Duree_Cumulee_Panne_Min],"non trouvé")</f>
        <v>non trouvé</v>
      </c>
      <c r="O830" t="str">
        <f>_xlfn.XLOOKUP(_26_03_2026_Log_Reseau_v15[[#This Row],[province RDC]],_26_03_2026_Client_Churn_v1[Province_Client],_26_03_2026_Client_Churn_v1[Facture_Mensuelle],"non trouvé")</f>
        <v>non trouvé</v>
      </c>
      <c r="P830" t="str">
        <f>_xlfn.XLOOKUP(_26_03_2026_Log_Reseau_v15[[#This Row],[province RDC]],_26_03_2026_Client_Churn_v1[Province_Client],_26_03_2026_Client_Churn_v1[Plaintes_Service_Client],"non trouvé")</f>
        <v>non trouvé</v>
      </c>
    </row>
    <row r="831" spans="1:16" hidden="1" x14ac:dyDescent="0.25">
      <c r="A831" s="1">
        <v>45209</v>
      </c>
      <c r="B831" s="2">
        <v>0.95486111111111116</v>
      </c>
      <c r="C831" t="s">
        <v>1320</v>
      </c>
      <c r="D831">
        <v>57</v>
      </c>
      <c r="E831" t="s">
        <v>807</v>
      </c>
      <c r="F831" t="str">
        <f>_xlfn.XLOOKUP(_26_03_2026_Log_Reseau_v15[[#This Row],[Cell_ID]],_26_03_2026_Registre_Maintenance_v1[ID_Antenne],_26_03_2026_Registre_Maintenance_v1[zone],"pas trouvé")</f>
        <v>pas trouvé</v>
      </c>
      <c r="G831" t="str">
        <f>_xlfn.XLOOKUP(_26_03_2026_Log_Reseau_v15[[#This Row],[Cell_ID]],_26_03_2026_Registre_Maintenance_v1[ID_Antenne],_26_03_2026_Registre_Maintenance_v1[Latitude],"non trouvé")</f>
        <v>non trouvé</v>
      </c>
      <c r="H831" t="str">
        <f>_xlfn.XLOOKUP(_26_03_2026_Log_Reseau_v15[[#This Row],[Cell_ID]],_26_03_2026_Registre_Maintenance_v1[ID_Antenne],_26_03_2026_Registre_Maintenance_v1[Longitude],"pas trouvé")</f>
        <v>pas trouvé</v>
      </c>
      <c r="I831" t="str">
        <f>_xlfn.XLOOKUP(_26_03_2026_Log_Reseau_v15[[#This Row],[Cell_ID]],_26_03_2026_Registre_Maintenance_v1[ID_Antenne],_26_03_2026_Registre_Maintenance_v1[Technologie],"non trouvé")</f>
        <v>non trouvé</v>
      </c>
      <c r="J831" t="str">
        <f>_xlfn.XLOOKUP(_26_03_2026_Log_Reseau_v15[[#This Row],[Cell_ID]],_26_03_2026_Registre_Maintenance_v1[ID_Antenne],_26_03_2026_Registre_Maintenance_v1[Equipementier],"pas trouvé")</f>
        <v>pas trouvé</v>
      </c>
      <c r="K831" t="str">
        <f>_xlfn.XLOOKUP(_26_03_2026_Log_Reseau_v15[[#This Row],[province RDC]],_26_03_2026_Client_Churn_v1[Province_Client],_26_03_2026_Client_Churn_v1[ID_Client],"non trouvé")</f>
        <v>non trouvé</v>
      </c>
      <c r="L831" t="str">
        <f>_xlfn.XLOOKUP(_26_03_2026_Log_Reseau_v15[[#This Row],[province RDC]],_26_03_2026_Client_Churn_v1[Province_Client],_26_03_2026_Client_Churn_v1[Anciennete_Mois],"non trouvé")</f>
        <v>non trouvé</v>
      </c>
      <c r="M831" t="str">
        <f>_xlfn.XLOOKUP(_26_03_2026_Log_Reseau_v15[[#This Row],[province RDC]],_26_03_2026_Client_Churn_v1[Province_Client],_26_03_2026_Client_Churn_v1[Type_Forfait],"non trouvé")</f>
        <v>non trouvé</v>
      </c>
      <c r="N831" t="str">
        <f>_xlfn.XLOOKUP(_26_03_2026_Log_Reseau_v15[[#This Row],[province RDC]],_26_03_2026_Client_Churn_v1[Province_Client],_26_03_2026_Client_Churn_v1[Duree_Cumulee_Panne_Min],"non trouvé")</f>
        <v>non trouvé</v>
      </c>
      <c r="O831" t="str">
        <f>_xlfn.XLOOKUP(_26_03_2026_Log_Reseau_v15[[#This Row],[province RDC]],_26_03_2026_Client_Churn_v1[Province_Client],_26_03_2026_Client_Churn_v1[Facture_Mensuelle],"non trouvé")</f>
        <v>non trouvé</v>
      </c>
      <c r="P831" t="str">
        <f>_xlfn.XLOOKUP(_26_03_2026_Log_Reseau_v15[[#This Row],[province RDC]],_26_03_2026_Client_Churn_v1[Province_Client],_26_03_2026_Client_Churn_v1[Plaintes_Service_Client],"non trouvé")</f>
        <v>non trouvé</v>
      </c>
    </row>
    <row r="832" spans="1:16" hidden="1" x14ac:dyDescent="0.25">
      <c r="A832" s="1">
        <v>45218</v>
      </c>
      <c r="B832" s="2">
        <v>0.55833333333333335</v>
      </c>
      <c r="C832" t="s">
        <v>1320</v>
      </c>
      <c r="D832">
        <v>54</v>
      </c>
      <c r="E832" t="s">
        <v>812</v>
      </c>
      <c r="F832" t="str">
        <f>_xlfn.XLOOKUP(_26_03_2026_Log_Reseau_v15[[#This Row],[Cell_ID]],_26_03_2026_Registre_Maintenance_v1[ID_Antenne],_26_03_2026_Registre_Maintenance_v1[zone],"pas trouvé")</f>
        <v>pas trouvé</v>
      </c>
      <c r="G832" t="str">
        <f>_xlfn.XLOOKUP(_26_03_2026_Log_Reseau_v15[[#This Row],[Cell_ID]],_26_03_2026_Registre_Maintenance_v1[ID_Antenne],_26_03_2026_Registre_Maintenance_v1[Latitude],"non trouvé")</f>
        <v>non trouvé</v>
      </c>
      <c r="H832" t="str">
        <f>_xlfn.XLOOKUP(_26_03_2026_Log_Reseau_v15[[#This Row],[Cell_ID]],_26_03_2026_Registre_Maintenance_v1[ID_Antenne],_26_03_2026_Registre_Maintenance_v1[Longitude],"pas trouvé")</f>
        <v>pas trouvé</v>
      </c>
      <c r="I832" t="str">
        <f>_xlfn.XLOOKUP(_26_03_2026_Log_Reseau_v15[[#This Row],[Cell_ID]],_26_03_2026_Registre_Maintenance_v1[ID_Antenne],_26_03_2026_Registre_Maintenance_v1[Technologie],"non trouvé")</f>
        <v>non trouvé</v>
      </c>
      <c r="J832" t="str">
        <f>_xlfn.XLOOKUP(_26_03_2026_Log_Reseau_v15[[#This Row],[Cell_ID]],_26_03_2026_Registre_Maintenance_v1[ID_Antenne],_26_03_2026_Registre_Maintenance_v1[Equipementier],"pas trouvé")</f>
        <v>pas trouvé</v>
      </c>
      <c r="K832" t="str">
        <f>_xlfn.XLOOKUP(_26_03_2026_Log_Reseau_v15[[#This Row],[province RDC]],_26_03_2026_Client_Churn_v1[Province_Client],_26_03_2026_Client_Churn_v1[ID_Client],"non trouvé")</f>
        <v>non trouvé</v>
      </c>
      <c r="L832" t="str">
        <f>_xlfn.XLOOKUP(_26_03_2026_Log_Reseau_v15[[#This Row],[province RDC]],_26_03_2026_Client_Churn_v1[Province_Client],_26_03_2026_Client_Churn_v1[Anciennete_Mois],"non trouvé")</f>
        <v>non trouvé</v>
      </c>
      <c r="M832" t="str">
        <f>_xlfn.XLOOKUP(_26_03_2026_Log_Reseau_v15[[#This Row],[province RDC]],_26_03_2026_Client_Churn_v1[Province_Client],_26_03_2026_Client_Churn_v1[Type_Forfait],"non trouvé")</f>
        <v>non trouvé</v>
      </c>
      <c r="N832" t="str">
        <f>_xlfn.XLOOKUP(_26_03_2026_Log_Reseau_v15[[#This Row],[province RDC]],_26_03_2026_Client_Churn_v1[Province_Client],_26_03_2026_Client_Churn_v1[Duree_Cumulee_Panne_Min],"non trouvé")</f>
        <v>non trouvé</v>
      </c>
      <c r="O832" t="str">
        <f>_xlfn.XLOOKUP(_26_03_2026_Log_Reseau_v15[[#This Row],[province RDC]],_26_03_2026_Client_Churn_v1[Province_Client],_26_03_2026_Client_Churn_v1[Facture_Mensuelle],"non trouvé")</f>
        <v>non trouvé</v>
      </c>
      <c r="P832" t="str">
        <f>_xlfn.XLOOKUP(_26_03_2026_Log_Reseau_v15[[#This Row],[province RDC]],_26_03_2026_Client_Churn_v1[Province_Client],_26_03_2026_Client_Churn_v1[Plaintes_Service_Client],"non trouvé")</f>
        <v>non trouvé</v>
      </c>
    </row>
    <row r="833" spans="1:16" hidden="1" x14ac:dyDescent="0.25">
      <c r="A833" s="1">
        <v>45220</v>
      </c>
      <c r="B833" s="2">
        <v>0.94027777777777777</v>
      </c>
      <c r="C833" t="s">
        <v>1321</v>
      </c>
      <c r="D833">
        <v>33</v>
      </c>
      <c r="E833" t="s">
        <v>812</v>
      </c>
      <c r="F833" t="str">
        <f>_xlfn.XLOOKUP(_26_03_2026_Log_Reseau_v15[[#This Row],[Cell_ID]],_26_03_2026_Registre_Maintenance_v1[ID_Antenne],_26_03_2026_Registre_Maintenance_v1[zone],"pas trouvé")</f>
        <v>pas trouvé</v>
      </c>
      <c r="G833" t="str">
        <f>_xlfn.XLOOKUP(_26_03_2026_Log_Reseau_v15[[#This Row],[Cell_ID]],_26_03_2026_Registre_Maintenance_v1[ID_Antenne],_26_03_2026_Registre_Maintenance_v1[Latitude],"non trouvé")</f>
        <v>non trouvé</v>
      </c>
      <c r="H833" t="str">
        <f>_xlfn.XLOOKUP(_26_03_2026_Log_Reseau_v15[[#This Row],[Cell_ID]],_26_03_2026_Registre_Maintenance_v1[ID_Antenne],_26_03_2026_Registre_Maintenance_v1[Longitude],"pas trouvé")</f>
        <v>pas trouvé</v>
      </c>
      <c r="I833" t="str">
        <f>_xlfn.XLOOKUP(_26_03_2026_Log_Reseau_v15[[#This Row],[Cell_ID]],_26_03_2026_Registre_Maintenance_v1[ID_Antenne],_26_03_2026_Registre_Maintenance_v1[Technologie],"non trouvé")</f>
        <v>non trouvé</v>
      </c>
      <c r="J833" t="str">
        <f>_xlfn.XLOOKUP(_26_03_2026_Log_Reseau_v15[[#This Row],[Cell_ID]],_26_03_2026_Registre_Maintenance_v1[ID_Antenne],_26_03_2026_Registre_Maintenance_v1[Equipementier],"pas trouvé")</f>
        <v>pas trouvé</v>
      </c>
      <c r="K833" t="str">
        <f>_xlfn.XLOOKUP(_26_03_2026_Log_Reseau_v15[[#This Row],[province RDC]],_26_03_2026_Client_Churn_v1[Province_Client],_26_03_2026_Client_Churn_v1[ID_Client],"non trouvé")</f>
        <v>non trouvé</v>
      </c>
      <c r="L833" t="str">
        <f>_xlfn.XLOOKUP(_26_03_2026_Log_Reseau_v15[[#This Row],[province RDC]],_26_03_2026_Client_Churn_v1[Province_Client],_26_03_2026_Client_Churn_v1[Anciennete_Mois],"non trouvé")</f>
        <v>non trouvé</v>
      </c>
      <c r="M833" t="str">
        <f>_xlfn.XLOOKUP(_26_03_2026_Log_Reseau_v15[[#This Row],[province RDC]],_26_03_2026_Client_Churn_v1[Province_Client],_26_03_2026_Client_Churn_v1[Type_Forfait],"non trouvé")</f>
        <v>non trouvé</v>
      </c>
      <c r="N833" t="str">
        <f>_xlfn.XLOOKUP(_26_03_2026_Log_Reseau_v15[[#This Row],[province RDC]],_26_03_2026_Client_Churn_v1[Province_Client],_26_03_2026_Client_Churn_v1[Duree_Cumulee_Panne_Min],"non trouvé")</f>
        <v>non trouvé</v>
      </c>
      <c r="O833" t="str">
        <f>_xlfn.XLOOKUP(_26_03_2026_Log_Reseau_v15[[#This Row],[province RDC]],_26_03_2026_Client_Churn_v1[Province_Client],_26_03_2026_Client_Churn_v1[Facture_Mensuelle],"non trouvé")</f>
        <v>non trouvé</v>
      </c>
      <c r="P833" t="str">
        <f>_xlfn.XLOOKUP(_26_03_2026_Log_Reseau_v15[[#This Row],[province RDC]],_26_03_2026_Client_Churn_v1[Province_Client],_26_03_2026_Client_Churn_v1[Plaintes_Service_Client],"non trouvé")</f>
        <v>non trouvé</v>
      </c>
    </row>
    <row r="834" spans="1:16" hidden="1" x14ac:dyDescent="0.25">
      <c r="A834" s="1">
        <v>45227</v>
      </c>
      <c r="B834" s="2">
        <v>0.48333333333333334</v>
      </c>
      <c r="C834" t="s">
        <v>1321</v>
      </c>
      <c r="D834">
        <v>81</v>
      </c>
      <c r="E834" t="s">
        <v>808</v>
      </c>
      <c r="F834" t="str">
        <f>_xlfn.XLOOKUP(_26_03_2026_Log_Reseau_v15[[#This Row],[Cell_ID]],_26_03_2026_Registre_Maintenance_v1[ID_Antenne],_26_03_2026_Registre_Maintenance_v1[zone],"pas trouvé")</f>
        <v>pas trouvé</v>
      </c>
      <c r="G834" t="str">
        <f>_xlfn.XLOOKUP(_26_03_2026_Log_Reseau_v15[[#This Row],[Cell_ID]],_26_03_2026_Registre_Maintenance_v1[ID_Antenne],_26_03_2026_Registre_Maintenance_v1[Latitude],"non trouvé")</f>
        <v>non trouvé</v>
      </c>
      <c r="H834" t="str">
        <f>_xlfn.XLOOKUP(_26_03_2026_Log_Reseau_v15[[#This Row],[Cell_ID]],_26_03_2026_Registre_Maintenance_v1[ID_Antenne],_26_03_2026_Registre_Maintenance_v1[Longitude],"pas trouvé")</f>
        <v>pas trouvé</v>
      </c>
      <c r="I834" t="str">
        <f>_xlfn.XLOOKUP(_26_03_2026_Log_Reseau_v15[[#This Row],[Cell_ID]],_26_03_2026_Registre_Maintenance_v1[ID_Antenne],_26_03_2026_Registre_Maintenance_v1[Technologie],"non trouvé")</f>
        <v>non trouvé</v>
      </c>
      <c r="J834" t="str">
        <f>_xlfn.XLOOKUP(_26_03_2026_Log_Reseau_v15[[#This Row],[Cell_ID]],_26_03_2026_Registre_Maintenance_v1[ID_Antenne],_26_03_2026_Registre_Maintenance_v1[Equipementier],"pas trouvé")</f>
        <v>pas trouvé</v>
      </c>
      <c r="K834" t="str">
        <f>_xlfn.XLOOKUP(_26_03_2026_Log_Reseau_v15[[#This Row],[province RDC]],_26_03_2026_Client_Churn_v1[Province_Client],_26_03_2026_Client_Churn_v1[ID_Client],"non trouvé")</f>
        <v>non trouvé</v>
      </c>
      <c r="L834" t="str">
        <f>_xlfn.XLOOKUP(_26_03_2026_Log_Reseau_v15[[#This Row],[province RDC]],_26_03_2026_Client_Churn_v1[Province_Client],_26_03_2026_Client_Churn_v1[Anciennete_Mois],"non trouvé")</f>
        <v>non trouvé</v>
      </c>
      <c r="M834" t="str">
        <f>_xlfn.XLOOKUP(_26_03_2026_Log_Reseau_v15[[#This Row],[province RDC]],_26_03_2026_Client_Churn_v1[Province_Client],_26_03_2026_Client_Churn_v1[Type_Forfait],"non trouvé")</f>
        <v>non trouvé</v>
      </c>
      <c r="N834" t="str">
        <f>_xlfn.XLOOKUP(_26_03_2026_Log_Reseau_v15[[#This Row],[province RDC]],_26_03_2026_Client_Churn_v1[Province_Client],_26_03_2026_Client_Churn_v1[Duree_Cumulee_Panne_Min],"non trouvé")</f>
        <v>non trouvé</v>
      </c>
      <c r="O834" t="str">
        <f>_xlfn.XLOOKUP(_26_03_2026_Log_Reseau_v15[[#This Row],[province RDC]],_26_03_2026_Client_Churn_v1[Province_Client],_26_03_2026_Client_Churn_v1[Facture_Mensuelle],"non trouvé")</f>
        <v>non trouvé</v>
      </c>
      <c r="P834" t="str">
        <f>_xlfn.XLOOKUP(_26_03_2026_Log_Reseau_v15[[#This Row],[province RDC]],_26_03_2026_Client_Churn_v1[Province_Client],_26_03_2026_Client_Churn_v1[Plaintes_Service_Client],"non trouvé")</f>
        <v>non trouvé</v>
      </c>
    </row>
    <row r="835" spans="1:16" hidden="1" x14ac:dyDescent="0.25">
      <c r="A835" s="1">
        <v>45203</v>
      </c>
      <c r="B835" s="2">
        <v>0.67291666666666672</v>
      </c>
      <c r="C835" t="s">
        <v>1322</v>
      </c>
      <c r="D835">
        <v>82</v>
      </c>
      <c r="E835" t="s">
        <v>807</v>
      </c>
      <c r="F835" t="str">
        <f>_xlfn.XLOOKUP(_26_03_2026_Log_Reseau_v15[[#This Row],[Cell_ID]],_26_03_2026_Registre_Maintenance_v1[ID_Antenne],_26_03_2026_Registre_Maintenance_v1[zone],"pas trouvé")</f>
        <v>pas trouvé</v>
      </c>
      <c r="G835" t="str">
        <f>_xlfn.XLOOKUP(_26_03_2026_Log_Reseau_v15[[#This Row],[Cell_ID]],_26_03_2026_Registre_Maintenance_v1[ID_Antenne],_26_03_2026_Registre_Maintenance_v1[Latitude],"non trouvé")</f>
        <v>non trouvé</v>
      </c>
      <c r="H835" t="str">
        <f>_xlfn.XLOOKUP(_26_03_2026_Log_Reseau_v15[[#This Row],[Cell_ID]],_26_03_2026_Registre_Maintenance_v1[ID_Antenne],_26_03_2026_Registre_Maintenance_v1[Longitude],"pas trouvé")</f>
        <v>pas trouvé</v>
      </c>
      <c r="I835" t="str">
        <f>_xlfn.XLOOKUP(_26_03_2026_Log_Reseau_v15[[#This Row],[Cell_ID]],_26_03_2026_Registre_Maintenance_v1[ID_Antenne],_26_03_2026_Registre_Maintenance_v1[Technologie],"non trouvé")</f>
        <v>non trouvé</v>
      </c>
      <c r="J835" t="str">
        <f>_xlfn.XLOOKUP(_26_03_2026_Log_Reseau_v15[[#This Row],[Cell_ID]],_26_03_2026_Registre_Maintenance_v1[ID_Antenne],_26_03_2026_Registre_Maintenance_v1[Equipementier],"pas trouvé")</f>
        <v>pas trouvé</v>
      </c>
      <c r="K835" t="str">
        <f>_xlfn.XLOOKUP(_26_03_2026_Log_Reseau_v15[[#This Row],[province RDC]],_26_03_2026_Client_Churn_v1[Province_Client],_26_03_2026_Client_Churn_v1[ID_Client],"non trouvé")</f>
        <v>non trouvé</v>
      </c>
      <c r="L835" t="str">
        <f>_xlfn.XLOOKUP(_26_03_2026_Log_Reseau_v15[[#This Row],[province RDC]],_26_03_2026_Client_Churn_v1[Province_Client],_26_03_2026_Client_Churn_v1[Anciennete_Mois],"non trouvé")</f>
        <v>non trouvé</v>
      </c>
      <c r="M835" t="str">
        <f>_xlfn.XLOOKUP(_26_03_2026_Log_Reseau_v15[[#This Row],[province RDC]],_26_03_2026_Client_Churn_v1[Province_Client],_26_03_2026_Client_Churn_v1[Type_Forfait],"non trouvé")</f>
        <v>non trouvé</v>
      </c>
      <c r="N835" t="str">
        <f>_xlfn.XLOOKUP(_26_03_2026_Log_Reseau_v15[[#This Row],[province RDC]],_26_03_2026_Client_Churn_v1[Province_Client],_26_03_2026_Client_Churn_v1[Duree_Cumulee_Panne_Min],"non trouvé")</f>
        <v>non trouvé</v>
      </c>
      <c r="O835" t="str">
        <f>_xlfn.XLOOKUP(_26_03_2026_Log_Reseau_v15[[#This Row],[province RDC]],_26_03_2026_Client_Churn_v1[Province_Client],_26_03_2026_Client_Churn_v1[Facture_Mensuelle],"non trouvé")</f>
        <v>non trouvé</v>
      </c>
      <c r="P835" t="str">
        <f>_xlfn.XLOOKUP(_26_03_2026_Log_Reseau_v15[[#This Row],[province RDC]],_26_03_2026_Client_Churn_v1[Province_Client],_26_03_2026_Client_Churn_v1[Plaintes_Service_Client],"non trouvé")</f>
        <v>non trouvé</v>
      </c>
    </row>
    <row r="836" spans="1:16" hidden="1" x14ac:dyDescent="0.25">
      <c r="A836" s="1">
        <v>45225</v>
      </c>
      <c r="B836" s="2">
        <v>6.1805555555555558E-2</v>
      </c>
      <c r="C836" t="s">
        <v>1323</v>
      </c>
      <c r="D836">
        <v>15</v>
      </c>
      <c r="E836" t="s">
        <v>812</v>
      </c>
      <c r="F836" t="str">
        <f>_xlfn.XLOOKUP(_26_03_2026_Log_Reseau_v15[[#This Row],[Cell_ID]],_26_03_2026_Registre_Maintenance_v1[ID_Antenne],_26_03_2026_Registre_Maintenance_v1[zone],"pas trouvé")</f>
        <v>pas trouvé</v>
      </c>
      <c r="G836" t="str">
        <f>_xlfn.XLOOKUP(_26_03_2026_Log_Reseau_v15[[#This Row],[Cell_ID]],_26_03_2026_Registre_Maintenance_v1[ID_Antenne],_26_03_2026_Registre_Maintenance_v1[Latitude],"non trouvé")</f>
        <v>non trouvé</v>
      </c>
      <c r="H836" t="str">
        <f>_xlfn.XLOOKUP(_26_03_2026_Log_Reseau_v15[[#This Row],[Cell_ID]],_26_03_2026_Registre_Maintenance_v1[ID_Antenne],_26_03_2026_Registre_Maintenance_v1[Longitude],"pas trouvé")</f>
        <v>pas trouvé</v>
      </c>
      <c r="I836" t="str">
        <f>_xlfn.XLOOKUP(_26_03_2026_Log_Reseau_v15[[#This Row],[Cell_ID]],_26_03_2026_Registre_Maintenance_v1[ID_Antenne],_26_03_2026_Registre_Maintenance_v1[Technologie],"non trouvé")</f>
        <v>non trouvé</v>
      </c>
      <c r="J836" t="str">
        <f>_xlfn.XLOOKUP(_26_03_2026_Log_Reseau_v15[[#This Row],[Cell_ID]],_26_03_2026_Registre_Maintenance_v1[ID_Antenne],_26_03_2026_Registre_Maintenance_v1[Equipementier],"pas trouvé")</f>
        <v>pas trouvé</v>
      </c>
      <c r="K836" t="str">
        <f>_xlfn.XLOOKUP(_26_03_2026_Log_Reseau_v15[[#This Row],[province RDC]],_26_03_2026_Client_Churn_v1[Province_Client],_26_03_2026_Client_Churn_v1[ID_Client],"non trouvé")</f>
        <v>non trouvé</v>
      </c>
      <c r="L836" t="str">
        <f>_xlfn.XLOOKUP(_26_03_2026_Log_Reseau_v15[[#This Row],[province RDC]],_26_03_2026_Client_Churn_v1[Province_Client],_26_03_2026_Client_Churn_v1[Anciennete_Mois],"non trouvé")</f>
        <v>non trouvé</v>
      </c>
      <c r="M836" t="str">
        <f>_xlfn.XLOOKUP(_26_03_2026_Log_Reseau_v15[[#This Row],[province RDC]],_26_03_2026_Client_Churn_v1[Province_Client],_26_03_2026_Client_Churn_v1[Type_Forfait],"non trouvé")</f>
        <v>non trouvé</v>
      </c>
      <c r="N836" t="str">
        <f>_xlfn.XLOOKUP(_26_03_2026_Log_Reseau_v15[[#This Row],[province RDC]],_26_03_2026_Client_Churn_v1[Province_Client],_26_03_2026_Client_Churn_v1[Duree_Cumulee_Panne_Min],"non trouvé")</f>
        <v>non trouvé</v>
      </c>
      <c r="O836" t="str">
        <f>_xlfn.XLOOKUP(_26_03_2026_Log_Reseau_v15[[#This Row],[province RDC]],_26_03_2026_Client_Churn_v1[Province_Client],_26_03_2026_Client_Churn_v1[Facture_Mensuelle],"non trouvé")</f>
        <v>non trouvé</v>
      </c>
      <c r="P836" t="str">
        <f>_xlfn.XLOOKUP(_26_03_2026_Log_Reseau_v15[[#This Row],[province RDC]],_26_03_2026_Client_Churn_v1[Province_Client],_26_03_2026_Client_Churn_v1[Plaintes_Service_Client],"non trouvé")</f>
        <v>non trouvé</v>
      </c>
    </row>
    <row r="837" spans="1:16" hidden="1" x14ac:dyDescent="0.25">
      <c r="A837" s="1">
        <v>45205</v>
      </c>
      <c r="B837" s="2">
        <v>0.3659722222222222</v>
      </c>
      <c r="C837" t="s">
        <v>1323</v>
      </c>
      <c r="D837">
        <v>32</v>
      </c>
      <c r="E837" t="s">
        <v>807</v>
      </c>
      <c r="F837" t="str">
        <f>_xlfn.XLOOKUP(_26_03_2026_Log_Reseau_v15[[#This Row],[Cell_ID]],_26_03_2026_Registre_Maintenance_v1[ID_Antenne],_26_03_2026_Registre_Maintenance_v1[zone],"pas trouvé")</f>
        <v>pas trouvé</v>
      </c>
      <c r="G837" t="str">
        <f>_xlfn.XLOOKUP(_26_03_2026_Log_Reseau_v15[[#This Row],[Cell_ID]],_26_03_2026_Registre_Maintenance_v1[ID_Antenne],_26_03_2026_Registre_Maintenance_v1[Latitude],"non trouvé")</f>
        <v>non trouvé</v>
      </c>
      <c r="H837" t="str">
        <f>_xlfn.XLOOKUP(_26_03_2026_Log_Reseau_v15[[#This Row],[Cell_ID]],_26_03_2026_Registre_Maintenance_v1[ID_Antenne],_26_03_2026_Registre_Maintenance_v1[Longitude],"pas trouvé")</f>
        <v>pas trouvé</v>
      </c>
      <c r="I837" t="str">
        <f>_xlfn.XLOOKUP(_26_03_2026_Log_Reseau_v15[[#This Row],[Cell_ID]],_26_03_2026_Registre_Maintenance_v1[ID_Antenne],_26_03_2026_Registre_Maintenance_v1[Technologie],"non trouvé")</f>
        <v>non trouvé</v>
      </c>
      <c r="J837" t="str">
        <f>_xlfn.XLOOKUP(_26_03_2026_Log_Reseau_v15[[#This Row],[Cell_ID]],_26_03_2026_Registre_Maintenance_v1[ID_Antenne],_26_03_2026_Registre_Maintenance_v1[Equipementier],"pas trouvé")</f>
        <v>pas trouvé</v>
      </c>
      <c r="K837" t="str">
        <f>_xlfn.XLOOKUP(_26_03_2026_Log_Reseau_v15[[#This Row],[province RDC]],_26_03_2026_Client_Churn_v1[Province_Client],_26_03_2026_Client_Churn_v1[ID_Client],"non trouvé")</f>
        <v>non trouvé</v>
      </c>
      <c r="L837" t="str">
        <f>_xlfn.XLOOKUP(_26_03_2026_Log_Reseau_v15[[#This Row],[province RDC]],_26_03_2026_Client_Churn_v1[Province_Client],_26_03_2026_Client_Churn_v1[Anciennete_Mois],"non trouvé")</f>
        <v>non trouvé</v>
      </c>
      <c r="M837" t="str">
        <f>_xlfn.XLOOKUP(_26_03_2026_Log_Reseau_v15[[#This Row],[province RDC]],_26_03_2026_Client_Churn_v1[Province_Client],_26_03_2026_Client_Churn_v1[Type_Forfait],"non trouvé")</f>
        <v>non trouvé</v>
      </c>
      <c r="N837" t="str">
        <f>_xlfn.XLOOKUP(_26_03_2026_Log_Reseau_v15[[#This Row],[province RDC]],_26_03_2026_Client_Churn_v1[Province_Client],_26_03_2026_Client_Churn_v1[Duree_Cumulee_Panne_Min],"non trouvé")</f>
        <v>non trouvé</v>
      </c>
      <c r="O837" t="str">
        <f>_xlfn.XLOOKUP(_26_03_2026_Log_Reseau_v15[[#This Row],[province RDC]],_26_03_2026_Client_Churn_v1[Province_Client],_26_03_2026_Client_Churn_v1[Facture_Mensuelle],"non trouvé")</f>
        <v>non trouvé</v>
      </c>
      <c r="P837" t="str">
        <f>_xlfn.XLOOKUP(_26_03_2026_Log_Reseau_v15[[#This Row],[province RDC]],_26_03_2026_Client_Churn_v1[Province_Client],_26_03_2026_Client_Churn_v1[Plaintes_Service_Client],"non trouvé")</f>
        <v>non trouvé</v>
      </c>
    </row>
    <row r="838" spans="1:16" hidden="1" x14ac:dyDescent="0.25">
      <c r="A838" s="1">
        <v>45215</v>
      </c>
      <c r="B838" s="2">
        <v>0.47916666666666669</v>
      </c>
      <c r="C838" t="s">
        <v>1324</v>
      </c>
      <c r="D838">
        <v>67</v>
      </c>
      <c r="E838" t="s">
        <v>812</v>
      </c>
      <c r="F838" t="str">
        <f>_xlfn.XLOOKUP(_26_03_2026_Log_Reseau_v15[[#This Row],[Cell_ID]],_26_03_2026_Registre_Maintenance_v1[ID_Antenne],_26_03_2026_Registre_Maintenance_v1[zone],"pas trouvé")</f>
        <v>pas trouvé</v>
      </c>
      <c r="G838" t="str">
        <f>_xlfn.XLOOKUP(_26_03_2026_Log_Reseau_v15[[#This Row],[Cell_ID]],_26_03_2026_Registre_Maintenance_v1[ID_Antenne],_26_03_2026_Registre_Maintenance_v1[Latitude],"non trouvé")</f>
        <v>non trouvé</v>
      </c>
      <c r="H838" t="str">
        <f>_xlfn.XLOOKUP(_26_03_2026_Log_Reseau_v15[[#This Row],[Cell_ID]],_26_03_2026_Registre_Maintenance_v1[ID_Antenne],_26_03_2026_Registre_Maintenance_v1[Longitude],"pas trouvé")</f>
        <v>pas trouvé</v>
      </c>
      <c r="I838" t="str">
        <f>_xlfn.XLOOKUP(_26_03_2026_Log_Reseau_v15[[#This Row],[Cell_ID]],_26_03_2026_Registre_Maintenance_v1[ID_Antenne],_26_03_2026_Registre_Maintenance_v1[Technologie],"non trouvé")</f>
        <v>non trouvé</v>
      </c>
      <c r="J838" t="str">
        <f>_xlfn.XLOOKUP(_26_03_2026_Log_Reseau_v15[[#This Row],[Cell_ID]],_26_03_2026_Registre_Maintenance_v1[ID_Antenne],_26_03_2026_Registre_Maintenance_v1[Equipementier],"pas trouvé")</f>
        <v>pas trouvé</v>
      </c>
      <c r="K838" t="str">
        <f>_xlfn.XLOOKUP(_26_03_2026_Log_Reseau_v15[[#This Row],[province RDC]],_26_03_2026_Client_Churn_v1[Province_Client],_26_03_2026_Client_Churn_v1[ID_Client],"non trouvé")</f>
        <v>non trouvé</v>
      </c>
      <c r="L838" t="str">
        <f>_xlfn.XLOOKUP(_26_03_2026_Log_Reseau_v15[[#This Row],[province RDC]],_26_03_2026_Client_Churn_v1[Province_Client],_26_03_2026_Client_Churn_v1[Anciennete_Mois],"non trouvé")</f>
        <v>non trouvé</v>
      </c>
      <c r="M838" t="str">
        <f>_xlfn.XLOOKUP(_26_03_2026_Log_Reseau_v15[[#This Row],[province RDC]],_26_03_2026_Client_Churn_v1[Province_Client],_26_03_2026_Client_Churn_v1[Type_Forfait],"non trouvé")</f>
        <v>non trouvé</v>
      </c>
      <c r="N838" t="str">
        <f>_xlfn.XLOOKUP(_26_03_2026_Log_Reseau_v15[[#This Row],[province RDC]],_26_03_2026_Client_Churn_v1[Province_Client],_26_03_2026_Client_Churn_v1[Duree_Cumulee_Panne_Min],"non trouvé")</f>
        <v>non trouvé</v>
      </c>
      <c r="O838" t="str">
        <f>_xlfn.XLOOKUP(_26_03_2026_Log_Reseau_v15[[#This Row],[province RDC]],_26_03_2026_Client_Churn_v1[Province_Client],_26_03_2026_Client_Churn_v1[Facture_Mensuelle],"non trouvé")</f>
        <v>non trouvé</v>
      </c>
      <c r="P838" t="str">
        <f>_xlfn.XLOOKUP(_26_03_2026_Log_Reseau_v15[[#This Row],[province RDC]],_26_03_2026_Client_Churn_v1[Province_Client],_26_03_2026_Client_Churn_v1[Plaintes_Service_Client],"non trouvé")</f>
        <v>non trouvé</v>
      </c>
    </row>
    <row r="839" spans="1:16" hidden="1" x14ac:dyDescent="0.25">
      <c r="A839" s="1">
        <v>45214</v>
      </c>
      <c r="B839" s="2">
        <v>0.61319444444444449</v>
      </c>
      <c r="C839" t="s">
        <v>1324</v>
      </c>
      <c r="D839">
        <v>11</v>
      </c>
      <c r="E839" t="s">
        <v>812</v>
      </c>
      <c r="F839" t="str">
        <f>_xlfn.XLOOKUP(_26_03_2026_Log_Reseau_v15[[#This Row],[Cell_ID]],_26_03_2026_Registre_Maintenance_v1[ID_Antenne],_26_03_2026_Registre_Maintenance_v1[zone],"pas trouvé")</f>
        <v>pas trouvé</v>
      </c>
      <c r="G839" t="str">
        <f>_xlfn.XLOOKUP(_26_03_2026_Log_Reseau_v15[[#This Row],[Cell_ID]],_26_03_2026_Registre_Maintenance_v1[ID_Antenne],_26_03_2026_Registre_Maintenance_v1[Latitude],"non trouvé")</f>
        <v>non trouvé</v>
      </c>
      <c r="H839" t="str">
        <f>_xlfn.XLOOKUP(_26_03_2026_Log_Reseau_v15[[#This Row],[Cell_ID]],_26_03_2026_Registre_Maintenance_v1[ID_Antenne],_26_03_2026_Registre_Maintenance_v1[Longitude],"pas trouvé")</f>
        <v>pas trouvé</v>
      </c>
      <c r="I839" t="str">
        <f>_xlfn.XLOOKUP(_26_03_2026_Log_Reseau_v15[[#This Row],[Cell_ID]],_26_03_2026_Registre_Maintenance_v1[ID_Antenne],_26_03_2026_Registre_Maintenance_v1[Technologie],"non trouvé")</f>
        <v>non trouvé</v>
      </c>
      <c r="J839" t="str">
        <f>_xlfn.XLOOKUP(_26_03_2026_Log_Reseau_v15[[#This Row],[Cell_ID]],_26_03_2026_Registre_Maintenance_v1[ID_Antenne],_26_03_2026_Registre_Maintenance_v1[Equipementier],"pas trouvé")</f>
        <v>pas trouvé</v>
      </c>
      <c r="K839" t="str">
        <f>_xlfn.XLOOKUP(_26_03_2026_Log_Reseau_v15[[#This Row],[province RDC]],_26_03_2026_Client_Churn_v1[Province_Client],_26_03_2026_Client_Churn_v1[ID_Client],"non trouvé")</f>
        <v>non trouvé</v>
      </c>
      <c r="L839" t="str">
        <f>_xlfn.XLOOKUP(_26_03_2026_Log_Reseau_v15[[#This Row],[province RDC]],_26_03_2026_Client_Churn_v1[Province_Client],_26_03_2026_Client_Churn_v1[Anciennete_Mois],"non trouvé")</f>
        <v>non trouvé</v>
      </c>
      <c r="M839" t="str">
        <f>_xlfn.XLOOKUP(_26_03_2026_Log_Reseau_v15[[#This Row],[province RDC]],_26_03_2026_Client_Churn_v1[Province_Client],_26_03_2026_Client_Churn_v1[Type_Forfait],"non trouvé")</f>
        <v>non trouvé</v>
      </c>
      <c r="N839" t="str">
        <f>_xlfn.XLOOKUP(_26_03_2026_Log_Reseau_v15[[#This Row],[province RDC]],_26_03_2026_Client_Churn_v1[Province_Client],_26_03_2026_Client_Churn_v1[Duree_Cumulee_Panne_Min],"non trouvé")</f>
        <v>non trouvé</v>
      </c>
      <c r="O839" t="str">
        <f>_xlfn.XLOOKUP(_26_03_2026_Log_Reseau_v15[[#This Row],[province RDC]],_26_03_2026_Client_Churn_v1[Province_Client],_26_03_2026_Client_Churn_v1[Facture_Mensuelle],"non trouvé")</f>
        <v>non trouvé</v>
      </c>
      <c r="P839" t="str">
        <f>_xlfn.XLOOKUP(_26_03_2026_Log_Reseau_v15[[#This Row],[province RDC]],_26_03_2026_Client_Churn_v1[Province_Client],_26_03_2026_Client_Churn_v1[Plaintes_Service_Client],"non trouvé")</f>
        <v>non trouvé</v>
      </c>
    </row>
    <row r="840" spans="1:16" x14ac:dyDescent="0.25">
      <c r="A840" s="1">
        <v>45210</v>
      </c>
      <c r="B840" s="2">
        <v>0.28055555555555556</v>
      </c>
      <c r="C840" t="s">
        <v>1325</v>
      </c>
      <c r="D840">
        <v>43</v>
      </c>
      <c r="E840" t="s">
        <v>808</v>
      </c>
      <c r="F840" t="str">
        <f>_xlfn.XLOOKUP(_26_03_2026_Log_Reseau_v15[[#This Row],[Cell_ID]],_26_03_2026_Registre_Maintenance_v1[ID_Antenne],_26_03_2026_Registre_Maintenance_v1[zone],"pas trouvé")</f>
        <v>Sud-Ubangi</v>
      </c>
      <c r="G840">
        <f>_xlfn.XLOOKUP(_26_03_2026_Log_Reseau_v15[[#This Row],[Cell_ID]],_26_03_2026_Registre_Maintenance_v1[ID_Antenne],_26_03_2026_Registre_Maintenance_v1[Latitude],"non trouvé")</f>
        <v>-12.342053999999999</v>
      </c>
      <c r="H840">
        <f>_xlfn.XLOOKUP(_26_03_2026_Log_Reseau_v15[[#This Row],[Cell_ID]],_26_03_2026_Registre_Maintenance_v1[ID_Antenne],_26_03_2026_Registre_Maintenance_v1[Longitude],"pas trouvé")</f>
        <v>18.756862000000002</v>
      </c>
      <c r="I840" t="str">
        <f>_xlfn.XLOOKUP(_26_03_2026_Log_Reseau_v15[[#This Row],[Cell_ID]],_26_03_2026_Registre_Maintenance_v1[ID_Antenne],_26_03_2026_Registre_Maintenance_v1[Technologie],"non trouvé")</f>
        <v>3G</v>
      </c>
      <c r="J840" t="str">
        <f>_xlfn.XLOOKUP(_26_03_2026_Log_Reseau_v15[[#This Row],[Cell_ID]],_26_03_2026_Registre_Maintenance_v1[ID_Antenne],_26_03_2026_Registre_Maintenance_v1[Equipementier],"pas trouvé")</f>
        <v>Ericsson</v>
      </c>
      <c r="K840" t="str">
        <f>_xlfn.XLOOKUP(_26_03_2026_Log_Reseau_v15[[#This Row],[province RDC]],_26_03_2026_Client_Churn_v1[Province_Client],_26_03_2026_Client_Churn_v1[ID_Client],"non trouvé")</f>
        <v>CLI-00280</v>
      </c>
      <c r="L840">
        <f>_xlfn.XLOOKUP(_26_03_2026_Log_Reseau_v15[[#This Row],[province RDC]],_26_03_2026_Client_Churn_v1[Province_Client],_26_03_2026_Client_Churn_v1[Anciennete_Mois],"non trouvé")</f>
        <v>113</v>
      </c>
      <c r="M840" t="str">
        <f>_xlfn.XLOOKUP(_26_03_2026_Log_Reseau_v15[[#This Row],[province RDC]],_26_03_2026_Client_Churn_v1[Province_Client],_26_03_2026_Client_Churn_v1[Type_Forfait],"non trouvé")</f>
        <v>Illimité 50Go</v>
      </c>
      <c r="N840">
        <f>_xlfn.XLOOKUP(_26_03_2026_Log_Reseau_v15[[#This Row],[province RDC]],_26_03_2026_Client_Churn_v1[Province_Client],_26_03_2026_Client_Churn_v1[Duree_Cumulee_Panne_Min],"non trouvé")</f>
        <v>380</v>
      </c>
      <c r="O840">
        <f>_xlfn.XLOOKUP(_26_03_2026_Log_Reseau_v15[[#This Row],[province RDC]],_26_03_2026_Client_Churn_v1[Province_Client],_26_03_2026_Client_Churn_v1[Facture_Mensuelle],"non trouvé")</f>
        <v>12.11</v>
      </c>
      <c r="P840">
        <f>_xlfn.XLOOKUP(_26_03_2026_Log_Reseau_v15[[#This Row],[province RDC]],_26_03_2026_Client_Churn_v1[Province_Client],_26_03_2026_Client_Churn_v1[Plaintes_Service_Client],"non trouvé")</f>
        <v>0</v>
      </c>
    </row>
    <row r="841" spans="1:16" x14ac:dyDescent="0.25">
      <c r="A841" s="1">
        <v>45211</v>
      </c>
      <c r="B841" s="2">
        <v>0.90486111111111112</v>
      </c>
      <c r="C841" t="s">
        <v>1325</v>
      </c>
      <c r="D841">
        <v>45</v>
      </c>
      <c r="E841" t="s">
        <v>812</v>
      </c>
      <c r="F841" t="str">
        <f>_xlfn.XLOOKUP(_26_03_2026_Log_Reseau_v15[[#This Row],[Cell_ID]],_26_03_2026_Registre_Maintenance_v1[ID_Antenne],_26_03_2026_Registre_Maintenance_v1[zone],"pas trouvé")</f>
        <v>Sud-Ubangi</v>
      </c>
      <c r="G841">
        <f>_xlfn.XLOOKUP(_26_03_2026_Log_Reseau_v15[[#This Row],[Cell_ID]],_26_03_2026_Registre_Maintenance_v1[ID_Antenne],_26_03_2026_Registre_Maintenance_v1[Latitude],"non trouvé")</f>
        <v>-12.342053999999999</v>
      </c>
      <c r="H841">
        <f>_xlfn.XLOOKUP(_26_03_2026_Log_Reseau_v15[[#This Row],[Cell_ID]],_26_03_2026_Registre_Maintenance_v1[ID_Antenne],_26_03_2026_Registre_Maintenance_v1[Longitude],"pas trouvé")</f>
        <v>18.756862000000002</v>
      </c>
      <c r="I841" t="str">
        <f>_xlfn.XLOOKUP(_26_03_2026_Log_Reseau_v15[[#This Row],[Cell_ID]],_26_03_2026_Registre_Maintenance_v1[ID_Antenne],_26_03_2026_Registre_Maintenance_v1[Technologie],"non trouvé")</f>
        <v>3G</v>
      </c>
      <c r="J841" t="str">
        <f>_xlfn.XLOOKUP(_26_03_2026_Log_Reseau_v15[[#This Row],[Cell_ID]],_26_03_2026_Registre_Maintenance_v1[ID_Antenne],_26_03_2026_Registre_Maintenance_v1[Equipementier],"pas trouvé")</f>
        <v>Ericsson</v>
      </c>
      <c r="K841" t="str">
        <f>_xlfn.XLOOKUP(_26_03_2026_Log_Reseau_v15[[#This Row],[province RDC]],_26_03_2026_Client_Churn_v1[Province_Client],_26_03_2026_Client_Churn_v1[ID_Client],"non trouvé")</f>
        <v>CLI-00280</v>
      </c>
      <c r="L841">
        <f>_xlfn.XLOOKUP(_26_03_2026_Log_Reseau_v15[[#This Row],[province RDC]],_26_03_2026_Client_Churn_v1[Province_Client],_26_03_2026_Client_Churn_v1[Anciennete_Mois],"non trouvé")</f>
        <v>113</v>
      </c>
      <c r="M841" t="str">
        <f>_xlfn.XLOOKUP(_26_03_2026_Log_Reseau_v15[[#This Row],[province RDC]],_26_03_2026_Client_Churn_v1[Province_Client],_26_03_2026_Client_Churn_v1[Type_Forfait],"non trouvé")</f>
        <v>Illimité 50Go</v>
      </c>
      <c r="N841">
        <f>_xlfn.XLOOKUP(_26_03_2026_Log_Reseau_v15[[#This Row],[province RDC]],_26_03_2026_Client_Churn_v1[Province_Client],_26_03_2026_Client_Churn_v1[Duree_Cumulee_Panne_Min],"non trouvé")</f>
        <v>380</v>
      </c>
      <c r="O841">
        <f>_xlfn.XLOOKUP(_26_03_2026_Log_Reseau_v15[[#This Row],[province RDC]],_26_03_2026_Client_Churn_v1[Province_Client],_26_03_2026_Client_Churn_v1[Facture_Mensuelle],"non trouvé")</f>
        <v>12.11</v>
      </c>
      <c r="P841">
        <f>_xlfn.XLOOKUP(_26_03_2026_Log_Reseau_v15[[#This Row],[province RDC]],_26_03_2026_Client_Churn_v1[Province_Client],_26_03_2026_Client_Churn_v1[Plaintes_Service_Client],"non trouvé")</f>
        <v>0</v>
      </c>
    </row>
    <row r="842" spans="1:16" hidden="1" x14ac:dyDescent="0.25">
      <c r="A842" s="1">
        <v>45202</v>
      </c>
      <c r="B842" s="2">
        <v>9.5138888888888884E-2</v>
      </c>
      <c r="C842" t="s">
        <v>1326</v>
      </c>
      <c r="D842">
        <v>61</v>
      </c>
      <c r="E842" t="s">
        <v>808</v>
      </c>
      <c r="F842" t="str">
        <f>_xlfn.XLOOKUP(_26_03_2026_Log_Reseau_v15[[#This Row],[Cell_ID]],_26_03_2026_Registre_Maintenance_v1[ID_Antenne],_26_03_2026_Registre_Maintenance_v1[zone],"pas trouvé")</f>
        <v>pas trouvé</v>
      </c>
      <c r="G842" t="str">
        <f>_xlfn.XLOOKUP(_26_03_2026_Log_Reseau_v15[[#This Row],[Cell_ID]],_26_03_2026_Registre_Maintenance_v1[ID_Antenne],_26_03_2026_Registre_Maintenance_v1[Latitude],"non trouvé")</f>
        <v>non trouvé</v>
      </c>
      <c r="H842" t="str">
        <f>_xlfn.XLOOKUP(_26_03_2026_Log_Reseau_v15[[#This Row],[Cell_ID]],_26_03_2026_Registre_Maintenance_v1[ID_Antenne],_26_03_2026_Registre_Maintenance_v1[Longitude],"pas trouvé")</f>
        <v>pas trouvé</v>
      </c>
      <c r="I842" t="str">
        <f>_xlfn.XLOOKUP(_26_03_2026_Log_Reseau_v15[[#This Row],[Cell_ID]],_26_03_2026_Registre_Maintenance_v1[ID_Antenne],_26_03_2026_Registre_Maintenance_v1[Technologie],"non trouvé")</f>
        <v>non trouvé</v>
      </c>
      <c r="J842" t="str">
        <f>_xlfn.XLOOKUP(_26_03_2026_Log_Reseau_v15[[#This Row],[Cell_ID]],_26_03_2026_Registre_Maintenance_v1[ID_Antenne],_26_03_2026_Registre_Maintenance_v1[Equipementier],"pas trouvé")</f>
        <v>pas trouvé</v>
      </c>
      <c r="K842" t="str">
        <f>_xlfn.XLOOKUP(_26_03_2026_Log_Reseau_v15[[#This Row],[province RDC]],_26_03_2026_Client_Churn_v1[Province_Client],_26_03_2026_Client_Churn_v1[ID_Client],"non trouvé")</f>
        <v>non trouvé</v>
      </c>
      <c r="L842" t="str">
        <f>_xlfn.XLOOKUP(_26_03_2026_Log_Reseau_v15[[#This Row],[province RDC]],_26_03_2026_Client_Churn_v1[Province_Client],_26_03_2026_Client_Churn_v1[Anciennete_Mois],"non trouvé")</f>
        <v>non trouvé</v>
      </c>
      <c r="M842" t="str">
        <f>_xlfn.XLOOKUP(_26_03_2026_Log_Reseau_v15[[#This Row],[province RDC]],_26_03_2026_Client_Churn_v1[Province_Client],_26_03_2026_Client_Churn_v1[Type_Forfait],"non trouvé")</f>
        <v>non trouvé</v>
      </c>
      <c r="N842" t="str">
        <f>_xlfn.XLOOKUP(_26_03_2026_Log_Reseau_v15[[#This Row],[province RDC]],_26_03_2026_Client_Churn_v1[Province_Client],_26_03_2026_Client_Churn_v1[Duree_Cumulee_Panne_Min],"non trouvé")</f>
        <v>non trouvé</v>
      </c>
      <c r="O842" t="str">
        <f>_xlfn.XLOOKUP(_26_03_2026_Log_Reseau_v15[[#This Row],[province RDC]],_26_03_2026_Client_Churn_v1[Province_Client],_26_03_2026_Client_Churn_v1[Facture_Mensuelle],"non trouvé")</f>
        <v>non trouvé</v>
      </c>
      <c r="P842" t="str">
        <f>_xlfn.XLOOKUP(_26_03_2026_Log_Reseau_v15[[#This Row],[province RDC]],_26_03_2026_Client_Churn_v1[Province_Client],_26_03_2026_Client_Churn_v1[Plaintes_Service_Client],"non trouvé")</f>
        <v>non trouvé</v>
      </c>
    </row>
    <row r="843" spans="1:16" x14ac:dyDescent="0.25">
      <c r="A843" s="1">
        <v>45205</v>
      </c>
      <c r="B843" s="2">
        <v>5.2083333333333336E-2</v>
      </c>
      <c r="C843" t="s">
        <v>1327</v>
      </c>
      <c r="D843">
        <v>81</v>
      </c>
      <c r="E843" t="s">
        <v>812</v>
      </c>
      <c r="F843" t="str">
        <f>_xlfn.XLOOKUP(_26_03_2026_Log_Reseau_v15[[#This Row],[Cell_ID]],_26_03_2026_Registre_Maintenance_v1[ID_Antenne],_26_03_2026_Registre_Maintenance_v1[zone],"pas trouvé")</f>
        <v>Kasai</v>
      </c>
      <c r="G843">
        <f>_xlfn.XLOOKUP(_26_03_2026_Log_Reseau_v15[[#This Row],[Cell_ID]],_26_03_2026_Registre_Maintenance_v1[ID_Antenne],_26_03_2026_Registre_Maintenance_v1[Latitude],"non trouvé")</f>
        <v>1.5802860000000001</v>
      </c>
      <c r="H843">
        <f>_xlfn.XLOOKUP(_26_03_2026_Log_Reseau_v15[[#This Row],[Cell_ID]],_26_03_2026_Registre_Maintenance_v1[ID_Antenne],_26_03_2026_Registre_Maintenance_v1[Longitude],"pas trouvé")</f>
        <v>20.99053</v>
      </c>
      <c r="I843" t="str">
        <f>_xlfn.XLOOKUP(_26_03_2026_Log_Reseau_v15[[#This Row],[Cell_ID]],_26_03_2026_Registre_Maintenance_v1[ID_Antenne],_26_03_2026_Registre_Maintenance_v1[Technologie],"non trouvé")</f>
        <v>4G</v>
      </c>
      <c r="J843" t="str">
        <f>_xlfn.XLOOKUP(_26_03_2026_Log_Reseau_v15[[#This Row],[Cell_ID]],_26_03_2026_Registre_Maintenance_v1[ID_Antenne],_26_03_2026_Registre_Maintenance_v1[Equipementier],"pas trouvé")</f>
        <v>ZTE</v>
      </c>
      <c r="K843" t="str">
        <f>_xlfn.XLOOKUP(_26_03_2026_Log_Reseau_v15[[#This Row],[province RDC]],_26_03_2026_Client_Churn_v1[Province_Client],_26_03_2026_Client_Churn_v1[ID_Client],"non trouvé")</f>
        <v>CLI-00559</v>
      </c>
      <c r="L843">
        <f>_xlfn.XLOOKUP(_26_03_2026_Log_Reseau_v15[[#This Row],[province RDC]],_26_03_2026_Client_Churn_v1[Province_Client],_26_03_2026_Client_Churn_v1[Anciennete_Mois],"non trouvé")</f>
        <v>99</v>
      </c>
      <c r="M843" t="str">
        <f>_xlfn.XLOOKUP(_26_03_2026_Log_Reseau_v15[[#This Row],[province RDC]],_26_03_2026_Client_Churn_v1[Province_Client],_26_03_2026_Client_Churn_v1[Type_Forfait],"non trouvé")</f>
        <v>Bloqué 5Go</v>
      </c>
      <c r="N843">
        <f>_xlfn.XLOOKUP(_26_03_2026_Log_Reseau_v15[[#This Row],[province RDC]],_26_03_2026_Client_Churn_v1[Province_Client],_26_03_2026_Client_Churn_v1[Duree_Cumulee_Panne_Min],"non trouvé")</f>
        <v>369</v>
      </c>
      <c r="O843">
        <f>_xlfn.XLOOKUP(_26_03_2026_Log_Reseau_v15[[#This Row],[province RDC]],_26_03_2026_Client_Churn_v1[Province_Client],_26_03_2026_Client_Churn_v1[Facture_Mensuelle],"non trouvé")</f>
        <v>67.209999999999994</v>
      </c>
      <c r="P843">
        <f>_xlfn.XLOOKUP(_26_03_2026_Log_Reseau_v15[[#This Row],[province RDC]],_26_03_2026_Client_Churn_v1[Province_Client],_26_03_2026_Client_Churn_v1[Plaintes_Service_Client],"non trouvé")</f>
        <v>3</v>
      </c>
    </row>
    <row r="844" spans="1:16" x14ac:dyDescent="0.25">
      <c r="A844" s="1">
        <v>45220</v>
      </c>
      <c r="B844" s="2">
        <v>0.92777777777777781</v>
      </c>
      <c r="C844" t="s">
        <v>1327</v>
      </c>
      <c r="D844">
        <v>22</v>
      </c>
      <c r="E844" t="s">
        <v>808</v>
      </c>
      <c r="F844" t="str">
        <f>_xlfn.XLOOKUP(_26_03_2026_Log_Reseau_v15[[#This Row],[Cell_ID]],_26_03_2026_Registre_Maintenance_v1[ID_Antenne],_26_03_2026_Registre_Maintenance_v1[zone],"pas trouvé")</f>
        <v>Kasai</v>
      </c>
      <c r="G844">
        <f>_xlfn.XLOOKUP(_26_03_2026_Log_Reseau_v15[[#This Row],[Cell_ID]],_26_03_2026_Registre_Maintenance_v1[ID_Antenne],_26_03_2026_Registre_Maintenance_v1[Latitude],"non trouvé")</f>
        <v>1.5802860000000001</v>
      </c>
      <c r="H844">
        <f>_xlfn.XLOOKUP(_26_03_2026_Log_Reseau_v15[[#This Row],[Cell_ID]],_26_03_2026_Registre_Maintenance_v1[ID_Antenne],_26_03_2026_Registre_Maintenance_v1[Longitude],"pas trouvé")</f>
        <v>20.99053</v>
      </c>
      <c r="I844" t="str">
        <f>_xlfn.XLOOKUP(_26_03_2026_Log_Reseau_v15[[#This Row],[Cell_ID]],_26_03_2026_Registre_Maintenance_v1[ID_Antenne],_26_03_2026_Registre_Maintenance_v1[Technologie],"non trouvé")</f>
        <v>4G</v>
      </c>
      <c r="J844" t="str">
        <f>_xlfn.XLOOKUP(_26_03_2026_Log_Reseau_v15[[#This Row],[Cell_ID]],_26_03_2026_Registre_Maintenance_v1[ID_Antenne],_26_03_2026_Registre_Maintenance_v1[Equipementier],"pas trouvé")</f>
        <v>ZTE</v>
      </c>
      <c r="K844" t="str">
        <f>_xlfn.XLOOKUP(_26_03_2026_Log_Reseau_v15[[#This Row],[province RDC]],_26_03_2026_Client_Churn_v1[Province_Client],_26_03_2026_Client_Churn_v1[ID_Client],"non trouvé")</f>
        <v>CLI-00559</v>
      </c>
      <c r="L844">
        <f>_xlfn.XLOOKUP(_26_03_2026_Log_Reseau_v15[[#This Row],[province RDC]],_26_03_2026_Client_Churn_v1[Province_Client],_26_03_2026_Client_Churn_v1[Anciennete_Mois],"non trouvé")</f>
        <v>99</v>
      </c>
      <c r="M844" t="str">
        <f>_xlfn.XLOOKUP(_26_03_2026_Log_Reseau_v15[[#This Row],[province RDC]],_26_03_2026_Client_Churn_v1[Province_Client],_26_03_2026_Client_Churn_v1[Type_Forfait],"non trouvé")</f>
        <v>Bloqué 5Go</v>
      </c>
      <c r="N844">
        <f>_xlfn.XLOOKUP(_26_03_2026_Log_Reseau_v15[[#This Row],[province RDC]],_26_03_2026_Client_Churn_v1[Province_Client],_26_03_2026_Client_Churn_v1[Duree_Cumulee_Panne_Min],"non trouvé")</f>
        <v>369</v>
      </c>
      <c r="O844">
        <f>_xlfn.XLOOKUP(_26_03_2026_Log_Reseau_v15[[#This Row],[province RDC]],_26_03_2026_Client_Churn_v1[Province_Client],_26_03_2026_Client_Churn_v1[Facture_Mensuelle],"non trouvé")</f>
        <v>67.209999999999994</v>
      </c>
      <c r="P844">
        <f>_xlfn.XLOOKUP(_26_03_2026_Log_Reseau_v15[[#This Row],[province RDC]],_26_03_2026_Client_Churn_v1[Province_Client],_26_03_2026_Client_Churn_v1[Plaintes_Service_Client],"non trouvé")</f>
        <v>3</v>
      </c>
    </row>
    <row r="845" spans="1:16" x14ac:dyDescent="0.25">
      <c r="A845" s="1">
        <v>45213</v>
      </c>
      <c r="B845" s="2">
        <v>0.64583333333333337</v>
      </c>
      <c r="C845" t="s">
        <v>1328</v>
      </c>
      <c r="D845">
        <v>95</v>
      </c>
      <c r="E845" t="s">
        <v>807</v>
      </c>
      <c r="F845" t="str">
        <f>_xlfn.XLOOKUP(_26_03_2026_Log_Reseau_v15[[#This Row],[Cell_ID]],_26_03_2026_Registre_Maintenance_v1[ID_Antenne],_26_03_2026_Registre_Maintenance_v1[zone],"pas trouvé")</f>
        <v>Haut-Katanga</v>
      </c>
      <c r="G845">
        <f>_xlfn.XLOOKUP(_26_03_2026_Log_Reseau_v15[[#This Row],[Cell_ID]],_26_03_2026_Registre_Maintenance_v1[ID_Antenne],_26_03_2026_Registre_Maintenance_v1[Latitude],"non trouvé")</f>
        <v>-2.9417719999999998</v>
      </c>
      <c r="H845">
        <f>_xlfn.XLOOKUP(_26_03_2026_Log_Reseau_v15[[#This Row],[Cell_ID]],_26_03_2026_Registre_Maintenance_v1[ID_Antenne],_26_03_2026_Registre_Maintenance_v1[Longitude],"pas trouvé")</f>
        <v>18.587305000000001</v>
      </c>
      <c r="I845" t="str">
        <f>_xlfn.XLOOKUP(_26_03_2026_Log_Reseau_v15[[#This Row],[Cell_ID]],_26_03_2026_Registre_Maintenance_v1[ID_Antenne],_26_03_2026_Registre_Maintenance_v1[Technologie],"non trouvé")</f>
        <v>5G</v>
      </c>
      <c r="J845" t="str">
        <f>_xlfn.XLOOKUP(_26_03_2026_Log_Reseau_v15[[#This Row],[Cell_ID]],_26_03_2026_Registre_Maintenance_v1[ID_Antenne],_26_03_2026_Registre_Maintenance_v1[Equipementier],"pas trouvé")</f>
        <v>Ericsson</v>
      </c>
      <c r="K845" t="str">
        <f>_xlfn.XLOOKUP(_26_03_2026_Log_Reseau_v15[[#This Row],[province RDC]],_26_03_2026_Client_Churn_v1[Province_Client],_26_03_2026_Client_Churn_v1[ID_Client],"non trouvé")</f>
        <v>CLI-00076</v>
      </c>
      <c r="L845">
        <f>_xlfn.XLOOKUP(_26_03_2026_Log_Reseau_v15[[#This Row],[province RDC]],_26_03_2026_Client_Churn_v1[Province_Client],_26_03_2026_Client_Churn_v1[Anciennete_Mois],"non trouvé")</f>
        <v>46</v>
      </c>
      <c r="M845" t="str">
        <f>_xlfn.XLOOKUP(_26_03_2026_Log_Reseau_v15[[#This Row],[province RDC]],_26_03_2026_Client_Churn_v1[Province_Client],_26_03_2026_Client_Churn_v1[Type_Forfait],"non trouvé")</f>
        <v>Premium 5G 150Go</v>
      </c>
      <c r="N845">
        <f>_xlfn.XLOOKUP(_26_03_2026_Log_Reseau_v15[[#This Row],[province RDC]],_26_03_2026_Client_Churn_v1[Province_Client],_26_03_2026_Client_Churn_v1[Duree_Cumulee_Panne_Min],"non trouvé")</f>
        <v>283</v>
      </c>
      <c r="O845">
        <f>_xlfn.XLOOKUP(_26_03_2026_Log_Reseau_v15[[#This Row],[province RDC]],_26_03_2026_Client_Churn_v1[Province_Client],_26_03_2026_Client_Churn_v1[Facture_Mensuelle],"non trouvé")</f>
        <v>56.05</v>
      </c>
      <c r="P845">
        <f>_xlfn.XLOOKUP(_26_03_2026_Log_Reseau_v15[[#This Row],[province RDC]],_26_03_2026_Client_Churn_v1[Province_Client],_26_03_2026_Client_Churn_v1[Plaintes_Service_Client],"non trouvé")</f>
        <v>1</v>
      </c>
    </row>
    <row r="846" spans="1:16" x14ac:dyDescent="0.25">
      <c r="A846" s="1">
        <v>45222</v>
      </c>
      <c r="B846" s="2">
        <v>0.83402777777777781</v>
      </c>
      <c r="C846" t="s">
        <v>1328</v>
      </c>
      <c r="D846">
        <v>109</v>
      </c>
      <c r="E846" t="s">
        <v>808</v>
      </c>
      <c r="F846" t="str">
        <f>_xlfn.XLOOKUP(_26_03_2026_Log_Reseau_v15[[#This Row],[Cell_ID]],_26_03_2026_Registre_Maintenance_v1[ID_Antenne],_26_03_2026_Registre_Maintenance_v1[zone],"pas trouvé")</f>
        <v>Haut-Katanga</v>
      </c>
      <c r="G846">
        <f>_xlfn.XLOOKUP(_26_03_2026_Log_Reseau_v15[[#This Row],[Cell_ID]],_26_03_2026_Registre_Maintenance_v1[ID_Antenne],_26_03_2026_Registre_Maintenance_v1[Latitude],"non trouvé")</f>
        <v>-2.9417719999999998</v>
      </c>
      <c r="H846">
        <f>_xlfn.XLOOKUP(_26_03_2026_Log_Reseau_v15[[#This Row],[Cell_ID]],_26_03_2026_Registre_Maintenance_v1[ID_Antenne],_26_03_2026_Registre_Maintenance_v1[Longitude],"pas trouvé")</f>
        <v>18.587305000000001</v>
      </c>
      <c r="I846" t="str">
        <f>_xlfn.XLOOKUP(_26_03_2026_Log_Reseau_v15[[#This Row],[Cell_ID]],_26_03_2026_Registre_Maintenance_v1[ID_Antenne],_26_03_2026_Registre_Maintenance_v1[Technologie],"non trouvé")</f>
        <v>5G</v>
      </c>
      <c r="J846" t="str">
        <f>_xlfn.XLOOKUP(_26_03_2026_Log_Reseau_v15[[#This Row],[Cell_ID]],_26_03_2026_Registre_Maintenance_v1[ID_Antenne],_26_03_2026_Registre_Maintenance_v1[Equipementier],"pas trouvé")</f>
        <v>Ericsson</v>
      </c>
      <c r="K846" t="str">
        <f>_xlfn.XLOOKUP(_26_03_2026_Log_Reseau_v15[[#This Row],[province RDC]],_26_03_2026_Client_Churn_v1[Province_Client],_26_03_2026_Client_Churn_v1[ID_Client],"non trouvé")</f>
        <v>CLI-00076</v>
      </c>
      <c r="L846">
        <f>_xlfn.XLOOKUP(_26_03_2026_Log_Reseau_v15[[#This Row],[province RDC]],_26_03_2026_Client_Churn_v1[Province_Client],_26_03_2026_Client_Churn_v1[Anciennete_Mois],"non trouvé")</f>
        <v>46</v>
      </c>
      <c r="M846" t="str">
        <f>_xlfn.XLOOKUP(_26_03_2026_Log_Reseau_v15[[#This Row],[province RDC]],_26_03_2026_Client_Churn_v1[Province_Client],_26_03_2026_Client_Churn_v1[Type_Forfait],"non trouvé")</f>
        <v>Premium 5G 150Go</v>
      </c>
      <c r="N846">
        <f>_xlfn.XLOOKUP(_26_03_2026_Log_Reseau_v15[[#This Row],[province RDC]],_26_03_2026_Client_Churn_v1[Province_Client],_26_03_2026_Client_Churn_v1[Duree_Cumulee_Panne_Min],"non trouvé")</f>
        <v>283</v>
      </c>
      <c r="O846">
        <f>_xlfn.XLOOKUP(_26_03_2026_Log_Reseau_v15[[#This Row],[province RDC]],_26_03_2026_Client_Churn_v1[Province_Client],_26_03_2026_Client_Churn_v1[Facture_Mensuelle],"non trouvé")</f>
        <v>56.05</v>
      </c>
      <c r="P846">
        <f>_xlfn.XLOOKUP(_26_03_2026_Log_Reseau_v15[[#This Row],[province RDC]],_26_03_2026_Client_Churn_v1[Province_Client],_26_03_2026_Client_Churn_v1[Plaintes_Service_Client],"non trouvé")</f>
        <v>1</v>
      </c>
    </row>
    <row r="847" spans="1:16" hidden="1" x14ac:dyDescent="0.25">
      <c r="A847" s="1">
        <v>45215</v>
      </c>
      <c r="B847" s="2">
        <v>0.10833333333333334</v>
      </c>
      <c r="C847" t="s">
        <v>1329</v>
      </c>
      <c r="D847">
        <v>39</v>
      </c>
      <c r="E847" t="s">
        <v>812</v>
      </c>
      <c r="F847" t="str">
        <f>_xlfn.XLOOKUP(_26_03_2026_Log_Reseau_v15[[#This Row],[Cell_ID]],_26_03_2026_Registre_Maintenance_v1[ID_Antenne],_26_03_2026_Registre_Maintenance_v1[zone],"pas trouvé")</f>
        <v>pas trouvé</v>
      </c>
      <c r="G847" t="str">
        <f>_xlfn.XLOOKUP(_26_03_2026_Log_Reseau_v15[[#This Row],[Cell_ID]],_26_03_2026_Registre_Maintenance_v1[ID_Antenne],_26_03_2026_Registre_Maintenance_v1[Latitude],"non trouvé")</f>
        <v>non trouvé</v>
      </c>
      <c r="H847" t="str">
        <f>_xlfn.XLOOKUP(_26_03_2026_Log_Reseau_v15[[#This Row],[Cell_ID]],_26_03_2026_Registre_Maintenance_v1[ID_Antenne],_26_03_2026_Registre_Maintenance_v1[Longitude],"pas trouvé")</f>
        <v>pas trouvé</v>
      </c>
      <c r="I847" t="str">
        <f>_xlfn.XLOOKUP(_26_03_2026_Log_Reseau_v15[[#This Row],[Cell_ID]],_26_03_2026_Registre_Maintenance_v1[ID_Antenne],_26_03_2026_Registre_Maintenance_v1[Technologie],"non trouvé")</f>
        <v>non trouvé</v>
      </c>
      <c r="J847" t="str">
        <f>_xlfn.XLOOKUP(_26_03_2026_Log_Reseau_v15[[#This Row],[Cell_ID]],_26_03_2026_Registre_Maintenance_v1[ID_Antenne],_26_03_2026_Registre_Maintenance_v1[Equipementier],"pas trouvé")</f>
        <v>pas trouvé</v>
      </c>
      <c r="K847" t="str">
        <f>_xlfn.XLOOKUP(_26_03_2026_Log_Reseau_v15[[#This Row],[province RDC]],_26_03_2026_Client_Churn_v1[Province_Client],_26_03_2026_Client_Churn_v1[ID_Client],"non trouvé")</f>
        <v>non trouvé</v>
      </c>
      <c r="L847" t="str">
        <f>_xlfn.XLOOKUP(_26_03_2026_Log_Reseau_v15[[#This Row],[province RDC]],_26_03_2026_Client_Churn_v1[Province_Client],_26_03_2026_Client_Churn_v1[Anciennete_Mois],"non trouvé")</f>
        <v>non trouvé</v>
      </c>
      <c r="M847" t="str">
        <f>_xlfn.XLOOKUP(_26_03_2026_Log_Reseau_v15[[#This Row],[province RDC]],_26_03_2026_Client_Churn_v1[Province_Client],_26_03_2026_Client_Churn_v1[Type_Forfait],"non trouvé")</f>
        <v>non trouvé</v>
      </c>
      <c r="N847" t="str">
        <f>_xlfn.XLOOKUP(_26_03_2026_Log_Reseau_v15[[#This Row],[province RDC]],_26_03_2026_Client_Churn_v1[Province_Client],_26_03_2026_Client_Churn_v1[Duree_Cumulee_Panne_Min],"non trouvé")</f>
        <v>non trouvé</v>
      </c>
      <c r="O847" t="str">
        <f>_xlfn.XLOOKUP(_26_03_2026_Log_Reseau_v15[[#This Row],[province RDC]],_26_03_2026_Client_Churn_v1[Province_Client],_26_03_2026_Client_Churn_v1[Facture_Mensuelle],"non trouvé")</f>
        <v>non trouvé</v>
      </c>
      <c r="P847" t="str">
        <f>_xlfn.XLOOKUP(_26_03_2026_Log_Reseau_v15[[#This Row],[province RDC]],_26_03_2026_Client_Churn_v1[Province_Client],_26_03_2026_Client_Churn_v1[Plaintes_Service_Client],"non trouvé")</f>
        <v>non trouvé</v>
      </c>
    </row>
    <row r="848" spans="1:16" hidden="1" x14ac:dyDescent="0.25">
      <c r="A848" s="1">
        <v>45214</v>
      </c>
      <c r="B848" s="2">
        <v>0.27291666666666664</v>
      </c>
      <c r="C848" t="s">
        <v>1329</v>
      </c>
      <c r="D848">
        <v>26</v>
      </c>
      <c r="E848" t="s">
        <v>808</v>
      </c>
      <c r="F848" t="str">
        <f>_xlfn.XLOOKUP(_26_03_2026_Log_Reseau_v15[[#This Row],[Cell_ID]],_26_03_2026_Registre_Maintenance_v1[ID_Antenne],_26_03_2026_Registre_Maintenance_v1[zone],"pas trouvé")</f>
        <v>pas trouvé</v>
      </c>
      <c r="G848" t="str">
        <f>_xlfn.XLOOKUP(_26_03_2026_Log_Reseau_v15[[#This Row],[Cell_ID]],_26_03_2026_Registre_Maintenance_v1[ID_Antenne],_26_03_2026_Registre_Maintenance_v1[Latitude],"non trouvé")</f>
        <v>non trouvé</v>
      </c>
      <c r="H848" t="str">
        <f>_xlfn.XLOOKUP(_26_03_2026_Log_Reseau_v15[[#This Row],[Cell_ID]],_26_03_2026_Registre_Maintenance_v1[ID_Antenne],_26_03_2026_Registre_Maintenance_v1[Longitude],"pas trouvé")</f>
        <v>pas trouvé</v>
      </c>
      <c r="I848" t="str">
        <f>_xlfn.XLOOKUP(_26_03_2026_Log_Reseau_v15[[#This Row],[Cell_ID]],_26_03_2026_Registre_Maintenance_v1[ID_Antenne],_26_03_2026_Registre_Maintenance_v1[Technologie],"non trouvé")</f>
        <v>non trouvé</v>
      </c>
      <c r="J848" t="str">
        <f>_xlfn.XLOOKUP(_26_03_2026_Log_Reseau_v15[[#This Row],[Cell_ID]],_26_03_2026_Registre_Maintenance_v1[ID_Antenne],_26_03_2026_Registre_Maintenance_v1[Equipementier],"pas trouvé")</f>
        <v>pas trouvé</v>
      </c>
      <c r="K848" t="str">
        <f>_xlfn.XLOOKUP(_26_03_2026_Log_Reseau_v15[[#This Row],[province RDC]],_26_03_2026_Client_Churn_v1[Province_Client],_26_03_2026_Client_Churn_v1[ID_Client],"non trouvé")</f>
        <v>non trouvé</v>
      </c>
      <c r="L848" t="str">
        <f>_xlfn.XLOOKUP(_26_03_2026_Log_Reseau_v15[[#This Row],[province RDC]],_26_03_2026_Client_Churn_v1[Province_Client],_26_03_2026_Client_Churn_v1[Anciennete_Mois],"non trouvé")</f>
        <v>non trouvé</v>
      </c>
      <c r="M848" t="str">
        <f>_xlfn.XLOOKUP(_26_03_2026_Log_Reseau_v15[[#This Row],[province RDC]],_26_03_2026_Client_Churn_v1[Province_Client],_26_03_2026_Client_Churn_v1[Type_Forfait],"non trouvé")</f>
        <v>non trouvé</v>
      </c>
      <c r="N848" t="str">
        <f>_xlfn.XLOOKUP(_26_03_2026_Log_Reseau_v15[[#This Row],[province RDC]],_26_03_2026_Client_Churn_v1[Province_Client],_26_03_2026_Client_Churn_v1[Duree_Cumulee_Panne_Min],"non trouvé")</f>
        <v>non trouvé</v>
      </c>
      <c r="O848" t="str">
        <f>_xlfn.XLOOKUP(_26_03_2026_Log_Reseau_v15[[#This Row],[province RDC]],_26_03_2026_Client_Churn_v1[Province_Client],_26_03_2026_Client_Churn_v1[Facture_Mensuelle],"non trouvé")</f>
        <v>non trouvé</v>
      </c>
      <c r="P848" t="str">
        <f>_xlfn.XLOOKUP(_26_03_2026_Log_Reseau_v15[[#This Row],[province RDC]],_26_03_2026_Client_Churn_v1[Province_Client],_26_03_2026_Client_Churn_v1[Plaintes_Service_Client],"non trouvé")</f>
        <v>non trouvé</v>
      </c>
    </row>
    <row r="849" spans="1:16" hidden="1" x14ac:dyDescent="0.25">
      <c r="A849" s="1">
        <v>45217</v>
      </c>
      <c r="B849" s="2">
        <v>0.94444444444444442</v>
      </c>
      <c r="C849" t="s">
        <v>1330</v>
      </c>
      <c r="D849">
        <v>33</v>
      </c>
      <c r="E849" t="s">
        <v>807</v>
      </c>
      <c r="F849" t="str">
        <f>_xlfn.XLOOKUP(_26_03_2026_Log_Reseau_v15[[#This Row],[Cell_ID]],_26_03_2026_Registre_Maintenance_v1[ID_Antenne],_26_03_2026_Registre_Maintenance_v1[zone],"pas trouvé")</f>
        <v>pas trouvé</v>
      </c>
      <c r="G849" t="str">
        <f>_xlfn.XLOOKUP(_26_03_2026_Log_Reseau_v15[[#This Row],[Cell_ID]],_26_03_2026_Registre_Maintenance_v1[ID_Antenne],_26_03_2026_Registre_Maintenance_v1[Latitude],"non trouvé")</f>
        <v>non trouvé</v>
      </c>
      <c r="H849" t="str">
        <f>_xlfn.XLOOKUP(_26_03_2026_Log_Reseau_v15[[#This Row],[Cell_ID]],_26_03_2026_Registre_Maintenance_v1[ID_Antenne],_26_03_2026_Registre_Maintenance_v1[Longitude],"pas trouvé")</f>
        <v>pas trouvé</v>
      </c>
      <c r="I849" t="str">
        <f>_xlfn.XLOOKUP(_26_03_2026_Log_Reseau_v15[[#This Row],[Cell_ID]],_26_03_2026_Registre_Maintenance_v1[ID_Antenne],_26_03_2026_Registre_Maintenance_v1[Technologie],"non trouvé")</f>
        <v>non trouvé</v>
      </c>
      <c r="J849" t="str">
        <f>_xlfn.XLOOKUP(_26_03_2026_Log_Reseau_v15[[#This Row],[Cell_ID]],_26_03_2026_Registre_Maintenance_v1[ID_Antenne],_26_03_2026_Registre_Maintenance_v1[Equipementier],"pas trouvé")</f>
        <v>pas trouvé</v>
      </c>
      <c r="K849" t="str">
        <f>_xlfn.XLOOKUP(_26_03_2026_Log_Reseau_v15[[#This Row],[province RDC]],_26_03_2026_Client_Churn_v1[Province_Client],_26_03_2026_Client_Churn_v1[ID_Client],"non trouvé")</f>
        <v>non trouvé</v>
      </c>
      <c r="L849" t="str">
        <f>_xlfn.XLOOKUP(_26_03_2026_Log_Reseau_v15[[#This Row],[province RDC]],_26_03_2026_Client_Churn_v1[Province_Client],_26_03_2026_Client_Churn_v1[Anciennete_Mois],"non trouvé")</f>
        <v>non trouvé</v>
      </c>
      <c r="M849" t="str">
        <f>_xlfn.XLOOKUP(_26_03_2026_Log_Reseau_v15[[#This Row],[province RDC]],_26_03_2026_Client_Churn_v1[Province_Client],_26_03_2026_Client_Churn_v1[Type_Forfait],"non trouvé")</f>
        <v>non trouvé</v>
      </c>
      <c r="N849" t="str">
        <f>_xlfn.XLOOKUP(_26_03_2026_Log_Reseau_v15[[#This Row],[province RDC]],_26_03_2026_Client_Churn_v1[Province_Client],_26_03_2026_Client_Churn_v1[Duree_Cumulee_Panne_Min],"non trouvé")</f>
        <v>non trouvé</v>
      </c>
      <c r="O849" t="str">
        <f>_xlfn.XLOOKUP(_26_03_2026_Log_Reseau_v15[[#This Row],[province RDC]],_26_03_2026_Client_Churn_v1[Province_Client],_26_03_2026_Client_Churn_v1[Facture_Mensuelle],"non trouvé")</f>
        <v>non trouvé</v>
      </c>
      <c r="P849" t="str">
        <f>_xlfn.XLOOKUP(_26_03_2026_Log_Reseau_v15[[#This Row],[province RDC]],_26_03_2026_Client_Churn_v1[Province_Client],_26_03_2026_Client_Churn_v1[Plaintes_Service_Client],"non trouvé")</f>
        <v>non trouvé</v>
      </c>
    </row>
    <row r="850" spans="1:16" x14ac:dyDescent="0.25">
      <c r="A850" s="1">
        <v>45216</v>
      </c>
      <c r="B850" s="2">
        <v>0.2326388888888889</v>
      </c>
      <c r="C850" t="s">
        <v>1331</v>
      </c>
      <c r="D850">
        <v>11</v>
      </c>
      <c r="E850" t="s">
        <v>812</v>
      </c>
      <c r="F850" t="str">
        <f>_xlfn.XLOOKUP(_26_03_2026_Log_Reseau_v15[[#This Row],[Cell_ID]],_26_03_2026_Registre_Maintenance_v1[ID_Antenne],_26_03_2026_Registre_Maintenance_v1[zone],"pas trouvé")</f>
        <v>Kasai</v>
      </c>
      <c r="G850">
        <f>_xlfn.XLOOKUP(_26_03_2026_Log_Reseau_v15[[#This Row],[Cell_ID]],_26_03_2026_Registre_Maintenance_v1[ID_Antenne],_26_03_2026_Registre_Maintenance_v1[Latitude],"non trouvé")</f>
        <v>-3.8119990000000001</v>
      </c>
      <c r="H850">
        <f>_xlfn.XLOOKUP(_26_03_2026_Log_Reseau_v15[[#This Row],[Cell_ID]],_26_03_2026_Registre_Maintenance_v1[ID_Antenne],_26_03_2026_Registre_Maintenance_v1[Longitude],"pas trouvé")</f>
        <v>20.420048000000001</v>
      </c>
      <c r="I850" t="str">
        <f>_xlfn.XLOOKUP(_26_03_2026_Log_Reseau_v15[[#This Row],[Cell_ID]],_26_03_2026_Registre_Maintenance_v1[ID_Antenne],_26_03_2026_Registre_Maintenance_v1[Technologie],"non trouvé")</f>
        <v>3G</v>
      </c>
      <c r="J850" t="str">
        <f>_xlfn.XLOOKUP(_26_03_2026_Log_Reseau_v15[[#This Row],[Cell_ID]],_26_03_2026_Registre_Maintenance_v1[ID_Antenne],_26_03_2026_Registre_Maintenance_v1[Equipementier],"pas trouvé")</f>
        <v>ZTE</v>
      </c>
      <c r="K850" t="str">
        <f>_xlfn.XLOOKUP(_26_03_2026_Log_Reseau_v15[[#This Row],[province RDC]],_26_03_2026_Client_Churn_v1[Province_Client],_26_03_2026_Client_Churn_v1[ID_Client],"non trouvé")</f>
        <v>CLI-00559</v>
      </c>
      <c r="L850">
        <f>_xlfn.XLOOKUP(_26_03_2026_Log_Reseau_v15[[#This Row],[province RDC]],_26_03_2026_Client_Churn_v1[Province_Client],_26_03_2026_Client_Churn_v1[Anciennete_Mois],"non trouvé")</f>
        <v>99</v>
      </c>
      <c r="M850" t="str">
        <f>_xlfn.XLOOKUP(_26_03_2026_Log_Reseau_v15[[#This Row],[province RDC]],_26_03_2026_Client_Churn_v1[Province_Client],_26_03_2026_Client_Churn_v1[Type_Forfait],"non trouvé")</f>
        <v>Bloqué 5Go</v>
      </c>
      <c r="N850">
        <f>_xlfn.XLOOKUP(_26_03_2026_Log_Reseau_v15[[#This Row],[province RDC]],_26_03_2026_Client_Churn_v1[Province_Client],_26_03_2026_Client_Churn_v1[Duree_Cumulee_Panne_Min],"non trouvé")</f>
        <v>369</v>
      </c>
      <c r="O850">
        <f>_xlfn.XLOOKUP(_26_03_2026_Log_Reseau_v15[[#This Row],[province RDC]],_26_03_2026_Client_Churn_v1[Province_Client],_26_03_2026_Client_Churn_v1[Facture_Mensuelle],"non trouvé")</f>
        <v>67.209999999999994</v>
      </c>
      <c r="P850">
        <f>_xlfn.XLOOKUP(_26_03_2026_Log_Reseau_v15[[#This Row],[province RDC]],_26_03_2026_Client_Churn_v1[Province_Client],_26_03_2026_Client_Churn_v1[Plaintes_Service_Client],"non trouvé")</f>
        <v>3</v>
      </c>
    </row>
    <row r="851" spans="1:16" x14ac:dyDescent="0.25">
      <c r="A851" s="1">
        <v>45206</v>
      </c>
      <c r="B851" s="2">
        <v>0.6875</v>
      </c>
      <c r="C851" t="s">
        <v>1332</v>
      </c>
      <c r="D851">
        <v>76</v>
      </c>
      <c r="E851" t="s">
        <v>812</v>
      </c>
      <c r="F851" t="str">
        <f>_xlfn.XLOOKUP(_26_03_2026_Log_Reseau_v15[[#This Row],[Cell_ID]],_26_03_2026_Registre_Maintenance_v1[ID_Antenne],_26_03_2026_Registre_Maintenance_v1[zone],"pas trouvé")</f>
        <v>Haut-Uele</v>
      </c>
      <c r="G851">
        <f>_xlfn.XLOOKUP(_26_03_2026_Log_Reseau_v15[[#This Row],[Cell_ID]],_26_03_2026_Registre_Maintenance_v1[ID_Antenne],_26_03_2026_Registre_Maintenance_v1[Latitude],"non trouvé")</f>
        <v>-12.100756000000001</v>
      </c>
      <c r="H851">
        <f>_xlfn.XLOOKUP(_26_03_2026_Log_Reseau_v15[[#This Row],[Cell_ID]],_26_03_2026_Registre_Maintenance_v1[ID_Antenne],_26_03_2026_Registre_Maintenance_v1[Longitude],"pas trouvé")</f>
        <v>21.938649999999999</v>
      </c>
      <c r="I851" t="str">
        <f>_xlfn.XLOOKUP(_26_03_2026_Log_Reseau_v15[[#This Row],[Cell_ID]],_26_03_2026_Registre_Maintenance_v1[ID_Antenne],_26_03_2026_Registre_Maintenance_v1[Technologie],"non trouvé")</f>
        <v>4G</v>
      </c>
      <c r="J851" t="str">
        <f>_xlfn.XLOOKUP(_26_03_2026_Log_Reseau_v15[[#This Row],[Cell_ID]],_26_03_2026_Registre_Maintenance_v1[ID_Antenne],_26_03_2026_Registre_Maintenance_v1[Equipementier],"pas trouvé")</f>
        <v>Huawei</v>
      </c>
      <c r="K851" t="str">
        <f>_xlfn.XLOOKUP(_26_03_2026_Log_Reseau_v15[[#This Row],[province RDC]],_26_03_2026_Client_Churn_v1[Province_Client],_26_03_2026_Client_Churn_v1[ID_Client],"non trouvé")</f>
        <v>CLI-00439</v>
      </c>
      <c r="L851">
        <f>_xlfn.XLOOKUP(_26_03_2026_Log_Reseau_v15[[#This Row],[province RDC]],_26_03_2026_Client_Churn_v1[Province_Client],_26_03_2026_Client_Churn_v1[Anciennete_Mois],"non trouvé")</f>
        <v>40</v>
      </c>
      <c r="M851" t="str">
        <f>_xlfn.XLOOKUP(_26_03_2026_Log_Reseau_v15[[#This Row],[province RDC]],_26_03_2026_Client_Churn_v1[Province_Client],_26_03_2026_Client_Churn_v1[Type_Forfait],"non trouvé")</f>
        <v>Premium 5G 150Go</v>
      </c>
      <c r="N851">
        <f>_xlfn.XLOOKUP(_26_03_2026_Log_Reseau_v15[[#This Row],[province RDC]],_26_03_2026_Client_Churn_v1[Province_Client],_26_03_2026_Client_Churn_v1[Duree_Cumulee_Panne_Min],"non trouvé")</f>
        <v>345</v>
      </c>
      <c r="O851">
        <f>_xlfn.XLOOKUP(_26_03_2026_Log_Reseau_v15[[#This Row],[province RDC]],_26_03_2026_Client_Churn_v1[Province_Client],_26_03_2026_Client_Churn_v1[Facture_Mensuelle],"non trouvé")</f>
        <v>89.55</v>
      </c>
      <c r="P851">
        <f>_xlfn.XLOOKUP(_26_03_2026_Log_Reseau_v15[[#This Row],[province RDC]],_26_03_2026_Client_Churn_v1[Province_Client],_26_03_2026_Client_Churn_v1[Plaintes_Service_Client],"non trouvé")</f>
        <v>3</v>
      </c>
    </row>
    <row r="852" spans="1:16" x14ac:dyDescent="0.25">
      <c r="A852" s="1">
        <v>45216</v>
      </c>
      <c r="B852" s="2">
        <v>0.69374999999999998</v>
      </c>
      <c r="C852" t="s">
        <v>1332</v>
      </c>
      <c r="D852">
        <v>24</v>
      </c>
      <c r="E852" t="s">
        <v>812</v>
      </c>
      <c r="F852" t="str">
        <f>_xlfn.XLOOKUP(_26_03_2026_Log_Reseau_v15[[#This Row],[Cell_ID]],_26_03_2026_Registre_Maintenance_v1[ID_Antenne],_26_03_2026_Registre_Maintenance_v1[zone],"pas trouvé")</f>
        <v>Haut-Uele</v>
      </c>
      <c r="G852">
        <f>_xlfn.XLOOKUP(_26_03_2026_Log_Reseau_v15[[#This Row],[Cell_ID]],_26_03_2026_Registre_Maintenance_v1[ID_Antenne],_26_03_2026_Registre_Maintenance_v1[Latitude],"non trouvé")</f>
        <v>-12.100756000000001</v>
      </c>
      <c r="H852">
        <f>_xlfn.XLOOKUP(_26_03_2026_Log_Reseau_v15[[#This Row],[Cell_ID]],_26_03_2026_Registre_Maintenance_v1[ID_Antenne],_26_03_2026_Registre_Maintenance_v1[Longitude],"pas trouvé")</f>
        <v>21.938649999999999</v>
      </c>
      <c r="I852" t="str">
        <f>_xlfn.XLOOKUP(_26_03_2026_Log_Reseau_v15[[#This Row],[Cell_ID]],_26_03_2026_Registre_Maintenance_v1[ID_Antenne],_26_03_2026_Registre_Maintenance_v1[Technologie],"non trouvé")</f>
        <v>4G</v>
      </c>
      <c r="J852" t="str">
        <f>_xlfn.XLOOKUP(_26_03_2026_Log_Reseau_v15[[#This Row],[Cell_ID]],_26_03_2026_Registre_Maintenance_v1[ID_Antenne],_26_03_2026_Registre_Maintenance_v1[Equipementier],"pas trouvé")</f>
        <v>Huawei</v>
      </c>
      <c r="K852" t="str">
        <f>_xlfn.XLOOKUP(_26_03_2026_Log_Reseau_v15[[#This Row],[province RDC]],_26_03_2026_Client_Churn_v1[Province_Client],_26_03_2026_Client_Churn_v1[ID_Client],"non trouvé")</f>
        <v>CLI-00439</v>
      </c>
      <c r="L852">
        <f>_xlfn.XLOOKUP(_26_03_2026_Log_Reseau_v15[[#This Row],[province RDC]],_26_03_2026_Client_Churn_v1[Province_Client],_26_03_2026_Client_Churn_v1[Anciennete_Mois],"non trouvé")</f>
        <v>40</v>
      </c>
      <c r="M852" t="str">
        <f>_xlfn.XLOOKUP(_26_03_2026_Log_Reseau_v15[[#This Row],[province RDC]],_26_03_2026_Client_Churn_v1[Province_Client],_26_03_2026_Client_Churn_v1[Type_Forfait],"non trouvé")</f>
        <v>Premium 5G 150Go</v>
      </c>
      <c r="N852">
        <f>_xlfn.XLOOKUP(_26_03_2026_Log_Reseau_v15[[#This Row],[province RDC]],_26_03_2026_Client_Churn_v1[Province_Client],_26_03_2026_Client_Churn_v1[Duree_Cumulee_Panne_Min],"non trouvé")</f>
        <v>345</v>
      </c>
      <c r="O852">
        <f>_xlfn.XLOOKUP(_26_03_2026_Log_Reseau_v15[[#This Row],[province RDC]],_26_03_2026_Client_Churn_v1[Province_Client],_26_03_2026_Client_Churn_v1[Facture_Mensuelle],"non trouvé")</f>
        <v>89.55</v>
      </c>
      <c r="P852">
        <f>_xlfn.XLOOKUP(_26_03_2026_Log_Reseau_v15[[#This Row],[province RDC]],_26_03_2026_Client_Churn_v1[Province_Client],_26_03_2026_Client_Churn_v1[Plaintes_Service_Client],"non trouvé")</f>
        <v>3</v>
      </c>
    </row>
    <row r="853" spans="1:16" hidden="1" x14ac:dyDescent="0.25">
      <c r="A853" s="1">
        <v>45222</v>
      </c>
      <c r="B853" s="2">
        <v>0.47847222222222224</v>
      </c>
      <c r="C853" t="s">
        <v>1333</v>
      </c>
      <c r="D853">
        <v>72</v>
      </c>
      <c r="E853" t="s">
        <v>808</v>
      </c>
      <c r="F853" t="str">
        <f>_xlfn.XLOOKUP(_26_03_2026_Log_Reseau_v15[[#This Row],[Cell_ID]],_26_03_2026_Registre_Maintenance_v1[ID_Antenne],_26_03_2026_Registre_Maintenance_v1[zone],"pas trouvé")</f>
        <v>pas trouvé</v>
      </c>
      <c r="G853" t="str">
        <f>_xlfn.XLOOKUP(_26_03_2026_Log_Reseau_v15[[#This Row],[Cell_ID]],_26_03_2026_Registre_Maintenance_v1[ID_Antenne],_26_03_2026_Registre_Maintenance_v1[Latitude],"non trouvé")</f>
        <v>non trouvé</v>
      </c>
      <c r="H853" t="str">
        <f>_xlfn.XLOOKUP(_26_03_2026_Log_Reseau_v15[[#This Row],[Cell_ID]],_26_03_2026_Registre_Maintenance_v1[ID_Antenne],_26_03_2026_Registre_Maintenance_v1[Longitude],"pas trouvé")</f>
        <v>pas trouvé</v>
      </c>
      <c r="I853" t="str">
        <f>_xlfn.XLOOKUP(_26_03_2026_Log_Reseau_v15[[#This Row],[Cell_ID]],_26_03_2026_Registre_Maintenance_v1[ID_Antenne],_26_03_2026_Registre_Maintenance_v1[Technologie],"non trouvé")</f>
        <v>non trouvé</v>
      </c>
      <c r="J853" t="str">
        <f>_xlfn.XLOOKUP(_26_03_2026_Log_Reseau_v15[[#This Row],[Cell_ID]],_26_03_2026_Registre_Maintenance_v1[ID_Antenne],_26_03_2026_Registre_Maintenance_v1[Equipementier],"pas trouvé")</f>
        <v>pas trouvé</v>
      </c>
      <c r="K853" t="str">
        <f>_xlfn.XLOOKUP(_26_03_2026_Log_Reseau_v15[[#This Row],[province RDC]],_26_03_2026_Client_Churn_v1[Province_Client],_26_03_2026_Client_Churn_v1[ID_Client],"non trouvé")</f>
        <v>non trouvé</v>
      </c>
      <c r="L853" t="str">
        <f>_xlfn.XLOOKUP(_26_03_2026_Log_Reseau_v15[[#This Row],[province RDC]],_26_03_2026_Client_Churn_v1[Province_Client],_26_03_2026_Client_Churn_v1[Anciennete_Mois],"non trouvé")</f>
        <v>non trouvé</v>
      </c>
      <c r="M853" t="str">
        <f>_xlfn.XLOOKUP(_26_03_2026_Log_Reseau_v15[[#This Row],[province RDC]],_26_03_2026_Client_Churn_v1[Province_Client],_26_03_2026_Client_Churn_v1[Type_Forfait],"non trouvé")</f>
        <v>non trouvé</v>
      </c>
      <c r="N853" t="str">
        <f>_xlfn.XLOOKUP(_26_03_2026_Log_Reseau_v15[[#This Row],[province RDC]],_26_03_2026_Client_Churn_v1[Province_Client],_26_03_2026_Client_Churn_v1[Duree_Cumulee_Panne_Min],"non trouvé")</f>
        <v>non trouvé</v>
      </c>
      <c r="O853" t="str">
        <f>_xlfn.XLOOKUP(_26_03_2026_Log_Reseau_v15[[#This Row],[province RDC]],_26_03_2026_Client_Churn_v1[Province_Client],_26_03_2026_Client_Churn_v1[Facture_Mensuelle],"non trouvé")</f>
        <v>non trouvé</v>
      </c>
      <c r="P853" t="str">
        <f>_xlfn.XLOOKUP(_26_03_2026_Log_Reseau_v15[[#This Row],[province RDC]],_26_03_2026_Client_Churn_v1[Province_Client],_26_03_2026_Client_Churn_v1[Plaintes_Service_Client],"non trouvé")</f>
        <v>non trouvé</v>
      </c>
    </row>
    <row r="854" spans="1:16" hidden="1" x14ac:dyDescent="0.25">
      <c r="A854" s="1">
        <v>45227</v>
      </c>
      <c r="B854" s="2">
        <v>0.3298611111111111</v>
      </c>
      <c r="C854" t="s">
        <v>1333</v>
      </c>
      <c r="D854">
        <v>81</v>
      </c>
      <c r="E854" t="s">
        <v>808</v>
      </c>
      <c r="F854" t="str">
        <f>_xlfn.XLOOKUP(_26_03_2026_Log_Reseau_v15[[#This Row],[Cell_ID]],_26_03_2026_Registre_Maintenance_v1[ID_Antenne],_26_03_2026_Registre_Maintenance_v1[zone],"pas trouvé")</f>
        <v>pas trouvé</v>
      </c>
      <c r="G854" t="str">
        <f>_xlfn.XLOOKUP(_26_03_2026_Log_Reseau_v15[[#This Row],[Cell_ID]],_26_03_2026_Registre_Maintenance_v1[ID_Antenne],_26_03_2026_Registre_Maintenance_v1[Latitude],"non trouvé")</f>
        <v>non trouvé</v>
      </c>
      <c r="H854" t="str">
        <f>_xlfn.XLOOKUP(_26_03_2026_Log_Reseau_v15[[#This Row],[Cell_ID]],_26_03_2026_Registre_Maintenance_v1[ID_Antenne],_26_03_2026_Registre_Maintenance_v1[Longitude],"pas trouvé")</f>
        <v>pas trouvé</v>
      </c>
      <c r="I854" t="str">
        <f>_xlfn.XLOOKUP(_26_03_2026_Log_Reseau_v15[[#This Row],[Cell_ID]],_26_03_2026_Registre_Maintenance_v1[ID_Antenne],_26_03_2026_Registre_Maintenance_v1[Technologie],"non trouvé")</f>
        <v>non trouvé</v>
      </c>
      <c r="J854" t="str">
        <f>_xlfn.XLOOKUP(_26_03_2026_Log_Reseau_v15[[#This Row],[Cell_ID]],_26_03_2026_Registre_Maintenance_v1[ID_Antenne],_26_03_2026_Registre_Maintenance_v1[Equipementier],"pas trouvé")</f>
        <v>pas trouvé</v>
      </c>
      <c r="K854" t="str">
        <f>_xlfn.XLOOKUP(_26_03_2026_Log_Reseau_v15[[#This Row],[province RDC]],_26_03_2026_Client_Churn_v1[Province_Client],_26_03_2026_Client_Churn_v1[ID_Client],"non trouvé")</f>
        <v>non trouvé</v>
      </c>
      <c r="L854" t="str">
        <f>_xlfn.XLOOKUP(_26_03_2026_Log_Reseau_v15[[#This Row],[province RDC]],_26_03_2026_Client_Churn_v1[Province_Client],_26_03_2026_Client_Churn_v1[Anciennete_Mois],"non trouvé")</f>
        <v>non trouvé</v>
      </c>
      <c r="M854" t="str">
        <f>_xlfn.XLOOKUP(_26_03_2026_Log_Reseau_v15[[#This Row],[province RDC]],_26_03_2026_Client_Churn_v1[Province_Client],_26_03_2026_Client_Churn_v1[Type_Forfait],"non trouvé")</f>
        <v>non trouvé</v>
      </c>
      <c r="N854" t="str">
        <f>_xlfn.XLOOKUP(_26_03_2026_Log_Reseau_v15[[#This Row],[province RDC]],_26_03_2026_Client_Churn_v1[Province_Client],_26_03_2026_Client_Churn_v1[Duree_Cumulee_Panne_Min],"non trouvé")</f>
        <v>non trouvé</v>
      </c>
      <c r="O854" t="str">
        <f>_xlfn.XLOOKUP(_26_03_2026_Log_Reseau_v15[[#This Row],[province RDC]],_26_03_2026_Client_Churn_v1[Province_Client],_26_03_2026_Client_Churn_v1[Facture_Mensuelle],"non trouvé")</f>
        <v>non trouvé</v>
      </c>
      <c r="P854" t="str">
        <f>_xlfn.XLOOKUP(_26_03_2026_Log_Reseau_v15[[#This Row],[province RDC]],_26_03_2026_Client_Churn_v1[Province_Client],_26_03_2026_Client_Churn_v1[Plaintes_Service_Client],"non trouvé")</f>
        <v>non trouvé</v>
      </c>
    </row>
    <row r="855" spans="1:16" hidden="1" x14ac:dyDescent="0.25">
      <c r="A855" s="1">
        <v>45209</v>
      </c>
      <c r="B855" s="2">
        <v>0.90486111111111112</v>
      </c>
      <c r="C855" t="s">
        <v>1333</v>
      </c>
      <c r="D855">
        <v>45</v>
      </c>
      <c r="E855" t="s">
        <v>812</v>
      </c>
      <c r="F855" t="str">
        <f>_xlfn.XLOOKUP(_26_03_2026_Log_Reseau_v15[[#This Row],[Cell_ID]],_26_03_2026_Registre_Maintenance_v1[ID_Antenne],_26_03_2026_Registre_Maintenance_v1[zone],"pas trouvé")</f>
        <v>pas trouvé</v>
      </c>
      <c r="G855" t="str">
        <f>_xlfn.XLOOKUP(_26_03_2026_Log_Reseau_v15[[#This Row],[Cell_ID]],_26_03_2026_Registre_Maintenance_v1[ID_Antenne],_26_03_2026_Registre_Maintenance_v1[Latitude],"non trouvé")</f>
        <v>non trouvé</v>
      </c>
      <c r="H855" t="str">
        <f>_xlfn.XLOOKUP(_26_03_2026_Log_Reseau_v15[[#This Row],[Cell_ID]],_26_03_2026_Registre_Maintenance_v1[ID_Antenne],_26_03_2026_Registre_Maintenance_v1[Longitude],"pas trouvé")</f>
        <v>pas trouvé</v>
      </c>
      <c r="I855" t="str">
        <f>_xlfn.XLOOKUP(_26_03_2026_Log_Reseau_v15[[#This Row],[Cell_ID]],_26_03_2026_Registre_Maintenance_v1[ID_Antenne],_26_03_2026_Registre_Maintenance_v1[Technologie],"non trouvé")</f>
        <v>non trouvé</v>
      </c>
      <c r="J855" t="str">
        <f>_xlfn.XLOOKUP(_26_03_2026_Log_Reseau_v15[[#This Row],[Cell_ID]],_26_03_2026_Registre_Maintenance_v1[ID_Antenne],_26_03_2026_Registre_Maintenance_v1[Equipementier],"pas trouvé")</f>
        <v>pas trouvé</v>
      </c>
      <c r="K855" t="str">
        <f>_xlfn.XLOOKUP(_26_03_2026_Log_Reseau_v15[[#This Row],[province RDC]],_26_03_2026_Client_Churn_v1[Province_Client],_26_03_2026_Client_Churn_v1[ID_Client],"non trouvé")</f>
        <v>non trouvé</v>
      </c>
      <c r="L855" t="str">
        <f>_xlfn.XLOOKUP(_26_03_2026_Log_Reseau_v15[[#This Row],[province RDC]],_26_03_2026_Client_Churn_v1[Province_Client],_26_03_2026_Client_Churn_v1[Anciennete_Mois],"non trouvé")</f>
        <v>non trouvé</v>
      </c>
      <c r="M855" t="str">
        <f>_xlfn.XLOOKUP(_26_03_2026_Log_Reseau_v15[[#This Row],[province RDC]],_26_03_2026_Client_Churn_v1[Province_Client],_26_03_2026_Client_Churn_v1[Type_Forfait],"non trouvé")</f>
        <v>non trouvé</v>
      </c>
      <c r="N855" t="str">
        <f>_xlfn.XLOOKUP(_26_03_2026_Log_Reseau_v15[[#This Row],[province RDC]],_26_03_2026_Client_Churn_v1[Province_Client],_26_03_2026_Client_Churn_v1[Duree_Cumulee_Panne_Min],"non trouvé")</f>
        <v>non trouvé</v>
      </c>
      <c r="O855" t="str">
        <f>_xlfn.XLOOKUP(_26_03_2026_Log_Reseau_v15[[#This Row],[province RDC]],_26_03_2026_Client_Churn_v1[Province_Client],_26_03_2026_Client_Churn_v1[Facture_Mensuelle],"non trouvé")</f>
        <v>non trouvé</v>
      </c>
      <c r="P855" t="str">
        <f>_xlfn.XLOOKUP(_26_03_2026_Log_Reseau_v15[[#This Row],[province RDC]],_26_03_2026_Client_Churn_v1[Province_Client],_26_03_2026_Client_Churn_v1[Plaintes_Service_Client],"non trouvé")</f>
        <v>non trouvé</v>
      </c>
    </row>
    <row r="856" spans="1:16" hidden="1" x14ac:dyDescent="0.25">
      <c r="A856" s="1">
        <v>45220</v>
      </c>
      <c r="B856" s="2">
        <v>0.4284722222222222</v>
      </c>
      <c r="C856" t="s">
        <v>1333</v>
      </c>
      <c r="D856">
        <v>26</v>
      </c>
      <c r="E856" t="s">
        <v>812</v>
      </c>
      <c r="F856" t="str">
        <f>_xlfn.XLOOKUP(_26_03_2026_Log_Reseau_v15[[#This Row],[Cell_ID]],_26_03_2026_Registre_Maintenance_v1[ID_Antenne],_26_03_2026_Registre_Maintenance_v1[zone],"pas trouvé")</f>
        <v>pas trouvé</v>
      </c>
      <c r="G856" t="str">
        <f>_xlfn.XLOOKUP(_26_03_2026_Log_Reseau_v15[[#This Row],[Cell_ID]],_26_03_2026_Registre_Maintenance_v1[ID_Antenne],_26_03_2026_Registre_Maintenance_v1[Latitude],"non trouvé")</f>
        <v>non trouvé</v>
      </c>
      <c r="H856" t="str">
        <f>_xlfn.XLOOKUP(_26_03_2026_Log_Reseau_v15[[#This Row],[Cell_ID]],_26_03_2026_Registre_Maintenance_v1[ID_Antenne],_26_03_2026_Registre_Maintenance_v1[Longitude],"pas trouvé")</f>
        <v>pas trouvé</v>
      </c>
      <c r="I856" t="str">
        <f>_xlfn.XLOOKUP(_26_03_2026_Log_Reseau_v15[[#This Row],[Cell_ID]],_26_03_2026_Registre_Maintenance_v1[ID_Antenne],_26_03_2026_Registre_Maintenance_v1[Technologie],"non trouvé")</f>
        <v>non trouvé</v>
      </c>
      <c r="J856" t="str">
        <f>_xlfn.XLOOKUP(_26_03_2026_Log_Reseau_v15[[#This Row],[Cell_ID]],_26_03_2026_Registre_Maintenance_v1[ID_Antenne],_26_03_2026_Registre_Maintenance_v1[Equipementier],"pas trouvé")</f>
        <v>pas trouvé</v>
      </c>
      <c r="K856" t="str">
        <f>_xlfn.XLOOKUP(_26_03_2026_Log_Reseau_v15[[#This Row],[province RDC]],_26_03_2026_Client_Churn_v1[Province_Client],_26_03_2026_Client_Churn_v1[ID_Client],"non trouvé")</f>
        <v>non trouvé</v>
      </c>
      <c r="L856" t="str">
        <f>_xlfn.XLOOKUP(_26_03_2026_Log_Reseau_v15[[#This Row],[province RDC]],_26_03_2026_Client_Churn_v1[Province_Client],_26_03_2026_Client_Churn_v1[Anciennete_Mois],"non trouvé")</f>
        <v>non trouvé</v>
      </c>
      <c r="M856" t="str">
        <f>_xlfn.XLOOKUP(_26_03_2026_Log_Reseau_v15[[#This Row],[province RDC]],_26_03_2026_Client_Churn_v1[Province_Client],_26_03_2026_Client_Churn_v1[Type_Forfait],"non trouvé")</f>
        <v>non trouvé</v>
      </c>
      <c r="N856" t="str">
        <f>_xlfn.XLOOKUP(_26_03_2026_Log_Reseau_v15[[#This Row],[province RDC]],_26_03_2026_Client_Churn_v1[Province_Client],_26_03_2026_Client_Churn_v1[Duree_Cumulee_Panne_Min],"non trouvé")</f>
        <v>non trouvé</v>
      </c>
      <c r="O856" t="str">
        <f>_xlfn.XLOOKUP(_26_03_2026_Log_Reseau_v15[[#This Row],[province RDC]],_26_03_2026_Client_Churn_v1[Province_Client],_26_03_2026_Client_Churn_v1[Facture_Mensuelle],"non trouvé")</f>
        <v>non trouvé</v>
      </c>
      <c r="P856" t="str">
        <f>_xlfn.XLOOKUP(_26_03_2026_Log_Reseau_v15[[#This Row],[province RDC]],_26_03_2026_Client_Churn_v1[Province_Client],_26_03_2026_Client_Churn_v1[Plaintes_Service_Client],"non trouvé")</f>
        <v>non trouvé</v>
      </c>
    </row>
    <row r="857" spans="1:16" hidden="1" x14ac:dyDescent="0.25">
      <c r="A857" s="1">
        <v>45209</v>
      </c>
      <c r="B857" s="2">
        <v>0.58194444444444449</v>
      </c>
      <c r="C857" t="s">
        <v>1334</v>
      </c>
      <c r="D857">
        <v>93</v>
      </c>
      <c r="E857" t="s">
        <v>808</v>
      </c>
      <c r="F857" t="str">
        <f>_xlfn.XLOOKUP(_26_03_2026_Log_Reseau_v15[[#This Row],[Cell_ID]],_26_03_2026_Registre_Maintenance_v1[ID_Antenne],_26_03_2026_Registre_Maintenance_v1[zone],"pas trouvé")</f>
        <v>pas trouvé</v>
      </c>
      <c r="G857" t="str">
        <f>_xlfn.XLOOKUP(_26_03_2026_Log_Reseau_v15[[#This Row],[Cell_ID]],_26_03_2026_Registre_Maintenance_v1[ID_Antenne],_26_03_2026_Registre_Maintenance_v1[Latitude],"non trouvé")</f>
        <v>non trouvé</v>
      </c>
      <c r="H857" t="str">
        <f>_xlfn.XLOOKUP(_26_03_2026_Log_Reseau_v15[[#This Row],[Cell_ID]],_26_03_2026_Registre_Maintenance_v1[ID_Antenne],_26_03_2026_Registre_Maintenance_v1[Longitude],"pas trouvé")</f>
        <v>pas trouvé</v>
      </c>
      <c r="I857" t="str">
        <f>_xlfn.XLOOKUP(_26_03_2026_Log_Reseau_v15[[#This Row],[Cell_ID]],_26_03_2026_Registre_Maintenance_v1[ID_Antenne],_26_03_2026_Registre_Maintenance_v1[Technologie],"non trouvé")</f>
        <v>non trouvé</v>
      </c>
      <c r="J857" t="str">
        <f>_xlfn.XLOOKUP(_26_03_2026_Log_Reseau_v15[[#This Row],[Cell_ID]],_26_03_2026_Registre_Maintenance_v1[ID_Antenne],_26_03_2026_Registre_Maintenance_v1[Equipementier],"pas trouvé")</f>
        <v>pas trouvé</v>
      </c>
      <c r="K857" t="str">
        <f>_xlfn.XLOOKUP(_26_03_2026_Log_Reseau_v15[[#This Row],[province RDC]],_26_03_2026_Client_Churn_v1[Province_Client],_26_03_2026_Client_Churn_v1[ID_Client],"non trouvé")</f>
        <v>non trouvé</v>
      </c>
      <c r="L857" t="str">
        <f>_xlfn.XLOOKUP(_26_03_2026_Log_Reseau_v15[[#This Row],[province RDC]],_26_03_2026_Client_Churn_v1[Province_Client],_26_03_2026_Client_Churn_v1[Anciennete_Mois],"non trouvé")</f>
        <v>non trouvé</v>
      </c>
      <c r="M857" t="str">
        <f>_xlfn.XLOOKUP(_26_03_2026_Log_Reseau_v15[[#This Row],[province RDC]],_26_03_2026_Client_Churn_v1[Province_Client],_26_03_2026_Client_Churn_v1[Type_Forfait],"non trouvé")</f>
        <v>non trouvé</v>
      </c>
      <c r="N857" t="str">
        <f>_xlfn.XLOOKUP(_26_03_2026_Log_Reseau_v15[[#This Row],[province RDC]],_26_03_2026_Client_Churn_v1[Province_Client],_26_03_2026_Client_Churn_v1[Duree_Cumulee_Panne_Min],"non trouvé")</f>
        <v>non trouvé</v>
      </c>
      <c r="O857" t="str">
        <f>_xlfn.XLOOKUP(_26_03_2026_Log_Reseau_v15[[#This Row],[province RDC]],_26_03_2026_Client_Churn_v1[Province_Client],_26_03_2026_Client_Churn_v1[Facture_Mensuelle],"non trouvé")</f>
        <v>non trouvé</v>
      </c>
      <c r="P857" t="str">
        <f>_xlfn.XLOOKUP(_26_03_2026_Log_Reseau_v15[[#This Row],[province RDC]],_26_03_2026_Client_Churn_v1[Province_Client],_26_03_2026_Client_Churn_v1[Plaintes_Service_Client],"non trouvé")</f>
        <v>non trouvé</v>
      </c>
    </row>
    <row r="858" spans="1:16" hidden="1" x14ac:dyDescent="0.25">
      <c r="A858" s="1">
        <v>45201</v>
      </c>
      <c r="B858" s="2">
        <v>0.45763888888888887</v>
      </c>
      <c r="C858" t="s">
        <v>1335</v>
      </c>
      <c r="D858">
        <v>42</v>
      </c>
      <c r="E858" t="s">
        <v>812</v>
      </c>
      <c r="F858" t="str">
        <f>_xlfn.XLOOKUP(_26_03_2026_Log_Reseau_v15[[#This Row],[Cell_ID]],_26_03_2026_Registre_Maintenance_v1[ID_Antenne],_26_03_2026_Registre_Maintenance_v1[zone],"pas trouvé")</f>
        <v>pas trouvé</v>
      </c>
      <c r="G858" t="str">
        <f>_xlfn.XLOOKUP(_26_03_2026_Log_Reseau_v15[[#This Row],[Cell_ID]],_26_03_2026_Registre_Maintenance_v1[ID_Antenne],_26_03_2026_Registre_Maintenance_v1[Latitude],"non trouvé")</f>
        <v>non trouvé</v>
      </c>
      <c r="H858" t="str">
        <f>_xlfn.XLOOKUP(_26_03_2026_Log_Reseau_v15[[#This Row],[Cell_ID]],_26_03_2026_Registre_Maintenance_v1[ID_Antenne],_26_03_2026_Registre_Maintenance_v1[Longitude],"pas trouvé")</f>
        <v>pas trouvé</v>
      </c>
      <c r="I858" t="str">
        <f>_xlfn.XLOOKUP(_26_03_2026_Log_Reseau_v15[[#This Row],[Cell_ID]],_26_03_2026_Registre_Maintenance_v1[ID_Antenne],_26_03_2026_Registre_Maintenance_v1[Technologie],"non trouvé")</f>
        <v>non trouvé</v>
      </c>
      <c r="J858" t="str">
        <f>_xlfn.XLOOKUP(_26_03_2026_Log_Reseau_v15[[#This Row],[Cell_ID]],_26_03_2026_Registre_Maintenance_v1[ID_Antenne],_26_03_2026_Registre_Maintenance_v1[Equipementier],"pas trouvé")</f>
        <v>pas trouvé</v>
      </c>
      <c r="K858" t="str">
        <f>_xlfn.XLOOKUP(_26_03_2026_Log_Reseau_v15[[#This Row],[province RDC]],_26_03_2026_Client_Churn_v1[Province_Client],_26_03_2026_Client_Churn_v1[ID_Client],"non trouvé")</f>
        <v>non trouvé</v>
      </c>
      <c r="L858" t="str">
        <f>_xlfn.XLOOKUP(_26_03_2026_Log_Reseau_v15[[#This Row],[province RDC]],_26_03_2026_Client_Churn_v1[Province_Client],_26_03_2026_Client_Churn_v1[Anciennete_Mois],"non trouvé")</f>
        <v>non trouvé</v>
      </c>
      <c r="M858" t="str">
        <f>_xlfn.XLOOKUP(_26_03_2026_Log_Reseau_v15[[#This Row],[province RDC]],_26_03_2026_Client_Churn_v1[Province_Client],_26_03_2026_Client_Churn_v1[Type_Forfait],"non trouvé")</f>
        <v>non trouvé</v>
      </c>
      <c r="N858" t="str">
        <f>_xlfn.XLOOKUP(_26_03_2026_Log_Reseau_v15[[#This Row],[province RDC]],_26_03_2026_Client_Churn_v1[Province_Client],_26_03_2026_Client_Churn_v1[Duree_Cumulee_Panne_Min],"non trouvé")</f>
        <v>non trouvé</v>
      </c>
      <c r="O858" t="str">
        <f>_xlfn.XLOOKUP(_26_03_2026_Log_Reseau_v15[[#This Row],[province RDC]],_26_03_2026_Client_Churn_v1[Province_Client],_26_03_2026_Client_Churn_v1[Facture_Mensuelle],"non trouvé")</f>
        <v>non trouvé</v>
      </c>
      <c r="P858" t="str">
        <f>_xlfn.XLOOKUP(_26_03_2026_Log_Reseau_v15[[#This Row],[province RDC]],_26_03_2026_Client_Churn_v1[Province_Client],_26_03_2026_Client_Churn_v1[Plaintes_Service_Client],"non trouvé")</f>
        <v>non trouvé</v>
      </c>
    </row>
    <row r="859" spans="1:16" hidden="1" x14ac:dyDescent="0.25">
      <c r="A859" s="1">
        <v>45221</v>
      </c>
      <c r="B859" s="2">
        <v>0.33958333333333335</v>
      </c>
      <c r="C859" t="s">
        <v>1336</v>
      </c>
      <c r="D859">
        <v>97</v>
      </c>
      <c r="E859" t="s">
        <v>808</v>
      </c>
      <c r="F859" t="str">
        <f>_xlfn.XLOOKUP(_26_03_2026_Log_Reseau_v15[[#This Row],[Cell_ID]],_26_03_2026_Registre_Maintenance_v1[ID_Antenne],_26_03_2026_Registre_Maintenance_v1[zone],"pas trouvé")</f>
        <v>pas trouvé</v>
      </c>
      <c r="G859" t="str">
        <f>_xlfn.XLOOKUP(_26_03_2026_Log_Reseau_v15[[#This Row],[Cell_ID]],_26_03_2026_Registre_Maintenance_v1[ID_Antenne],_26_03_2026_Registre_Maintenance_v1[Latitude],"non trouvé")</f>
        <v>non trouvé</v>
      </c>
      <c r="H859" t="str">
        <f>_xlfn.XLOOKUP(_26_03_2026_Log_Reseau_v15[[#This Row],[Cell_ID]],_26_03_2026_Registre_Maintenance_v1[ID_Antenne],_26_03_2026_Registre_Maintenance_v1[Longitude],"pas trouvé")</f>
        <v>pas trouvé</v>
      </c>
      <c r="I859" t="str">
        <f>_xlfn.XLOOKUP(_26_03_2026_Log_Reseau_v15[[#This Row],[Cell_ID]],_26_03_2026_Registre_Maintenance_v1[ID_Antenne],_26_03_2026_Registre_Maintenance_v1[Technologie],"non trouvé")</f>
        <v>non trouvé</v>
      </c>
      <c r="J859" t="str">
        <f>_xlfn.XLOOKUP(_26_03_2026_Log_Reseau_v15[[#This Row],[Cell_ID]],_26_03_2026_Registre_Maintenance_v1[ID_Antenne],_26_03_2026_Registre_Maintenance_v1[Equipementier],"pas trouvé")</f>
        <v>pas trouvé</v>
      </c>
      <c r="K859" t="str">
        <f>_xlfn.XLOOKUP(_26_03_2026_Log_Reseau_v15[[#This Row],[province RDC]],_26_03_2026_Client_Churn_v1[Province_Client],_26_03_2026_Client_Churn_v1[ID_Client],"non trouvé")</f>
        <v>non trouvé</v>
      </c>
      <c r="L859" t="str">
        <f>_xlfn.XLOOKUP(_26_03_2026_Log_Reseau_v15[[#This Row],[province RDC]],_26_03_2026_Client_Churn_v1[Province_Client],_26_03_2026_Client_Churn_v1[Anciennete_Mois],"non trouvé")</f>
        <v>non trouvé</v>
      </c>
      <c r="M859" t="str">
        <f>_xlfn.XLOOKUP(_26_03_2026_Log_Reseau_v15[[#This Row],[province RDC]],_26_03_2026_Client_Churn_v1[Province_Client],_26_03_2026_Client_Churn_v1[Type_Forfait],"non trouvé")</f>
        <v>non trouvé</v>
      </c>
      <c r="N859" t="str">
        <f>_xlfn.XLOOKUP(_26_03_2026_Log_Reseau_v15[[#This Row],[province RDC]],_26_03_2026_Client_Churn_v1[Province_Client],_26_03_2026_Client_Churn_v1[Duree_Cumulee_Panne_Min],"non trouvé")</f>
        <v>non trouvé</v>
      </c>
      <c r="O859" t="str">
        <f>_xlfn.XLOOKUP(_26_03_2026_Log_Reseau_v15[[#This Row],[province RDC]],_26_03_2026_Client_Churn_v1[Province_Client],_26_03_2026_Client_Churn_v1[Facture_Mensuelle],"non trouvé")</f>
        <v>non trouvé</v>
      </c>
      <c r="P859" t="str">
        <f>_xlfn.XLOOKUP(_26_03_2026_Log_Reseau_v15[[#This Row],[province RDC]],_26_03_2026_Client_Churn_v1[Province_Client],_26_03_2026_Client_Churn_v1[Plaintes_Service_Client],"non trouvé")</f>
        <v>non trouvé</v>
      </c>
    </row>
    <row r="860" spans="1:16" hidden="1" x14ac:dyDescent="0.25">
      <c r="A860" s="1">
        <v>45204</v>
      </c>
      <c r="B860" s="2">
        <v>0.84652777777777777</v>
      </c>
      <c r="C860" t="s">
        <v>1336</v>
      </c>
      <c r="D860">
        <v>16</v>
      </c>
      <c r="E860" t="s">
        <v>812</v>
      </c>
      <c r="F860" t="str">
        <f>_xlfn.XLOOKUP(_26_03_2026_Log_Reseau_v15[[#This Row],[Cell_ID]],_26_03_2026_Registre_Maintenance_v1[ID_Antenne],_26_03_2026_Registre_Maintenance_v1[zone],"pas trouvé")</f>
        <v>pas trouvé</v>
      </c>
      <c r="G860" t="str">
        <f>_xlfn.XLOOKUP(_26_03_2026_Log_Reseau_v15[[#This Row],[Cell_ID]],_26_03_2026_Registre_Maintenance_v1[ID_Antenne],_26_03_2026_Registre_Maintenance_v1[Latitude],"non trouvé")</f>
        <v>non trouvé</v>
      </c>
      <c r="H860" t="str">
        <f>_xlfn.XLOOKUP(_26_03_2026_Log_Reseau_v15[[#This Row],[Cell_ID]],_26_03_2026_Registre_Maintenance_v1[ID_Antenne],_26_03_2026_Registre_Maintenance_v1[Longitude],"pas trouvé")</f>
        <v>pas trouvé</v>
      </c>
      <c r="I860" t="str">
        <f>_xlfn.XLOOKUP(_26_03_2026_Log_Reseau_v15[[#This Row],[Cell_ID]],_26_03_2026_Registre_Maintenance_v1[ID_Antenne],_26_03_2026_Registre_Maintenance_v1[Technologie],"non trouvé")</f>
        <v>non trouvé</v>
      </c>
      <c r="J860" t="str">
        <f>_xlfn.XLOOKUP(_26_03_2026_Log_Reseau_v15[[#This Row],[Cell_ID]],_26_03_2026_Registre_Maintenance_v1[ID_Antenne],_26_03_2026_Registre_Maintenance_v1[Equipementier],"pas trouvé")</f>
        <v>pas trouvé</v>
      </c>
      <c r="K860" t="str">
        <f>_xlfn.XLOOKUP(_26_03_2026_Log_Reseau_v15[[#This Row],[province RDC]],_26_03_2026_Client_Churn_v1[Province_Client],_26_03_2026_Client_Churn_v1[ID_Client],"non trouvé")</f>
        <v>non trouvé</v>
      </c>
      <c r="L860" t="str">
        <f>_xlfn.XLOOKUP(_26_03_2026_Log_Reseau_v15[[#This Row],[province RDC]],_26_03_2026_Client_Churn_v1[Province_Client],_26_03_2026_Client_Churn_v1[Anciennete_Mois],"non trouvé")</f>
        <v>non trouvé</v>
      </c>
      <c r="M860" t="str">
        <f>_xlfn.XLOOKUP(_26_03_2026_Log_Reseau_v15[[#This Row],[province RDC]],_26_03_2026_Client_Churn_v1[Province_Client],_26_03_2026_Client_Churn_v1[Type_Forfait],"non trouvé")</f>
        <v>non trouvé</v>
      </c>
      <c r="N860" t="str">
        <f>_xlfn.XLOOKUP(_26_03_2026_Log_Reseau_v15[[#This Row],[province RDC]],_26_03_2026_Client_Churn_v1[Province_Client],_26_03_2026_Client_Churn_v1[Duree_Cumulee_Panne_Min],"non trouvé")</f>
        <v>non trouvé</v>
      </c>
      <c r="O860" t="str">
        <f>_xlfn.XLOOKUP(_26_03_2026_Log_Reseau_v15[[#This Row],[province RDC]],_26_03_2026_Client_Churn_v1[Province_Client],_26_03_2026_Client_Churn_v1[Facture_Mensuelle],"non trouvé")</f>
        <v>non trouvé</v>
      </c>
      <c r="P860" t="str">
        <f>_xlfn.XLOOKUP(_26_03_2026_Log_Reseau_v15[[#This Row],[province RDC]],_26_03_2026_Client_Churn_v1[Province_Client],_26_03_2026_Client_Churn_v1[Plaintes_Service_Client],"non trouvé")</f>
        <v>non trouvé</v>
      </c>
    </row>
    <row r="861" spans="1:16" x14ac:dyDescent="0.25">
      <c r="A861" s="1">
        <v>45220</v>
      </c>
      <c r="B861" s="2">
        <v>0.11041666666666666</v>
      </c>
      <c r="C861" t="s">
        <v>1337</v>
      </c>
      <c r="D861">
        <v>111</v>
      </c>
      <c r="E861" t="s">
        <v>812</v>
      </c>
      <c r="F861" t="str">
        <f>_xlfn.XLOOKUP(_26_03_2026_Log_Reseau_v15[[#This Row],[Cell_ID]],_26_03_2026_Registre_Maintenance_v1[ID_Antenne],_26_03_2026_Registre_Maintenance_v1[zone],"pas trouvé")</f>
        <v>Ituri</v>
      </c>
      <c r="G861">
        <f>_xlfn.XLOOKUP(_26_03_2026_Log_Reseau_v15[[#This Row],[Cell_ID]],_26_03_2026_Registre_Maintenance_v1[ID_Antenne],_26_03_2026_Registre_Maintenance_v1[Latitude],"non trouvé")</f>
        <v>-4.1250960000000001</v>
      </c>
      <c r="H861">
        <f>_xlfn.XLOOKUP(_26_03_2026_Log_Reseau_v15[[#This Row],[Cell_ID]],_26_03_2026_Registre_Maintenance_v1[ID_Antenne],_26_03_2026_Registre_Maintenance_v1[Longitude],"pas trouvé")</f>
        <v>27.799897999999999</v>
      </c>
      <c r="I861" t="str">
        <f>_xlfn.XLOOKUP(_26_03_2026_Log_Reseau_v15[[#This Row],[Cell_ID]],_26_03_2026_Registre_Maintenance_v1[ID_Antenne],_26_03_2026_Registre_Maintenance_v1[Technologie],"non trouvé")</f>
        <v>3G</v>
      </c>
      <c r="J861" t="str">
        <f>_xlfn.XLOOKUP(_26_03_2026_Log_Reseau_v15[[#This Row],[Cell_ID]],_26_03_2026_Registre_Maintenance_v1[ID_Antenne],_26_03_2026_Registre_Maintenance_v1[Equipementier],"pas trouvé")</f>
        <v>Nokia</v>
      </c>
      <c r="K861" t="str">
        <f>_xlfn.XLOOKUP(_26_03_2026_Log_Reseau_v15[[#This Row],[province RDC]],_26_03_2026_Client_Churn_v1[Province_Client],_26_03_2026_Client_Churn_v1[ID_Client],"non trouvé")</f>
        <v>CLI-01147</v>
      </c>
      <c r="L861">
        <f>_xlfn.XLOOKUP(_26_03_2026_Log_Reseau_v15[[#This Row],[province RDC]],_26_03_2026_Client_Churn_v1[Province_Client],_26_03_2026_Client_Churn_v1[Anciennete_Mois],"non trouvé")</f>
        <v>29</v>
      </c>
      <c r="M861" t="str">
        <f>_xlfn.XLOOKUP(_26_03_2026_Log_Reseau_v15[[#This Row],[province RDC]],_26_03_2026_Client_Churn_v1[Province_Client],_26_03_2026_Client_Churn_v1[Type_Forfait],"non trouvé")</f>
        <v>Premium 5G 150Go</v>
      </c>
      <c r="N861">
        <f>_xlfn.XLOOKUP(_26_03_2026_Log_Reseau_v15[[#This Row],[province RDC]],_26_03_2026_Client_Churn_v1[Province_Client],_26_03_2026_Client_Churn_v1[Duree_Cumulee_Panne_Min],"non trouvé")</f>
        <v>214</v>
      </c>
      <c r="O861">
        <f>_xlfn.XLOOKUP(_26_03_2026_Log_Reseau_v15[[#This Row],[province RDC]],_26_03_2026_Client_Churn_v1[Province_Client],_26_03_2026_Client_Churn_v1[Facture_Mensuelle],"non trouvé")</f>
        <v>74.7</v>
      </c>
      <c r="P861">
        <f>_xlfn.XLOOKUP(_26_03_2026_Log_Reseau_v15[[#This Row],[province RDC]],_26_03_2026_Client_Churn_v1[Province_Client],_26_03_2026_Client_Churn_v1[Plaintes_Service_Client],"non trouvé")</f>
        <v>3</v>
      </c>
    </row>
    <row r="862" spans="1:16" x14ac:dyDescent="0.25">
      <c r="A862" s="1">
        <v>45228</v>
      </c>
      <c r="B862" s="2">
        <v>0.88055555555555554</v>
      </c>
      <c r="C862" t="s">
        <v>1337</v>
      </c>
      <c r="D862">
        <v>112</v>
      </c>
      <c r="E862" t="s">
        <v>812</v>
      </c>
      <c r="F862" t="str">
        <f>_xlfn.XLOOKUP(_26_03_2026_Log_Reseau_v15[[#This Row],[Cell_ID]],_26_03_2026_Registre_Maintenance_v1[ID_Antenne],_26_03_2026_Registre_Maintenance_v1[zone],"pas trouvé")</f>
        <v>Ituri</v>
      </c>
      <c r="G862">
        <f>_xlfn.XLOOKUP(_26_03_2026_Log_Reseau_v15[[#This Row],[Cell_ID]],_26_03_2026_Registre_Maintenance_v1[ID_Antenne],_26_03_2026_Registre_Maintenance_v1[Latitude],"non trouvé")</f>
        <v>-4.1250960000000001</v>
      </c>
      <c r="H862">
        <f>_xlfn.XLOOKUP(_26_03_2026_Log_Reseau_v15[[#This Row],[Cell_ID]],_26_03_2026_Registre_Maintenance_v1[ID_Antenne],_26_03_2026_Registre_Maintenance_v1[Longitude],"pas trouvé")</f>
        <v>27.799897999999999</v>
      </c>
      <c r="I862" t="str">
        <f>_xlfn.XLOOKUP(_26_03_2026_Log_Reseau_v15[[#This Row],[Cell_ID]],_26_03_2026_Registre_Maintenance_v1[ID_Antenne],_26_03_2026_Registre_Maintenance_v1[Technologie],"non trouvé")</f>
        <v>3G</v>
      </c>
      <c r="J862" t="str">
        <f>_xlfn.XLOOKUP(_26_03_2026_Log_Reseau_v15[[#This Row],[Cell_ID]],_26_03_2026_Registre_Maintenance_v1[ID_Antenne],_26_03_2026_Registre_Maintenance_v1[Equipementier],"pas trouvé")</f>
        <v>Nokia</v>
      </c>
      <c r="K862" t="str">
        <f>_xlfn.XLOOKUP(_26_03_2026_Log_Reseau_v15[[#This Row],[province RDC]],_26_03_2026_Client_Churn_v1[Province_Client],_26_03_2026_Client_Churn_v1[ID_Client],"non trouvé")</f>
        <v>CLI-01147</v>
      </c>
      <c r="L862">
        <f>_xlfn.XLOOKUP(_26_03_2026_Log_Reseau_v15[[#This Row],[province RDC]],_26_03_2026_Client_Churn_v1[Province_Client],_26_03_2026_Client_Churn_v1[Anciennete_Mois],"non trouvé")</f>
        <v>29</v>
      </c>
      <c r="M862" t="str">
        <f>_xlfn.XLOOKUP(_26_03_2026_Log_Reseau_v15[[#This Row],[province RDC]],_26_03_2026_Client_Churn_v1[Province_Client],_26_03_2026_Client_Churn_v1[Type_Forfait],"non trouvé")</f>
        <v>Premium 5G 150Go</v>
      </c>
      <c r="N862">
        <f>_xlfn.XLOOKUP(_26_03_2026_Log_Reseau_v15[[#This Row],[province RDC]],_26_03_2026_Client_Churn_v1[Province_Client],_26_03_2026_Client_Churn_v1[Duree_Cumulee_Panne_Min],"non trouvé")</f>
        <v>214</v>
      </c>
      <c r="O862">
        <f>_xlfn.XLOOKUP(_26_03_2026_Log_Reseau_v15[[#This Row],[province RDC]],_26_03_2026_Client_Churn_v1[Province_Client],_26_03_2026_Client_Churn_v1[Facture_Mensuelle],"non trouvé")</f>
        <v>74.7</v>
      </c>
      <c r="P862">
        <f>_xlfn.XLOOKUP(_26_03_2026_Log_Reseau_v15[[#This Row],[province RDC]],_26_03_2026_Client_Churn_v1[Province_Client],_26_03_2026_Client_Churn_v1[Plaintes_Service_Client],"non trouvé")</f>
        <v>3</v>
      </c>
    </row>
    <row r="863" spans="1:16" hidden="1" x14ac:dyDescent="0.25">
      <c r="A863" s="1">
        <v>45213</v>
      </c>
      <c r="B863" s="2">
        <v>0.32847222222222222</v>
      </c>
      <c r="C863" t="s">
        <v>1338</v>
      </c>
      <c r="D863">
        <v>22</v>
      </c>
      <c r="E863" t="s">
        <v>812</v>
      </c>
      <c r="F863" t="str">
        <f>_xlfn.XLOOKUP(_26_03_2026_Log_Reseau_v15[[#This Row],[Cell_ID]],_26_03_2026_Registre_Maintenance_v1[ID_Antenne],_26_03_2026_Registre_Maintenance_v1[zone],"pas trouvé")</f>
        <v>pas trouvé</v>
      </c>
      <c r="G863" t="str">
        <f>_xlfn.XLOOKUP(_26_03_2026_Log_Reseau_v15[[#This Row],[Cell_ID]],_26_03_2026_Registre_Maintenance_v1[ID_Antenne],_26_03_2026_Registre_Maintenance_v1[Latitude],"non trouvé")</f>
        <v>non trouvé</v>
      </c>
      <c r="H863" t="str">
        <f>_xlfn.XLOOKUP(_26_03_2026_Log_Reseau_v15[[#This Row],[Cell_ID]],_26_03_2026_Registre_Maintenance_v1[ID_Antenne],_26_03_2026_Registre_Maintenance_v1[Longitude],"pas trouvé")</f>
        <v>pas trouvé</v>
      </c>
      <c r="I863" t="str">
        <f>_xlfn.XLOOKUP(_26_03_2026_Log_Reseau_v15[[#This Row],[Cell_ID]],_26_03_2026_Registre_Maintenance_v1[ID_Antenne],_26_03_2026_Registre_Maintenance_v1[Technologie],"non trouvé")</f>
        <v>non trouvé</v>
      </c>
      <c r="J863" t="str">
        <f>_xlfn.XLOOKUP(_26_03_2026_Log_Reseau_v15[[#This Row],[Cell_ID]],_26_03_2026_Registre_Maintenance_v1[ID_Antenne],_26_03_2026_Registre_Maintenance_v1[Equipementier],"pas trouvé")</f>
        <v>pas trouvé</v>
      </c>
      <c r="K863" t="str">
        <f>_xlfn.XLOOKUP(_26_03_2026_Log_Reseau_v15[[#This Row],[province RDC]],_26_03_2026_Client_Churn_v1[Province_Client],_26_03_2026_Client_Churn_v1[ID_Client],"non trouvé")</f>
        <v>non trouvé</v>
      </c>
      <c r="L863" t="str">
        <f>_xlfn.XLOOKUP(_26_03_2026_Log_Reseau_v15[[#This Row],[province RDC]],_26_03_2026_Client_Churn_v1[Province_Client],_26_03_2026_Client_Churn_v1[Anciennete_Mois],"non trouvé")</f>
        <v>non trouvé</v>
      </c>
      <c r="M863" t="str">
        <f>_xlfn.XLOOKUP(_26_03_2026_Log_Reseau_v15[[#This Row],[province RDC]],_26_03_2026_Client_Churn_v1[Province_Client],_26_03_2026_Client_Churn_v1[Type_Forfait],"non trouvé")</f>
        <v>non trouvé</v>
      </c>
      <c r="N863" t="str">
        <f>_xlfn.XLOOKUP(_26_03_2026_Log_Reseau_v15[[#This Row],[province RDC]],_26_03_2026_Client_Churn_v1[Province_Client],_26_03_2026_Client_Churn_v1[Duree_Cumulee_Panne_Min],"non trouvé")</f>
        <v>non trouvé</v>
      </c>
      <c r="O863" t="str">
        <f>_xlfn.XLOOKUP(_26_03_2026_Log_Reseau_v15[[#This Row],[province RDC]],_26_03_2026_Client_Churn_v1[Province_Client],_26_03_2026_Client_Churn_v1[Facture_Mensuelle],"non trouvé")</f>
        <v>non trouvé</v>
      </c>
      <c r="P863" t="str">
        <f>_xlfn.XLOOKUP(_26_03_2026_Log_Reseau_v15[[#This Row],[province RDC]],_26_03_2026_Client_Churn_v1[Province_Client],_26_03_2026_Client_Churn_v1[Plaintes_Service_Client],"non trouvé")</f>
        <v>non trouvé</v>
      </c>
    </row>
    <row r="864" spans="1:16" hidden="1" x14ac:dyDescent="0.25">
      <c r="A864" s="1">
        <v>45210</v>
      </c>
      <c r="B864" s="2">
        <v>5.4166666666666669E-2</v>
      </c>
      <c r="C864" t="s">
        <v>1339</v>
      </c>
      <c r="D864">
        <v>68</v>
      </c>
      <c r="E864" t="s">
        <v>812</v>
      </c>
      <c r="F864" t="str">
        <f>_xlfn.XLOOKUP(_26_03_2026_Log_Reseau_v15[[#This Row],[Cell_ID]],_26_03_2026_Registre_Maintenance_v1[ID_Antenne],_26_03_2026_Registre_Maintenance_v1[zone],"pas trouvé")</f>
        <v>pas trouvé</v>
      </c>
      <c r="G864" t="str">
        <f>_xlfn.XLOOKUP(_26_03_2026_Log_Reseau_v15[[#This Row],[Cell_ID]],_26_03_2026_Registre_Maintenance_v1[ID_Antenne],_26_03_2026_Registre_Maintenance_v1[Latitude],"non trouvé")</f>
        <v>non trouvé</v>
      </c>
      <c r="H864" t="str">
        <f>_xlfn.XLOOKUP(_26_03_2026_Log_Reseau_v15[[#This Row],[Cell_ID]],_26_03_2026_Registre_Maintenance_v1[ID_Antenne],_26_03_2026_Registre_Maintenance_v1[Longitude],"pas trouvé")</f>
        <v>pas trouvé</v>
      </c>
      <c r="I864" t="str">
        <f>_xlfn.XLOOKUP(_26_03_2026_Log_Reseau_v15[[#This Row],[Cell_ID]],_26_03_2026_Registre_Maintenance_v1[ID_Antenne],_26_03_2026_Registre_Maintenance_v1[Technologie],"non trouvé")</f>
        <v>non trouvé</v>
      </c>
      <c r="J864" t="str">
        <f>_xlfn.XLOOKUP(_26_03_2026_Log_Reseau_v15[[#This Row],[Cell_ID]],_26_03_2026_Registre_Maintenance_v1[ID_Antenne],_26_03_2026_Registre_Maintenance_v1[Equipementier],"pas trouvé")</f>
        <v>pas trouvé</v>
      </c>
      <c r="K864" t="str">
        <f>_xlfn.XLOOKUP(_26_03_2026_Log_Reseau_v15[[#This Row],[province RDC]],_26_03_2026_Client_Churn_v1[Province_Client],_26_03_2026_Client_Churn_v1[ID_Client],"non trouvé")</f>
        <v>non trouvé</v>
      </c>
      <c r="L864" t="str">
        <f>_xlfn.XLOOKUP(_26_03_2026_Log_Reseau_v15[[#This Row],[province RDC]],_26_03_2026_Client_Churn_v1[Province_Client],_26_03_2026_Client_Churn_v1[Anciennete_Mois],"non trouvé")</f>
        <v>non trouvé</v>
      </c>
      <c r="M864" t="str">
        <f>_xlfn.XLOOKUP(_26_03_2026_Log_Reseau_v15[[#This Row],[province RDC]],_26_03_2026_Client_Churn_v1[Province_Client],_26_03_2026_Client_Churn_v1[Type_Forfait],"non trouvé")</f>
        <v>non trouvé</v>
      </c>
      <c r="N864" t="str">
        <f>_xlfn.XLOOKUP(_26_03_2026_Log_Reseau_v15[[#This Row],[province RDC]],_26_03_2026_Client_Churn_v1[Province_Client],_26_03_2026_Client_Churn_v1[Duree_Cumulee_Panne_Min],"non trouvé")</f>
        <v>non trouvé</v>
      </c>
      <c r="O864" t="str">
        <f>_xlfn.XLOOKUP(_26_03_2026_Log_Reseau_v15[[#This Row],[province RDC]],_26_03_2026_Client_Churn_v1[Province_Client],_26_03_2026_Client_Churn_v1[Facture_Mensuelle],"non trouvé")</f>
        <v>non trouvé</v>
      </c>
      <c r="P864" t="str">
        <f>_xlfn.XLOOKUP(_26_03_2026_Log_Reseau_v15[[#This Row],[province RDC]],_26_03_2026_Client_Churn_v1[Province_Client],_26_03_2026_Client_Churn_v1[Plaintes_Service_Client],"non trouvé")</f>
        <v>non trouvé</v>
      </c>
    </row>
    <row r="865" spans="1:16" hidden="1" x14ac:dyDescent="0.25">
      <c r="A865" s="1">
        <v>45227</v>
      </c>
      <c r="B865" s="2">
        <v>0.83958333333333335</v>
      </c>
      <c r="C865" t="s">
        <v>1340</v>
      </c>
      <c r="D865">
        <v>94</v>
      </c>
      <c r="E865" t="s">
        <v>812</v>
      </c>
      <c r="F865" t="str">
        <f>_xlfn.XLOOKUP(_26_03_2026_Log_Reseau_v15[[#This Row],[Cell_ID]],_26_03_2026_Registre_Maintenance_v1[ID_Antenne],_26_03_2026_Registre_Maintenance_v1[zone],"pas trouvé")</f>
        <v>pas trouvé</v>
      </c>
      <c r="G865" t="str">
        <f>_xlfn.XLOOKUP(_26_03_2026_Log_Reseau_v15[[#This Row],[Cell_ID]],_26_03_2026_Registre_Maintenance_v1[ID_Antenne],_26_03_2026_Registre_Maintenance_v1[Latitude],"non trouvé")</f>
        <v>non trouvé</v>
      </c>
      <c r="H865" t="str">
        <f>_xlfn.XLOOKUP(_26_03_2026_Log_Reseau_v15[[#This Row],[Cell_ID]],_26_03_2026_Registre_Maintenance_v1[ID_Antenne],_26_03_2026_Registre_Maintenance_v1[Longitude],"pas trouvé")</f>
        <v>pas trouvé</v>
      </c>
      <c r="I865" t="str">
        <f>_xlfn.XLOOKUP(_26_03_2026_Log_Reseau_v15[[#This Row],[Cell_ID]],_26_03_2026_Registre_Maintenance_v1[ID_Antenne],_26_03_2026_Registre_Maintenance_v1[Technologie],"non trouvé")</f>
        <v>non trouvé</v>
      </c>
      <c r="J865" t="str">
        <f>_xlfn.XLOOKUP(_26_03_2026_Log_Reseau_v15[[#This Row],[Cell_ID]],_26_03_2026_Registre_Maintenance_v1[ID_Antenne],_26_03_2026_Registre_Maintenance_v1[Equipementier],"pas trouvé")</f>
        <v>pas trouvé</v>
      </c>
      <c r="K865" t="str">
        <f>_xlfn.XLOOKUP(_26_03_2026_Log_Reseau_v15[[#This Row],[province RDC]],_26_03_2026_Client_Churn_v1[Province_Client],_26_03_2026_Client_Churn_v1[ID_Client],"non trouvé")</f>
        <v>non trouvé</v>
      </c>
      <c r="L865" t="str">
        <f>_xlfn.XLOOKUP(_26_03_2026_Log_Reseau_v15[[#This Row],[province RDC]],_26_03_2026_Client_Churn_v1[Province_Client],_26_03_2026_Client_Churn_v1[Anciennete_Mois],"non trouvé")</f>
        <v>non trouvé</v>
      </c>
      <c r="M865" t="str">
        <f>_xlfn.XLOOKUP(_26_03_2026_Log_Reseau_v15[[#This Row],[province RDC]],_26_03_2026_Client_Churn_v1[Province_Client],_26_03_2026_Client_Churn_v1[Type_Forfait],"non trouvé")</f>
        <v>non trouvé</v>
      </c>
      <c r="N865" t="str">
        <f>_xlfn.XLOOKUP(_26_03_2026_Log_Reseau_v15[[#This Row],[province RDC]],_26_03_2026_Client_Churn_v1[Province_Client],_26_03_2026_Client_Churn_v1[Duree_Cumulee_Panne_Min],"non trouvé")</f>
        <v>non trouvé</v>
      </c>
      <c r="O865" t="str">
        <f>_xlfn.XLOOKUP(_26_03_2026_Log_Reseau_v15[[#This Row],[province RDC]],_26_03_2026_Client_Churn_v1[Province_Client],_26_03_2026_Client_Churn_v1[Facture_Mensuelle],"non trouvé")</f>
        <v>non trouvé</v>
      </c>
      <c r="P865" t="str">
        <f>_xlfn.XLOOKUP(_26_03_2026_Log_Reseau_v15[[#This Row],[province RDC]],_26_03_2026_Client_Churn_v1[Province_Client],_26_03_2026_Client_Churn_v1[Plaintes_Service_Client],"non trouvé")</f>
        <v>non trouvé</v>
      </c>
    </row>
    <row r="866" spans="1:16" x14ac:dyDescent="0.25">
      <c r="A866" s="1">
        <v>45200</v>
      </c>
      <c r="B866" s="2">
        <v>0.67083333333333328</v>
      </c>
      <c r="C866" t="s">
        <v>1341</v>
      </c>
      <c r="D866">
        <v>74</v>
      </c>
      <c r="E866" t="s">
        <v>812</v>
      </c>
      <c r="F866" t="str">
        <f>_xlfn.XLOOKUP(_26_03_2026_Log_Reseau_v15[[#This Row],[Cell_ID]],_26_03_2026_Registre_Maintenance_v1[ID_Antenne],_26_03_2026_Registre_Maintenance_v1[zone],"pas trouvé")</f>
        <v>Ituri</v>
      </c>
      <c r="G866">
        <f>_xlfn.XLOOKUP(_26_03_2026_Log_Reseau_v15[[#This Row],[Cell_ID]],_26_03_2026_Registre_Maintenance_v1[ID_Antenne],_26_03_2026_Registre_Maintenance_v1[Latitude],"non trouvé")</f>
        <v>-4.6426759999999998</v>
      </c>
      <c r="H866">
        <f>_xlfn.XLOOKUP(_26_03_2026_Log_Reseau_v15[[#This Row],[Cell_ID]],_26_03_2026_Registre_Maintenance_v1[ID_Antenne],_26_03_2026_Registre_Maintenance_v1[Longitude],"pas trouvé")</f>
        <v>22.124254000000001</v>
      </c>
      <c r="I866" t="str">
        <f>_xlfn.XLOOKUP(_26_03_2026_Log_Reseau_v15[[#This Row],[Cell_ID]],_26_03_2026_Registre_Maintenance_v1[ID_Antenne],_26_03_2026_Registre_Maintenance_v1[Technologie],"non trouvé")</f>
        <v>4G</v>
      </c>
      <c r="J866" t="str">
        <f>_xlfn.XLOOKUP(_26_03_2026_Log_Reseau_v15[[#This Row],[Cell_ID]],_26_03_2026_Registre_Maintenance_v1[ID_Antenne],_26_03_2026_Registre_Maintenance_v1[Equipementier],"pas trouvé")</f>
        <v>ZTE</v>
      </c>
      <c r="K866" t="str">
        <f>_xlfn.XLOOKUP(_26_03_2026_Log_Reseau_v15[[#This Row],[province RDC]],_26_03_2026_Client_Churn_v1[Province_Client],_26_03_2026_Client_Churn_v1[ID_Client],"non trouvé")</f>
        <v>CLI-01147</v>
      </c>
      <c r="L866">
        <f>_xlfn.XLOOKUP(_26_03_2026_Log_Reseau_v15[[#This Row],[province RDC]],_26_03_2026_Client_Churn_v1[Province_Client],_26_03_2026_Client_Churn_v1[Anciennete_Mois],"non trouvé")</f>
        <v>29</v>
      </c>
      <c r="M866" t="str">
        <f>_xlfn.XLOOKUP(_26_03_2026_Log_Reseau_v15[[#This Row],[province RDC]],_26_03_2026_Client_Churn_v1[Province_Client],_26_03_2026_Client_Churn_v1[Type_Forfait],"non trouvé")</f>
        <v>Premium 5G 150Go</v>
      </c>
      <c r="N866">
        <f>_xlfn.XLOOKUP(_26_03_2026_Log_Reseau_v15[[#This Row],[province RDC]],_26_03_2026_Client_Churn_v1[Province_Client],_26_03_2026_Client_Churn_v1[Duree_Cumulee_Panne_Min],"non trouvé")</f>
        <v>214</v>
      </c>
      <c r="O866">
        <f>_xlfn.XLOOKUP(_26_03_2026_Log_Reseau_v15[[#This Row],[province RDC]],_26_03_2026_Client_Churn_v1[Province_Client],_26_03_2026_Client_Churn_v1[Facture_Mensuelle],"non trouvé")</f>
        <v>74.7</v>
      </c>
      <c r="P866">
        <f>_xlfn.XLOOKUP(_26_03_2026_Log_Reseau_v15[[#This Row],[province RDC]],_26_03_2026_Client_Churn_v1[Province_Client],_26_03_2026_Client_Churn_v1[Plaintes_Service_Client],"non trouvé")</f>
        <v>3</v>
      </c>
    </row>
    <row r="867" spans="1:16" x14ac:dyDescent="0.25">
      <c r="A867" s="1">
        <v>45211</v>
      </c>
      <c r="B867" s="2">
        <v>0.10625</v>
      </c>
      <c r="C867" t="s">
        <v>1342</v>
      </c>
      <c r="D867">
        <v>107</v>
      </c>
      <c r="E867" t="s">
        <v>807</v>
      </c>
      <c r="F867" t="str">
        <f>_xlfn.XLOOKUP(_26_03_2026_Log_Reseau_v15[[#This Row],[Cell_ID]],_26_03_2026_Registre_Maintenance_v1[ID_Antenne],_26_03_2026_Registre_Maintenance_v1[zone],"pas trouvé")</f>
        <v>Kasai</v>
      </c>
      <c r="G867">
        <f>_xlfn.XLOOKUP(_26_03_2026_Log_Reseau_v15[[#This Row],[Cell_ID]],_26_03_2026_Registre_Maintenance_v1[ID_Antenne],_26_03_2026_Registre_Maintenance_v1[Latitude],"non trouvé")</f>
        <v>-5.125</v>
      </c>
      <c r="H867">
        <f>_xlfn.XLOOKUP(_26_03_2026_Log_Reseau_v15[[#This Row],[Cell_ID]],_26_03_2026_Registre_Maintenance_v1[ID_Antenne],_26_03_2026_Registre_Maintenance_v1[Longitude],"pas trouvé")</f>
        <v>23.513119</v>
      </c>
      <c r="I867" t="str">
        <f>_xlfn.XLOOKUP(_26_03_2026_Log_Reseau_v15[[#This Row],[Cell_ID]],_26_03_2026_Registre_Maintenance_v1[ID_Antenne],_26_03_2026_Registre_Maintenance_v1[Technologie],"non trouvé")</f>
        <v>5G</v>
      </c>
      <c r="J867" t="str">
        <f>_xlfn.XLOOKUP(_26_03_2026_Log_Reseau_v15[[#This Row],[Cell_ID]],_26_03_2026_Registre_Maintenance_v1[ID_Antenne],_26_03_2026_Registre_Maintenance_v1[Equipementier],"pas trouvé")</f>
        <v>Huawei</v>
      </c>
      <c r="K867" t="str">
        <f>_xlfn.XLOOKUP(_26_03_2026_Log_Reseau_v15[[#This Row],[province RDC]],_26_03_2026_Client_Churn_v1[Province_Client],_26_03_2026_Client_Churn_v1[ID_Client],"non trouvé")</f>
        <v>CLI-00559</v>
      </c>
      <c r="L867">
        <f>_xlfn.XLOOKUP(_26_03_2026_Log_Reseau_v15[[#This Row],[province RDC]],_26_03_2026_Client_Churn_v1[Province_Client],_26_03_2026_Client_Churn_v1[Anciennete_Mois],"non trouvé")</f>
        <v>99</v>
      </c>
      <c r="M867" t="str">
        <f>_xlfn.XLOOKUP(_26_03_2026_Log_Reseau_v15[[#This Row],[province RDC]],_26_03_2026_Client_Churn_v1[Province_Client],_26_03_2026_Client_Churn_v1[Type_Forfait],"non trouvé")</f>
        <v>Bloqué 5Go</v>
      </c>
      <c r="N867">
        <f>_xlfn.XLOOKUP(_26_03_2026_Log_Reseau_v15[[#This Row],[province RDC]],_26_03_2026_Client_Churn_v1[Province_Client],_26_03_2026_Client_Churn_v1[Duree_Cumulee_Panne_Min],"non trouvé")</f>
        <v>369</v>
      </c>
      <c r="O867">
        <f>_xlfn.XLOOKUP(_26_03_2026_Log_Reseau_v15[[#This Row],[province RDC]],_26_03_2026_Client_Churn_v1[Province_Client],_26_03_2026_Client_Churn_v1[Facture_Mensuelle],"non trouvé")</f>
        <v>67.209999999999994</v>
      </c>
      <c r="P867">
        <f>_xlfn.XLOOKUP(_26_03_2026_Log_Reseau_v15[[#This Row],[province RDC]],_26_03_2026_Client_Churn_v1[Province_Client],_26_03_2026_Client_Churn_v1[Plaintes_Service_Client],"non trouvé")</f>
        <v>3</v>
      </c>
    </row>
    <row r="868" spans="1:16" x14ac:dyDescent="0.25">
      <c r="A868" s="1">
        <v>45227</v>
      </c>
      <c r="B868" s="2">
        <v>0.66041666666666665</v>
      </c>
      <c r="C868" t="s">
        <v>1342</v>
      </c>
      <c r="D868">
        <v>67</v>
      </c>
      <c r="E868" t="s">
        <v>812</v>
      </c>
      <c r="F868" t="str">
        <f>_xlfn.XLOOKUP(_26_03_2026_Log_Reseau_v15[[#This Row],[Cell_ID]],_26_03_2026_Registre_Maintenance_v1[ID_Antenne],_26_03_2026_Registre_Maintenance_v1[zone],"pas trouvé")</f>
        <v>Kasai</v>
      </c>
      <c r="G868">
        <f>_xlfn.XLOOKUP(_26_03_2026_Log_Reseau_v15[[#This Row],[Cell_ID]],_26_03_2026_Registre_Maintenance_v1[ID_Antenne],_26_03_2026_Registre_Maintenance_v1[Latitude],"non trouvé")</f>
        <v>-5.125</v>
      </c>
      <c r="H868">
        <f>_xlfn.XLOOKUP(_26_03_2026_Log_Reseau_v15[[#This Row],[Cell_ID]],_26_03_2026_Registre_Maintenance_v1[ID_Antenne],_26_03_2026_Registre_Maintenance_v1[Longitude],"pas trouvé")</f>
        <v>23.513119</v>
      </c>
      <c r="I868" t="str">
        <f>_xlfn.XLOOKUP(_26_03_2026_Log_Reseau_v15[[#This Row],[Cell_ID]],_26_03_2026_Registre_Maintenance_v1[ID_Antenne],_26_03_2026_Registre_Maintenance_v1[Technologie],"non trouvé")</f>
        <v>5G</v>
      </c>
      <c r="J868" t="str">
        <f>_xlfn.XLOOKUP(_26_03_2026_Log_Reseau_v15[[#This Row],[Cell_ID]],_26_03_2026_Registre_Maintenance_v1[ID_Antenne],_26_03_2026_Registre_Maintenance_v1[Equipementier],"pas trouvé")</f>
        <v>Huawei</v>
      </c>
      <c r="K868" t="str">
        <f>_xlfn.XLOOKUP(_26_03_2026_Log_Reseau_v15[[#This Row],[province RDC]],_26_03_2026_Client_Churn_v1[Province_Client],_26_03_2026_Client_Churn_v1[ID_Client],"non trouvé")</f>
        <v>CLI-00559</v>
      </c>
      <c r="L868">
        <f>_xlfn.XLOOKUP(_26_03_2026_Log_Reseau_v15[[#This Row],[province RDC]],_26_03_2026_Client_Churn_v1[Province_Client],_26_03_2026_Client_Churn_v1[Anciennete_Mois],"non trouvé")</f>
        <v>99</v>
      </c>
      <c r="M868" t="str">
        <f>_xlfn.XLOOKUP(_26_03_2026_Log_Reseau_v15[[#This Row],[province RDC]],_26_03_2026_Client_Churn_v1[Province_Client],_26_03_2026_Client_Churn_v1[Type_Forfait],"non trouvé")</f>
        <v>Bloqué 5Go</v>
      </c>
      <c r="N868">
        <f>_xlfn.XLOOKUP(_26_03_2026_Log_Reseau_v15[[#This Row],[province RDC]],_26_03_2026_Client_Churn_v1[Province_Client],_26_03_2026_Client_Churn_v1[Duree_Cumulee_Panne_Min],"non trouvé")</f>
        <v>369</v>
      </c>
      <c r="O868">
        <f>_xlfn.XLOOKUP(_26_03_2026_Log_Reseau_v15[[#This Row],[province RDC]],_26_03_2026_Client_Churn_v1[Province_Client],_26_03_2026_Client_Churn_v1[Facture_Mensuelle],"non trouvé")</f>
        <v>67.209999999999994</v>
      </c>
      <c r="P868">
        <f>_xlfn.XLOOKUP(_26_03_2026_Log_Reseau_v15[[#This Row],[province RDC]],_26_03_2026_Client_Churn_v1[Province_Client],_26_03_2026_Client_Churn_v1[Plaintes_Service_Client],"non trouvé")</f>
        <v>3</v>
      </c>
    </row>
    <row r="869" spans="1:16" x14ac:dyDescent="0.25">
      <c r="A869" s="1">
        <v>45211</v>
      </c>
      <c r="B869" s="2">
        <v>0.23472222222222222</v>
      </c>
      <c r="C869" t="s">
        <v>1343</v>
      </c>
      <c r="D869">
        <v>62</v>
      </c>
      <c r="E869" t="s">
        <v>812</v>
      </c>
      <c r="F869" t="str">
        <f>_xlfn.XLOOKUP(_26_03_2026_Log_Reseau_v15[[#This Row],[Cell_ID]],_26_03_2026_Registre_Maintenance_v1[ID_Antenne],_26_03_2026_Registre_Maintenance_v1[zone],"pas trouvé")</f>
        <v>Nord-Kivu</v>
      </c>
      <c r="G869">
        <f>_xlfn.XLOOKUP(_26_03_2026_Log_Reseau_v15[[#This Row],[Cell_ID]],_26_03_2026_Registre_Maintenance_v1[ID_Antenne],_26_03_2026_Registre_Maintenance_v1[Latitude],"non trouvé")</f>
        <v>-2.3102109999999998</v>
      </c>
      <c r="H869">
        <f>_xlfn.XLOOKUP(_26_03_2026_Log_Reseau_v15[[#This Row],[Cell_ID]],_26_03_2026_Registre_Maintenance_v1[ID_Antenne],_26_03_2026_Registre_Maintenance_v1[Longitude],"pas trouvé")</f>
        <v>12.362488000000001</v>
      </c>
      <c r="I869" t="str">
        <f>_xlfn.XLOOKUP(_26_03_2026_Log_Reseau_v15[[#This Row],[Cell_ID]],_26_03_2026_Registre_Maintenance_v1[ID_Antenne],_26_03_2026_Registre_Maintenance_v1[Technologie],"non trouvé")</f>
        <v>5G</v>
      </c>
      <c r="J869" t="str">
        <f>_xlfn.XLOOKUP(_26_03_2026_Log_Reseau_v15[[#This Row],[Cell_ID]],_26_03_2026_Registre_Maintenance_v1[ID_Antenne],_26_03_2026_Registre_Maintenance_v1[Equipementier],"pas trouvé")</f>
        <v>Nokia</v>
      </c>
      <c r="K869" t="str">
        <f>_xlfn.XLOOKUP(_26_03_2026_Log_Reseau_v15[[#This Row],[province RDC]],_26_03_2026_Client_Churn_v1[Province_Client],_26_03_2026_Client_Churn_v1[ID_Client],"non trouvé")</f>
        <v>CLI-00837</v>
      </c>
      <c r="L869">
        <f>_xlfn.XLOOKUP(_26_03_2026_Log_Reseau_v15[[#This Row],[province RDC]],_26_03_2026_Client_Churn_v1[Province_Client],_26_03_2026_Client_Churn_v1[Anciennete_Mois],"non trouvé")</f>
        <v>16</v>
      </c>
      <c r="M869" t="str">
        <f>_xlfn.XLOOKUP(_26_03_2026_Log_Reseau_v15[[#This Row],[province RDC]],_26_03_2026_Client_Churn_v1[Province_Client],_26_03_2026_Client_Churn_v1[Type_Forfait],"non trouvé")</f>
        <v>Bloqué 5Go</v>
      </c>
      <c r="N869">
        <f>_xlfn.XLOOKUP(_26_03_2026_Log_Reseau_v15[[#This Row],[province RDC]],_26_03_2026_Client_Churn_v1[Province_Client],_26_03_2026_Client_Churn_v1[Duree_Cumulee_Panne_Min],"non trouvé")</f>
        <v>390</v>
      </c>
      <c r="O869">
        <f>_xlfn.XLOOKUP(_26_03_2026_Log_Reseau_v15[[#This Row],[province RDC]],_26_03_2026_Client_Churn_v1[Province_Client],_26_03_2026_Client_Churn_v1[Facture_Mensuelle],"non trouvé")</f>
        <v>98.17</v>
      </c>
      <c r="P869">
        <f>_xlfn.XLOOKUP(_26_03_2026_Log_Reseau_v15[[#This Row],[province RDC]],_26_03_2026_Client_Churn_v1[Province_Client],_26_03_2026_Client_Churn_v1[Plaintes_Service_Client],"non trouvé")</f>
        <v>5</v>
      </c>
    </row>
    <row r="870" spans="1:16" x14ac:dyDescent="0.25">
      <c r="A870" s="1">
        <v>45220</v>
      </c>
      <c r="B870" s="2">
        <v>0.46944444444444444</v>
      </c>
      <c r="C870" t="s">
        <v>1344</v>
      </c>
      <c r="D870">
        <v>17</v>
      </c>
      <c r="E870" t="s">
        <v>808</v>
      </c>
      <c r="F870" t="str">
        <f>_xlfn.XLOOKUP(_26_03_2026_Log_Reseau_v15[[#This Row],[Cell_ID]],_26_03_2026_Registre_Maintenance_v1[ID_Antenne],_26_03_2026_Registre_Maintenance_v1[zone],"pas trouvé")</f>
        <v>Sud-Kivu</v>
      </c>
      <c r="G870">
        <f>_xlfn.XLOOKUP(_26_03_2026_Log_Reseau_v15[[#This Row],[Cell_ID]],_26_03_2026_Registre_Maintenance_v1[ID_Antenne],_26_03_2026_Registre_Maintenance_v1[Latitude],"non trouvé")</f>
        <v>-1.5419050000000001</v>
      </c>
      <c r="H870">
        <f>_xlfn.XLOOKUP(_26_03_2026_Log_Reseau_v15[[#This Row],[Cell_ID]],_26_03_2026_Registre_Maintenance_v1[ID_Antenne],_26_03_2026_Registre_Maintenance_v1[Longitude],"pas trouvé")</f>
        <v>14.730632999999999</v>
      </c>
      <c r="I870" t="str">
        <f>_xlfn.XLOOKUP(_26_03_2026_Log_Reseau_v15[[#This Row],[Cell_ID]],_26_03_2026_Registre_Maintenance_v1[ID_Antenne],_26_03_2026_Registre_Maintenance_v1[Technologie],"non trouvé")</f>
        <v>3G</v>
      </c>
      <c r="J870" t="str">
        <f>_xlfn.XLOOKUP(_26_03_2026_Log_Reseau_v15[[#This Row],[Cell_ID]],_26_03_2026_Registre_Maintenance_v1[ID_Antenne],_26_03_2026_Registre_Maintenance_v1[Equipementier],"pas trouvé")</f>
        <v>ZTE</v>
      </c>
      <c r="K870" t="str">
        <f>_xlfn.XLOOKUP(_26_03_2026_Log_Reseau_v15[[#This Row],[province RDC]],_26_03_2026_Client_Churn_v1[Province_Client],_26_03_2026_Client_Churn_v1[ID_Client],"non trouvé")</f>
        <v>CLI-01855</v>
      </c>
      <c r="L870">
        <f>_xlfn.XLOOKUP(_26_03_2026_Log_Reseau_v15[[#This Row],[province RDC]],_26_03_2026_Client_Churn_v1[Province_Client],_26_03_2026_Client_Churn_v1[Anciennete_Mois],"non trouvé")</f>
        <v>101</v>
      </c>
      <c r="M870" t="str">
        <f>_xlfn.XLOOKUP(_26_03_2026_Log_Reseau_v15[[#This Row],[province RDC]],_26_03_2026_Client_Churn_v1[Province_Client],_26_03_2026_Client_Churn_v1[Type_Forfait],"non trouvé")</f>
        <v>Illimité 50Go</v>
      </c>
      <c r="N870">
        <f>_xlfn.XLOOKUP(_26_03_2026_Log_Reseau_v15[[#This Row],[province RDC]],_26_03_2026_Client_Churn_v1[Province_Client],_26_03_2026_Client_Churn_v1[Duree_Cumulee_Panne_Min],"non trouvé")</f>
        <v>358</v>
      </c>
      <c r="O870">
        <f>_xlfn.XLOOKUP(_26_03_2026_Log_Reseau_v15[[#This Row],[province RDC]],_26_03_2026_Client_Churn_v1[Province_Client],_26_03_2026_Client_Churn_v1[Facture_Mensuelle],"non trouvé")</f>
        <v>29.24</v>
      </c>
      <c r="P870">
        <f>_xlfn.XLOOKUP(_26_03_2026_Log_Reseau_v15[[#This Row],[province RDC]],_26_03_2026_Client_Churn_v1[Province_Client],_26_03_2026_Client_Churn_v1[Plaintes_Service_Client],"non trouvé")</f>
        <v>3</v>
      </c>
    </row>
    <row r="871" spans="1:16" x14ac:dyDescent="0.25">
      <c r="A871" s="1">
        <v>45200</v>
      </c>
      <c r="B871" s="2">
        <v>0.49305555555555558</v>
      </c>
      <c r="C871" t="s">
        <v>1344</v>
      </c>
      <c r="D871">
        <v>113</v>
      </c>
      <c r="E871" t="s">
        <v>807</v>
      </c>
      <c r="F871" t="str">
        <f>_xlfn.XLOOKUP(_26_03_2026_Log_Reseau_v15[[#This Row],[Cell_ID]],_26_03_2026_Registre_Maintenance_v1[ID_Antenne],_26_03_2026_Registre_Maintenance_v1[zone],"pas trouvé")</f>
        <v>Sud-Kivu</v>
      </c>
      <c r="G871">
        <f>_xlfn.XLOOKUP(_26_03_2026_Log_Reseau_v15[[#This Row],[Cell_ID]],_26_03_2026_Registre_Maintenance_v1[ID_Antenne],_26_03_2026_Registre_Maintenance_v1[Latitude],"non trouvé")</f>
        <v>-1.5419050000000001</v>
      </c>
      <c r="H871">
        <f>_xlfn.XLOOKUP(_26_03_2026_Log_Reseau_v15[[#This Row],[Cell_ID]],_26_03_2026_Registre_Maintenance_v1[ID_Antenne],_26_03_2026_Registre_Maintenance_v1[Longitude],"pas trouvé")</f>
        <v>14.730632999999999</v>
      </c>
      <c r="I871" t="str">
        <f>_xlfn.XLOOKUP(_26_03_2026_Log_Reseau_v15[[#This Row],[Cell_ID]],_26_03_2026_Registre_Maintenance_v1[ID_Antenne],_26_03_2026_Registre_Maintenance_v1[Technologie],"non trouvé")</f>
        <v>3G</v>
      </c>
      <c r="J871" t="str">
        <f>_xlfn.XLOOKUP(_26_03_2026_Log_Reseau_v15[[#This Row],[Cell_ID]],_26_03_2026_Registre_Maintenance_v1[ID_Antenne],_26_03_2026_Registre_Maintenance_v1[Equipementier],"pas trouvé")</f>
        <v>ZTE</v>
      </c>
      <c r="K871" t="str">
        <f>_xlfn.XLOOKUP(_26_03_2026_Log_Reseau_v15[[#This Row],[province RDC]],_26_03_2026_Client_Churn_v1[Province_Client],_26_03_2026_Client_Churn_v1[ID_Client],"non trouvé")</f>
        <v>CLI-01855</v>
      </c>
      <c r="L871">
        <f>_xlfn.XLOOKUP(_26_03_2026_Log_Reseau_v15[[#This Row],[province RDC]],_26_03_2026_Client_Churn_v1[Province_Client],_26_03_2026_Client_Churn_v1[Anciennete_Mois],"non trouvé")</f>
        <v>101</v>
      </c>
      <c r="M871" t="str">
        <f>_xlfn.XLOOKUP(_26_03_2026_Log_Reseau_v15[[#This Row],[province RDC]],_26_03_2026_Client_Churn_v1[Province_Client],_26_03_2026_Client_Churn_v1[Type_Forfait],"non trouvé")</f>
        <v>Illimité 50Go</v>
      </c>
      <c r="N871">
        <f>_xlfn.XLOOKUP(_26_03_2026_Log_Reseau_v15[[#This Row],[province RDC]],_26_03_2026_Client_Churn_v1[Province_Client],_26_03_2026_Client_Churn_v1[Duree_Cumulee_Panne_Min],"non trouvé")</f>
        <v>358</v>
      </c>
      <c r="O871">
        <f>_xlfn.XLOOKUP(_26_03_2026_Log_Reseau_v15[[#This Row],[province RDC]],_26_03_2026_Client_Churn_v1[Province_Client],_26_03_2026_Client_Churn_v1[Facture_Mensuelle],"non trouvé")</f>
        <v>29.24</v>
      </c>
      <c r="P871">
        <f>_xlfn.XLOOKUP(_26_03_2026_Log_Reseau_v15[[#This Row],[province RDC]],_26_03_2026_Client_Churn_v1[Province_Client],_26_03_2026_Client_Churn_v1[Plaintes_Service_Client],"non trouvé")</f>
        <v>3</v>
      </c>
    </row>
    <row r="872" spans="1:16" hidden="1" x14ac:dyDescent="0.25">
      <c r="A872" s="1">
        <v>45211</v>
      </c>
      <c r="B872" s="2">
        <v>0.7055555555555556</v>
      </c>
      <c r="C872" t="s">
        <v>1345</v>
      </c>
      <c r="D872">
        <v>95</v>
      </c>
      <c r="E872" t="s">
        <v>808</v>
      </c>
      <c r="F872" t="str">
        <f>_xlfn.XLOOKUP(_26_03_2026_Log_Reseau_v15[[#This Row],[Cell_ID]],_26_03_2026_Registre_Maintenance_v1[ID_Antenne],_26_03_2026_Registre_Maintenance_v1[zone],"pas trouvé")</f>
        <v>pas trouvé</v>
      </c>
      <c r="G872" t="str">
        <f>_xlfn.XLOOKUP(_26_03_2026_Log_Reseau_v15[[#This Row],[Cell_ID]],_26_03_2026_Registre_Maintenance_v1[ID_Antenne],_26_03_2026_Registre_Maintenance_v1[Latitude],"non trouvé")</f>
        <v>non trouvé</v>
      </c>
      <c r="H872" t="str">
        <f>_xlfn.XLOOKUP(_26_03_2026_Log_Reseau_v15[[#This Row],[Cell_ID]],_26_03_2026_Registre_Maintenance_v1[ID_Antenne],_26_03_2026_Registre_Maintenance_v1[Longitude],"pas trouvé")</f>
        <v>pas trouvé</v>
      </c>
      <c r="I872" t="str">
        <f>_xlfn.XLOOKUP(_26_03_2026_Log_Reseau_v15[[#This Row],[Cell_ID]],_26_03_2026_Registre_Maintenance_v1[ID_Antenne],_26_03_2026_Registre_Maintenance_v1[Technologie],"non trouvé")</f>
        <v>non trouvé</v>
      </c>
      <c r="J872" t="str">
        <f>_xlfn.XLOOKUP(_26_03_2026_Log_Reseau_v15[[#This Row],[Cell_ID]],_26_03_2026_Registre_Maintenance_v1[ID_Antenne],_26_03_2026_Registre_Maintenance_v1[Equipementier],"pas trouvé")</f>
        <v>pas trouvé</v>
      </c>
      <c r="K872" t="str">
        <f>_xlfn.XLOOKUP(_26_03_2026_Log_Reseau_v15[[#This Row],[province RDC]],_26_03_2026_Client_Churn_v1[Province_Client],_26_03_2026_Client_Churn_v1[ID_Client],"non trouvé")</f>
        <v>non trouvé</v>
      </c>
      <c r="L872" t="str">
        <f>_xlfn.XLOOKUP(_26_03_2026_Log_Reseau_v15[[#This Row],[province RDC]],_26_03_2026_Client_Churn_v1[Province_Client],_26_03_2026_Client_Churn_v1[Anciennete_Mois],"non trouvé")</f>
        <v>non trouvé</v>
      </c>
      <c r="M872" t="str">
        <f>_xlfn.XLOOKUP(_26_03_2026_Log_Reseau_v15[[#This Row],[province RDC]],_26_03_2026_Client_Churn_v1[Province_Client],_26_03_2026_Client_Churn_v1[Type_Forfait],"non trouvé")</f>
        <v>non trouvé</v>
      </c>
      <c r="N872" t="str">
        <f>_xlfn.XLOOKUP(_26_03_2026_Log_Reseau_v15[[#This Row],[province RDC]],_26_03_2026_Client_Churn_v1[Province_Client],_26_03_2026_Client_Churn_v1[Duree_Cumulee_Panne_Min],"non trouvé")</f>
        <v>non trouvé</v>
      </c>
      <c r="O872" t="str">
        <f>_xlfn.XLOOKUP(_26_03_2026_Log_Reseau_v15[[#This Row],[province RDC]],_26_03_2026_Client_Churn_v1[Province_Client],_26_03_2026_Client_Churn_v1[Facture_Mensuelle],"non trouvé")</f>
        <v>non trouvé</v>
      </c>
      <c r="P872" t="str">
        <f>_xlfn.XLOOKUP(_26_03_2026_Log_Reseau_v15[[#This Row],[province RDC]],_26_03_2026_Client_Churn_v1[Province_Client],_26_03_2026_Client_Churn_v1[Plaintes_Service_Client],"non trouvé")</f>
        <v>non trouvé</v>
      </c>
    </row>
    <row r="873" spans="1:16" hidden="1" x14ac:dyDescent="0.25">
      <c r="A873" s="1">
        <v>45207</v>
      </c>
      <c r="B873" s="2">
        <v>0.7729166666666667</v>
      </c>
      <c r="C873" t="s">
        <v>1345</v>
      </c>
      <c r="D873">
        <v>55</v>
      </c>
      <c r="E873" t="s">
        <v>808</v>
      </c>
      <c r="F873" t="str">
        <f>_xlfn.XLOOKUP(_26_03_2026_Log_Reseau_v15[[#This Row],[Cell_ID]],_26_03_2026_Registre_Maintenance_v1[ID_Antenne],_26_03_2026_Registre_Maintenance_v1[zone],"pas trouvé")</f>
        <v>pas trouvé</v>
      </c>
      <c r="G873" t="str">
        <f>_xlfn.XLOOKUP(_26_03_2026_Log_Reseau_v15[[#This Row],[Cell_ID]],_26_03_2026_Registre_Maintenance_v1[ID_Antenne],_26_03_2026_Registre_Maintenance_v1[Latitude],"non trouvé")</f>
        <v>non trouvé</v>
      </c>
      <c r="H873" t="str">
        <f>_xlfn.XLOOKUP(_26_03_2026_Log_Reseau_v15[[#This Row],[Cell_ID]],_26_03_2026_Registre_Maintenance_v1[ID_Antenne],_26_03_2026_Registre_Maintenance_v1[Longitude],"pas trouvé")</f>
        <v>pas trouvé</v>
      </c>
      <c r="I873" t="str">
        <f>_xlfn.XLOOKUP(_26_03_2026_Log_Reseau_v15[[#This Row],[Cell_ID]],_26_03_2026_Registre_Maintenance_v1[ID_Antenne],_26_03_2026_Registre_Maintenance_v1[Technologie],"non trouvé")</f>
        <v>non trouvé</v>
      </c>
      <c r="J873" t="str">
        <f>_xlfn.XLOOKUP(_26_03_2026_Log_Reseau_v15[[#This Row],[Cell_ID]],_26_03_2026_Registre_Maintenance_v1[ID_Antenne],_26_03_2026_Registre_Maintenance_v1[Equipementier],"pas trouvé")</f>
        <v>pas trouvé</v>
      </c>
      <c r="K873" t="str">
        <f>_xlfn.XLOOKUP(_26_03_2026_Log_Reseau_v15[[#This Row],[province RDC]],_26_03_2026_Client_Churn_v1[Province_Client],_26_03_2026_Client_Churn_v1[ID_Client],"non trouvé")</f>
        <v>non trouvé</v>
      </c>
      <c r="L873" t="str">
        <f>_xlfn.XLOOKUP(_26_03_2026_Log_Reseau_v15[[#This Row],[province RDC]],_26_03_2026_Client_Churn_v1[Province_Client],_26_03_2026_Client_Churn_v1[Anciennete_Mois],"non trouvé")</f>
        <v>non trouvé</v>
      </c>
      <c r="M873" t="str">
        <f>_xlfn.XLOOKUP(_26_03_2026_Log_Reseau_v15[[#This Row],[province RDC]],_26_03_2026_Client_Churn_v1[Province_Client],_26_03_2026_Client_Churn_v1[Type_Forfait],"non trouvé")</f>
        <v>non trouvé</v>
      </c>
      <c r="N873" t="str">
        <f>_xlfn.XLOOKUP(_26_03_2026_Log_Reseau_v15[[#This Row],[province RDC]],_26_03_2026_Client_Churn_v1[Province_Client],_26_03_2026_Client_Churn_v1[Duree_Cumulee_Panne_Min],"non trouvé")</f>
        <v>non trouvé</v>
      </c>
      <c r="O873" t="str">
        <f>_xlfn.XLOOKUP(_26_03_2026_Log_Reseau_v15[[#This Row],[province RDC]],_26_03_2026_Client_Churn_v1[Province_Client],_26_03_2026_Client_Churn_v1[Facture_Mensuelle],"non trouvé")</f>
        <v>non trouvé</v>
      </c>
      <c r="P873" t="str">
        <f>_xlfn.XLOOKUP(_26_03_2026_Log_Reseau_v15[[#This Row],[province RDC]],_26_03_2026_Client_Churn_v1[Province_Client],_26_03_2026_Client_Churn_v1[Plaintes_Service_Client],"non trouvé")</f>
        <v>non trouvé</v>
      </c>
    </row>
    <row r="874" spans="1:16" hidden="1" x14ac:dyDescent="0.25">
      <c r="A874" s="1">
        <v>45205</v>
      </c>
      <c r="B874" s="2">
        <v>0.89166666666666672</v>
      </c>
      <c r="C874" t="s">
        <v>1345</v>
      </c>
      <c r="D874">
        <v>45</v>
      </c>
      <c r="E874" t="s">
        <v>808</v>
      </c>
      <c r="F874" t="str">
        <f>_xlfn.XLOOKUP(_26_03_2026_Log_Reseau_v15[[#This Row],[Cell_ID]],_26_03_2026_Registre_Maintenance_v1[ID_Antenne],_26_03_2026_Registre_Maintenance_v1[zone],"pas trouvé")</f>
        <v>pas trouvé</v>
      </c>
      <c r="G874" t="str">
        <f>_xlfn.XLOOKUP(_26_03_2026_Log_Reseau_v15[[#This Row],[Cell_ID]],_26_03_2026_Registre_Maintenance_v1[ID_Antenne],_26_03_2026_Registre_Maintenance_v1[Latitude],"non trouvé")</f>
        <v>non trouvé</v>
      </c>
      <c r="H874" t="str">
        <f>_xlfn.XLOOKUP(_26_03_2026_Log_Reseau_v15[[#This Row],[Cell_ID]],_26_03_2026_Registre_Maintenance_v1[ID_Antenne],_26_03_2026_Registre_Maintenance_v1[Longitude],"pas trouvé")</f>
        <v>pas trouvé</v>
      </c>
      <c r="I874" t="str">
        <f>_xlfn.XLOOKUP(_26_03_2026_Log_Reseau_v15[[#This Row],[Cell_ID]],_26_03_2026_Registre_Maintenance_v1[ID_Antenne],_26_03_2026_Registre_Maintenance_v1[Technologie],"non trouvé")</f>
        <v>non trouvé</v>
      </c>
      <c r="J874" t="str">
        <f>_xlfn.XLOOKUP(_26_03_2026_Log_Reseau_v15[[#This Row],[Cell_ID]],_26_03_2026_Registre_Maintenance_v1[ID_Antenne],_26_03_2026_Registre_Maintenance_v1[Equipementier],"pas trouvé")</f>
        <v>pas trouvé</v>
      </c>
      <c r="K874" t="str">
        <f>_xlfn.XLOOKUP(_26_03_2026_Log_Reseau_v15[[#This Row],[province RDC]],_26_03_2026_Client_Churn_v1[Province_Client],_26_03_2026_Client_Churn_v1[ID_Client],"non trouvé")</f>
        <v>non trouvé</v>
      </c>
      <c r="L874" t="str">
        <f>_xlfn.XLOOKUP(_26_03_2026_Log_Reseau_v15[[#This Row],[province RDC]],_26_03_2026_Client_Churn_v1[Province_Client],_26_03_2026_Client_Churn_v1[Anciennete_Mois],"non trouvé")</f>
        <v>non trouvé</v>
      </c>
      <c r="M874" t="str">
        <f>_xlfn.XLOOKUP(_26_03_2026_Log_Reseau_v15[[#This Row],[province RDC]],_26_03_2026_Client_Churn_v1[Province_Client],_26_03_2026_Client_Churn_v1[Type_Forfait],"non trouvé")</f>
        <v>non trouvé</v>
      </c>
      <c r="N874" t="str">
        <f>_xlfn.XLOOKUP(_26_03_2026_Log_Reseau_v15[[#This Row],[province RDC]],_26_03_2026_Client_Churn_v1[Province_Client],_26_03_2026_Client_Churn_v1[Duree_Cumulee_Panne_Min],"non trouvé")</f>
        <v>non trouvé</v>
      </c>
      <c r="O874" t="str">
        <f>_xlfn.XLOOKUP(_26_03_2026_Log_Reseau_v15[[#This Row],[province RDC]],_26_03_2026_Client_Churn_v1[Province_Client],_26_03_2026_Client_Churn_v1[Facture_Mensuelle],"non trouvé")</f>
        <v>non trouvé</v>
      </c>
      <c r="P874" t="str">
        <f>_xlfn.XLOOKUP(_26_03_2026_Log_Reseau_v15[[#This Row],[province RDC]],_26_03_2026_Client_Churn_v1[Province_Client],_26_03_2026_Client_Churn_v1[Plaintes_Service_Client],"non trouvé")</f>
        <v>non trouvé</v>
      </c>
    </row>
    <row r="875" spans="1:16" hidden="1" x14ac:dyDescent="0.25">
      <c r="A875" s="1">
        <v>45203</v>
      </c>
      <c r="B875" s="2">
        <v>3.472222222222222E-3</v>
      </c>
      <c r="C875" t="s">
        <v>1346</v>
      </c>
      <c r="D875">
        <v>46</v>
      </c>
      <c r="E875" t="s">
        <v>808</v>
      </c>
      <c r="F875" t="str">
        <f>_xlfn.XLOOKUP(_26_03_2026_Log_Reseau_v15[[#This Row],[Cell_ID]],_26_03_2026_Registre_Maintenance_v1[ID_Antenne],_26_03_2026_Registre_Maintenance_v1[zone],"pas trouvé")</f>
        <v>pas trouvé</v>
      </c>
      <c r="G875" t="str">
        <f>_xlfn.XLOOKUP(_26_03_2026_Log_Reseau_v15[[#This Row],[Cell_ID]],_26_03_2026_Registre_Maintenance_v1[ID_Antenne],_26_03_2026_Registre_Maintenance_v1[Latitude],"non trouvé")</f>
        <v>non trouvé</v>
      </c>
      <c r="H875" t="str">
        <f>_xlfn.XLOOKUP(_26_03_2026_Log_Reseau_v15[[#This Row],[Cell_ID]],_26_03_2026_Registre_Maintenance_v1[ID_Antenne],_26_03_2026_Registre_Maintenance_v1[Longitude],"pas trouvé")</f>
        <v>pas trouvé</v>
      </c>
      <c r="I875" t="str">
        <f>_xlfn.XLOOKUP(_26_03_2026_Log_Reseau_v15[[#This Row],[Cell_ID]],_26_03_2026_Registre_Maintenance_v1[ID_Antenne],_26_03_2026_Registre_Maintenance_v1[Technologie],"non trouvé")</f>
        <v>non trouvé</v>
      </c>
      <c r="J875" t="str">
        <f>_xlfn.XLOOKUP(_26_03_2026_Log_Reseau_v15[[#This Row],[Cell_ID]],_26_03_2026_Registre_Maintenance_v1[ID_Antenne],_26_03_2026_Registre_Maintenance_v1[Equipementier],"pas trouvé")</f>
        <v>pas trouvé</v>
      </c>
      <c r="K875" t="str">
        <f>_xlfn.XLOOKUP(_26_03_2026_Log_Reseau_v15[[#This Row],[province RDC]],_26_03_2026_Client_Churn_v1[Province_Client],_26_03_2026_Client_Churn_v1[ID_Client],"non trouvé")</f>
        <v>non trouvé</v>
      </c>
      <c r="L875" t="str">
        <f>_xlfn.XLOOKUP(_26_03_2026_Log_Reseau_v15[[#This Row],[province RDC]],_26_03_2026_Client_Churn_v1[Province_Client],_26_03_2026_Client_Churn_v1[Anciennete_Mois],"non trouvé")</f>
        <v>non trouvé</v>
      </c>
      <c r="M875" t="str">
        <f>_xlfn.XLOOKUP(_26_03_2026_Log_Reseau_v15[[#This Row],[province RDC]],_26_03_2026_Client_Churn_v1[Province_Client],_26_03_2026_Client_Churn_v1[Type_Forfait],"non trouvé")</f>
        <v>non trouvé</v>
      </c>
      <c r="N875" t="str">
        <f>_xlfn.XLOOKUP(_26_03_2026_Log_Reseau_v15[[#This Row],[province RDC]],_26_03_2026_Client_Churn_v1[Province_Client],_26_03_2026_Client_Churn_v1[Duree_Cumulee_Panne_Min],"non trouvé")</f>
        <v>non trouvé</v>
      </c>
      <c r="O875" t="str">
        <f>_xlfn.XLOOKUP(_26_03_2026_Log_Reseau_v15[[#This Row],[province RDC]],_26_03_2026_Client_Churn_v1[Province_Client],_26_03_2026_Client_Churn_v1[Facture_Mensuelle],"non trouvé")</f>
        <v>non trouvé</v>
      </c>
      <c r="P875" t="str">
        <f>_xlfn.XLOOKUP(_26_03_2026_Log_Reseau_v15[[#This Row],[province RDC]],_26_03_2026_Client_Churn_v1[Province_Client],_26_03_2026_Client_Churn_v1[Plaintes_Service_Client],"non trouvé")</f>
        <v>non trouvé</v>
      </c>
    </row>
    <row r="876" spans="1:16" hidden="1" x14ac:dyDescent="0.25">
      <c r="A876" s="1">
        <v>45210</v>
      </c>
      <c r="B876" s="2">
        <v>0.80277777777777781</v>
      </c>
      <c r="C876" t="s">
        <v>1347</v>
      </c>
      <c r="D876">
        <v>9</v>
      </c>
      <c r="E876" t="s">
        <v>808</v>
      </c>
      <c r="F876" t="str">
        <f>_xlfn.XLOOKUP(_26_03_2026_Log_Reseau_v15[[#This Row],[Cell_ID]],_26_03_2026_Registre_Maintenance_v1[ID_Antenne],_26_03_2026_Registre_Maintenance_v1[zone],"pas trouvé")</f>
        <v>pas trouvé</v>
      </c>
      <c r="G876" t="str">
        <f>_xlfn.XLOOKUP(_26_03_2026_Log_Reseau_v15[[#This Row],[Cell_ID]],_26_03_2026_Registre_Maintenance_v1[ID_Antenne],_26_03_2026_Registre_Maintenance_v1[Latitude],"non trouvé")</f>
        <v>non trouvé</v>
      </c>
      <c r="H876" t="str">
        <f>_xlfn.XLOOKUP(_26_03_2026_Log_Reseau_v15[[#This Row],[Cell_ID]],_26_03_2026_Registre_Maintenance_v1[ID_Antenne],_26_03_2026_Registre_Maintenance_v1[Longitude],"pas trouvé")</f>
        <v>pas trouvé</v>
      </c>
      <c r="I876" t="str">
        <f>_xlfn.XLOOKUP(_26_03_2026_Log_Reseau_v15[[#This Row],[Cell_ID]],_26_03_2026_Registre_Maintenance_v1[ID_Antenne],_26_03_2026_Registre_Maintenance_v1[Technologie],"non trouvé")</f>
        <v>non trouvé</v>
      </c>
      <c r="J876" t="str">
        <f>_xlfn.XLOOKUP(_26_03_2026_Log_Reseau_v15[[#This Row],[Cell_ID]],_26_03_2026_Registre_Maintenance_v1[ID_Antenne],_26_03_2026_Registre_Maintenance_v1[Equipementier],"pas trouvé")</f>
        <v>pas trouvé</v>
      </c>
      <c r="K876" t="str">
        <f>_xlfn.XLOOKUP(_26_03_2026_Log_Reseau_v15[[#This Row],[province RDC]],_26_03_2026_Client_Churn_v1[Province_Client],_26_03_2026_Client_Churn_v1[ID_Client],"non trouvé")</f>
        <v>non trouvé</v>
      </c>
      <c r="L876" t="str">
        <f>_xlfn.XLOOKUP(_26_03_2026_Log_Reseau_v15[[#This Row],[province RDC]],_26_03_2026_Client_Churn_v1[Province_Client],_26_03_2026_Client_Churn_v1[Anciennete_Mois],"non trouvé")</f>
        <v>non trouvé</v>
      </c>
      <c r="M876" t="str">
        <f>_xlfn.XLOOKUP(_26_03_2026_Log_Reseau_v15[[#This Row],[province RDC]],_26_03_2026_Client_Churn_v1[Province_Client],_26_03_2026_Client_Churn_v1[Type_Forfait],"non trouvé")</f>
        <v>non trouvé</v>
      </c>
      <c r="N876" t="str">
        <f>_xlfn.XLOOKUP(_26_03_2026_Log_Reseau_v15[[#This Row],[province RDC]],_26_03_2026_Client_Churn_v1[Province_Client],_26_03_2026_Client_Churn_v1[Duree_Cumulee_Panne_Min],"non trouvé")</f>
        <v>non trouvé</v>
      </c>
      <c r="O876" t="str">
        <f>_xlfn.XLOOKUP(_26_03_2026_Log_Reseau_v15[[#This Row],[province RDC]],_26_03_2026_Client_Churn_v1[Province_Client],_26_03_2026_Client_Churn_v1[Facture_Mensuelle],"non trouvé")</f>
        <v>non trouvé</v>
      </c>
      <c r="P876" t="str">
        <f>_xlfn.XLOOKUP(_26_03_2026_Log_Reseau_v15[[#This Row],[province RDC]],_26_03_2026_Client_Churn_v1[Province_Client],_26_03_2026_Client_Churn_v1[Plaintes_Service_Client],"non trouvé")</f>
        <v>non trouvé</v>
      </c>
    </row>
    <row r="877" spans="1:16" hidden="1" x14ac:dyDescent="0.25">
      <c r="A877" s="1">
        <v>45221</v>
      </c>
      <c r="B877" s="2">
        <v>0.57847222222222228</v>
      </c>
      <c r="C877" t="s">
        <v>1347</v>
      </c>
      <c r="D877">
        <v>76</v>
      </c>
      <c r="E877" t="s">
        <v>812</v>
      </c>
      <c r="F877" t="str">
        <f>_xlfn.XLOOKUP(_26_03_2026_Log_Reseau_v15[[#This Row],[Cell_ID]],_26_03_2026_Registre_Maintenance_v1[ID_Antenne],_26_03_2026_Registre_Maintenance_v1[zone],"pas trouvé")</f>
        <v>pas trouvé</v>
      </c>
      <c r="G877" t="str">
        <f>_xlfn.XLOOKUP(_26_03_2026_Log_Reseau_v15[[#This Row],[Cell_ID]],_26_03_2026_Registre_Maintenance_v1[ID_Antenne],_26_03_2026_Registre_Maintenance_v1[Latitude],"non trouvé")</f>
        <v>non trouvé</v>
      </c>
      <c r="H877" t="str">
        <f>_xlfn.XLOOKUP(_26_03_2026_Log_Reseau_v15[[#This Row],[Cell_ID]],_26_03_2026_Registre_Maintenance_v1[ID_Antenne],_26_03_2026_Registre_Maintenance_v1[Longitude],"pas trouvé")</f>
        <v>pas trouvé</v>
      </c>
      <c r="I877" t="str">
        <f>_xlfn.XLOOKUP(_26_03_2026_Log_Reseau_v15[[#This Row],[Cell_ID]],_26_03_2026_Registre_Maintenance_v1[ID_Antenne],_26_03_2026_Registre_Maintenance_v1[Technologie],"non trouvé")</f>
        <v>non trouvé</v>
      </c>
      <c r="J877" t="str">
        <f>_xlfn.XLOOKUP(_26_03_2026_Log_Reseau_v15[[#This Row],[Cell_ID]],_26_03_2026_Registre_Maintenance_v1[ID_Antenne],_26_03_2026_Registre_Maintenance_v1[Equipementier],"pas trouvé")</f>
        <v>pas trouvé</v>
      </c>
      <c r="K877" t="str">
        <f>_xlfn.XLOOKUP(_26_03_2026_Log_Reseau_v15[[#This Row],[province RDC]],_26_03_2026_Client_Churn_v1[Province_Client],_26_03_2026_Client_Churn_v1[ID_Client],"non trouvé")</f>
        <v>non trouvé</v>
      </c>
      <c r="L877" t="str">
        <f>_xlfn.XLOOKUP(_26_03_2026_Log_Reseau_v15[[#This Row],[province RDC]],_26_03_2026_Client_Churn_v1[Province_Client],_26_03_2026_Client_Churn_v1[Anciennete_Mois],"non trouvé")</f>
        <v>non trouvé</v>
      </c>
      <c r="M877" t="str">
        <f>_xlfn.XLOOKUP(_26_03_2026_Log_Reseau_v15[[#This Row],[province RDC]],_26_03_2026_Client_Churn_v1[Province_Client],_26_03_2026_Client_Churn_v1[Type_Forfait],"non trouvé")</f>
        <v>non trouvé</v>
      </c>
      <c r="N877" t="str">
        <f>_xlfn.XLOOKUP(_26_03_2026_Log_Reseau_v15[[#This Row],[province RDC]],_26_03_2026_Client_Churn_v1[Province_Client],_26_03_2026_Client_Churn_v1[Duree_Cumulee_Panne_Min],"non trouvé")</f>
        <v>non trouvé</v>
      </c>
      <c r="O877" t="str">
        <f>_xlfn.XLOOKUP(_26_03_2026_Log_Reseau_v15[[#This Row],[province RDC]],_26_03_2026_Client_Churn_v1[Province_Client],_26_03_2026_Client_Churn_v1[Facture_Mensuelle],"non trouvé")</f>
        <v>non trouvé</v>
      </c>
      <c r="P877" t="str">
        <f>_xlfn.XLOOKUP(_26_03_2026_Log_Reseau_v15[[#This Row],[province RDC]],_26_03_2026_Client_Churn_v1[Province_Client],_26_03_2026_Client_Churn_v1[Plaintes_Service_Client],"non trouvé")</f>
        <v>non trouvé</v>
      </c>
    </row>
    <row r="878" spans="1:16" hidden="1" x14ac:dyDescent="0.25">
      <c r="A878" s="1">
        <v>45212</v>
      </c>
      <c r="B878" s="2">
        <v>0.77430555555555558</v>
      </c>
      <c r="C878" t="s">
        <v>1348</v>
      </c>
      <c r="D878">
        <v>33</v>
      </c>
      <c r="E878" t="s">
        <v>807</v>
      </c>
      <c r="F878" t="str">
        <f>_xlfn.XLOOKUP(_26_03_2026_Log_Reseau_v15[[#This Row],[Cell_ID]],_26_03_2026_Registre_Maintenance_v1[ID_Antenne],_26_03_2026_Registre_Maintenance_v1[zone],"pas trouvé")</f>
        <v>pas trouvé</v>
      </c>
      <c r="G878" t="str">
        <f>_xlfn.XLOOKUP(_26_03_2026_Log_Reseau_v15[[#This Row],[Cell_ID]],_26_03_2026_Registre_Maintenance_v1[ID_Antenne],_26_03_2026_Registre_Maintenance_v1[Latitude],"non trouvé")</f>
        <v>non trouvé</v>
      </c>
      <c r="H878" t="str">
        <f>_xlfn.XLOOKUP(_26_03_2026_Log_Reseau_v15[[#This Row],[Cell_ID]],_26_03_2026_Registre_Maintenance_v1[ID_Antenne],_26_03_2026_Registre_Maintenance_v1[Longitude],"pas trouvé")</f>
        <v>pas trouvé</v>
      </c>
      <c r="I878" t="str">
        <f>_xlfn.XLOOKUP(_26_03_2026_Log_Reseau_v15[[#This Row],[Cell_ID]],_26_03_2026_Registre_Maintenance_v1[ID_Antenne],_26_03_2026_Registre_Maintenance_v1[Technologie],"non trouvé")</f>
        <v>non trouvé</v>
      </c>
      <c r="J878" t="str">
        <f>_xlfn.XLOOKUP(_26_03_2026_Log_Reseau_v15[[#This Row],[Cell_ID]],_26_03_2026_Registre_Maintenance_v1[ID_Antenne],_26_03_2026_Registre_Maintenance_v1[Equipementier],"pas trouvé")</f>
        <v>pas trouvé</v>
      </c>
      <c r="K878" t="str">
        <f>_xlfn.XLOOKUP(_26_03_2026_Log_Reseau_v15[[#This Row],[province RDC]],_26_03_2026_Client_Churn_v1[Province_Client],_26_03_2026_Client_Churn_v1[ID_Client],"non trouvé")</f>
        <v>non trouvé</v>
      </c>
      <c r="L878" t="str">
        <f>_xlfn.XLOOKUP(_26_03_2026_Log_Reseau_v15[[#This Row],[province RDC]],_26_03_2026_Client_Churn_v1[Province_Client],_26_03_2026_Client_Churn_v1[Anciennete_Mois],"non trouvé")</f>
        <v>non trouvé</v>
      </c>
      <c r="M878" t="str">
        <f>_xlfn.XLOOKUP(_26_03_2026_Log_Reseau_v15[[#This Row],[province RDC]],_26_03_2026_Client_Churn_v1[Province_Client],_26_03_2026_Client_Churn_v1[Type_Forfait],"non trouvé")</f>
        <v>non trouvé</v>
      </c>
      <c r="N878" t="str">
        <f>_xlfn.XLOOKUP(_26_03_2026_Log_Reseau_v15[[#This Row],[province RDC]],_26_03_2026_Client_Churn_v1[Province_Client],_26_03_2026_Client_Churn_v1[Duree_Cumulee_Panne_Min],"non trouvé")</f>
        <v>non trouvé</v>
      </c>
      <c r="O878" t="str">
        <f>_xlfn.XLOOKUP(_26_03_2026_Log_Reseau_v15[[#This Row],[province RDC]],_26_03_2026_Client_Churn_v1[Province_Client],_26_03_2026_Client_Churn_v1[Facture_Mensuelle],"non trouvé")</f>
        <v>non trouvé</v>
      </c>
      <c r="P878" t="str">
        <f>_xlfn.XLOOKUP(_26_03_2026_Log_Reseau_v15[[#This Row],[province RDC]],_26_03_2026_Client_Churn_v1[Province_Client],_26_03_2026_Client_Churn_v1[Plaintes_Service_Client],"non trouvé")</f>
        <v>non trouvé</v>
      </c>
    </row>
    <row r="879" spans="1:16" x14ac:dyDescent="0.25">
      <c r="A879" s="1">
        <v>45218</v>
      </c>
      <c r="B879" s="2">
        <v>0.9916666666666667</v>
      </c>
      <c r="C879" t="s">
        <v>1349</v>
      </c>
      <c r="D879">
        <v>82</v>
      </c>
      <c r="E879" t="s">
        <v>807</v>
      </c>
      <c r="F879" t="str">
        <f>_xlfn.XLOOKUP(_26_03_2026_Log_Reseau_v15[[#This Row],[Cell_ID]],_26_03_2026_Registre_Maintenance_v1[ID_Antenne],_26_03_2026_Registre_Maintenance_v1[zone],"pas trouvé")</f>
        <v>Ituri</v>
      </c>
      <c r="G879">
        <f>_xlfn.XLOOKUP(_26_03_2026_Log_Reseau_v15[[#This Row],[Cell_ID]],_26_03_2026_Registre_Maintenance_v1[ID_Antenne],_26_03_2026_Registre_Maintenance_v1[Latitude],"non trouvé")</f>
        <v>-3.7720639999999999</v>
      </c>
      <c r="H879">
        <f>_xlfn.XLOOKUP(_26_03_2026_Log_Reseau_v15[[#This Row],[Cell_ID]],_26_03_2026_Registre_Maintenance_v1[ID_Antenne],_26_03_2026_Registre_Maintenance_v1[Longitude],"pas trouvé")</f>
        <v>16.006277999999998</v>
      </c>
      <c r="I879" t="str">
        <f>_xlfn.XLOOKUP(_26_03_2026_Log_Reseau_v15[[#This Row],[Cell_ID]],_26_03_2026_Registre_Maintenance_v1[ID_Antenne],_26_03_2026_Registre_Maintenance_v1[Technologie],"non trouvé")</f>
        <v>5G</v>
      </c>
      <c r="J879" t="str">
        <f>_xlfn.XLOOKUP(_26_03_2026_Log_Reseau_v15[[#This Row],[Cell_ID]],_26_03_2026_Registre_Maintenance_v1[ID_Antenne],_26_03_2026_Registre_Maintenance_v1[Equipementier],"pas trouvé")</f>
        <v>ZTE</v>
      </c>
      <c r="K879" t="str">
        <f>_xlfn.XLOOKUP(_26_03_2026_Log_Reseau_v15[[#This Row],[province RDC]],_26_03_2026_Client_Churn_v1[Province_Client],_26_03_2026_Client_Churn_v1[ID_Client],"non trouvé")</f>
        <v>CLI-01147</v>
      </c>
      <c r="L879">
        <f>_xlfn.XLOOKUP(_26_03_2026_Log_Reseau_v15[[#This Row],[province RDC]],_26_03_2026_Client_Churn_v1[Province_Client],_26_03_2026_Client_Churn_v1[Anciennete_Mois],"non trouvé")</f>
        <v>29</v>
      </c>
      <c r="M879" t="str">
        <f>_xlfn.XLOOKUP(_26_03_2026_Log_Reseau_v15[[#This Row],[province RDC]],_26_03_2026_Client_Churn_v1[Province_Client],_26_03_2026_Client_Churn_v1[Type_Forfait],"non trouvé")</f>
        <v>Premium 5G 150Go</v>
      </c>
      <c r="N879">
        <f>_xlfn.XLOOKUP(_26_03_2026_Log_Reseau_v15[[#This Row],[province RDC]],_26_03_2026_Client_Churn_v1[Province_Client],_26_03_2026_Client_Churn_v1[Duree_Cumulee_Panne_Min],"non trouvé")</f>
        <v>214</v>
      </c>
      <c r="O879">
        <f>_xlfn.XLOOKUP(_26_03_2026_Log_Reseau_v15[[#This Row],[province RDC]],_26_03_2026_Client_Churn_v1[Province_Client],_26_03_2026_Client_Churn_v1[Facture_Mensuelle],"non trouvé")</f>
        <v>74.7</v>
      </c>
      <c r="P879">
        <f>_xlfn.XLOOKUP(_26_03_2026_Log_Reseau_v15[[#This Row],[province RDC]],_26_03_2026_Client_Churn_v1[Province_Client],_26_03_2026_Client_Churn_v1[Plaintes_Service_Client],"non trouvé")</f>
        <v>3</v>
      </c>
    </row>
    <row r="880" spans="1:16" x14ac:dyDescent="0.25">
      <c r="A880" s="1">
        <v>45227</v>
      </c>
      <c r="B880" s="2">
        <v>0.91527777777777775</v>
      </c>
      <c r="C880" t="s">
        <v>1349</v>
      </c>
      <c r="D880">
        <v>26</v>
      </c>
      <c r="E880" t="s">
        <v>808</v>
      </c>
      <c r="F880" t="str">
        <f>_xlfn.XLOOKUP(_26_03_2026_Log_Reseau_v15[[#This Row],[Cell_ID]],_26_03_2026_Registre_Maintenance_v1[ID_Antenne],_26_03_2026_Registre_Maintenance_v1[zone],"pas trouvé")</f>
        <v>Ituri</v>
      </c>
      <c r="G880">
        <f>_xlfn.XLOOKUP(_26_03_2026_Log_Reseau_v15[[#This Row],[Cell_ID]],_26_03_2026_Registre_Maintenance_v1[ID_Antenne],_26_03_2026_Registre_Maintenance_v1[Latitude],"non trouvé")</f>
        <v>-3.7720639999999999</v>
      </c>
      <c r="H880">
        <f>_xlfn.XLOOKUP(_26_03_2026_Log_Reseau_v15[[#This Row],[Cell_ID]],_26_03_2026_Registre_Maintenance_v1[ID_Antenne],_26_03_2026_Registre_Maintenance_v1[Longitude],"pas trouvé")</f>
        <v>16.006277999999998</v>
      </c>
      <c r="I880" t="str">
        <f>_xlfn.XLOOKUP(_26_03_2026_Log_Reseau_v15[[#This Row],[Cell_ID]],_26_03_2026_Registre_Maintenance_v1[ID_Antenne],_26_03_2026_Registre_Maintenance_v1[Technologie],"non trouvé")</f>
        <v>5G</v>
      </c>
      <c r="J880" t="str">
        <f>_xlfn.XLOOKUP(_26_03_2026_Log_Reseau_v15[[#This Row],[Cell_ID]],_26_03_2026_Registre_Maintenance_v1[ID_Antenne],_26_03_2026_Registre_Maintenance_v1[Equipementier],"pas trouvé")</f>
        <v>ZTE</v>
      </c>
      <c r="K880" t="str">
        <f>_xlfn.XLOOKUP(_26_03_2026_Log_Reseau_v15[[#This Row],[province RDC]],_26_03_2026_Client_Churn_v1[Province_Client],_26_03_2026_Client_Churn_v1[ID_Client],"non trouvé")</f>
        <v>CLI-01147</v>
      </c>
      <c r="L880">
        <f>_xlfn.XLOOKUP(_26_03_2026_Log_Reseau_v15[[#This Row],[province RDC]],_26_03_2026_Client_Churn_v1[Province_Client],_26_03_2026_Client_Churn_v1[Anciennete_Mois],"non trouvé")</f>
        <v>29</v>
      </c>
      <c r="M880" t="str">
        <f>_xlfn.XLOOKUP(_26_03_2026_Log_Reseau_v15[[#This Row],[province RDC]],_26_03_2026_Client_Churn_v1[Province_Client],_26_03_2026_Client_Churn_v1[Type_Forfait],"non trouvé")</f>
        <v>Premium 5G 150Go</v>
      </c>
      <c r="N880">
        <f>_xlfn.XLOOKUP(_26_03_2026_Log_Reseau_v15[[#This Row],[province RDC]],_26_03_2026_Client_Churn_v1[Province_Client],_26_03_2026_Client_Churn_v1[Duree_Cumulee_Panne_Min],"non trouvé")</f>
        <v>214</v>
      </c>
      <c r="O880">
        <f>_xlfn.XLOOKUP(_26_03_2026_Log_Reseau_v15[[#This Row],[province RDC]],_26_03_2026_Client_Churn_v1[Province_Client],_26_03_2026_Client_Churn_v1[Facture_Mensuelle],"non trouvé")</f>
        <v>74.7</v>
      </c>
      <c r="P880">
        <f>_xlfn.XLOOKUP(_26_03_2026_Log_Reseau_v15[[#This Row],[province RDC]],_26_03_2026_Client_Churn_v1[Province_Client],_26_03_2026_Client_Churn_v1[Plaintes_Service_Client],"non trouvé")</f>
        <v>3</v>
      </c>
    </row>
    <row r="881" spans="1:16" x14ac:dyDescent="0.25">
      <c r="A881" s="1">
        <v>45207</v>
      </c>
      <c r="B881" s="2">
        <v>0.57916666666666672</v>
      </c>
      <c r="C881" t="s">
        <v>1349</v>
      </c>
      <c r="D881">
        <v>68</v>
      </c>
      <c r="E881" t="s">
        <v>807</v>
      </c>
      <c r="F881" t="str">
        <f>_xlfn.XLOOKUP(_26_03_2026_Log_Reseau_v15[[#This Row],[Cell_ID]],_26_03_2026_Registre_Maintenance_v1[ID_Antenne],_26_03_2026_Registre_Maintenance_v1[zone],"pas trouvé")</f>
        <v>Ituri</v>
      </c>
      <c r="G881">
        <f>_xlfn.XLOOKUP(_26_03_2026_Log_Reseau_v15[[#This Row],[Cell_ID]],_26_03_2026_Registre_Maintenance_v1[ID_Antenne],_26_03_2026_Registre_Maintenance_v1[Latitude],"non trouvé")</f>
        <v>-3.7720639999999999</v>
      </c>
      <c r="H881">
        <f>_xlfn.XLOOKUP(_26_03_2026_Log_Reseau_v15[[#This Row],[Cell_ID]],_26_03_2026_Registre_Maintenance_v1[ID_Antenne],_26_03_2026_Registre_Maintenance_v1[Longitude],"pas trouvé")</f>
        <v>16.006277999999998</v>
      </c>
      <c r="I881" t="str">
        <f>_xlfn.XLOOKUP(_26_03_2026_Log_Reseau_v15[[#This Row],[Cell_ID]],_26_03_2026_Registre_Maintenance_v1[ID_Antenne],_26_03_2026_Registre_Maintenance_v1[Technologie],"non trouvé")</f>
        <v>5G</v>
      </c>
      <c r="J881" t="str">
        <f>_xlfn.XLOOKUP(_26_03_2026_Log_Reseau_v15[[#This Row],[Cell_ID]],_26_03_2026_Registre_Maintenance_v1[ID_Antenne],_26_03_2026_Registre_Maintenance_v1[Equipementier],"pas trouvé")</f>
        <v>ZTE</v>
      </c>
      <c r="K881" t="str">
        <f>_xlfn.XLOOKUP(_26_03_2026_Log_Reseau_v15[[#This Row],[province RDC]],_26_03_2026_Client_Churn_v1[Province_Client],_26_03_2026_Client_Churn_v1[ID_Client],"non trouvé")</f>
        <v>CLI-01147</v>
      </c>
      <c r="L881">
        <f>_xlfn.XLOOKUP(_26_03_2026_Log_Reseau_v15[[#This Row],[province RDC]],_26_03_2026_Client_Churn_v1[Province_Client],_26_03_2026_Client_Churn_v1[Anciennete_Mois],"non trouvé")</f>
        <v>29</v>
      </c>
      <c r="M881" t="str">
        <f>_xlfn.XLOOKUP(_26_03_2026_Log_Reseau_v15[[#This Row],[province RDC]],_26_03_2026_Client_Churn_v1[Province_Client],_26_03_2026_Client_Churn_v1[Type_Forfait],"non trouvé")</f>
        <v>Premium 5G 150Go</v>
      </c>
      <c r="N881">
        <f>_xlfn.XLOOKUP(_26_03_2026_Log_Reseau_v15[[#This Row],[province RDC]],_26_03_2026_Client_Churn_v1[Province_Client],_26_03_2026_Client_Churn_v1[Duree_Cumulee_Panne_Min],"non trouvé")</f>
        <v>214</v>
      </c>
      <c r="O881">
        <f>_xlfn.XLOOKUP(_26_03_2026_Log_Reseau_v15[[#This Row],[province RDC]],_26_03_2026_Client_Churn_v1[Province_Client],_26_03_2026_Client_Churn_v1[Facture_Mensuelle],"non trouvé")</f>
        <v>74.7</v>
      </c>
      <c r="P881">
        <f>_xlfn.XLOOKUP(_26_03_2026_Log_Reseau_v15[[#This Row],[province RDC]],_26_03_2026_Client_Churn_v1[Province_Client],_26_03_2026_Client_Churn_v1[Plaintes_Service_Client],"non trouvé")</f>
        <v>3</v>
      </c>
    </row>
    <row r="882" spans="1:16" hidden="1" x14ac:dyDescent="0.25">
      <c r="A882" s="1">
        <v>45218</v>
      </c>
      <c r="B882" s="2">
        <v>0.28749999999999998</v>
      </c>
      <c r="C882" t="s">
        <v>1350</v>
      </c>
      <c r="D882">
        <v>71</v>
      </c>
      <c r="E882" t="s">
        <v>812</v>
      </c>
      <c r="F882" t="str">
        <f>_xlfn.XLOOKUP(_26_03_2026_Log_Reseau_v15[[#This Row],[Cell_ID]],_26_03_2026_Registre_Maintenance_v1[ID_Antenne],_26_03_2026_Registre_Maintenance_v1[zone],"pas trouvé")</f>
        <v>pas trouvé</v>
      </c>
      <c r="G882" t="str">
        <f>_xlfn.XLOOKUP(_26_03_2026_Log_Reseau_v15[[#This Row],[Cell_ID]],_26_03_2026_Registre_Maintenance_v1[ID_Antenne],_26_03_2026_Registre_Maintenance_v1[Latitude],"non trouvé")</f>
        <v>non trouvé</v>
      </c>
      <c r="H882" t="str">
        <f>_xlfn.XLOOKUP(_26_03_2026_Log_Reseau_v15[[#This Row],[Cell_ID]],_26_03_2026_Registre_Maintenance_v1[ID_Antenne],_26_03_2026_Registre_Maintenance_v1[Longitude],"pas trouvé")</f>
        <v>pas trouvé</v>
      </c>
      <c r="I882" t="str">
        <f>_xlfn.XLOOKUP(_26_03_2026_Log_Reseau_v15[[#This Row],[Cell_ID]],_26_03_2026_Registre_Maintenance_v1[ID_Antenne],_26_03_2026_Registre_Maintenance_v1[Technologie],"non trouvé")</f>
        <v>non trouvé</v>
      </c>
      <c r="J882" t="str">
        <f>_xlfn.XLOOKUP(_26_03_2026_Log_Reseau_v15[[#This Row],[Cell_ID]],_26_03_2026_Registre_Maintenance_v1[ID_Antenne],_26_03_2026_Registre_Maintenance_v1[Equipementier],"pas trouvé")</f>
        <v>pas trouvé</v>
      </c>
      <c r="K882" t="str">
        <f>_xlfn.XLOOKUP(_26_03_2026_Log_Reseau_v15[[#This Row],[province RDC]],_26_03_2026_Client_Churn_v1[Province_Client],_26_03_2026_Client_Churn_v1[ID_Client],"non trouvé")</f>
        <v>non trouvé</v>
      </c>
      <c r="L882" t="str">
        <f>_xlfn.XLOOKUP(_26_03_2026_Log_Reseau_v15[[#This Row],[province RDC]],_26_03_2026_Client_Churn_v1[Province_Client],_26_03_2026_Client_Churn_v1[Anciennete_Mois],"non trouvé")</f>
        <v>non trouvé</v>
      </c>
      <c r="M882" t="str">
        <f>_xlfn.XLOOKUP(_26_03_2026_Log_Reseau_v15[[#This Row],[province RDC]],_26_03_2026_Client_Churn_v1[Province_Client],_26_03_2026_Client_Churn_v1[Type_Forfait],"non trouvé")</f>
        <v>non trouvé</v>
      </c>
      <c r="N882" t="str">
        <f>_xlfn.XLOOKUP(_26_03_2026_Log_Reseau_v15[[#This Row],[province RDC]],_26_03_2026_Client_Churn_v1[Province_Client],_26_03_2026_Client_Churn_v1[Duree_Cumulee_Panne_Min],"non trouvé")</f>
        <v>non trouvé</v>
      </c>
      <c r="O882" t="str">
        <f>_xlfn.XLOOKUP(_26_03_2026_Log_Reseau_v15[[#This Row],[province RDC]],_26_03_2026_Client_Churn_v1[Province_Client],_26_03_2026_Client_Churn_v1[Facture_Mensuelle],"non trouvé")</f>
        <v>non trouvé</v>
      </c>
      <c r="P882" t="str">
        <f>_xlfn.XLOOKUP(_26_03_2026_Log_Reseau_v15[[#This Row],[province RDC]],_26_03_2026_Client_Churn_v1[Province_Client],_26_03_2026_Client_Churn_v1[Plaintes_Service_Client],"non trouvé")</f>
        <v>non trouvé</v>
      </c>
    </row>
    <row r="883" spans="1:16" x14ac:dyDescent="0.25">
      <c r="A883" s="1">
        <v>45214</v>
      </c>
      <c r="B883" s="2">
        <v>0.74097222222222225</v>
      </c>
      <c r="C883" t="s">
        <v>1351</v>
      </c>
      <c r="D883">
        <v>8</v>
      </c>
      <c r="E883" t="s">
        <v>807</v>
      </c>
      <c r="F883" t="str">
        <f>_xlfn.XLOOKUP(_26_03_2026_Log_Reseau_v15[[#This Row],[Cell_ID]],_26_03_2026_Registre_Maintenance_v1[ID_Antenne],_26_03_2026_Registre_Maintenance_v1[zone],"pas trouvé")</f>
        <v>Nord-Kivu</v>
      </c>
      <c r="G883">
        <f>_xlfn.XLOOKUP(_26_03_2026_Log_Reseau_v15[[#This Row],[Cell_ID]],_26_03_2026_Registre_Maintenance_v1[ID_Antenne],_26_03_2026_Registre_Maintenance_v1[Latitude],"non trouvé")</f>
        <v>-10.846306999999999</v>
      </c>
      <c r="H883">
        <f>_xlfn.XLOOKUP(_26_03_2026_Log_Reseau_v15[[#This Row],[Cell_ID]],_26_03_2026_Registre_Maintenance_v1[ID_Antenne],_26_03_2026_Registre_Maintenance_v1[Longitude],"pas trouvé")</f>
        <v>19.201827999999999</v>
      </c>
      <c r="I883" t="str">
        <f>_xlfn.XLOOKUP(_26_03_2026_Log_Reseau_v15[[#This Row],[Cell_ID]],_26_03_2026_Registre_Maintenance_v1[ID_Antenne],_26_03_2026_Registre_Maintenance_v1[Technologie],"non trouvé")</f>
        <v>4G</v>
      </c>
      <c r="J883" t="str">
        <f>_xlfn.XLOOKUP(_26_03_2026_Log_Reseau_v15[[#This Row],[Cell_ID]],_26_03_2026_Registre_Maintenance_v1[ID_Antenne],_26_03_2026_Registre_Maintenance_v1[Equipementier],"pas trouvé")</f>
        <v>Ericsson</v>
      </c>
      <c r="K883" t="str">
        <f>_xlfn.XLOOKUP(_26_03_2026_Log_Reseau_v15[[#This Row],[province RDC]],_26_03_2026_Client_Churn_v1[Province_Client],_26_03_2026_Client_Churn_v1[ID_Client],"non trouvé")</f>
        <v>CLI-00837</v>
      </c>
      <c r="L883">
        <f>_xlfn.XLOOKUP(_26_03_2026_Log_Reseau_v15[[#This Row],[province RDC]],_26_03_2026_Client_Churn_v1[Province_Client],_26_03_2026_Client_Churn_v1[Anciennete_Mois],"non trouvé")</f>
        <v>16</v>
      </c>
      <c r="M883" t="str">
        <f>_xlfn.XLOOKUP(_26_03_2026_Log_Reseau_v15[[#This Row],[province RDC]],_26_03_2026_Client_Churn_v1[Province_Client],_26_03_2026_Client_Churn_v1[Type_Forfait],"non trouvé")</f>
        <v>Bloqué 5Go</v>
      </c>
      <c r="N883">
        <f>_xlfn.XLOOKUP(_26_03_2026_Log_Reseau_v15[[#This Row],[province RDC]],_26_03_2026_Client_Churn_v1[Province_Client],_26_03_2026_Client_Churn_v1[Duree_Cumulee_Panne_Min],"non trouvé")</f>
        <v>390</v>
      </c>
      <c r="O883">
        <f>_xlfn.XLOOKUP(_26_03_2026_Log_Reseau_v15[[#This Row],[province RDC]],_26_03_2026_Client_Churn_v1[Province_Client],_26_03_2026_Client_Churn_v1[Facture_Mensuelle],"non trouvé")</f>
        <v>98.17</v>
      </c>
      <c r="P883">
        <f>_xlfn.XLOOKUP(_26_03_2026_Log_Reseau_v15[[#This Row],[province RDC]],_26_03_2026_Client_Churn_v1[Province_Client],_26_03_2026_Client_Churn_v1[Plaintes_Service_Client],"non trouvé")</f>
        <v>5</v>
      </c>
    </row>
    <row r="884" spans="1:16" x14ac:dyDescent="0.25">
      <c r="A884" s="1">
        <v>45222</v>
      </c>
      <c r="B884" s="2">
        <v>0.35347222222222224</v>
      </c>
      <c r="C884" t="s">
        <v>1351</v>
      </c>
      <c r="D884">
        <v>101</v>
      </c>
      <c r="E884" t="s">
        <v>808</v>
      </c>
      <c r="F884" t="str">
        <f>_xlfn.XLOOKUP(_26_03_2026_Log_Reseau_v15[[#This Row],[Cell_ID]],_26_03_2026_Registre_Maintenance_v1[ID_Antenne],_26_03_2026_Registre_Maintenance_v1[zone],"pas trouvé")</f>
        <v>Nord-Kivu</v>
      </c>
      <c r="G884">
        <f>_xlfn.XLOOKUP(_26_03_2026_Log_Reseau_v15[[#This Row],[Cell_ID]],_26_03_2026_Registre_Maintenance_v1[ID_Antenne],_26_03_2026_Registre_Maintenance_v1[Latitude],"non trouvé")</f>
        <v>-10.846306999999999</v>
      </c>
      <c r="H884">
        <f>_xlfn.XLOOKUP(_26_03_2026_Log_Reseau_v15[[#This Row],[Cell_ID]],_26_03_2026_Registre_Maintenance_v1[ID_Antenne],_26_03_2026_Registre_Maintenance_v1[Longitude],"pas trouvé")</f>
        <v>19.201827999999999</v>
      </c>
      <c r="I884" t="str">
        <f>_xlfn.XLOOKUP(_26_03_2026_Log_Reseau_v15[[#This Row],[Cell_ID]],_26_03_2026_Registre_Maintenance_v1[ID_Antenne],_26_03_2026_Registre_Maintenance_v1[Technologie],"non trouvé")</f>
        <v>4G</v>
      </c>
      <c r="J884" t="str">
        <f>_xlfn.XLOOKUP(_26_03_2026_Log_Reseau_v15[[#This Row],[Cell_ID]],_26_03_2026_Registre_Maintenance_v1[ID_Antenne],_26_03_2026_Registre_Maintenance_v1[Equipementier],"pas trouvé")</f>
        <v>Ericsson</v>
      </c>
      <c r="K884" t="str">
        <f>_xlfn.XLOOKUP(_26_03_2026_Log_Reseau_v15[[#This Row],[province RDC]],_26_03_2026_Client_Churn_v1[Province_Client],_26_03_2026_Client_Churn_v1[ID_Client],"non trouvé")</f>
        <v>CLI-00837</v>
      </c>
      <c r="L884">
        <f>_xlfn.XLOOKUP(_26_03_2026_Log_Reseau_v15[[#This Row],[province RDC]],_26_03_2026_Client_Churn_v1[Province_Client],_26_03_2026_Client_Churn_v1[Anciennete_Mois],"non trouvé")</f>
        <v>16</v>
      </c>
      <c r="M884" t="str">
        <f>_xlfn.XLOOKUP(_26_03_2026_Log_Reseau_v15[[#This Row],[province RDC]],_26_03_2026_Client_Churn_v1[Province_Client],_26_03_2026_Client_Churn_v1[Type_Forfait],"non trouvé")</f>
        <v>Bloqué 5Go</v>
      </c>
      <c r="N884">
        <f>_xlfn.XLOOKUP(_26_03_2026_Log_Reseau_v15[[#This Row],[province RDC]],_26_03_2026_Client_Churn_v1[Province_Client],_26_03_2026_Client_Churn_v1[Duree_Cumulee_Panne_Min],"non trouvé")</f>
        <v>390</v>
      </c>
      <c r="O884">
        <f>_xlfn.XLOOKUP(_26_03_2026_Log_Reseau_v15[[#This Row],[province RDC]],_26_03_2026_Client_Churn_v1[Province_Client],_26_03_2026_Client_Churn_v1[Facture_Mensuelle],"non trouvé")</f>
        <v>98.17</v>
      </c>
      <c r="P884">
        <f>_xlfn.XLOOKUP(_26_03_2026_Log_Reseau_v15[[#This Row],[province RDC]],_26_03_2026_Client_Churn_v1[Province_Client],_26_03_2026_Client_Churn_v1[Plaintes_Service_Client],"non trouvé")</f>
        <v>5</v>
      </c>
    </row>
    <row r="885" spans="1:16" x14ac:dyDescent="0.25">
      <c r="A885" s="1">
        <v>45223</v>
      </c>
      <c r="B885" s="2">
        <v>0.25208333333333333</v>
      </c>
      <c r="C885" t="s">
        <v>1351</v>
      </c>
      <c r="D885">
        <v>12</v>
      </c>
      <c r="E885" t="s">
        <v>808</v>
      </c>
      <c r="F885" t="str">
        <f>_xlfn.XLOOKUP(_26_03_2026_Log_Reseau_v15[[#This Row],[Cell_ID]],_26_03_2026_Registre_Maintenance_v1[ID_Antenne],_26_03_2026_Registre_Maintenance_v1[zone],"pas trouvé")</f>
        <v>Nord-Kivu</v>
      </c>
      <c r="G885">
        <f>_xlfn.XLOOKUP(_26_03_2026_Log_Reseau_v15[[#This Row],[Cell_ID]],_26_03_2026_Registre_Maintenance_v1[ID_Antenne],_26_03_2026_Registre_Maintenance_v1[Latitude],"non trouvé")</f>
        <v>-10.846306999999999</v>
      </c>
      <c r="H885">
        <f>_xlfn.XLOOKUP(_26_03_2026_Log_Reseau_v15[[#This Row],[Cell_ID]],_26_03_2026_Registre_Maintenance_v1[ID_Antenne],_26_03_2026_Registre_Maintenance_v1[Longitude],"pas trouvé")</f>
        <v>19.201827999999999</v>
      </c>
      <c r="I885" t="str">
        <f>_xlfn.XLOOKUP(_26_03_2026_Log_Reseau_v15[[#This Row],[Cell_ID]],_26_03_2026_Registre_Maintenance_v1[ID_Antenne],_26_03_2026_Registre_Maintenance_v1[Technologie],"non trouvé")</f>
        <v>4G</v>
      </c>
      <c r="J885" t="str">
        <f>_xlfn.XLOOKUP(_26_03_2026_Log_Reseau_v15[[#This Row],[Cell_ID]],_26_03_2026_Registre_Maintenance_v1[ID_Antenne],_26_03_2026_Registre_Maintenance_v1[Equipementier],"pas trouvé")</f>
        <v>Ericsson</v>
      </c>
      <c r="K885" t="str">
        <f>_xlfn.XLOOKUP(_26_03_2026_Log_Reseau_v15[[#This Row],[province RDC]],_26_03_2026_Client_Churn_v1[Province_Client],_26_03_2026_Client_Churn_v1[ID_Client],"non trouvé")</f>
        <v>CLI-00837</v>
      </c>
      <c r="L885">
        <f>_xlfn.XLOOKUP(_26_03_2026_Log_Reseau_v15[[#This Row],[province RDC]],_26_03_2026_Client_Churn_v1[Province_Client],_26_03_2026_Client_Churn_v1[Anciennete_Mois],"non trouvé")</f>
        <v>16</v>
      </c>
      <c r="M885" t="str">
        <f>_xlfn.XLOOKUP(_26_03_2026_Log_Reseau_v15[[#This Row],[province RDC]],_26_03_2026_Client_Churn_v1[Province_Client],_26_03_2026_Client_Churn_v1[Type_Forfait],"non trouvé")</f>
        <v>Bloqué 5Go</v>
      </c>
      <c r="N885">
        <f>_xlfn.XLOOKUP(_26_03_2026_Log_Reseau_v15[[#This Row],[province RDC]],_26_03_2026_Client_Churn_v1[Province_Client],_26_03_2026_Client_Churn_v1[Duree_Cumulee_Panne_Min],"non trouvé")</f>
        <v>390</v>
      </c>
      <c r="O885">
        <f>_xlfn.XLOOKUP(_26_03_2026_Log_Reseau_v15[[#This Row],[province RDC]],_26_03_2026_Client_Churn_v1[Province_Client],_26_03_2026_Client_Churn_v1[Facture_Mensuelle],"non trouvé")</f>
        <v>98.17</v>
      </c>
      <c r="P885">
        <f>_xlfn.XLOOKUP(_26_03_2026_Log_Reseau_v15[[#This Row],[province RDC]],_26_03_2026_Client_Churn_v1[Province_Client],_26_03_2026_Client_Churn_v1[Plaintes_Service_Client],"non trouvé")</f>
        <v>5</v>
      </c>
    </row>
    <row r="886" spans="1:16" hidden="1" x14ac:dyDescent="0.25">
      <c r="A886" s="1">
        <v>45207</v>
      </c>
      <c r="B886" s="2">
        <v>0.47222222222222221</v>
      </c>
      <c r="C886" t="s">
        <v>1352</v>
      </c>
      <c r="D886">
        <v>30</v>
      </c>
      <c r="E886" t="s">
        <v>812</v>
      </c>
      <c r="F886" t="str">
        <f>_xlfn.XLOOKUP(_26_03_2026_Log_Reseau_v15[[#This Row],[Cell_ID]],_26_03_2026_Registre_Maintenance_v1[ID_Antenne],_26_03_2026_Registre_Maintenance_v1[zone],"pas trouvé")</f>
        <v>pas trouvé</v>
      </c>
      <c r="G886" t="str">
        <f>_xlfn.XLOOKUP(_26_03_2026_Log_Reseau_v15[[#This Row],[Cell_ID]],_26_03_2026_Registre_Maintenance_v1[ID_Antenne],_26_03_2026_Registre_Maintenance_v1[Latitude],"non trouvé")</f>
        <v>non trouvé</v>
      </c>
      <c r="H886" t="str">
        <f>_xlfn.XLOOKUP(_26_03_2026_Log_Reseau_v15[[#This Row],[Cell_ID]],_26_03_2026_Registre_Maintenance_v1[ID_Antenne],_26_03_2026_Registre_Maintenance_v1[Longitude],"pas trouvé")</f>
        <v>pas trouvé</v>
      </c>
      <c r="I886" t="str">
        <f>_xlfn.XLOOKUP(_26_03_2026_Log_Reseau_v15[[#This Row],[Cell_ID]],_26_03_2026_Registre_Maintenance_v1[ID_Antenne],_26_03_2026_Registre_Maintenance_v1[Technologie],"non trouvé")</f>
        <v>non trouvé</v>
      </c>
      <c r="J886" t="str">
        <f>_xlfn.XLOOKUP(_26_03_2026_Log_Reseau_v15[[#This Row],[Cell_ID]],_26_03_2026_Registre_Maintenance_v1[ID_Antenne],_26_03_2026_Registre_Maintenance_v1[Equipementier],"pas trouvé")</f>
        <v>pas trouvé</v>
      </c>
      <c r="K886" t="str">
        <f>_xlfn.XLOOKUP(_26_03_2026_Log_Reseau_v15[[#This Row],[province RDC]],_26_03_2026_Client_Churn_v1[Province_Client],_26_03_2026_Client_Churn_v1[ID_Client],"non trouvé")</f>
        <v>non trouvé</v>
      </c>
      <c r="L886" t="str">
        <f>_xlfn.XLOOKUP(_26_03_2026_Log_Reseau_v15[[#This Row],[province RDC]],_26_03_2026_Client_Churn_v1[Province_Client],_26_03_2026_Client_Churn_v1[Anciennete_Mois],"non trouvé")</f>
        <v>non trouvé</v>
      </c>
      <c r="M886" t="str">
        <f>_xlfn.XLOOKUP(_26_03_2026_Log_Reseau_v15[[#This Row],[province RDC]],_26_03_2026_Client_Churn_v1[Province_Client],_26_03_2026_Client_Churn_v1[Type_Forfait],"non trouvé")</f>
        <v>non trouvé</v>
      </c>
      <c r="N886" t="str">
        <f>_xlfn.XLOOKUP(_26_03_2026_Log_Reseau_v15[[#This Row],[province RDC]],_26_03_2026_Client_Churn_v1[Province_Client],_26_03_2026_Client_Churn_v1[Duree_Cumulee_Panne_Min],"non trouvé")</f>
        <v>non trouvé</v>
      </c>
      <c r="O886" t="str">
        <f>_xlfn.XLOOKUP(_26_03_2026_Log_Reseau_v15[[#This Row],[province RDC]],_26_03_2026_Client_Churn_v1[Province_Client],_26_03_2026_Client_Churn_v1[Facture_Mensuelle],"non trouvé")</f>
        <v>non trouvé</v>
      </c>
      <c r="P886" t="str">
        <f>_xlfn.XLOOKUP(_26_03_2026_Log_Reseau_v15[[#This Row],[province RDC]],_26_03_2026_Client_Churn_v1[Province_Client],_26_03_2026_Client_Churn_v1[Plaintes_Service_Client],"non trouvé")</f>
        <v>non trouvé</v>
      </c>
    </row>
    <row r="887" spans="1:16" x14ac:dyDescent="0.25">
      <c r="A887" s="1">
        <v>45226</v>
      </c>
      <c r="B887" s="2">
        <v>0.37777777777777777</v>
      </c>
      <c r="C887" t="s">
        <v>1353</v>
      </c>
      <c r="D887">
        <v>74</v>
      </c>
      <c r="E887" t="s">
        <v>812</v>
      </c>
      <c r="F887" t="str">
        <f>_xlfn.XLOOKUP(_26_03_2026_Log_Reseau_v15[[#This Row],[Cell_ID]],_26_03_2026_Registre_Maintenance_v1[ID_Antenne],_26_03_2026_Registre_Maintenance_v1[zone],"pas trouvé")</f>
        <v>Mongala</v>
      </c>
      <c r="G887">
        <f>_xlfn.XLOOKUP(_26_03_2026_Log_Reseau_v15[[#This Row],[Cell_ID]],_26_03_2026_Registre_Maintenance_v1[ID_Antenne],_26_03_2026_Registre_Maintenance_v1[Latitude],"non trouvé")</f>
        <v>4.6809229999999999</v>
      </c>
      <c r="H887">
        <f>_xlfn.XLOOKUP(_26_03_2026_Log_Reseau_v15[[#This Row],[Cell_ID]],_26_03_2026_Registre_Maintenance_v1[ID_Antenne],_26_03_2026_Registre_Maintenance_v1[Longitude],"pas trouvé")</f>
        <v>28.934242000000001</v>
      </c>
      <c r="I887" t="str">
        <f>_xlfn.XLOOKUP(_26_03_2026_Log_Reseau_v15[[#This Row],[Cell_ID]],_26_03_2026_Registre_Maintenance_v1[ID_Antenne],_26_03_2026_Registre_Maintenance_v1[Technologie],"non trouvé")</f>
        <v>5G</v>
      </c>
      <c r="J887" t="str">
        <f>_xlfn.XLOOKUP(_26_03_2026_Log_Reseau_v15[[#This Row],[Cell_ID]],_26_03_2026_Registre_Maintenance_v1[ID_Antenne],_26_03_2026_Registre_Maintenance_v1[Equipementier],"pas trouvé")</f>
        <v>Nokia</v>
      </c>
      <c r="K887" t="str">
        <f>_xlfn.XLOOKUP(_26_03_2026_Log_Reseau_v15[[#This Row],[province RDC]],_26_03_2026_Client_Churn_v1[Province_Client],_26_03_2026_Client_Churn_v1[ID_Client],"non trouvé")</f>
        <v>CLI-00865</v>
      </c>
      <c r="L887">
        <f>_xlfn.XLOOKUP(_26_03_2026_Log_Reseau_v15[[#This Row],[province RDC]],_26_03_2026_Client_Churn_v1[Province_Client],_26_03_2026_Client_Churn_v1[Anciennete_Mois],"non trouvé")</f>
        <v>34</v>
      </c>
      <c r="M887" t="str">
        <f>_xlfn.XLOOKUP(_26_03_2026_Log_Reseau_v15[[#This Row],[province RDC]],_26_03_2026_Client_Churn_v1[Province_Client],_26_03_2026_Client_Churn_v1[Type_Forfait],"non trouvé")</f>
        <v>Pro Monde</v>
      </c>
      <c r="N887">
        <f>_xlfn.XLOOKUP(_26_03_2026_Log_Reseau_v15[[#This Row],[province RDC]],_26_03_2026_Client_Churn_v1[Province_Client],_26_03_2026_Client_Churn_v1[Duree_Cumulee_Panne_Min],"non trouvé")</f>
        <v>453</v>
      </c>
      <c r="O887">
        <f>_xlfn.XLOOKUP(_26_03_2026_Log_Reseau_v15[[#This Row],[province RDC]],_26_03_2026_Client_Churn_v1[Province_Client],_26_03_2026_Client_Churn_v1[Facture_Mensuelle],"non trouvé")</f>
        <v>56.84</v>
      </c>
      <c r="P887">
        <f>_xlfn.XLOOKUP(_26_03_2026_Log_Reseau_v15[[#This Row],[province RDC]],_26_03_2026_Client_Churn_v1[Province_Client],_26_03_2026_Client_Churn_v1[Plaintes_Service_Client],"non trouvé")</f>
        <v>0</v>
      </c>
    </row>
    <row r="888" spans="1:16" hidden="1" x14ac:dyDescent="0.25">
      <c r="A888" s="1">
        <v>45221</v>
      </c>
      <c r="B888" s="2">
        <v>0.5493055555555556</v>
      </c>
      <c r="C888" t="s">
        <v>1354</v>
      </c>
      <c r="D888">
        <v>39</v>
      </c>
      <c r="E888" t="s">
        <v>808</v>
      </c>
      <c r="F888" t="str">
        <f>_xlfn.XLOOKUP(_26_03_2026_Log_Reseau_v15[[#This Row],[Cell_ID]],_26_03_2026_Registre_Maintenance_v1[ID_Antenne],_26_03_2026_Registre_Maintenance_v1[zone],"pas trouvé")</f>
        <v>pas trouvé</v>
      </c>
      <c r="G888" t="str">
        <f>_xlfn.XLOOKUP(_26_03_2026_Log_Reseau_v15[[#This Row],[Cell_ID]],_26_03_2026_Registre_Maintenance_v1[ID_Antenne],_26_03_2026_Registre_Maintenance_v1[Latitude],"non trouvé")</f>
        <v>non trouvé</v>
      </c>
      <c r="H888" t="str">
        <f>_xlfn.XLOOKUP(_26_03_2026_Log_Reseau_v15[[#This Row],[Cell_ID]],_26_03_2026_Registre_Maintenance_v1[ID_Antenne],_26_03_2026_Registre_Maintenance_v1[Longitude],"pas trouvé")</f>
        <v>pas trouvé</v>
      </c>
      <c r="I888" t="str">
        <f>_xlfn.XLOOKUP(_26_03_2026_Log_Reseau_v15[[#This Row],[Cell_ID]],_26_03_2026_Registre_Maintenance_v1[ID_Antenne],_26_03_2026_Registre_Maintenance_v1[Technologie],"non trouvé")</f>
        <v>non trouvé</v>
      </c>
      <c r="J888" t="str">
        <f>_xlfn.XLOOKUP(_26_03_2026_Log_Reseau_v15[[#This Row],[Cell_ID]],_26_03_2026_Registre_Maintenance_v1[ID_Antenne],_26_03_2026_Registre_Maintenance_v1[Equipementier],"pas trouvé")</f>
        <v>pas trouvé</v>
      </c>
      <c r="K888" t="str">
        <f>_xlfn.XLOOKUP(_26_03_2026_Log_Reseau_v15[[#This Row],[province RDC]],_26_03_2026_Client_Churn_v1[Province_Client],_26_03_2026_Client_Churn_v1[ID_Client],"non trouvé")</f>
        <v>non trouvé</v>
      </c>
      <c r="L888" t="str">
        <f>_xlfn.XLOOKUP(_26_03_2026_Log_Reseau_v15[[#This Row],[province RDC]],_26_03_2026_Client_Churn_v1[Province_Client],_26_03_2026_Client_Churn_v1[Anciennete_Mois],"non trouvé")</f>
        <v>non trouvé</v>
      </c>
      <c r="M888" t="str">
        <f>_xlfn.XLOOKUP(_26_03_2026_Log_Reseau_v15[[#This Row],[province RDC]],_26_03_2026_Client_Churn_v1[Province_Client],_26_03_2026_Client_Churn_v1[Type_Forfait],"non trouvé")</f>
        <v>non trouvé</v>
      </c>
      <c r="N888" t="str">
        <f>_xlfn.XLOOKUP(_26_03_2026_Log_Reseau_v15[[#This Row],[province RDC]],_26_03_2026_Client_Churn_v1[Province_Client],_26_03_2026_Client_Churn_v1[Duree_Cumulee_Panne_Min],"non trouvé")</f>
        <v>non trouvé</v>
      </c>
      <c r="O888" t="str">
        <f>_xlfn.XLOOKUP(_26_03_2026_Log_Reseau_v15[[#This Row],[province RDC]],_26_03_2026_Client_Churn_v1[Province_Client],_26_03_2026_Client_Churn_v1[Facture_Mensuelle],"non trouvé")</f>
        <v>non trouvé</v>
      </c>
      <c r="P888" t="str">
        <f>_xlfn.XLOOKUP(_26_03_2026_Log_Reseau_v15[[#This Row],[province RDC]],_26_03_2026_Client_Churn_v1[Province_Client],_26_03_2026_Client_Churn_v1[Plaintes_Service_Client],"non trouvé")</f>
        <v>non trouvé</v>
      </c>
    </row>
    <row r="889" spans="1:16" x14ac:dyDescent="0.25">
      <c r="A889" s="1">
        <v>45207</v>
      </c>
      <c r="B889" s="2">
        <v>0.34236111111111112</v>
      </c>
      <c r="C889" t="s">
        <v>1355</v>
      </c>
      <c r="D889">
        <v>28</v>
      </c>
      <c r="E889" t="s">
        <v>807</v>
      </c>
      <c r="F889" t="str">
        <f>_xlfn.XLOOKUP(_26_03_2026_Log_Reseau_v15[[#This Row],[Cell_ID]],_26_03_2026_Registre_Maintenance_v1[ID_Antenne],_26_03_2026_Registre_Maintenance_v1[zone],"pas trouvé")</f>
        <v>Bas-Uele</v>
      </c>
      <c r="G889">
        <f>_xlfn.XLOOKUP(_26_03_2026_Log_Reseau_v15[[#This Row],[Cell_ID]],_26_03_2026_Registre_Maintenance_v1[ID_Antenne],_26_03_2026_Registre_Maintenance_v1[Latitude],"non trouvé")</f>
        <v>0.40267799999999998</v>
      </c>
      <c r="H889">
        <f>_xlfn.XLOOKUP(_26_03_2026_Log_Reseau_v15[[#This Row],[Cell_ID]],_26_03_2026_Registre_Maintenance_v1[ID_Antenne],_26_03_2026_Registre_Maintenance_v1[Longitude],"pas trouvé")</f>
        <v>16.000858000000001</v>
      </c>
      <c r="I889" t="str">
        <f>_xlfn.XLOOKUP(_26_03_2026_Log_Reseau_v15[[#This Row],[Cell_ID]],_26_03_2026_Registre_Maintenance_v1[ID_Antenne],_26_03_2026_Registre_Maintenance_v1[Technologie],"non trouvé")</f>
        <v>3G</v>
      </c>
      <c r="J889" t="str">
        <f>_xlfn.XLOOKUP(_26_03_2026_Log_Reseau_v15[[#This Row],[Cell_ID]],_26_03_2026_Registre_Maintenance_v1[ID_Antenne],_26_03_2026_Registre_Maintenance_v1[Equipementier],"pas trouvé")</f>
        <v>Nokia</v>
      </c>
      <c r="K889" t="str">
        <f>_xlfn.XLOOKUP(_26_03_2026_Log_Reseau_v15[[#This Row],[province RDC]],_26_03_2026_Client_Churn_v1[Province_Client],_26_03_2026_Client_Churn_v1[ID_Client],"non trouvé")</f>
        <v>CLI-00414</v>
      </c>
      <c r="L889">
        <f>_xlfn.XLOOKUP(_26_03_2026_Log_Reseau_v15[[#This Row],[province RDC]],_26_03_2026_Client_Churn_v1[Province_Client],_26_03_2026_Client_Churn_v1[Anciennete_Mois],"non trouvé")</f>
        <v>99</v>
      </c>
      <c r="M889" t="str">
        <f>_xlfn.XLOOKUP(_26_03_2026_Log_Reseau_v15[[#This Row],[province RDC]],_26_03_2026_Client_Churn_v1[Province_Client],_26_03_2026_Client_Churn_v1[Type_Forfait],"non trouvé")</f>
        <v>Premium 5G 150Go</v>
      </c>
      <c r="N889">
        <f>_xlfn.XLOOKUP(_26_03_2026_Log_Reseau_v15[[#This Row],[province RDC]],_26_03_2026_Client_Churn_v1[Province_Client],_26_03_2026_Client_Churn_v1[Duree_Cumulee_Panne_Min],"non trouvé")</f>
        <v>447</v>
      </c>
      <c r="O889">
        <f>_xlfn.XLOOKUP(_26_03_2026_Log_Reseau_v15[[#This Row],[province RDC]],_26_03_2026_Client_Churn_v1[Province_Client],_26_03_2026_Client_Churn_v1[Facture_Mensuelle],"non trouvé")</f>
        <v>38.1</v>
      </c>
      <c r="P889">
        <f>_xlfn.XLOOKUP(_26_03_2026_Log_Reseau_v15[[#This Row],[province RDC]],_26_03_2026_Client_Churn_v1[Province_Client],_26_03_2026_Client_Churn_v1[Plaintes_Service_Client],"non trouvé")</f>
        <v>3</v>
      </c>
    </row>
    <row r="890" spans="1:16" hidden="1" x14ac:dyDescent="0.25">
      <c r="A890" s="1">
        <v>45210</v>
      </c>
      <c r="B890" s="2">
        <v>0.83611111111111114</v>
      </c>
      <c r="C890" t="s">
        <v>1356</v>
      </c>
      <c r="D890">
        <v>25</v>
      </c>
      <c r="E890" t="s">
        <v>812</v>
      </c>
      <c r="F890" t="str">
        <f>_xlfn.XLOOKUP(_26_03_2026_Log_Reseau_v15[[#This Row],[Cell_ID]],_26_03_2026_Registre_Maintenance_v1[ID_Antenne],_26_03_2026_Registre_Maintenance_v1[zone],"pas trouvé")</f>
        <v>pas trouvé</v>
      </c>
      <c r="G890" t="str">
        <f>_xlfn.XLOOKUP(_26_03_2026_Log_Reseau_v15[[#This Row],[Cell_ID]],_26_03_2026_Registre_Maintenance_v1[ID_Antenne],_26_03_2026_Registre_Maintenance_v1[Latitude],"non trouvé")</f>
        <v>non trouvé</v>
      </c>
      <c r="H890" t="str">
        <f>_xlfn.XLOOKUP(_26_03_2026_Log_Reseau_v15[[#This Row],[Cell_ID]],_26_03_2026_Registre_Maintenance_v1[ID_Antenne],_26_03_2026_Registre_Maintenance_v1[Longitude],"pas trouvé")</f>
        <v>pas trouvé</v>
      </c>
      <c r="I890" t="str">
        <f>_xlfn.XLOOKUP(_26_03_2026_Log_Reseau_v15[[#This Row],[Cell_ID]],_26_03_2026_Registre_Maintenance_v1[ID_Antenne],_26_03_2026_Registre_Maintenance_v1[Technologie],"non trouvé")</f>
        <v>non trouvé</v>
      </c>
      <c r="J890" t="str">
        <f>_xlfn.XLOOKUP(_26_03_2026_Log_Reseau_v15[[#This Row],[Cell_ID]],_26_03_2026_Registre_Maintenance_v1[ID_Antenne],_26_03_2026_Registre_Maintenance_v1[Equipementier],"pas trouvé")</f>
        <v>pas trouvé</v>
      </c>
      <c r="K890" t="str">
        <f>_xlfn.XLOOKUP(_26_03_2026_Log_Reseau_v15[[#This Row],[province RDC]],_26_03_2026_Client_Churn_v1[Province_Client],_26_03_2026_Client_Churn_v1[ID_Client],"non trouvé")</f>
        <v>non trouvé</v>
      </c>
      <c r="L890" t="str">
        <f>_xlfn.XLOOKUP(_26_03_2026_Log_Reseau_v15[[#This Row],[province RDC]],_26_03_2026_Client_Churn_v1[Province_Client],_26_03_2026_Client_Churn_v1[Anciennete_Mois],"non trouvé")</f>
        <v>non trouvé</v>
      </c>
      <c r="M890" t="str">
        <f>_xlfn.XLOOKUP(_26_03_2026_Log_Reseau_v15[[#This Row],[province RDC]],_26_03_2026_Client_Churn_v1[Province_Client],_26_03_2026_Client_Churn_v1[Type_Forfait],"non trouvé")</f>
        <v>non trouvé</v>
      </c>
      <c r="N890" t="str">
        <f>_xlfn.XLOOKUP(_26_03_2026_Log_Reseau_v15[[#This Row],[province RDC]],_26_03_2026_Client_Churn_v1[Province_Client],_26_03_2026_Client_Churn_v1[Duree_Cumulee_Panne_Min],"non trouvé")</f>
        <v>non trouvé</v>
      </c>
      <c r="O890" t="str">
        <f>_xlfn.XLOOKUP(_26_03_2026_Log_Reseau_v15[[#This Row],[province RDC]],_26_03_2026_Client_Churn_v1[Province_Client],_26_03_2026_Client_Churn_v1[Facture_Mensuelle],"non trouvé")</f>
        <v>non trouvé</v>
      </c>
      <c r="P890" t="str">
        <f>_xlfn.XLOOKUP(_26_03_2026_Log_Reseau_v15[[#This Row],[province RDC]],_26_03_2026_Client_Churn_v1[Province_Client],_26_03_2026_Client_Churn_v1[Plaintes_Service_Client],"non trouvé")</f>
        <v>non trouvé</v>
      </c>
    </row>
    <row r="891" spans="1:16" x14ac:dyDescent="0.25">
      <c r="A891" s="1">
        <v>45210</v>
      </c>
      <c r="B891" s="2">
        <v>0.39166666666666666</v>
      </c>
      <c r="C891" t="s">
        <v>1357</v>
      </c>
      <c r="D891">
        <v>85</v>
      </c>
      <c r="E891" t="s">
        <v>808</v>
      </c>
      <c r="F891" t="str">
        <f>_xlfn.XLOOKUP(_26_03_2026_Log_Reseau_v15[[#This Row],[Cell_ID]],_26_03_2026_Registre_Maintenance_v1[ID_Antenne],_26_03_2026_Registre_Maintenance_v1[zone],"pas trouvé")</f>
        <v>Nord-Kivu</v>
      </c>
      <c r="G891">
        <f>_xlfn.XLOOKUP(_26_03_2026_Log_Reseau_v15[[#This Row],[Cell_ID]],_26_03_2026_Registre_Maintenance_v1[ID_Antenne],_26_03_2026_Registre_Maintenance_v1[Latitude],"non trouvé")</f>
        <v>1.017161</v>
      </c>
      <c r="H891">
        <f>_xlfn.XLOOKUP(_26_03_2026_Log_Reseau_v15[[#This Row],[Cell_ID]],_26_03_2026_Registre_Maintenance_v1[ID_Antenne],_26_03_2026_Registre_Maintenance_v1[Longitude],"pas trouvé")</f>
        <v>16.519689</v>
      </c>
      <c r="I891" t="str">
        <f>_xlfn.XLOOKUP(_26_03_2026_Log_Reseau_v15[[#This Row],[Cell_ID]],_26_03_2026_Registre_Maintenance_v1[ID_Antenne],_26_03_2026_Registre_Maintenance_v1[Technologie],"non trouvé")</f>
        <v>3G</v>
      </c>
      <c r="J891" t="str">
        <f>_xlfn.XLOOKUP(_26_03_2026_Log_Reseau_v15[[#This Row],[Cell_ID]],_26_03_2026_Registre_Maintenance_v1[ID_Antenne],_26_03_2026_Registre_Maintenance_v1[Equipementier],"pas trouvé")</f>
        <v>Nokia</v>
      </c>
      <c r="K891" t="str">
        <f>_xlfn.XLOOKUP(_26_03_2026_Log_Reseau_v15[[#This Row],[province RDC]],_26_03_2026_Client_Churn_v1[Province_Client],_26_03_2026_Client_Churn_v1[ID_Client],"non trouvé")</f>
        <v>CLI-00837</v>
      </c>
      <c r="L891">
        <f>_xlfn.XLOOKUP(_26_03_2026_Log_Reseau_v15[[#This Row],[province RDC]],_26_03_2026_Client_Churn_v1[Province_Client],_26_03_2026_Client_Churn_v1[Anciennete_Mois],"non trouvé")</f>
        <v>16</v>
      </c>
      <c r="M891" t="str">
        <f>_xlfn.XLOOKUP(_26_03_2026_Log_Reseau_v15[[#This Row],[province RDC]],_26_03_2026_Client_Churn_v1[Province_Client],_26_03_2026_Client_Churn_v1[Type_Forfait],"non trouvé")</f>
        <v>Bloqué 5Go</v>
      </c>
      <c r="N891">
        <f>_xlfn.XLOOKUP(_26_03_2026_Log_Reseau_v15[[#This Row],[province RDC]],_26_03_2026_Client_Churn_v1[Province_Client],_26_03_2026_Client_Churn_v1[Duree_Cumulee_Panne_Min],"non trouvé")</f>
        <v>390</v>
      </c>
      <c r="O891">
        <f>_xlfn.XLOOKUP(_26_03_2026_Log_Reseau_v15[[#This Row],[province RDC]],_26_03_2026_Client_Churn_v1[Province_Client],_26_03_2026_Client_Churn_v1[Facture_Mensuelle],"non trouvé")</f>
        <v>98.17</v>
      </c>
      <c r="P891">
        <f>_xlfn.XLOOKUP(_26_03_2026_Log_Reseau_v15[[#This Row],[province RDC]],_26_03_2026_Client_Churn_v1[Province_Client],_26_03_2026_Client_Churn_v1[Plaintes_Service_Client],"non trouvé")</f>
        <v>5</v>
      </c>
    </row>
    <row r="892" spans="1:16" x14ac:dyDescent="0.25">
      <c r="A892" s="1">
        <v>45208</v>
      </c>
      <c r="B892" s="2">
        <v>7.2916666666666671E-2</v>
      </c>
      <c r="C892" t="s">
        <v>1357</v>
      </c>
      <c r="D892">
        <v>68</v>
      </c>
      <c r="E892" t="s">
        <v>807</v>
      </c>
      <c r="F892" t="str">
        <f>_xlfn.XLOOKUP(_26_03_2026_Log_Reseau_v15[[#This Row],[Cell_ID]],_26_03_2026_Registre_Maintenance_v1[ID_Antenne],_26_03_2026_Registre_Maintenance_v1[zone],"pas trouvé")</f>
        <v>Nord-Kivu</v>
      </c>
      <c r="G892">
        <f>_xlfn.XLOOKUP(_26_03_2026_Log_Reseau_v15[[#This Row],[Cell_ID]],_26_03_2026_Registre_Maintenance_v1[ID_Antenne],_26_03_2026_Registre_Maintenance_v1[Latitude],"non trouvé")</f>
        <v>1.017161</v>
      </c>
      <c r="H892">
        <f>_xlfn.XLOOKUP(_26_03_2026_Log_Reseau_v15[[#This Row],[Cell_ID]],_26_03_2026_Registre_Maintenance_v1[ID_Antenne],_26_03_2026_Registre_Maintenance_v1[Longitude],"pas trouvé")</f>
        <v>16.519689</v>
      </c>
      <c r="I892" t="str">
        <f>_xlfn.XLOOKUP(_26_03_2026_Log_Reseau_v15[[#This Row],[Cell_ID]],_26_03_2026_Registre_Maintenance_v1[ID_Antenne],_26_03_2026_Registre_Maintenance_v1[Technologie],"non trouvé")</f>
        <v>3G</v>
      </c>
      <c r="J892" t="str">
        <f>_xlfn.XLOOKUP(_26_03_2026_Log_Reseau_v15[[#This Row],[Cell_ID]],_26_03_2026_Registre_Maintenance_v1[ID_Antenne],_26_03_2026_Registre_Maintenance_v1[Equipementier],"pas trouvé")</f>
        <v>Nokia</v>
      </c>
      <c r="K892" t="str">
        <f>_xlfn.XLOOKUP(_26_03_2026_Log_Reseau_v15[[#This Row],[province RDC]],_26_03_2026_Client_Churn_v1[Province_Client],_26_03_2026_Client_Churn_v1[ID_Client],"non trouvé")</f>
        <v>CLI-00837</v>
      </c>
      <c r="L892">
        <f>_xlfn.XLOOKUP(_26_03_2026_Log_Reseau_v15[[#This Row],[province RDC]],_26_03_2026_Client_Churn_v1[Province_Client],_26_03_2026_Client_Churn_v1[Anciennete_Mois],"non trouvé")</f>
        <v>16</v>
      </c>
      <c r="M892" t="str">
        <f>_xlfn.XLOOKUP(_26_03_2026_Log_Reseau_v15[[#This Row],[province RDC]],_26_03_2026_Client_Churn_v1[Province_Client],_26_03_2026_Client_Churn_v1[Type_Forfait],"non trouvé")</f>
        <v>Bloqué 5Go</v>
      </c>
      <c r="N892">
        <f>_xlfn.XLOOKUP(_26_03_2026_Log_Reseau_v15[[#This Row],[province RDC]],_26_03_2026_Client_Churn_v1[Province_Client],_26_03_2026_Client_Churn_v1[Duree_Cumulee_Panne_Min],"non trouvé")</f>
        <v>390</v>
      </c>
      <c r="O892">
        <f>_xlfn.XLOOKUP(_26_03_2026_Log_Reseau_v15[[#This Row],[province RDC]],_26_03_2026_Client_Churn_v1[Province_Client],_26_03_2026_Client_Churn_v1[Facture_Mensuelle],"non trouvé")</f>
        <v>98.17</v>
      </c>
      <c r="P892">
        <f>_xlfn.XLOOKUP(_26_03_2026_Log_Reseau_v15[[#This Row],[province RDC]],_26_03_2026_Client_Churn_v1[Province_Client],_26_03_2026_Client_Churn_v1[Plaintes_Service_Client],"non trouvé")</f>
        <v>5</v>
      </c>
    </row>
    <row r="893" spans="1:16" x14ac:dyDescent="0.25">
      <c r="A893" s="1">
        <v>45217</v>
      </c>
      <c r="B893" s="2">
        <v>0.89166666666666672</v>
      </c>
      <c r="C893" t="s">
        <v>1358</v>
      </c>
      <c r="D893">
        <v>108</v>
      </c>
      <c r="E893" t="s">
        <v>812</v>
      </c>
      <c r="F893" t="str">
        <f>_xlfn.XLOOKUP(_26_03_2026_Log_Reseau_v15[[#This Row],[Cell_ID]],_26_03_2026_Registre_Maintenance_v1[ID_Antenne],_26_03_2026_Registre_Maintenance_v1[zone],"pas trouvé")</f>
        <v>Mongala</v>
      </c>
      <c r="G893">
        <f>_xlfn.XLOOKUP(_26_03_2026_Log_Reseau_v15[[#This Row],[Cell_ID]],_26_03_2026_Registre_Maintenance_v1[ID_Antenne],_26_03_2026_Registre_Maintenance_v1[Latitude],"non trouvé")</f>
        <v>-5.3762689999999997</v>
      </c>
      <c r="H893">
        <f>_xlfn.XLOOKUP(_26_03_2026_Log_Reseau_v15[[#This Row],[Cell_ID]],_26_03_2026_Registre_Maintenance_v1[ID_Antenne],_26_03_2026_Registre_Maintenance_v1[Longitude],"pas trouvé")</f>
        <v>28.189575999999999</v>
      </c>
      <c r="I893" t="str">
        <f>_xlfn.XLOOKUP(_26_03_2026_Log_Reseau_v15[[#This Row],[Cell_ID]],_26_03_2026_Registre_Maintenance_v1[ID_Antenne],_26_03_2026_Registre_Maintenance_v1[Technologie],"non trouvé")</f>
        <v>5G</v>
      </c>
      <c r="J893" t="str">
        <f>_xlfn.XLOOKUP(_26_03_2026_Log_Reseau_v15[[#This Row],[Cell_ID]],_26_03_2026_Registre_Maintenance_v1[ID_Antenne],_26_03_2026_Registre_Maintenance_v1[Equipementier],"pas trouvé")</f>
        <v>Huawei</v>
      </c>
      <c r="K893" t="str">
        <f>_xlfn.XLOOKUP(_26_03_2026_Log_Reseau_v15[[#This Row],[province RDC]],_26_03_2026_Client_Churn_v1[Province_Client],_26_03_2026_Client_Churn_v1[ID_Client],"non trouvé")</f>
        <v>CLI-00865</v>
      </c>
      <c r="L893">
        <f>_xlfn.XLOOKUP(_26_03_2026_Log_Reseau_v15[[#This Row],[province RDC]],_26_03_2026_Client_Churn_v1[Province_Client],_26_03_2026_Client_Churn_v1[Anciennete_Mois],"non trouvé")</f>
        <v>34</v>
      </c>
      <c r="M893" t="str">
        <f>_xlfn.XLOOKUP(_26_03_2026_Log_Reseau_v15[[#This Row],[province RDC]],_26_03_2026_Client_Churn_v1[Province_Client],_26_03_2026_Client_Churn_v1[Type_Forfait],"non trouvé")</f>
        <v>Pro Monde</v>
      </c>
      <c r="N893">
        <f>_xlfn.XLOOKUP(_26_03_2026_Log_Reseau_v15[[#This Row],[province RDC]],_26_03_2026_Client_Churn_v1[Province_Client],_26_03_2026_Client_Churn_v1[Duree_Cumulee_Panne_Min],"non trouvé")</f>
        <v>453</v>
      </c>
      <c r="O893">
        <f>_xlfn.XLOOKUP(_26_03_2026_Log_Reseau_v15[[#This Row],[province RDC]],_26_03_2026_Client_Churn_v1[Province_Client],_26_03_2026_Client_Churn_v1[Facture_Mensuelle],"non trouvé")</f>
        <v>56.84</v>
      </c>
      <c r="P893">
        <f>_xlfn.XLOOKUP(_26_03_2026_Log_Reseau_v15[[#This Row],[province RDC]],_26_03_2026_Client_Churn_v1[Province_Client],_26_03_2026_Client_Churn_v1[Plaintes_Service_Client],"non trouvé")</f>
        <v>0</v>
      </c>
    </row>
    <row r="894" spans="1:16" x14ac:dyDescent="0.25">
      <c r="A894" s="1">
        <v>45211</v>
      </c>
      <c r="B894" s="2">
        <v>4.583333333333333E-2</v>
      </c>
      <c r="C894" t="s">
        <v>1358</v>
      </c>
      <c r="D894">
        <v>18</v>
      </c>
      <c r="E894" t="s">
        <v>812</v>
      </c>
      <c r="F894" t="str">
        <f>_xlfn.XLOOKUP(_26_03_2026_Log_Reseau_v15[[#This Row],[Cell_ID]],_26_03_2026_Registre_Maintenance_v1[ID_Antenne],_26_03_2026_Registre_Maintenance_v1[zone],"pas trouvé")</f>
        <v>Mongala</v>
      </c>
      <c r="G894">
        <f>_xlfn.XLOOKUP(_26_03_2026_Log_Reseau_v15[[#This Row],[Cell_ID]],_26_03_2026_Registre_Maintenance_v1[ID_Antenne],_26_03_2026_Registre_Maintenance_v1[Latitude],"non trouvé")</f>
        <v>-5.3762689999999997</v>
      </c>
      <c r="H894">
        <f>_xlfn.XLOOKUP(_26_03_2026_Log_Reseau_v15[[#This Row],[Cell_ID]],_26_03_2026_Registre_Maintenance_v1[ID_Antenne],_26_03_2026_Registre_Maintenance_v1[Longitude],"pas trouvé")</f>
        <v>28.189575999999999</v>
      </c>
      <c r="I894" t="str">
        <f>_xlfn.XLOOKUP(_26_03_2026_Log_Reseau_v15[[#This Row],[Cell_ID]],_26_03_2026_Registre_Maintenance_v1[ID_Antenne],_26_03_2026_Registre_Maintenance_v1[Technologie],"non trouvé")</f>
        <v>5G</v>
      </c>
      <c r="J894" t="str">
        <f>_xlfn.XLOOKUP(_26_03_2026_Log_Reseau_v15[[#This Row],[Cell_ID]],_26_03_2026_Registre_Maintenance_v1[ID_Antenne],_26_03_2026_Registre_Maintenance_v1[Equipementier],"pas trouvé")</f>
        <v>Huawei</v>
      </c>
      <c r="K894" t="str">
        <f>_xlfn.XLOOKUP(_26_03_2026_Log_Reseau_v15[[#This Row],[province RDC]],_26_03_2026_Client_Churn_v1[Province_Client],_26_03_2026_Client_Churn_v1[ID_Client],"non trouvé")</f>
        <v>CLI-00865</v>
      </c>
      <c r="L894">
        <f>_xlfn.XLOOKUP(_26_03_2026_Log_Reseau_v15[[#This Row],[province RDC]],_26_03_2026_Client_Churn_v1[Province_Client],_26_03_2026_Client_Churn_v1[Anciennete_Mois],"non trouvé")</f>
        <v>34</v>
      </c>
      <c r="M894" t="str">
        <f>_xlfn.XLOOKUP(_26_03_2026_Log_Reseau_v15[[#This Row],[province RDC]],_26_03_2026_Client_Churn_v1[Province_Client],_26_03_2026_Client_Churn_v1[Type_Forfait],"non trouvé")</f>
        <v>Pro Monde</v>
      </c>
      <c r="N894">
        <f>_xlfn.XLOOKUP(_26_03_2026_Log_Reseau_v15[[#This Row],[province RDC]],_26_03_2026_Client_Churn_v1[Province_Client],_26_03_2026_Client_Churn_v1[Duree_Cumulee_Panne_Min],"non trouvé")</f>
        <v>453</v>
      </c>
      <c r="O894">
        <f>_xlfn.XLOOKUP(_26_03_2026_Log_Reseau_v15[[#This Row],[province RDC]],_26_03_2026_Client_Churn_v1[Province_Client],_26_03_2026_Client_Churn_v1[Facture_Mensuelle],"non trouvé")</f>
        <v>56.84</v>
      </c>
      <c r="P894">
        <f>_xlfn.XLOOKUP(_26_03_2026_Log_Reseau_v15[[#This Row],[province RDC]],_26_03_2026_Client_Churn_v1[Province_Client],_26_03_2026_Client_Churn_v1[Plaintes_Service_Client],"non trouvé")</f>
        <v>0</v>
      </c>
    </row>
    <row r="895" spans="1:16" x14ac:dyDescent="0.25">
      <c r="A895" s="1">
        <v>45223</v>
      </c>
      <c r="B895" s="2">
        <v>0.75972222222222219</v>
      </c>
      <c r="C895" t="s">
        <v>1358</v>
      </c>
      <c r="D895">
        <v>78</v>
      </c>
      <c r="E895" t="s">
        <v>808</v>
      </c>
      <c r="F895" t="str">
        <f>_xlfn.XLOOKUP(_26_03_2026_Log_Reseau_v15[[#This Row],[Cell_ID]],_26_03_2026_Registre_Maintenance_v1[ID_Antenne],_26_03_2026_Registre_Maintenance_v1[zone],"pas trouvé")</f>
        <v>Mongala</v>
      </c>
      <c r="G895">
        <f>_xlfn.XLOOKUP(_26_03_2026_Log_Reseau_v15[[#This Row],[Cell_ID]],_26_03_2026_Registre_Maintenance_v1[ID_Antenne],_26_03_2026_Registre_Maintenance_v1[Latitude],"non trouvé")</f>
        <v>-5.3762689999999997</v>
      </c>
      <c r="H895">
        <f>_xlfn.XLOOKUP(_26_03_2026_Log_Reseau_v15[[#This Row],[Cell_ID]],_26_03_2026_Registre_Maintenance_v1[ID_Antenne],_26_03_2026_Registre_Maintenance_v1[Longitude],"pas trouvé")</f>
        <v>28.189575999999999</v>
      </c>
      <c r="I895" t="str">
        <f>_xlfn.XLOOKUP(_26_03_2026_Log_Reseau_v15[[#This Row],[Cell_ID]],_26_03_2026_Registre_Maintenance_v1[ID_Antenne],_26_03_2026_Registre_Maintenance_v1[Technologie],"non trouvé")</f>
        <v>5G</v>
      </c>
      <c r="J895" t="str">
        <f>_xlfn.XLOOKUP(_26_03_2026_Log_Reseau_v15[[#This Row],[Cell_ID]],_26_03_2026_Registre_Maintenance_v1[ID_Antenne],_26_03_2026_Registre_Maintenance_v1[Equipementier],"pas trouvé")</f>
        <v>Huawei</v>
      </c>
      <c r="K895" t="str">
        <f>_xlfn.XLOOKUP(_26_03_2026_Log_Reseau_v15[[#This Row],[province RDC]],_26_03_2026_Client_Churn_v1[Province_Client],_26_03_2026_Client_Churn_v1[ID_Client],"non trouvé")</f>
        <v>CLI-00865</v>
      </c>
      <c r="L895">
        <f>_xlfn.XLOOKUP(_26_03_2026_Log_Reseau_v15[[#This Row],[province RDC]],_26_03_2026_Client_Churn_v1[Province_Client],_26_03_2026_Client_Churn_v1[Anciennete_Mois],"non trouvé")</f>
        <v>34</v>
      </c>
      <c r="M895" t="str">
        <f>_xlfn.XLOOKUP(_26_03_2026_Log_Reseau_v15[[#This Row],[province RDC]],_26_03_2026_Client_Churn_v1[Province_Client],_26_03_2026_Client_Churn_v1[Type_Forfait],"non trouvé")</f>
        <v>Pro Monde</v>
      </c>
      <c r="N895">
        <f>_xlfn.XLOOKUP(_26_03_2026_Log_Reseau_v15[[#This Row],[province RDC]],_26_03_2026_Client_Churn_v1[Province_Client],_26_03_2026_Client_Churn_v1[Duree_Cumulee_Panne_Min],"non trouvé")</f>
        <v>453</v>
      </c>
      <c r="O895">
        <f>_xlfn.XLOOKUP(_26_03_2026_Log_Reseau_v15[[#This Row],[province RDC]],_26_03_2026_Client_Churn_v1[Province_Client],_26_03_2026_Client_Churn_v1[Facture_Mensuelle],"non trouvé")</f>
        <v>56.84</v>
      </c>
      <c r="P895">
        <f>_xlfn.XLOOKUP(_26_03_2026_Log_Reseau_v15[[#This Row],[province RDC]],_26_03_2026_Client_Churn_v1[Province_Client],_26_03_2026_Client_Churn_v1[Plaintes_Service_Client],"non trouvé")</f>
        <v>0</v>
      </c>
    </row>
    <row r="896" spans="1:16" x14ac:dyDescent="0.25">
      <c r="A896" s="1">
        <v>45222</v>
      </c>
      <c r="B896" s="2">
        <v>0.18888888888888888</v>
      </c>
      <c r="C896" t="s">
        <v>1358</v>
      </c>
      <c r="D896">
        <v>33</v>
      </c>
      <c r="E896" t="s">
        <v>807</v>
      </c>
      <c r="F896" t="str">
        <f>_xlfn.XLOOKUP(_26_03_2026_Log_Reseau_v15[[#This Row],[Cell_ID]],_26_03_2026_Registre_Maintenance_v1[ID_Antenne],_26_03_2026_Registre_Maintenance_v1[zone],"pas trouvé")</f>
        <v>Mongala</v>
      </c>
      <c r="G896">
        <f>_xlfn.XLOOKUP(_26_03_2026_Log_Reseau_v15[[#This Row],[Cell_ID]],_26_03_2026_Registre_Maintenance_v1[ID_Antenne],_26_03_2026_Registre_Maintenance_v1[Latitude],"non trouvé")</f>
        <v>-5.3762689999999997</v>
      </c>
      <c r="H896">
        <f>_xlfn.XLOOKUP(_26_03_2026_Log_Reseau_v15[[#This Row],[Cell_ID]],_26_03_2026_Registre_Maintenance_v1[ID_Antenne],_26_03_2026_Registre_Maintenance_v1[Longitude],"pas trouvé")</f>
        <v>28.189575999999999</v>
      </c>
      <c r="I896" t="str">
        <f>_xlfn.XLOOKUP(_26_03_2026_Log_Reseau_v15[[#This Row],[Cell_ID]],_26_03_2026_Registre_Maintenance_v1[ID_Antenne],_26_03_2026_Registre_Maintenance_v1[Technologie],"non trouvé")</f>
        <v>5G</v>
      </c>
      <c r="J896" t="str">
        <f>_xlfn.XLOOKUP(_26_03_2026_Log_Reseau_v15[[#This Row],[Cell_ID]],_26_03_2026_Registre_Maintenance_v1[ID_Antenne],_26_03_2026_Registre_Maintenance_v1[Equipementier],"pas trouvé")</f>
        <v>Huawei</v>
      </c>
      <c r="K896" t="str">
        <f>_xlfn.XLOOKUP(_26_03_2026_Log_Reseau_v15[[#This Row],[province RDC]],_26_03_2026_Client_Churn_v1[Province_Client],_26_03_2026_Client_Churn_v1[ID_Client],"non trouvé")</f>
        <v>CLI-00865</v>
      </c>
      <c r="L896">
        <f>_xlfn.XLOOKUP(_26_03_2026_Log_Reseau_v15[[#This Row],[province RDC]],_26_03_2026_Client_Churn_v1[Province_Client],_26_03_2026_Client_Churn_v1[Anciennete_Mois],"non trouvé")</f>
        <v>34</v>
      </c>
      <c r="M896" t="str">
        <f>_xlfn.XLOOKUP(_26_03_2026_Log_Reseau_v15[[#This Row],[province RDC]],_26_03_2026_Client_Churn_v1[Province_Client],_26_03_2026_Client_Churn_v1[Type_Forfait],"non trouvé")</f>
        <v>Pro Monde</v>
      </c>
      <c r="N896">
        <f>_xlfn.XLOOKUP(_26_03_2026_Log_Reseau_v15[[#This Row],[province RDC]],_26_03_2026_Client_Churn_v1[Province_Client],_26_03_2026_Client_Churn_v1[Duree_Cumulee_Panne_Min],"non trouvé")</f>
        <v>453</v>
      </c>
      <c r="O896">
        <f>_xlfn.XLOOKUP(_26_03_2026_Log_Reseau_v15[[#This Row],[province RDC]],_26_03_2026_Client_Churn_v1[Province_Client],_26_03_2026_Client_Churn_v1[Facture_Mensuelle],"non trouvé")</f>
        <v>56.84</v>
      </c>
      <c r="P896">
        <f>_xlfn.XLOOKUP(_26_03_2026_Log_Reseau_v15[[#This Row],[province RDC]],_26_03_2026_Client_Churn_v1[Province_Client],_26_03_2026_Client_Churn_v1[Plaintes_Service_Client],"non trouvé")</f>
        <v>0</v>
      </c>
    </row>
    <row r="897" spans="1:16" x14ac:dyDescent="0.25">
      <c r="A897" s="1">
        <v>45228</v>
      </c>
      <c r="B897" s="2">
        <v>0.56319444444444444</v>
      </c>
      <c r="C897" t="s">
        <v>1359</v>
      </c>
      <c r="D897">
        <v>44</v>
      </c>
      <c r="E897" t="s">
        <v>807</v>
      </c>
      <c r="F897" t="str">
        <f>_xlfn.XLOOKUP(_26_03_2026_Log_Reseau_v15[[#This Row],[Cell_ID]],_26_03_2026_Registre_Maintenance_v1[ID_Antenne],_26_03_2026_Registre_Maintenance_v1[zone],"pas trouvé")</f>
        <v>Tshopo</v>
      </c>
      <c r="G897">
        <f>_xlfn.XLOOKUP(_26_03_2026_Log_Reseau_v15[[#This Row],[Cell_ID]],_26_03_2026_Registre_Maintenance_v1[ID_Antenne],_26_03_2026_Registre_Maintenance_v1[Latitude],"non trouvé")</f>
        <v>-11.265995</v>
      </c>
      <c r="H897">
        <f>_xlfn.XLOOKUP(_26_03_2026_Log_Reseau_v15[[#This Row],[Cell_ID]],_26_03_2026_Registre_Maintenance_v1[ID_Antenne],_26_03_2026_Registre_Maintenance_v1[Longitude],"pas trouvé")</f>
        <v>28.935514999999999</v>
      </c>
      <c r="I897" t="str">
        <f>_xlfn.XLOOKUP(_26_03_2026_Log_Reseau_v15[[#This Row],[Cell_ID]],_26_03_2026_Registre_Maintenance_v1[ID_Antenne],_26_03_2026_Registre_Maintenance_v1[Technologie],"non trouvé")</f>
        <v>4G</v>
      </c>
      <c r="J897" t="str">
        <f>_xlfn.XLOOKUP(_26_03_2026_Log_Reseau_v15[[#This Row],[Cell_ID]],_26_03_2026_Registre_Maintenance_v1[ID_Antenne],_26_03_2026_Registre_Maintenance_v1[Equipementier],"pas trouvé")</f>
        <v>Ericsson</v>
      </c>
      <c r="K897" t="str">
        <f>_xlfn.XLOOKUP(_26_03_2026_Log_Reseau_v15[[#This Row],[province RDC]],_26_03_2026_Client_Churn_v1[Province_Client],_26_03_2026_Client_Churn_v1[ID_Client],"non trouvé")</f>
        <v>CLI-00745</v>
      </c>
      <c r="L897">
        <f>_xlfn.XLOOKUP(_26_03_2026_Log_Reseau_v15[[#This Row],[province RDC]],_26_03_2026_Client_Churn_v1[Province_Client],_26_03_2026_Client_Churn_v1[Anciennete_Mois],"non trouvé")</f>
        <v>6</v>
      </c>
      <c r="M897" t="str">
        <f>_xlfn.XLOOKUP(_26_03_2026_Log_Reseau_v15[[#This Row],[province RDC]],_26_03_2026_Client_Churn_v1[Province_Client],_26_03_2026_Client_Churn_v1[Type_Forfait],"non trouvé")</f>
        <v>Premium 5G 150Go</v>
      </c>
      <c r="N897">
        <f>_xlfn.XLOOKUP(_26_03_2026_Log_Reseau_v15[[#This Row],[province RDC]],_26_03_2026_Client_Churn_v1[Province_Client],_26_03_2026_Client_Churn_v1[Duree_Cumulee_Panne_Min],"non trouvé")</f>
        <v>207</v>
      </c>
      <c r="O897">
        <f>_xlfn.XLOOKUP(_26_03_2026_Log_Reseau_v15[[#This Row],[province RDC]],_26_03_2026_Client_Churn_v1[Province_Client],_26_03_2026_Client_Churn_v1[Facture_Mensuelle],"non trouvé")</f>
        <v>61.55</v>
      </c>
      <c r="P897">
        <f>_xlfn.XLOOKUP(_26_03_2026_Log_Reseau_v15[[#This Row],[province RDC]],_26_03_2026_Client_Churn_v1[Province_Client],_26_03_2026_Client_Churn_v1[Plaintes_Service_Client],"non trouvé")</f>
        <v>0</v>
      </c>
    </row>
    <row r="898" spans="1:16" x14ac:dyDescent="0.25">
      <c r="A898" s="1">
        <v>45224</v>
      </c>
      <c r="B898" s="2">
        <v>0.11527777777777778</v>
      </c>
      <c r="C898" t="s">
        <v>1359</v>
      </c>
      <c r="D898">
        <v>45</v>
      </c>
      <c r="E898" t="s">
        <v>808</v>
      </c>
      <c r="F898" t="str">
        <f>_xlfn.XLOOKUP(_26_03_2026_Log_Reseau_v15[[#This Row],[Cell_ID]],_26_03_2026_Registre_Maintenance_v1[ID_Antenne],_26_03_2026_Registre_Maintenance_v1[zone],"pas trouvé")</f>
        <v>Tshopo</v>
      </c>
      <c r="G898">
        <f>_xlfn.XLOOKUP(_26_03_2026_Log_Reseau_v15[[#This Row],[Cell_ID]],_26_03_2026_Registre_Maintenance_v1[ID_Antenne],_26_03_2026_Registre_Maintenance_v1[Latitude],"non trouvé")</f>
        <v>-11.265995</v>
      </c>
      <c r="H898">
        <f>_xlfn.XLOOKUP(_26_03_2026_Log_Reseau_v15[[#This Row],[Cell_ID]],_26_03_2026_Registre_Maintenance_v1[ID_Antenne],_26_03_2026_Registre_Maintenance_v1[Longitude],"pas trouvé")</f>
        <v>28.935514999999999</v>
      </c>
      <c r="I898" t="str">
        <f>_xlfn.XLOOKUP(_26_03_2026_Log_Reseau_v15[[#This Row],[Cell_ID]],_26_03_2026_Registre_Maintenance_v1[ID_Antenne],_26_03_2026_Registre_Maintenance_v1[Technologie],"non trouvé")</f>
        <v>4G</v>
      </c>
      <c r="J898" t="str">
        <f>_xlfn.XLOOKUP(_26_03_2026_Log_Reseau_v15[[#This Row],[Cell_ID]],_26_03_2026_Registre_Maintenance_v1[ID_Antenne],_26_03_2026_Registre_Maintenance_v1[Equipementier],"pas trouvé")</f>
        <v>Ericsson</v>
      </c>
      <c r="K898" t="str">
        <f>_xlfn.XLOOKUP(_26_03_2026_Log_Reseau_v15[[#This Row],[province RDC]],_26_03_2026_Client_Churn_v1[Province_Client],_26_03_2026_Client_Churn_v1[ID_Client],"non trouvé")</f>
        <v>CLI-00745</v>
      </c>
      <c r="L898">
        <f>_xlfn.XLOOKUP(_26_03_2026_Log_Reseau_v15[[#This Row],[province RDC]],_26_03_2026_Client_Churn_v1[Province_Client],_26_03_2026_Client_Churn_v1[Anciennete_Mois],"non trouvé")</f>
        <v>6</v>
      </c>
      <c r="M898" t="str">
        <f>_xlfn.XLOOKUP(_26_03_2026_Log_Reseau_v15[[#This Row],[province RDC]],_26_03_2026_Client_Churn_v1[Province_Client],_26_03_2026_Client_Churn_v1[Type_Forfait],"non trouvé")</f>
        <v>Premium 5G 150Go</v>
      </c>
      <c r="N898">
        <f>_xlfn.XLOOKUP(_26_03_2026_Log_Reseau_v15[[#This Row],[province RDC]],_26_03_2026_Client_Churn_v1[Province_Client],_26_03_2026_Client_Churn_v1[Duree_Cumulee_Panne_Min],"non trouvé")</f>
        <v>207</v>
      </c>
      <c r="O898">
        <f>_xlfn.XLOOKUP(_26_03_2026_Log_Reseau_v15[[#This Row],[province RDC]],_26_03_2026_Client_Churn_v1[Province_Client],_26_03_2026_Client_Churn_v1[Facture_Mensuelle],"non trouvé")</f>
        <v>61.55</v>
      </c>
      <c r="P898">
        <f>_xlfn.XLOOKUP(_26_03_2026_Log_Reseau_v15[[#This Row],[province RDC]],_26_03_2026_Client_Churn_v1[Province_Client],_26_03_2026_Client_Churn_v1[Plaintes_Service_Client],"non trouvé")</f>
        <v>0</v>
      </c>
    </row>
    <row r="899" spans="1:16" hidden="1" x14ac:dyDescent="0.25">
      <c r="A899" s="1">
        <v>45225</v>
      </c>
      <c r="B899" s="2">
        <v>0.94930555555555551</v>
      </c>
      <c r="C899" t="s">
        <v>1360</v>
      </c>
      <c r="D899">
        <v>117</v>
      </c>
      <c r="E899" t="s">
        <v>807</v>
      </c>
      <c r="F899" t="str">
        <f>_xlfn.XLOOKUP(_26_03_2026_Log_Reseau_v15[[#This Row],[Cell_ID]],_26_03_2026_Registre_Maintenance_v1[ID_Antenne],_26_03_2026_Registre_Maintenance_v1[zone],"pas trouvé")</f>
        <v>pas trouvé</v>
      </c>
      <c r="G899" t="str">
        <f>_xlfn.XLOOKUP(_26_03_2026_Log_Reseau_v15[[#This Row],[Cell_ID]],_26_03_2026_Registre_Maintenance_v1[ID_Antenne],_26_03_2026_Registre_Maintenance_v1[Latitude],"non trouvé")</f>
        <v>non trouvé</v>
      </c>
      <c r="H899" t="str">
        <f>_xlfn.XLOOKUP(_26_03_2026_Log_Reseau_v15[[#This Row],[Cell_ID]],_26_03_2026_Registre_Maintenance_v1[ID_Antenne],_26_03_2026_Registre_Maintenance_v1[Longitude],"pas trouvé")</f>
        <v>pas trouvé</v>
      </c>
      <c r="I899" t="str">
        <f>_xlfn.XLOOKUP(_26_03_2026_Log_Reseau_v15[[#This Row],[Cell_ID]],_26_03_2026_Registre_Maintenance_v1[ID_Antenne],_26_03_2026_Registre_Maintenance_v1[Technologie],"non trouvé")</f>
        <v>non trouvé</v>
      </c>
      <c r="J899" t="str">
        <f>_xlfn.XLOOKUP(_26_03_2026_Log_Reseau_v15[[#This Row],[Cell_ID]],_26_03_2026_Registre_Maintenance_v1[ID_Antenne],_26_03_2026_Registre_Maintenance_v1[Equipementier],"pas trouvé")</f>
        <v>pas trouvé</v>
      </c>
      <c r="K899" t="str">
        <f>_xlfn.XLOOKUP(_26_03_2026_Log_Reseau_v15[[#This Row],[province RDC]],_26_03_2026_Client_Churn_v1[Province_Client],_26_03_2026_Client_Churn_v1[ID_Client],"non trouvé")</f>
        <v>non trouvé</v>
      </c>
      <c r="L899" t="str">
        <f>_xlfn.XLOOKUP(_26_03_2026_Log_Reseau_v15[[#This Row],[province RDC]],_26_03_2026_Client_Churn_v1[Province_Client],_26_03_2026_Client_Churn_v1[Anciennete_Mois],"non trouvé")</f>
        <v>non trouvé</v>
      </c>
      <c r="M899" t="str">
        <f>_xlfn.XLOOKUP(_26_03_2026_Log_Reseau_v15[[#This Row],[province RDC]],_26_03_2026_Client_Churn_v1[Province_Client],_26_03_2026_Client_Churn_v1[Type_Forfait],"non trouvé")</f>
        <v>non trouvé</v>
      </c>
      <c r="N899" t="str">
        <f>_xlfn.XLOOKUP(_26_03_2026_Log_Reseau_v15[[#This Row],[province RDC]],_26_03_2026_Client_Churn_v1[Province_Client],_26_03_2026_Client_Churn_v1[Duree_Cumulee_Panne_Min],"non trouvé")</f>
        <v>non trouvé</v>
      </c>
      <c r="O899" t="str">
        <f>_xlfn.XLOOKUP(_26_03_2026_Log_Reseau_v15[[#This Row],[province RDC]],_26_03_2026_Client_Churn_v1[Province_Client],_26_03_2026_Client_Churn_v1[Facture_Mensuelle],"non trouvé")</f>
        <v>non trouvé</v>
      </c>
      <c r="P899" t="str">
        <f>_xlfn.XLOOKUP(_26_03_2026_Log_Reseau_v15[[#This Row],[province RDC]],_26_03_2026_Client_Churn_v1[Province_Client],_26_03_2026_Client_Churn_v1[Plaintes_Service_Client],"non trouvé")</f>
        <v>non trouvé</v>
      </c>
    </row>
    <row r="900" spans="1:16" x14ac:dyDescent="0.25">
      <c r="A900" s="1">
        <v>45221</v>
      </c>
      <c r="B900" s="2">
        <v>0.55902777777777779</v>
      </c>
      <c r="C900" t="s">
        <v>1361</v>
      </c>
      <c r="D900">
        <v>22</v>
      </c>
      <c r="E900" t="s">
        <v>807</v>
      </c>
      <c r="F900" t="str">
        <f>_xlfn.XLOOKUP(_26_03_2026_Log_Reseau_v15[[#This Row],[Cell_ID]],_26_03_2026_Registre_Maintenance_v1[ID_Antenne],_26_03_2026_Registre_Maintenance_v1[zone],"pas trouvé")</f>
        <v>Kwango</v>
      </c>
      <c r="G900">
        <f>_xlfn.XLOOKUP(_26_03_2026_Log_Reseau_v15[[#This Row],[Cell_ID]],_26_03_2026_Registre_Maintenance_v1[ID_Antenne],_26_03_2026_Registre_Maintenance_v1[Latitude],"non trouvé")</f>
        <v>0.65288900000000005</v>
      </c>
      <c r="H900">
        <f>_xlfn.XLOOKUP(_26_03_2026_Log_Reseau_v15[[#This Row],[Cell_ID]],_26_03_2026_Registre_Maintenance_v1[ID_Antenne],_26_03_2026_Registre_Maintenance_v1[Longitude],"pas trouvé")</f>
        <v>24.243953999999999</v>
      </c>
      <c r="I900" t="str">
        <f>_xlfn.XLOOKUP(_26_03_2026_Log_Reseau_v15[[#This Row],[Cell_ID]],_26_03_2026_Registre_Maintenance_v1[ID_Antenne],_26_03_2026_Registre_Maintenance_v1[Technologie],"non trouvé")</f>
        <v>5G</v>
      </c>
      <c r="J900" t="str">
        <f>_xlfn.XLOOKUP(_26_03_2026_Log_Reseau_v15[[#This Row],[Cell_ID]],_26_03_2026_Registre_Maintenance_v1[ID_Antenne],_26_03_2026_Registre_Maintenance_v1[Equipementier],"pas trouvé")</f>
        <v>Ericsson</v>
      </c>
      <c r="K900" t="str">
        <f>_xlfn.XLOOKUP(_26_03_2026_Log_Reseau_v15[[#This Row],[province RDC]],_26_03_2026_Client_Churn_v1[Province_Client],_26_03_2026_Client_Churn_v1[ID_Client],"non trouvé")</f>
        <v>CLI-00569</v>
      </c>
      <c r="L900">
        <f>_xlfn.XLOOKUP(_26_03_2026_Log_Reseau_v15[[#This Row],[province RDC]],_26_03_2026_Client_Churn_v1[Province_Client],_26_03_2026_Client_Churn_v1[Anciennete_Mois],"non trouvé")</f>
        <v>110</v>
      </c>
      <c r="M900" t="str">
        <f>_xlfn.XLOOKUP(_26_03_2026_Log_Reseau_v15[[#This Row],[province RDC]],_26_03_2026_Client_Churn_v1[Province_Client],_26_03_2026_Client_Churn_v1[Type_Forfait],"non trouvé")</f>
        <v>Pro Monde</v>
      </c>
      <c r="N900">
        <f>_xlfn.XLOOKUP(_26_03_2026_Log_Reseau_v15[[#This Row],[province RDC]],_26_03_2026_Client_Churn_v1[Province_Client],_26_03_2026_Client_Churn_v1[Duree_Cumulee_Panne_Min],"non trouvé")</f>
        <v>423</v>
      </c>
      <c r="O900">
        <f>_xlfn.XLOOKUP(_26_03_2026_Log_Reseau_v15[[#This Row],[province RDC]],_26_03_2026_Client_Churn_v1[Province_Client],_26_03_2026_Client_Churn_v1[Facture_Mensuelle],"non trouvé")</f>
        <v>37.35</v>
      </c>
      <c r="P900">
        <f>_xlfn.XLOOKUP(_26_03_2026_Log_Reseau_v15[[#This Row],[province RDC]],_26_03_2026_Client_Churn_v1[Province_Client],_26_03_2026_Client_Churn_v1[Plaintes_Service_Client],"non trouvé")</f>
        <v>4</v>
      </c>
    </row>
    <row r="901" spans="1:16" hidden="1" x14ac:dyDescent="0.25">
      <c r="A901" s="1">
        <v>45219</v>
      </c>
      <c r="B901" s="2">
        <v>0.10625</v>
      </c>
      <c r="C901" t="s">
        <v>1362</v>
      </c>
      <c r="D901">
        <v>87</v>
      </c>
      <c r="E901" t="s">
        <v>808</v>
      </c>
      <c r="F901" t="str">
        <f>_xlfn.XLOOKUP(_26_03_2026_Log_Reseau_v15[[#This Row],[Cell_ID]],_26_03_2026_Registre_Maintenance_v1[ID_Antenne],_26_03_2026_Registre_Maintenance_v1[zone],"pas trouvé")</f>
        <v>pas trouvé</v>
      </c>
      <c r="G901" t="str">
        <f>_xlfn.XLOOKUP(_26_03_2026_Log_Reseau_v15[[#This Row],[Cell_ID]],_26_03_2026_Registre_Maintenance_v1[ID_Antenne],_26_03_2026_Registre_Maintenance_v1[Latitude],"non trouvé")</f>
        <v>non trouvé</v>
      </c>
      <c r="H901" t="str">
        <f>_xlfn.XLOOKUP(_26_03_2026_Log_Reseau_v15[[#This Row],[Cell_ID]],_26_03_2026_Registre_Maintenance_v1[ID_Antenne],_26_03_2026_Registre_Maintenance_v1[Longitude],"pas trouvé")</f>
        <v>pas trouvé</v>
      </c>
      <c r="I901" t="str">
        <f>_xlfn.XLOOKUP(_26_03_2026_Log_Reseau_v15[[#This Row],[Cell_ID]],_26_03_2026_Registre_Maintenance_v1[ID_Antenne],_26_03_2026_Registre_Maintenance_v1[Technologie],"non trouvé")</f>
        <v>non trouvé</v>
      </c>
      <c r="J901" t="str">
        <f>_xlfn.XLOOKUP(_26_03_2026_Log_Reseau_v15[[#This Row],[Cell_ID]],_26_03_2026_Registre_Maintenance_v1[ID_Antenne],_26_03_2026_Registre_Maintenance_v1[Equipementier],"pas trouvé")</f>
        <v>pas trouvé</v>
      </c>
      <c r="K901" t="str">
        <f>_xlfn.XLOOKUP(_26_03_2026_Log_Reseau_v15[[#This Row],[province RDC]],_26_03_2026_Client_Churn_v1[Province_Client],_26_03_2026_Client_Churn_v1[ID_Client],"non trouvé")</f>
        <v>non trouvé</v>
      </c>
      <c r="L901" t="str">
        <f>_xlfn.XLOOKUP(_26_03_2026_Log_Reseau_v15[[#This Row],[province RDC]],_26_03_2026_Client_Churn_v1[Province_Client],_26_03_2026_Client_Churn_v1[Anciennete_Mois],"non trouvé")</f>
        <v>non trouvé</v>
      </c>
      <c r="M901" t="str">
        <f>_xlfn.XLOOKUP(_26_03_2026_Log_Reseau_v15[[#This Row],[province RDC]],_26_03_2026_Client_Churn_v1[Province_Client],_26_03_2026_Client_Churn_v1[Type_Forfait],"non trouvé")</f>
        <v>non trouvé</v>
      </c>
      <c r="N901" t="str">
        <f>_xlfn.XLOOKUP(_26_03_2026_Log_Reseau_v15[[#This Row],[province RDC]],_26_03_2026_Client_Churn_v1[Province_Client],_26_03_2026_Client_Churn_v1[Duree_Cumulee_Panne_Min],"non trouvé")</f>
        <v>non trouvé</v>
      </c>
      <c r="O901" t="str">
        <f>_xlfn.XLOOKUP(_26_03_2026_Log_Reseau_v15[[#This Row],[province RDC]],_26_03_2026_Client_Churn_v1[Province_Client],_26_03_2026_Client_Churn_v1[Facture_Mensuelle],"non trouvé")</f>
        <v>non trouvé</v>
      </c>
      <c r="P901" t="str">
        <f>_xlfn.XLOOKUP(_26_03_2026_Log_Reseau_v15[[#This Row],[province RDC]],_26_03_2026_Client_Churn_v1[Province_Client],_26_03_2026_Client_Churn_v1[Plaintes_Service_Client],"non trouvé")</f>
        <v>non trouvé</v>
      </c>
    </row>
    <row r="902" spans="1:16" hidden="1" x14ac:dyDescent="0.25">
      <c r="A902" s="1">
        <v>45213</v>
      </c>
      <c r="B902" s="2">
        <v>0.59305555555555556</v>
      </c>
      <c r="C902" t="s">
        <v>1362</v>
      </c>
      <c r="D902">
        <v>50</v>
      </c>
      <c r="E902" t="s">
        <v>812</v>
      </c>
      <c r="F902" t="str">
        <f>_xlfn.XLOOKUP(_26_03_2026_Log_Reseau_v15[[#This Row],[Cell_ID]],_26_03_2026_Registre_Maintenance_v1[ID_Antenne],_26_03_2026_Registre_Maintenance_v1[zone],"pas trouvé")</f>
        <v>pas trouvé</v>
      </c>
      <c r="G902" t="str">
        <f>_xlfn.XLOOKUP(_26_03_2026_Log_Reseau_v15[[#This Row],[Cell_ID]],_26_03_2026_Registre_Maintenance_v1[ID_Antenne],_26_03_2026_Registre_Maintenance_v1[Latitude],"non trouvé")</f>
        <v>non trouvé</v>
      </c>
      <c r="H902" t="str">
        <f>_xlfn.XLOOKUP(_26_03_2026_Log_Reseau_v15[[#This Row],[Cell_ID]],_26_03_2026_Registre_Maintenance_v1[ID_Antenne],_26_03_2026_Registre_Maintenance_v1[Longitude],"pas trouvé")</f>
        <v>pas trouvé</v>
      </c>
      <c r="I902" t="str">
        <f>_xlfn.XLOOKUP(_26_03_2026_Log_Reseau_v15[[#This Row],[Cell_ID]],_26_03_2026_Registre_Maintenance_v1[ID_Antenne],_26_03_2026_Registre_Maintenance_v1[Technologie],"non trouvé")</f>
        <v>non trouvé</v>
      </c>
      <c r="J902" t="str">
        <f>_xlfn.XLOOKUP(_26_03_2026_Log_Reseau_v15[[#This Row],[Cell_ID]],_26_03_2026_Registre_Maintenance_v1[ID_Antenne],_26_03_2026_Registre_Maintenance_v1[Equipementier],"pas trouvé")</f>
        <v>pas trouvé</v>
      </c>
      <c r="K902" t="str">
        <f>_xlfn.XLOOKUP(_26_03_2026_Log_Reseau_v15[[#This Row],[province RDC]],_26_03_2026_Client_Churn_v1[Province_Client],_26_03_2026_Client_Churn_v1[ID_Client],"non trouvé")</f>
        <v>non trouvé</v>
      </c>
      <c r="L902" t="str">
        <f>_xlfn.XLOOKUP(_26_03_2026_Log_Reseau_v15[[#This Row],[province RDC]],_26_03_2026_Client_Churn_v1[Province_Client],_26_03_2026_Client_Churn_v1[Anciennete_Mois],"non trouvé")</f>
        <v>non trouvé</v>
      </c>
      <c r="M902" t="str">
        <f>_xlfn.XLOOKUP(_26_03_2026_Log_Reseau_v15[[#This Row],[province RDC]],_26_03_2026_Client_Churn_v1[Province_Client],_26_03_2026_Client_Churn_v1[Type_Forfait],"non trouvé")</f>
        <v>non trouvé</v>
      </c>
      <c r="N902" t="str">
        <f>_xlfn.XLOOKUP(_26_03_2026_Log_Reseau_v15[[#This Row],[province RDC]],_26_03_2026_Client_Churn_v1[Province_Client],_26_03_2026_Client_Churn_v1[Duree_Cumulee_Panne_Min],"non trouvé")</f>
        <v>non trouvé</v>
      </c>
      <c r="O902" t="str">
        <f>_xlfn.XLOOKUP(_26_03_2026_Log_Reseau_v15[[#This Row],[province RDC]],_26_03_2026_Client_Churn_v1[Province_Client],_26_03_2026_Client_Churn_v1[Facture_Mensuelle],"non trouvé")</f>
        <v>non trouvé</v>
      </c>
      <c r="P902" t="str">
        <f>_xlfn.XLOOKUP(_26_03_2026_Log_Reseau_v15[[#This Row],[province RDC]],_26_03_2026_Client_Churn_v1[Province_Client],_26_03_2026_Client_Churn_v1[Plaintes_Service_Client],"non trouvé")</f>
        <v>non trouvé</v>
      </c>
    </row>
    <row r="903" spans="1:16" x14ac:dyDescent="0.25">
      <c r="A903" s="1">
        <v>45209</v>
      </c>
      <c r="B903" s="2">
        <v>0.89861111111111114</v>
      </c>
      <c r="C903" t="s">
        <v>1363</v>
      </c>
      <c r="D903">
        <v>29</v>
      </c>
      <c r="E903" t="s">
        <v>808</v>
      </c>
      <c r="F903" t="str">
        <f>_xlfn.XLOOKUP(_26_03_2026_Log_Reseau_v15[[#This Row],[Cell_ID]],_26_03_2026_Registre_Maintenance_v1[ID_Antenne],_26_03_2026_Registre_Maintenance_v1[zone],"pas trouvé")</f>
        <v>Lualaba</v>
      </c>
      <c r="G903">
        <f>_xlfn.XLOOKUP(_26_03_2026_Log_Reseau_v15[[#This Row],[Cell_ID]],_26_03_2026_Registre_Maintenance_v1[ID_Antenne],_26_03_2026_Registre_Maintenance_v1[Latitude],"non trouvé")</f>
        <v>-10.872631999999999</v>
      </c>
      <c r="H903">
        <f>_xlfn.XLOOKUP(_26_03_2026_Log_Reseau_v15[[#This Row],[Cell_ID]],_26_03_2026_Registre_Maintenance_v1[ID_Antenne],_26_03_2026_Registre_Maintenance_v1[Longitude],"pas trouvé")</f>
        <v>12.773279</v>
      </c>
      <c r="I903" t="str">
        <f>_xlfn.XLOOKUP(_26_03_2026_Log_Reseau_v15[[#This Row],[Cell_ID]],_26_03_2026_Registre_Maintenance_v1[ID_Antenne],_26_03_2026_Registre_Maintenance_v1[Technologie],"non trouvé")</f>
        <v>3G</v>
      </c>
      <c r="J903" t="str">
        <f>_xlfn.XLOOKUP(_26_03_2026_Log_Reseau_v15[[#This Row],[Cell_ID]],_26_03_2026_Registre_Maintenance_v1[ID_Antenne],_26_03_2026_Registre_Maintenance_v1[Equipementier],"pas trouvé")</f>
        <v>ZTE</v>
      </c>
      <c r="K903" t="str">
        <f>_xlfn.XLOOKUP(_26_03_2026_Log_Reseau_v15[[#This Row],[province RDC]],_26_03_2026_Client_Churn_v1[Province_Client],_26_03_2026_Client_Churn_v1[ID_Client],"non trouvé")</f>
        <v>CLI-01005</v>
      </c>
      <c r="L903">
        <f>_xlfn.XLOOKUP(_26_03_2026_Log_Reseau_v15[[#This Row],[province RDC]],_26_03_2026_Client_Churn_v1[Province_Client],_26_03_2026_Client_Churn_v1[Anciennete_Mois],"non trouvé")</f>
        <v>80</v>
      </c>
      <c r="M903" t="str">
        <f>_xlfn.XLOOKUP(_26_03_2026_Log_Reseau_v15[[#This Row],[province RDC]],_26_03_2026_Client_Churn_v1[Province_Client],_26_03_2026_Client_Churn_v1[Type_Forfait],"non trouvé")</f>
        <v>Illimité 50Go</v>
      </c>
      <c r="N903">
        <f>_xlfn.XLOOKUP(_26_03_2026_Log_Reseau_v15[[#This Row],[province RDC]],_26_03_2026_Client_Churn_v1[Province_Client],_26_03_2026_Client_Churn_v1[Duree_Cumulee_Panne_Min],"non trouvé")</f>
        <v>155</v>
      </c>
      <c r="O903">
        <f>_xlfn.XLOOKUP(_26_03_2026_Log_Reseau_v15[[#This Row],[province RDC]],_26_03_2026_Client_Churn_v1[Province_Client],_26_03_2026_Client_Churn_v1[Facture_Mensuelle],"non trouvé")</f>
        <v>28.96</v>
      </c>
      <c r="P903">
        <f>_xlfn.XLOOKUP(_26_03_2026_Log_Reseau_v15[[#This Row],[province RDC]],_26_03_2026_Client_Churn_v1[Province_Client],_26_03_2026_Client_Churn_v1[Plaintes_Service_Client],"non trouvé")</f>
        <v>2</v>
      </c>
    </row>
    <row r="904" spans="1:16" x14ac:dyDescent="0.25">
      <c r="A904" s="1">
        <v>45208</v>
      </c>
      <c r="B904" s="2">
        <v>0.52847222222222223</v>
      </c>
      <c r="C904" t="s">
        <v>1363</v>
      </c>
      <c r="D904">
        <v>33</v>
      </c>
      <c r="E904" t="s">
        <v>808</v>
      </c>
      <c r="F904" t="str">
        <f>_xlfn.XLOOKUP(_26_03_2026_Log_Reseau_v15[[#This Row],[Cell_ID]],_26_03_2026_Registre_Maintenance_v1[ID_Antenne],_26_03_2026_Registre_Maintenance_v1[zone],"pas trouvé")</f>
        <v>Lualaba</v>
      </c>
      <c r="G904">
        <f>_xlfn.XLOOKUP(_26_03_2026_Log_Reseau_v15[[#This Row],[Cell_ID]],_26_03_2026_Registre_Maintenance_v1[ID_Antenne],_26_03_2026_Registre_Maintenance_v1[Latitude],"non trouvé")</f>
        <v>-10.872631999999999</v>
      </c>
      <c r="H904">
        <f>_xlfn.XLOOKUP(_26_03_2026_Log_Reseau_v15[[#This Row],[Cell_ID]],_26_03_2026_Registre_Maintenance_v1[ID_Antenne],_26_03_2026_Registre_Maintenance_v1[Longitude],"pas trouvé")</f>
        <v>12.773279</v>
      </c>
      <c r="I904" t="str">
        <f>_xlfn.XLOOKUP(_26_03_2026_Log_Reseau_v15[[#This Row],[Cell_ID]],_26_03_2026_Registre_Maintenance_v1[ID_Antenne],_26_03_2026_Registre_Maintenance_v1[Technologie],"non trouvé")</f>
        <v>3G</v>
      </c>
      <c r="J904" t="str">
        <f>_xlfn.XLOOKUP(_26_03_2026_Log_Reseau_v15[[#This Row],[Cell_ID]],_26_03_2026_Registre_Maintenance_v1[ID_Antenne],_26_03_2026_Registre_Maintenance_v1[Equipementier],"pas trouvé")</f>
        <v>ZTE</v>
      </c>
      <c r="K904" t="str">
        <f>_xlfn.XLOOKUP(_26_03_2026_Log_Reseau_v15[[#This Row],[province RDC]],_26_03_2026_Client_Churn_v1[Province_Client],_26_03_2026_Client_Churn_v1[ID_Client],"non trouvé")</f>
        <v>CLI-01005</v>
      </c>
      <c r="L904">
        <f>_xlfn.XLOOKUP(_26_03_2026_Log_Reseau_v15[[#This Row],[province RDC]],_26_03_2026_Client_Churn_v1[Province_Client],_26_03_2026_Client_Churn_v1[Anciennete_Mois],"non trouvé")</f>
        <v>80</v>
      </c>
      <c r="M904" t="str">
        <f>_xlfn.XLOOKUP(_26_03_2026_Log_Reseau_v15[[#This Row],[province RDC]],_26_03_2026_Client_Churn_v1[Province_Client],_26_03_2026_Client_Churn_v1[Type_Forfait],"non trouvé")</f>
        <v>Illimité 50Go</v>
      </c>
      <c r="N904">
        <f>_xlfn.XLOOKUP(_26_03_2026_Log_Reseau_v15[[#This Row],[province RDC]],_26_03_2026_Client_Churn_v1[Province_Client],_26_03_2026_Client_Churn_v1[Duree_Cumulee_Panne_Min],"non trouvé")</f>
        <v>155</v>
      </c>
      <c r="O904">
        <f>_xlfn.XLOOKUP(_26_03_2026_Log_Reseau_v15[[#This Row],[province RDC]],_26_03_2026_Client_Churn_v1[Province_Client],_26_03_2026_Client_Churn_v1[Facture_Mensuelle],"non trouvé")</f>
        <v>28.96</v>
      </c>
      <c r="P904">
        <f>_xlfn.XLOOKUP(_26_03_2026_Log_Reseau_v15[[#This Row],[province RDC]],_26_03_2026_Client_Churn_v1[Province_Client],_26_03_2026_Client_Churn_v1[Plaintes_Service_Client],"non trouvé")</f>
        <v>2</v>
      </c>
    </row>
    <row r="905" spans="1:16" x14ac:dyDescent="0.25">
      <c r="A905" s="1">
        <v>45207</v>
      </c>
      <c r="B905" s="2">
        <v>0.14930555555555555</v>
      </c>
      <c r="C905" t="s">
        <v>1363</v>
      </c>
      <c r="D905">
        <v>101</v>
      </c>
      <c r="E905" t="s">
        <v>812</v>
      </c>
      <c r="F905" t="str">
        <f>_xlfn.XLOOKUP(_26_03_2026_Log_Reseau_v15[[#This Row],[Cell_ID]],_26_03_2026_Registre_Maintenance_v1[ID_Antenne],_26_03_2026_Registre_Maintenance_v1[zone],"pas trouvé")</f>
        <v>Lualaba</v>
      </c>
      <c r="G905">
        <f>_xlfn.XLOOKUP(_26_03_2026_Log_Reseau_v15[[#This Row],[Cell_ID]],_26_03_2026_Registre_Maintenance_v1[ID_Antenne],_26_03_2026_Registre_Maintenance_v1[Latitude],"non trouvé")</f>
        <v>-10.872631999999999</v>
      </c>
      <c r="H905">
        <f>_xlfn.XLOOKUP(_26_03_2026_Log_Reseau_v15[[#This Row],[Cell_ID]],_26_03_2026_Registre_Maintenance_v1[ID_Antenne],_26_03_2026_Registre_Maintenance_v1[Longitude],"pas trouvé")</f>
        <v>12.773279</v>
      </c>
      <c r="I905" t="str">
        <f>_xlfn.XLOOKUP(_26_03_2026_Log_Reseau_v15[[#This Row],[Cell_ID]],_26_03_2026_Registre_Maintenance_v1[ID_Antenne],_26_03_2026_Registre_Maintenance_v1[Technologie],"non trouvé")</f>
        <v>3G</v>
      </c>
      <c r="J905" t="str">
        <f>_xlfn.XLOOKUP(_26_03_2026_Log_Reseau_v15[[#This Row],[Cell_ID]],_26_03_2026_Registre_Maintenance_v1[ID_Antenne],_26_03_2026_Registre_Maintenance_v1[Equipementier],"pas trouvé")</f>
        <v>ZTE</v>
      </c>
      <c r="K905" t="str">
        <f>_xlfn.XLOOKUP(_26_03_2026_Log_Reseau_v15[[#This Row],[province RDC]],_26_03_2026_Client_Churn_v1[Province_Client],_26_03_2026_Client_Churn_v1[ID_Client],"non trouvé")</f>
        <v>CLI-01005</v>
      </c>
      <c r="L905">
        <f>_xlfn.XLOOKUP(_26_03_2026_Log_Reseau_v15[[#This Row],[province RDC]],_26_03_2026_Client_Churn_v1[Province_Client],_26_03_2026_Client_Churn_v1[Anciennete_Mois],"non trouvé")</f>
        <v>80</v>
      </c>
      <c r="M905" t="str">
        <f>_xlfn.XLOOKUP(_26_03_2026_Log_Reseau_v15[[#This Row],[province RDC]],_26_03_2026_Client_Churn_v1[Province_Client],_26_03_2026_Client_Churn_v1[Type_Forfait],"non trouvé")</f>
        <v>Illimité 50Go</v>
      </c>
      <c r="N905">
        <f>_xlfn.XLOOKUP(_26_03_2026_Log_Reseau_v15[[#This Row],[province RDC]],_26_03_2026_Client_Churn_v1[Province_Client],_26_03_2026_Client_Churn_v1[Duree_Cumulee_Panne_Min],"non trouvé")</f>
        <v>155</v>
      </c>
      <c r="O905">
        <f>_xlfn.XLOOKUP(_26_03_2026_Log_Reseau_v15[[#This Row],[province RDC]],_26_03_2026_Client_Churn_v1[Province_Client],_26_03_2026_Client_Churn_v1[Facture_Mensuelle],"non trouvé")</f>
        <v>28.96</v>
      </c>
      <c r="P905">
        <f>_xlfn.XLOOKUP(_26_03_2026_Log_Reseau_v15[[#This Row],[province RDC]],_26_03_2026_Client_Churn_v1[Province_Client],_26_03_2026_Client_Churn_v1[Plaintes_Service_Client],"non trouvé")</f>
        <v>2</v>
      </c>
    </row>
    <row r="906" spans="1:16" x14ac:dyDescent="0.25">
      <c r="A906" s="1">
        <v>45230</v>
      </c>
      <c r="B906" s="2">
        <v>0.59513888888888888</v>
      </c>
      <c r="C906" t="s">
        <v>1364</v>
      </c>
      <c r="D906">
        <v>14</v>
      </c>
      <c r="E906" t="s">
        <v>807</v>
      </c>
      <c r="F906" t="str">
        <f>_xlfn.XLOOKUP(_26_03_2026_Log_Reseau_v15[[#This Row],[Cell_ID]],_26_03_2026_Registre_Maintenance_v1[ID_Antenne],_26_03_2026_Registre_Maintenance_v1[zone],"pas trouvé")</f>
        <v>Kinshasa</v>
      </c>
      <c r="G906">
        <f>_xlfn.XLOOKUP(_26_03_2026_Log_Reseau_v15[[#This Row],[Cell_ID]],_26_03_2026_Registre_Maintenance_v1[ID_Antenne],_26_03_2026_Registre_Maintenance_v1[Latitude],"non trouvé")</f>
        <v>-7.1079169999999996</v>
      </c>
      <c r="H906">
        <f>_xlfn.XLOOKUP(_26_03_2026_Log_Reseau_v15[[#This Row],[Cell_ID]],_26_03_2026_Registre_Maintenance_v1[ID_Antenne],_26_03_2026_Registre_Maintenance_v1[Longitude],"pas trouvé")</f>
        <v>13.636272</v>
      </c>
      <c r="I906" t="str">
        <f>_xlfn.XLOOKUP(_26_03_2026_Log_Reseau_v15[[#This Row],[Cell_ID]],_26_03_2026_Registre_Maintenance_v1[ID_Antenne],_26_03_2026_Registre_Maintenance_v1[Technologie],"non trouvé")</f>
        <v>5G</v>
      </c>
      <c r="J906" t="str">
        <f>_xlfn.XLOOKUP(_26_03_2026_Log_Reseau_v15[[#This Row],[Cell_ID]],_26_03_2026_Registre_Maintenance_v1[ID_Antenne],_26_03_2026_Registre_Maintenance_v1[Equipementier],"pas trouvé")</f>
        <v>Nokia</v>
      </c>
      <c r="K906" t="str">
        <f>_xlfn.XLOOKUP(_26_03_2026_Log_Reseau_v15[[#This Row],[province RDC]],_26_03_2026_Client_Churn_v1[Province_Client],_26_03_2026_Client_Churn_v1[ID_Client],"non trouvé")</f>
        <v>CLI-00611</v>
      </c>
      <c r="L906">
        <f>_xlfn.XLOOKUP(_26_03_2026_Log_Reseau_v15[[#This Row],[province RDC]],_26_03_2026_Client_Churn_v1[Province_Client],_26_03_2026_Client_Churn_v1[Anciennete_Mois],"non trouvé")</f>
        <v>79</v>
      </c>
      <c r="M906" t="str">
        <f>_xlfn.XLOOKUP(_26_03_2026_Log_Reseau_v15[[#This Row],[province RDC]],_26_03_2026_Client_Churn_v1[Province_Client],_26_03_2026_Client_Churn_v1[Type_Forfait],"non trouvé")</f>
        <v>Premium 5G 150Go</v>
      </c>
      <c r="N906">
        <f>_xlfn.XLOOKUP(_26_03_2026_Log_Reseau_v15[[#This Row],[province RDC]],_26_03_2026_Client_Churn_v1[Province_Client],_26_03_2026_Client_Churn_v1[Duree_Cumulee_Panne_Min],"non trouvé")</f>
        <v>226</v>
      </c>
      <c r="O906">
        <f>_xlfn.XLOOKUP(_26_03_2026_Log_Reseau_v15[[#This Row],[province RDC]],_26_03_2026_Client_Churn_v1[Province_Client],_26_03_2026_Client_Churn_v1[Facture_Mensuelle],"non trouvé")</f>
        <v>94.38</v>
      </c>
      <c r="P906">
        <f>_xlfn.XLOOKUP(_26_03_2026_Log_Reseau_v15[[#This Row],[province RDC]],_26_03_2026_Client_Churn_v1[Province_Client],_26_03_2026_Client_Churn_v1[Plaintes_Service_Client],"non trouvé")</f>
        <v>3</v>
      </c>
    </row>
    <row r="907" spans="1:16" x14ac:dyDescent="0.25">
      <c r="A907" s="1">
        <v>45227</v>
      </c>
      <c r="B907" s="2">
        <v>0.8979166666666667</v>
      </c>
      <c r="C907" t="s">
        <v>1364</v>
      </c>
      <c r="D907">
        <v>61</v>
      </c>
      <c r="E907" t="s">
        <v>807</v>
      </c>
      <c r="F907" t="str">
        <f>_xlfn.XLOOKUP(_26_03_2026_Log_Reseau_v15[[#This Row],[Cell_ID]],_26_03_2026_Registre_Maintenance_v1[ID_Antenne],_26_03_2026_Registre_Maintenance_v1[zone],"pas trouvé")</f>
        <v>Kinshasa</v>
      </c>
      <c r="G907">
        <f>_xlfn.XLOOKUP(_26_03_2026_Log_Reseau_v15[[#This Row],[Cell_ID]],_26_03_2026_Registre_Maintenance_v1[ID_Antenne],_26_03_2026_Registre_Maintenance_v1[Latitude],"non trouvé")</f>
        <v>-7.1079169999999996</v>
      </c>
      <c r="H907">
        <f>_xlfn.XLOOKUP(_26_03_2026_Log_Reseau_v15[[#This Row],[Cell_ID]],_26_03_2026_Registre_Maintenance_v1[ID_Antenne],_26_03_2026_Registre_Maintenance_v1[Longitude],"pas trouvé")</f>
        <v>13.636272</v>
      </c>
      <c r="I907" t="str">
        <f>_xlfn.XLOOKUP(_26_03_2026_Log_Reseau_v15[[#This Row],[Cell_ID]],_26_03_2026_Registre_Maintenance_v1[ID_Antenne],_26_03_2026_Registre_Maintenance_v1[Technologie],"non trouvé")</f>
        <v>5G</v>
      </c>
      <c r="J907" t="str">
        <f>_xlfn.XLOOKUP(_26_03_2026_Log_Reseau_v15[[#This Row],[Cell_ID]],_26_03_2026_Registre_Maintenance_v1[ID_Antenne],_26_03_2026_Registre_Maintenance_v1[Equipementier],"pas trouvé")</f>
        <v>Nokia</v>
      </c>
      <c r="K907" t="str">
        <f>_xlfn.XLOOKUP(_26_03_2026_Log_Reseau_v15[[#This Row],[province RDC]],_26_03_2026_Client_Churn_v1[Province_Client],_26_03_2026_Client_Churn_v1[ID_Client],"non trouvé")</f>
        <v>CLI-00611</v>
      </c>
      <c r="L907">
        <f>_xlfn.XLOOKUP(_26_03_2026_Log_Reseau_v15[[#This Row],[province RDC]],_26_03_2026_Client_Churn_v1[Province_Client],_26_03_2026_Client_Churn_v1[Anciennete_Mois],"non trouvé")</f>
        <v>79</v>
      </c>
      <c r="M907" t="str">
        <f>_xlfn.XLOOKUP(_26_03_2026_Log_Reseau_v15[[#This Row],[province RDC]],_26_03_2026_Client_Churn_v1[Province_Client],_26_03_2026_Client_Churn_v1[Type_Forfait],"non trouvé")</f>
        <v>Premium 5G 150Go</v>
      </c>
      <c r="N907">
        <f>_xlfn.XLOOKUP(_26_03_2026_Log_Reseau_v15[[#This Row],[province RDC]],_26_03_2026_Client_Churn_v1[Province_Client],_26_03_2026_Client_Churn_v1[Duree_Cumulee_Panne_Min],"non trouvé")</f>
        <v>226</v>
      </c>
      <c r="O907">
        <f>_xlfn.XLOOKUP(_26_03_2026_Log_Reseau_v15[[#This Row],[province RDC]],_26_03_2026_Client_Churn_v1[Province_Client],_26_03_2026_Client_Churn_v1[Facture_Mensuelle],"non trouvé")</f>
        <v>94.38</v>
      </c>
      <c r="P907">
        <f>_xlfn.XLOOKUP(_26_03_2026_Log_Reseau_v15[[#This Row],[province RDC]],_26_03_2026_Client_Churn_v1[Province_Client],_26_03_2026_Client_Churn_v1[Plaintes_Service_Client],"non trouvé")</f>
        <v>3</v>
      </c>
    </row>
    <row r="908" spans="1:16" hidden="1" x14ac:dyDescent="0.25">
      <c r="A908" s="1">
        <v>45217</v>
      </c>
      <c r="B908" s="2">
        <v>0.86319444444444449</v>
      </c>
      <c r="C908" t="s">
        <v>1365</v>
      </c>
      <c r="D908">
        <v>89</v>
      </c>
      <c r="E908" t="s">
        <v>807</v>
      </c>
      <c r="F908" t="str">
        <f>_xlfn.XLOOKUP(_26_03_2026_Log_Reseau_v15[[#This Row],[Cell_ID]],_26_03_2026_Registre_Maintenance_v1[ID_Antenne],_26_03_2026_Registre_Maintenance_v1[zone],"pas trouvé")</f>
        <v>pas trouvé</v>
      </c>
      <c r="G908" t="str">
        <f>_xlfn.XLOOKUP(_26_03_2026_Log_Reseau_v15[[#This Row],[Cell_ID]],_26_03_2026_Registre_Maintenance_v1[ID_Antenne],_26_03_2026_Registre_Maintenance_v1[Latitude],"non trouvé")</f>
        <v>non trouvé</v>
      </c>
      <c r="H908" t="str">
        <f>_xlfn.XLOOKUP(_26_03_2026_Log_Reseau_v15[[#This Row],[Cell_ID]],_26_03_2026_Registre_Maintenance_v1[ID_Antenne],_26_03_2026_Registre_Maintenance_v1[Longitude],"pas trouvé")</f>
        <v>pas trouvé</v>
      </c>
      <c r="I908" t="str">
        <f>_xlfn.XLOOKUP(_26_03_2026_Log_Reseau_v15[[#This Row],[Cell_ID]],_26_03_2026_Registre_Maintenance_v1[ID_Antenne],_26_03_2026_Registre_Maintenance_v1[Technologie],"non trouvé")</f>
        <v>non trouvé</v>
      </c>
      <c r="J908" t="str">
        <f>_xlfn.XLOOKUP(_26_03_2026_Log_Reseau_v15[[#This Row],[Cell_ID]],_26_03_2026_Registre_Maintenance_v1[ID_Antenne],_26_03_2026_Registre_Maintenance_v1[Equipementier],"pas trouvé")</f>
        <v>pas trouvé</v>
      </c>
      <c r="K908" t="str">
        <f>_xlfn.XLOOKUP(_26_03_2026_Log_Reseau_v15[[#This Row],[province RDC]],_26_03_2026_Client_Churn_v1[Province_Client],_26_03_2026_Client_Churn_v1[ID_Client],"non trouvé")</f>
        <v>non trouvé</v>
      </c>
      <c r="L908" t="str">
        <f>_xlfn.XLOOKUP(_26_03_2026_Log_Reseau_v15[[#This Row],[province RDC]],_26_03_2026_Client_Churn_v1[Province_Client],_26_03_2026_Client_Churn_v1[Anciennete_Mois],"non trouvé")</f>
        <v>non trouvé</v>
      </c>
      <c r="M908" t="str">
        <f>_xlfn.XLOOKUP(_26_03_2026_Log_Reseau_v15[[#This Row],[province RDC]],_26_03_2026_Client_Churn_v1[Province_Client],_26_03_2026_Client_Churn_v1[Type_Forfait],"non trouvé")</f>
        <v>non trouvé</v>
      </c>
      <c r="N908" t="str">
        <f>_xlfn.XLOOKUP(_26_03_2026_Log_Reseau_v15[[#This Row],[province RDC]],_26_03_2026_Client_Churn_v1[Province_Client],_26_03_2026_Client_Churn_v1[Duree_Cumulee_Panne_Min],"non trouvé")</f>
        <v>non trouvé</v>
      </c>
      <c r="O908" t="str">
        <f>_xlfn.XLOOKUP(_26_03_2026_Log_Reseau_v15[[#This Row],[province RDC]],_26_03_2026_Client_Churn_v1[Province_Client],_26_03_2026_Client_Churn_v1[Facture_Mensuelle],"non trouvé")</f>
        <v>non trouvé</v>
      </c>
      <c r="P908" t="str">
        <f>_xlfn.XLOOKUP(_26_03_2026_Log_Reseau_v15[[#This Row],[province RDC]],_26_03_2026_Client_Churn_v1[Province_Client],_26_03_2026_Client_Churn_v1[Plaintes_Service_Client],"non trouvé")</f>
        <v>non trouvé</v>
      </c>
    </row>
    <row r="909" spans="1:16" x14ac:dyDescent="0.25">
      <c r="A909" s="1">
        <v>45230</v>
      </c>
      <c r="B909" s="2">
        <v>0.84722222222222221</v>
      </c>
      <c r="C909" t="s">
        <v>1366</v>
      </c>
      <c r="D909">
        <v>58</v>
      </c>
      <c r="E909" t="s">
        <v>812</v>
      </c>
      <c r="F909" t="str">
        <f>_xlfn.XLOOKUP(_26_03_2026_Log_Reseau_v15[[#This Row],[Cell_ID]],_26_03_2026_Registre_Maintenance_v1[ID_Antenne],_26_03_2026_Registre_Maintenance_v1[zone],"pas trouvé")</f>
        <v>Kwilu</v>
      </c>
      <c r="G909">
        <f>_xlfn.XLOOKUP(_26_03_2026_Log_Reseau_v15[[#This Row],[Cell_ID]],_26_03_2026_Registre_Maintenance_v1[ID_Antenne],_26_03_2026_Registre_Maintenance_v1[Latitude],"non trouvé")</f>
        <v>-5.9021970000000001</v>
      </c>
      <c r="H909">
        <f>_xlfn.XLOOKUP(_26_03_2026_Log_Reseau_v15[[#This Row],[Cell_ID]],_26_03_2026_Registre_Maintenance_v1[ID_Antenne],_26_03_2026_Registre_Maintenance_v1[Longitude],"pas trouvé")</f>
        <v>20.551169999999999</v>
      </c>
      <c r="I909" t="str">
        <f>_xlfn.XLOOKUP(_26_03_2026_Log_Reseau_v15[[#This Row],[Cell_ID]],_26_03_2026_Registre_Maintenance_v1[ID_Antenne],_26_03_2026_Registre_Maintenance_v1[Technologie],"non trouvé")</f>
        <v>3G</v>
      </c>
      <c r="J909" t="str">
        <f>_xlfn.XLOOKUP(_26_03_2026_Log_Reseau_v15[[#This Row],[Cell_ID]],_26_03_2026_Registre_Maintenance_v1[ID_Antenne],_26_03_2026_Registre_Maintenance_v1[Equipementier],"pas trouvé")</f>
        <v>Huawei</v>
      </c>
      <c r="K909" t="str">
        <f>_xlfn.XLOOKUP(_26_03_2026_Log_Reseau_v15[[#This Row],[province RDC]],_26_03_2026_Client_Churn_v1[Province_Client],_26_03_2026_Client_Churn_v1[ID_Client],"non trouvé")</f>
        <v>CLI-00996</v>
      </c>
      <c r="L909">
        <f>_xlfn.XLOOKUP(_26_03_2026_Log_Reseau_v15[[#This Row],[province RDC]],_26_03_2026_Client_Churn_v1[Province_Client],_26_03_2026_Client_Churn_v1[Anciennete_Mois],"non trouvé")</f>
        <v>119</v>
      </c>
      <c r="M909" t="str">
        <f>_xlfn.XLOOKUP(_26_03_2026_Log_Reseau_v15[[#This Row],[province RDC]],_26_03_2026_Client_Churn_v1[Province_Client],_26_03_2026_Client_Churn_v1[Type_Forfait],"non trouvé")</f>
        <v>Illimité 50Go</v>
      </c>
      <c r="N909">
        <f>_xlfn.XLOOKUP(_26_03_2026_Log_Reseau_v15[[#This Row],[province RDC]],_26_03_2026_Client_Churn_v1[Province_Client],_26_03_2026_Client_Churn_v1[Duree_Cumulee_Panne_Min],"non trouvé")</f>
        <v>228</v>
      </c>
      <c r="O909">
        <f>_xlfn.XLOOKUP(_26_03_2026_Log_Reseau_v15[[#This Row],[province RDC]],_26_03_2026_Client_Churn_v1[Province_Client],_26_03_2026_Client_Churn_v1[Facture_Mensuelle],"non trouvé")</f>
        <v>94.72</v>
      </c>
      <c r="P909">
        <f>_xlfn.XLOOKUP(_26_03_2026_Log_Reseau_v15[[#This Row],[province RDC]],_26_03_2026_Client_Churn_v1[Province_Client],_26_03_2026_Client_Churn_v1[Plaintes_Service_Client],"non trouvé")</f>
        <v>3</v>
      </c>
    </row>
    <row r="910" spans="1:16" x14ac:dyDescent="0.25">
      <c r="A910" s="1">
        <v>45207</v>
      </c>
      <c r="B910" s="2">
        <v>0.10277777777777777</v>
      </c>
      <c r="C910" t="s">
        <v>1366</v>
      </c>
      <c r="D910">
        <v>41</v>
      </c>
      <c r="E910" t="s">
        <v>807</v>
      </c>
      <c r="F910" t="str">
        <f>_xlfn.XLOOKUP(_26_03_2026_Log_Reseau_v15[[#This Row],[Cell_ID]],_26_03_2026_Registre_Maintenance_v1[ID_Antenne],_26_03_2026_Registre_Maintenance_v1[zone],"pas trouvé")</f>
        <v>Kwilu</v>
      </c>
      <c r="G910">
        <f>_xlfn.XLOOKUP(_26_03_2026_Log_Reseau_v15[[#This Row],[Cell_ID]],_26_03_2026_Registre_Maintenance_v1[ID_Antenne],_26_03_2026_Registre_Maintenance_v1[Latitude],"non trouvé")</f>
        <v>-5.9021970000000001</v>
      </c>
      <c r="H910">
        <f>_xlfn.XLOOKUP(_26_03_2026_Log_Reseau_v15[[#This Row],[Cell_ID]],_26_03_2026_Registre_Maintenance_v1[ID_Antenne],_26_03_2026_Registre_Maintenance_v1[Longitude],"pas trouvé")</f>
        <v>20.551169999999999</v>
      </c>
      <c r="I910" t="str">
        <f>_xlfn.XLOOKUP(_26_03_2026_Log_Reseau_v15[[#This Row],[Cell_ID]],_26_03_2026_Registre_Maintenance_v1[ID_Antenne],_26_03_2026_Registre_Maintenance_v1[Technologie],"non trouvé")</f>
        <v>3G</v>
      </c>
      <c r="J910" t="str">
        <f>_xlfn.XLOOKUP(_26_03_2026_Log_Reseau_v15[[#This Row],[Cell_ID]],_26_03_2026_Registre_Maintenance_v1[ID_Antenne],_26_03_2026_Registre_Maintenance_v1[Equipementier],"pas trouvé")</f>
        <v>Huawei</v>
      </c>
      <c r="K910" t="str">
        <f>_xlfn.XLOOKUP(_26_03_2026_Log_Reseau_v15[[#This Row],[province RDC]],_26_03_2026_Client_Churn_v1[Province_Client],_26_03_2026_Client_Churn_v1[ID_Client],"non trouvé")</f>
        <v>CLI-00996</v>
      </c>
      <c r="L910">
        <f>_xlfn.XLOOKUP(_26_03_2026_Log_Reseau_v15[[#This Row],[province RDC]],_26_03_2026_Client_Churn_v1[Province_Client],_26_03_2026_Client_Churn_v1[Anciennete_Mois],"non trouvé")</f>
        <v>119</v>
      </c>
      <c r="M910" t="str">
        <f>_xlfn.XLOOKUP(_26_03_2026_Log_Reseau_v15[[#This Row],[province RDC]],_26_03_2026_Client_Churn_v1[Province_Client],_26_03_2026_Client_Churn_v1[Type_Forfait],"non trouvé")</f>
        <v>Illimité 50Go</v>
      </c>
      <c r="N910">
        <f>_xlfn.XLOOKUP(_26_03_2026_Log_Reseau_v15[[#This Row],[province RDC]],_26_03_2026_Client_Churn_v1[Province_Client],_26_03_2026_Client_Churn_v1[Duree_Cumulee_Panne_Min],"non trouvé")</f>
        <v>228</v>
      </c>
      <c r="O910">
        <f>_xlfn.XLOOKUP(_26_03_2026_Log_Reseau_v15[[#This Row],[province RDC]],_26_03_2026_Client_Churn_v1[Province_Client],_26_03_2026_Client_Churn_v1[Facture_Mensuelle],"non trouvé")</f>
        <v>94.72</v>
      </c>
      <c r="P910">
        <f>_xlfn.XLOOKUP(_26_03_2026_Log_Reseau_v15[[#This Row],[province RDC]],_26_03_2026_Client_Churn_v1[Province_Client],_26_03_2026_Client_Churn_v1[Plaintes_Service_Client],"non trouvé")</f>
        <v>3</v>
      </c>
    </row>
    <row r="911" spans="1:16" hidden="1" x14ac:dyDescent="0.25">
      <c r="A911" s="1">
        <v>45207</v>
      </c>
      <c r="B911" s="2">
        <v>0.61111111111111116</v>
      </c>
      <c r="C911" t="s">
        <v>1367</v>
      </c>
      <c r="D911">
        <v>107</v>
      </c>
      <c r="E911" t="s">
        <v>808</v>
      </c>
      <c r="F911" t="str">
        <f>_xlfn.XLOOKUP(_26_03_2026_Log_Reseau_v15[[#This Row],[Cell_ID]],_26_03_2026_Registre_Maintenance_v1[ID_Antenne],_26_03_2026_Registre_Maintenance_v1[zone],"pas trouvé")</f>
        <v>pas trouvé</v>
      </c>
      <c r="G911" t="str">
        <f>_xlfn.XLOOKUP(_26_03_2026_Log_Reseau_v15[[#This Row],[Cell_ID]],_26_03_2026_Registre_Maintenance_v1[ID_Antenne],_26_03_2026_Registre_Maintenance_v1[Latitude],"non trouvé")</f>
        <v>non trouvé</v>
      </c>
      <c r="H911" t="str">
        <f>_xlfn.XLOOKUP(_26_03_2026_Log_Reseau_v15[[#This Row],[Cell_ID]],_26_03_2026_Registre_Maintenance_v1[ID_Antenne],_26_03_2026_Registre_Maintenance_v1[Longitude],"pas trouvé")</f>
        <v>pas trouvé</v>
      </c>
      <c r="I911" t="str">
        <f>_xlfn.XLOOKUP(_26_03_2026_Log_Reseau_v15[[#This Row],[Cell_ID]],_26_03_2026_Registre_Maintenance_v1[ID_Antenne],_26_03_2026_Registre_Maintenance_v1[Technologie],"non trouvé")</f>
        <v>non trouvé</v>
      </c>
      <c r="J911" t="str">
        <f>_xlfn.XLOOKUP(_26_03_2026_Log_Reseau_v15[[#This Row],[Cell_ID]],_26_03_2026_Registre_Maintenance_v1[ID_Antenne],_26_03_2026_Registre_Maintenance_v1[Equipementier],"pas trouvé")</f>
        <v>pas trouvé</v>
      </c>
      <c r="K911" t="str">
        <f>_xlfn.XLOOKUP(_26_03_2026_Log_Reseau_v15[[#This Row],[province RDC]],_26_03_2026_Client_Churn_v1[Province_Client],_26_03_2026_Client_Churn_v1[ID_Client],"non trouvé")</f>
        <v>non trouvé</v>
      </c>
      <c r="L911" t="str">
        <f>_xlfn.XLOOKUP(_26_03_2026_Log_Reseau_v15[[#This Row],[province RDC]],_26_03_2026_Client_Churn_v1[Province_Client],_26_03_2026_Client_Churn_v1[Anciennete_Mois],"non trouvé")</f>
        <v>non trouvé</v>
      </c>
      <c r="M911" t="str">
        <f>_xlfn.XLOOKUP(_26_03_2026_Log_Reseau_v15[[#This Row],[province RDC]],_26_03_2026_Client_Churn_v1[Province_Client],_26_03_2026_Client_Churn_v1[Type_Forfait],"non trouvé")</f>
        <v>non trouvé</v>
      </c>
      <c r="N911" t="str">
        <f>_xlfn.XLOOKUP(_26_03_2026_Log_Reseau_v15[[#This Row],[province RDC]],_26_03_2026_Client_Churn_v1[Province_Client],_26_03_2026_Client_Churn_v1[Duree_Cumulee_Panne_Min],"non trouvé")</f>
        <v>non trouvé</v>
      </c>
      <c r="O911" t="str">
        <f>_xlfn.XLOOKUP(_26_03_2026_Log_Reseau_v15[[#This Row],[province RDC]],_26_03_2026_Client_Churn_v1[Province_Client],_26_03_2026_Client_Churn_v1[Facture_Mensuelle],"non trouvé")</f>
        <v>non trouvé</v>
      </c>
      <c r="P911" t="str">
        <f>_xlfn.XLOOKUP(_26_03_2026_Log_Reseau_v15[[#This Row],[province RDC]],_26_03_2026_Client_Churn_v1[Province_Client],_26_03_2026_Client_Churn_v1[Plaintes_Service_Client],"non trouvé")</f>
        <v>non trouvé</v>
      </c>
    </row>
    <row r="912" spans="1:16" hidden="1" x14ac:dyDescent="0.25">
      <c r="A912" s="1">
        <v>45220</v>
      </c>
      <c r="B912" s="2">
        <v>0.96875</v>
      </c>
      <c r="C912" t="s">
        <v>1367</v>
      </c>
      <c r="D912">
        <v>103</v>
      </c>
      <c r="E912" t="s">
        <v>807</v>
      </c>
      <c r="F912" t="str">
        <f>_xlfn.XLOOKUP(_26_03_2026_Log_Reseau_v15[[#This Row],[Cell_ID]],_26_03_2026_Registre_Maintenance_v1[ID_Antenne],_26_03_2026_Registre_Maintenance_v1[zone],"pas trouvé")</f>
        <v>pas trouvé</v>
      </c>
      <c r="G912" t="str">
        <f>_xlfn.XLOOKUP(_26_03_2026_Log_Reseau_v15[[#This Row],[Cell_ID]],_26_03_2026_Registre_Maintenance_v1[ID_Antenne],_26_03_2026_Registre_Maintenance_v1[Latitude],"non trouvé")</f>
        <v>non trouvé</v>
      </c>
      <c r="H912" t="str">
        <f>_xlfn.XLOOKUP(_26_03_2026_Log_Reseau_v15[[#This Row],[Cell_ID]],_26_03_2026_Registre_Maintenance_v1[ID_Antenne],_26_03_2026_Registre_Maintenance_v1[Longitude],"pas trouvé")</f>
        <v>pas trouvé</v>
      </c>
      <c r="I912" t="str">
        <f>_xlfn.XLOOKUP(_26_03_2026_Log_Reseau_v15[[#This Row],[Cell_ID]],_26_03_2026_Registre_Maintenance_v1[ID_Antenne],_26_03_2026_Registre_Maintenance_v1[Technologie],"non trouvé")</f>
        <v>non trouvé</v>
      </c>
      <c r="J912" t="str">
        <f>_xlfn.XLOOKUP(_26_03_2026_Log_Reseau_v15[[#This Row],[Cell_ID]],_26_03_2026_Registre_Maintenance_v1[ID_Antenne],_26_03_2026_Registre_Maintenance_v1[Equipementier],"pas trouvé")</f>
        <v>pas trouvé</v>
      </c>
      <c r="K912" t="str">
        <f>_xlfn.XLOOKUP(_26_03_2026_Log_Reseau_v15[[#This Row],[province RDC]],_26_03_2026_Client_Churn_v1[Province_Client],_26_03_2026_Client_Churn_v1[ID_Client],"non trouvé")</f>
        <v>non trouvé</v>
      </c>
      <c r="L912" t="str">
        <f>_xlfn.XLOOKUP(_26_03_2026_Log_Reseau_v15[[#This Row],[province RDC]],_26_03_2026_Client_Churn_v1[Province_Client],_26_03_2026_Client_Churn_v1[Anciennete_Mois],"non trouvé")</f>
        <v>non trouvé</v>
      </c>
      <c r="M912" t="str">
        <f>_xlfn.XLOOKUP(_26_03_2026_Log_Reseau_v15[[#This Row],[province RDC]],_26_03_2026_Client_Churn_v1[Province_Client],_26_03_2026_Client_Churn_v1[Type_Forfait],"non trouvé")</f>
        <v>non trouvé</v>
      </c>
      <c r="N912" t="str">
        <f>_xlfn.XLOOKUP(_26_03_2026_Log_Reseau_v15[[#This Row],[province RDC]],_26_03_2026_Client_Churn_v1[Province_Client],_26_03_2026_Client_Churn_v1[Duree_Cumulee_Panne_Min],"non trouvé")</f>
        <v>non trouvé</v>
      </c>
      <c r="O912" t="str">
        <f>_xlfn.XLOOKUP(_26_03_2026_Log_Reseau_v15[[#This Row],[province RDC]],_26_03_2026_Client_Churn_v1[Province_Client],_26_03_2026_Client_Churn_v1[Facture_Mensuelle],"non trouvé")</f>
        <v>non trouvé</v>
      </c>
      <c r="P912" t="str">
        <f>_xlfn.XLOOKUP(_26_03_2026_Log_Reseau_v15[[#This Row],[province RDC]],_26_03_2026_Client_Churn_v1[Province_Client],_26_03_2026_Client_Churn_v1[Plaintes_Service_Client],"non trouvé")</f>
        <v>non trouvé</v>
      </c>
    </row>
    <row r="913" spans="1:16" hidden="1" x14ac:dyDescent="0.25">
      <c r="A913" s="1">
        <v>45213</v>
      </c>
      <c r="B913" s="2">
        <v>0.1125</v>
      </c>
      <c r="C913" t="s">
        <v>1367</v>
      </c>
      <c r="D913">
        <v>93</v>
      </c>
      <c r="E913" t="s">
        <v>807</v>
      </c>
      <c r="F913" t="str">
        <f>_xlfn.XLOOKUP(_26_03_2026_Log_Reseau_v15[[#This Row],[Cell_ID]],_26_03_2026_Registre_Maintenance_v1[ID_Antenne],_26_03_2026_Registre_Maintenance_v1[zone],"pas trouvé")</f>
        <v>pas trouvé</v>
      </c>
      <c r="G913" t="str">
        <f>_xlfn.XLOOKUP(_26_03_2026_Log_Reseau_v15[[#This Row],[Cell_ID]],_26_03_2026_Registre_Maintenance_v1[ID_Antenne],_26_03_2026_Registre_Maintenance_v1[Latitude],"non trouvé")</f>
        <v>non trouvé</v>
      </c>
      <c r="H913" t="str">
        <f>_xlfn.XLOOKUP(_26_03_2026_Log_Reseau_v15[[#This Row],[Cell_ID]],_26_03_2026_Registre_Maintenance_v1[ID_Antenne],_26_03_2026_Registre_Maintenance_v1[Longitude],"pas trouvé")</f>
        <v>pas trouvé</v>
      </c>
      <c r="I913" t="str">
        <f>_xlfn.XLOOKUP(_26_03_2026_Log_Reseau_v15[[#This Row],[Cell_ID]],_26_03_2026_Registre_Maintenance_v1[ID_Antenne],_26_03_2026_Registre_Maintenance_v1[Technologie],"non trouvé")</f>
        <v>non trouvé</v>
      </c>
      <c r="J913" t="str">
        <f>_xlfn.XLOOKUP(_26_03_2026_Log_Reseau_v15[[#This Row],[Cell_ID]],_26_03_2026_Registre_Maintenance_v1[ID_Antenne],_26_03_2026_Registre_Maintenance_v1[Equipementier],"pas trouvé")</f>
        <v>pas trouvé</v>
      </c>
      <c r="K913" t="str">
        <f>_xlfn.XLOOKUP(_26_03_2026_Log_Reseau_v15[[#This Row],[province RDC]],_26_03_2026_Client_Churn_v1[Province_Client],_26_03_2026_Client_Churn_v1[ID_Client],"non trouvé")</f>
        <v>non trouvé</v>
      </c>
      <c r="L913" t="str">
        <f>_xlfn.XLOOKUP(_26_03_2026_Log_Reseau_v15[[#This Row],[province RDC]],_26_03_2026_Client_Churn_v1[Province_Client],_26_03_2026_Client_Churn_v1[Anciennete_Mois],"non trouvé")</f>
        <v>non trouvé</v>
      </c>
      <c r="M913" t="str">
        <f>_xlfn.XLOOKUP(_26_03_2026_Log_Reseau_v15[[#This Row],[province RDC]],_26_03_2026_Client_Churn_v1[Province_Client],_26_03_2026_Client_Churn_v1[Type_Forfait],"non trouvé")</f>
        <v>non trouvé</v>
      </c>
      <c r="N913" t="str">
        <f>_xlfn.XLOOKUP(_26_03_2026_Log_Reseau_v15[[#This Row],[province RDC]],_26_03_2026_Client_Churn_v1[Province_Client],_26_03_2026_Client_Churn_v1[Duree_Cumulee_Panne_Min],"non trouvé")</f>
        <v>non trouvé</v>
      </c>
      <c r="O913" t="str">
        <f>_xlfn.XLOOKUP(_26_03_2026_Log_Reseau_v15[[#This Row],[province RDC]],_26_03_2026_Client_Churn_v1[Province_Client],_26_03_2026_Client_Churn_v1[Facture_Mensuelle],"non trouvé")</f>
        <v>non trouvé</v>
      </c>
      <c r="P913" t="str">
        <f>_xlfn.XLOOKUP(_26_03_2026_Log_Reseau_v15[[#This Row],[province RDC]],_26_03_2026_Client_Churn_v1[Province_Client],_26_03_2026_Client_Churn_v1[Plaintes_Service_Client],"non trouvé")</f>
        <v>non trouvé</v>
      </c>
    </row>
    <row r="914" spans="1:16" x14ac:dyDescent="0.25">
      <c r="A914" s="1">
        <v>45221</v>
      </c>
      <c r="B914" s="2">
        <v>0.92847222222222225</v>
      </c>
      <c r="C914" t="s">
        <v>1368</v>
      </c>
      <c r="D914">
        <v>21</v>
      </c>
      <c r="E914" t="s">
        <v>807</v>
      </c>
      <c r="F914" t="str">
        <f>_xlfn.XLOOKUP(_26_03_2026_Log_Reseau_v15[[#This Row],[Cell_ID]],_26_03_2026_Registre_Maintenance_v1[ID_Antenne],_26_03_2026_Registre_Maintenance_v1[zone],"pas trouvé")</f>
        <v>Sud-Kivu</v>
      </c>
      <c r="G914">
        <f>_xlfn.XLOOKUP(_26_03_2026_Log_Reseau_v15[[#This Row],[Cell_ID]],_26_03_2026_Registre_Maintenance_v1[ID_Antenne],_26_03_2026_Registre_Maintenance_v1[Latitude],"non trouvé")</f>
        <v>4.2493650000000001</v>
      </c>
      <c r="H914">
        <f>_xlfn.XLOOKUP(_26_03_2026_Log_Reseau_v15[[#This Row],[Cell_ID]],_26_03_2026_Registre_Maintenance_v1[ID_Antenne],_26_03_2026_Registre_Maintenance_v1[Longitude],"pas trouvé")</f>
        <v>28.355039999999999</v>
      </c>
      <c r="I914" t="str">
        <f>_xlfn.XLOOKUP(_26_03_2026_Log_Reseau_v15[[#This Row],[Cell_ID]],_26_03_2026_Registre_Maintenance_v1[ID_Antenne],_26_03_2026_Registre_Maintenance_v1[Technologie],"non trouvé")</f>
        <v>3G</v>
      </c>
      <c r="J914" t="str">
        <f>_xlfn.XLOOKUP(_26_03_2026_Log_Reseau_v15[[#This Row],[Cell_ID]],_26_03_2026_Registre_Maintenance_v1[ID_Antenne],_26_03_2026_Registre_Maintenance_v1[Equipementier],"pas trouvé")</f>
        <v>ZTE</v>
      </c>
      <c r="K914" t="str">
        <f>_xlfn.XLOOKUP(_26_03_2026_Log_Reseau_v15[[#This Row],[province RDC]],_26_03_2026_Client_Churn_v1[Province_Client],_26_03_2026_Client_Churn_v1[ID_Client],"non trouvé")</f>
        <v>CLI-01855</v>
      </c>
      <c r="L914">
        <f>_xlfn.XLOOKUP(_26_03_2026_Log_Reseau_v15[[#This Row],[province RDC]],_26_03_2026_Client_Churn_v1[Province_Client],_26_03_2026_Client_Churn_v1[Anciennete_Mois],"non trouvé")</f>
        <v>101</v>
      </c>
      <c r="M914" t="str">
        <f>_xlfn.XLOOKUP(_26_03_2026_Log_Reseau_v15[[#This Row],[province RDC]],_26_03_2026_Client_Churn_v1[Province_Client],_26_03_2026_Client_Churn_v1[Type_Forfait],"non trouvé")</f>
        <v>Illimité 50Go</v>
      </c>
      <c r="N914">
        <f>_xlfn.XLOOKUP(_26_03_2026_Log_Reseau_v15[[#This Row],[province RDC]],_26_03_2026_Client_Churn_v1[Province_Client],_26_03_2026_Client_Churn_v1[Duree_Cumulee_Panne_Min],"non trouvé")</f>
        <v>358</v>
      </c>
      <c r="O914">
        <f>_xlfn.XLOOKUP(_26_03_2026_Log_Reseau_v15[[#This Row],[province RDC]],_26_03_2026_Client_Churn_v1[Province_Client],_26_03_2026_Client_Churn_v1[Facture_Mensuelle],"non trouvé")</f>
        <v>29.24</v>
      </c>
      <c r="P914">
        <f>_xlfn.XLOOKUP(_26_03_2026_Log_Reseau_v15[[#This Row],[province RDC]],_26_03_2026_Client_Churn_v1[Province_Client],_26_03_2026_Client_Churn_v1[Plaintes_Service_Client],"non trouvé")</f>
        <v>3</v>
      </c>
    </row>
    <row r="915" spans="1:16" x14ac:dyDescent="0.25">
      <c r="A915" s="1">
        <v>45226</v>
      </c>
      <c r="B915" s="2">
        <v>7.7083333333333337E-2</v>
      </c>
      <c r="C915" t="s">
        <v>1368</v>
      </c>
      <c r="D915">
        <v>101</v>
      </c>
      <c r="E915" t="s">
        <v>807</v>
      </c>
      <c r="F915" t="str">
        <f>_xlfn.XLOOKUP(_26_03_2026_Log_Reseau_v15[[#This Row],[Cell_ID]],_26_03_2026_Registre_Maintenance_v1[ID_Antenne],_26_03_2026_Registre_Maintenance_v1[zone],"pas trouvé")</f>
        <v>Sud-Kivu</v>
      </c>
      <c r="G915">
        <f>_xlfn.XLOOKUP(_26_03_2026_Log_Reseau_v15[[#This Row],[Cell_ID]],_26_03_2026_Registre_Maintenance_v1[ID_Antenne],_26_03_2026_Registre_Maintenance_v1[Latitude],"non trouvé")</f>
        <v>4.2493650000000001</v>
      </c>
      <c r="H915">
        <f>_xlfn.XLOOKUP(_26_03_2026_Log_Reseau_v15[[#This Row],[Cell_ID]],_26_03_2026_Registre_Maintenance_v1[ID_Antenne],_26_03_2026_Registre_Maintenance_v1[Longitude],"pas trouvé")</f>
        <v>28.355039999999999</v>
      </c>
      <c r="I915" t="str">
        <f>_xlfn.XLOOKUP(_26_03_2026_Log_Reseau_v15[[#This Row],[Cell_ID]],_26_03_2026_Registre_Maintenance_v1[ID_Antenne],_26_03_2026_Registre_Maintenance_v1[Technologie],"non trouvé")</f>
        <v>3G</v>
      </c>
      <c r="J915" t="str">
        <f>_xlfn.XLOOKUP(_26_03_2026_Log_Reseau_v15[[#This Row],[Cell_ID]],_26_03_2026_Registre_Maintenance_v1[ID_Antenne],_26_03_2026_Registre_Maintenance_v1[Equipementier],"pas trouvé")</f>
        <v>ZTE</v>
      </c>
      <c r="K915" t="str">
        <f>_xlfn.XLOOKUP(_26_03_2026_Log_Reseau_v15[[#This Row],[province RDC]],_26_03_2026_Client_Churn_v1[Province_Client],_26_03_2026_Client_Churn_v1[ID_Client],"non trouvé")</f>
        <v>CLI-01855</v>
      </c>
      <c r="L915">
        <f>_xlfn.XLOOKUP(_26_03_2026_Log_Reseau_v15[[#This Row],[province RDC]],_26_03_2026_Client_Churn_v1[Province_Client],_26_03_2026_Client_Churn_v1[Anciennete_Mois],"non trouvé")</f>
        <v>101</v>
      </c>
      <c r="M915" t="str">
        <f>_xlfn.XLOOKUP(_26_03_2026_Log_Reseau_v15[[#This Row],[province RDC]],_26_03_2026_Client_Churn_v1[Province_Client],_26_03_2026_Client_Churn_v1[Type_Forfait],"non trouvé")</f>
        <v>Illimité 50Go</v>
      </c>
      <c r="N915">
        <f>_xlfn.XLOOKUP(_26_03_2026_Log_Reseau_v15[[#This Row],[province RDC]],_26_03_2026_Client_Churn_v1[Province_Client],_26_03_2026_Client_Churn_v1[Duree_Cumulee_Panne_Min],"non trouvé")</f>
        <v>358</v>
      </c>
      <c r="O915">
        <f>_xlfn.XLOOKUP(_26_03_2026_Log_Reseau_v15[[#This Row],[province RDC]],_26_03_2026_Client_Churn_v1[Province_Client],_26_03_2026_Client_Churn_v1[Facture_Mensuelle],"non trouvé")</f>
        <v>29.24</v>
      </c>
      <c r="P915">
        <f>_xlfn.XLOOKUP(_26_03_2026_Log_Reseau_v15[[#This Row],[province RDC]],_26_03_2026_Client_Churn_v1[Province_Client],_26_03_2026_Client_Churn_v1[Plaintes_Service_Client],"non trouvé")</f>
        <v>3</v>
      </c>
    </row>
    <row r="916" spans="1:16" x14ac:dyDescent="0.25">
      <c r="A916" s="1">
        <v>45219</v>
      </c>
      <c r="B916" s="2">
        <v>0.82638888888888884</v>
      </c>
      <c r="C916" t="s">
        <v>1368</v>
      </c>
      <c r="D916">
        <v>93</v>
      </c>
      <c r="E916" t="s">
        <v>812</v>
      </c>
      <c r="F916" t="str">
        <f>_xlfn.XLOOKUP(_26_03_2026_Log_Reseau_v15[[#This Row],[Cell_ID]],_26_03_2026_Registre_Maintenance_v1[ID_Antenne],_26_03_2026_Registre_Maintenance_v1[zone],"pas trouvé")</f>
        <v>Sud-Kivu</v>
      </c>
      <c r="G916">
        <f>_xlfn.XLOOKUP(_26_03_2026_Log_Reseau_v15[[#This Row],[Cell_ID]],_26_03_2026_Registre_Maintenance_v1[ID_Antenne],_26_03_2026_Registre_Maintenance_v1[Latitude],"non trouvé")</f>
        <v>4.2493650000000001</v>
      </c>
      <c r="H916">
        <f>_xlfn.XLOOKUP(_26_03_2026_Log_Reseau_v15[[#This Row],[Cell_ID]],_26_03_2026_Registre_Maintenance_v1[ID_Antenne],_26_03_2026_Registre_Maintenance_v1[Longitude],"pas trouvé")</f>
        <v>28.355039999999999</v>
      </c>
      <c r="I916" t="str">
        <f>_xlfn.XLOOKUP(_26_03_2026_Log_Reseau_v15[[#This Row],[Cell_ID]],_26_03_2026_Registre_Maintenance_v1[ID_Antenne],_26_03_2026_Registre_Maintenance_v1[Technologie],"non trouvé")</f>
        <v>3G</v>
      </c>
      <c r="J916" t="str">
        <f>_xlfn.XLOOKUP(_26_03_2026_Log_Reseau_v15[[#This Row],[Cell_ID]],_26_03_2026_Registre_Maintenance_v1[ID_Antenne],_26_03_2026_Registre_Maintenance_v1[Equipementier],"pas trouvé")</f>
        <v>ZTE</v>
      </c>
      <c r="K916" t="str">
        <f>_xlfn.XLOOKUP(_26_03_2026_Log_Reseau_v15[[#This Row],[province RDC]],_26_03_2026_Client_Churn_v1[Province_Client],_26_03_2026_Client_Churn_v1[ID_Client],"non trouvé")</f>
        <v>CLI-01855</v>
      </c>
      <c r="L916">
        <f>_xlfn.XLOOKUP(_26_03_2026_Log_Reseau_v15[[#This Row],[province RDC]],_26_03_2026_Client_Churn_v1[Province_Client],_26_03_2026_Client_Churn_v1[Anciennete_Mois],"non trouvé")</f>
        <v>101</v>
      </c>
      <c r="M916" t="str">
        <f>_xlfn.XLOOKUP(_26_03_2026_Log_Reseau_v15[[#This Row],[province RDC]],_26_03_2026_Client_Churn_v1[Province_Client],_26_03_2026_Client_Churn_v1[Type_Forfait],"non trouvé")</f>
        <v>Illimité 50Go</v>
      </c>
      <c r="N916">
        <f>_xlfn.XLOOKUP(_26_03_2026_Log_Reseau_v15[[#This Row],[province RDC]],_26_03_2026_Client_Churn_v1[Province_Client],_26_03_2026_Client_Churn_v1[Duree_Cumulee_Panne_Min],"non trouvé")</f>
        <v>358</v>
      </c>
      <c r="O916">
        <f>_xlfn.XLOOKUP(_26_03_2026_Log_Reseau_v15[[#This Row],[province RDC]],_26_03_2026_Client_Churn_v1[Province_Client],_26_03_2026_Client_Churn_v1[Facture_Mensuelle],"non trouvé")</f>
        <v>29.24</v>
      </c>
      <c r="P916">
        <f>_xlfn.XLOOKUP(_26_03_2026_Log_Reseau_v15[[#This Row],[province RDC]],_26_03_2026_Client_Churn_v1[Province_Client],_26_03_2026_Client_Churn_v1[Plaintes_Service_Client],"non trouvé")</f>
        <v>3</v>
      </c>
    </row>
    <row r="917" spans="1:16" x14ac:dyDescent="0.25">
      <c r="A917" s="1">
        <v>45221</v>
      </c>
      <c r="B917" s="2">
        <v>0.77500000000000002</v>
      </c>
      <c r="C917" t="s">
        <v>1369</v>
      </c>
      <c r="D917">
        <v>24</v>
      </c>
      <c r="E917" t="s">
        <v>807</v>
      </c>
      <c r="F917" t="str">
        <f>_xlfn.XLOOKUP(_26_03_2026_Log_Reseau_v15[[#This Row],[Cell_ID]],_26_03_2026_Registre_Maintenance_v1[ID_Antenne],_26_03_2026_Registre_Maintenance_v1[zone],"pas trouvé")</f>
        <v>Mongala</v>
      </c>
      <c r="G917">
        <f>_xlfn.XLOOKUP(_26_03_2026_Log_Reseau_v15[[#This Row],[Cell_ID]],_26_03_2026_Registre_Maintenance_v1[ID_Antenne],_26_03_2026_Registre_Maintenance_v1[Latitude],"non trouvé")</f>
        <v>-11.514188000000001</v>
      </c>
      <c r="H917">
        <f>_xlfn.XLOOKUP(_26_03_2026_Log_Reseau_v15[[#This Row],[Cell_ID]],_26_03_2026_Registre_Maintenance_v1[ID_Antenne],_26_03_2026_Registre_Maintenance_v1[Longitude],"pas trouvé")</f>
        <v>15.971181</v>
      </c>
      <c r="I917" t="str">
        <f>_xlfn.XLOOKUP(_26_03_2026_Log_Reseau_v15[[#This Row],[Cell_ID]],_26_03_2026_Registre_Maintenance_v1[ID_Antenne],_26_03_2026_Registre_Maintenance_v1[Technologie],"non trouvé")</f>
        <v>5G</v>
      </c>
      <c r="J917" t="str">
        <f>_xlfn.XLOOKUP(_26_03_2026_Log_Reseau_v15[[#This Row],[Cell_ID]],_26_03_2026_Registre_Maintenance_v1[ID_Antenne],_26_03_2026_Registre_Maintenance_v1[Equipementier],"pas trouvé")</f>
        <v>Ericsson</v>
      </c>
      <c r="K917" t="str">
        <f>_xlfn.XLOOKUP(_26_03_2026_Log_Reseau_v15[[#This Row],[province RDC]],_26_03_2026_Client_Churn_v1[Province_Client],_26_03_2026_Client_Churn_v1[ID_Client],"non trouvé")</f>
        <v>CLI-00865</v>
      </c>
      <c r="L917">
        <f>_xlfn.XLOOKUP(_26_03_2026_Log_Reseau_v15[[#This Row],[province RDC]],_26_03_2026_Client_Churn_v1[Province_Client],_26_03_2026_Client_Churn_v1[Anciennete_Mois],"non trouvé")</f>
        <v>34</v>
      </c>
      <c r="M917" t="str">
        <f>_xlfn.XLOOKUP(_26_03_2026_Log_Reseau_v15[[#This Row],[province RDC]],_26_03_2026_Client_Churn_v1[Province_Client],_26_03_2026_Client_Churn_v1[Type_Forfait],"non trouvé")</f>
        <v>Pro Monde</v>
      </c>
      <c r="N917">
        <f>_xlfn.XLOOKUP(_26_03_2026_Log_Reseau_v15[[#This Row],[province RDC]],_26_03_2026_Client_Churn_v1[Province_Client],_26_03_2026_Client_Churn_v1[Duree_Cumulee_Panne_Min],"non trouvé")</f>
        <v>453</v>
      </c>
      <c r="O917">
        <f>_xlfn.XLOOKUP(_26_03_2026_Log_Reseau_v15[[#This Row],[province RDC]],_26_03_2026_Client_Churn_v1[Province_Client],_26_03_2026_Client_Churn_v1[Facture_Mensuelle],"non trouvé")</f>
        <v>56.84</v>
      </c>
      <c r="P917">
        <f>_xlfn.XLOOKUP(_26_03_2026_Log_Reseau_v15[[#This Row],[province RDC]],_26_03_2026_Client_Churn_v1[Province_Client],_26_03_2026_Client_Churn_v1[Plaintes_Service_Client],"non trouvé")</f>
        <v>0</v>
      </c>
    </row>
    <row r="918" spans="1:16" x14ac:dyDescent="0.25">
      <c r="A918" s="1">
        <v>45205</v>
      </c>
      <c r="B918" s="2">
        <v>0.52986111111111112</v>
      </c>
      <c r="C918" t="s">
        <v>1369</v>
      </c>
      <c r="D918">
        <v>74</v>
      </c>
      <c r="E918" t="s">
        <v>808</v>
      </c>
      <c r="F918" t="str">
        <f>_xlfn.XLOOKUP(_26_03_2026_Log_Reseau_v15[[#This Row],[Cell_ID]],_26_03_2026_Registre_Maintenance_v1[ID_Antenne],_26_03_2026_Registre_Maintenance_v1[zone],"pas trouvé")</f>
        <v>Mongala</v>
      </c>
      <c r="G918">
        <f>_xlfn.XLOOKUP(_26_03_2026_Log_Reseau_v15[[#This Row],[Cell_ID]],_26_03_2026_Registre_Maintenance_v1[ID_Antenne],_26_03_2026_Registre_Maintenance_v1[Latitude],"non trouvé")</f>
        <v>-11.514188000000001</v>
      </c>
      <c r="H918">
        <f>_xlfn.XLOOKUP(_26_03_2026_Log_Reseau_v15[[#This Row],[Cell_ID]],_26_03_2026_Registre_Maintenance_v1[ID_Antenne],_26_03_2026_Registre_Maintenance_v1[Longitude],"pas trouvé")</f>
        <v>15.971181</v>
      </c>
      <c r="I918" t="str">
        <f>_xlfn.XLOOKUP(_26_03_2026_Log_Reseau_v15[[#This Row],[Cell_ID]],_26_03_2026_Registre_Maintenance_v1[ID_Antenne],_26_03_2026_Registre_Maintenance_v1[Technologie],"non trouvé")</f>
        <v>5G</v>
      </c>
      <c r="J918" t="str">
        <f>_xlfn.XLOOKUP(_26_03_2026_Log_Reseau_v15[[#This Row],[Cell_ID]],_26_03_2026_Registre_Maintenance_v1[ID_Antenne],_26_03_2026_Registre_Maintenance_v1[Equipementier],"pas trouvé")</f>
        <v>Ericsson</v>
      </c>
      <c r="K918" t="str">
        <f>_xlfn.XLOOKUP(_26_03_2026_Log_Reseau_v15[[#This Row],[province RDC]],_26_03_2026_Client_Churn_v1[Province_Client],_26_03_2026_Client_Churn_v1[ID_Client],"non trouvé")</f>
        <v>CLI-00865</v>
      </c>
      <c r="L918">
        <f>_xlfn.XLOOKUP(_26_03_2026_Log_Reseau_v15[[#This Row],[province RDC]],_26_03_2026_Client_Churn_v1[Province_Client],_26_03_2026_Client_Churn_v1[Anciennete_Mois],"non trouvé")</f>
        <v>34</v>
      </c>
      <c r="M918" t="str">
        <f>_xlfn.XLOOKUP(_26_03_2026_Log_Reseau_v15[[#This Row],[province RDC]],_26_03_2026_Client_Churn_v1[Province_Client],_26_03_2026_Client_Churn_v1[Type_Forfait],"non trouvé")</f>
        <v>Pro Monde</v>
      </c>
      <c r="N918">
        <f>_xlfn.XLOOKUP(_26_03_2026_Log_Reseau_v15[[#This Row],[province RDC]],_26_03_2026_Client_Churn_v1[Province_Client],_26_03_2026_Client_Churn_v1[Duree_Cumulee_Panne_Min],"non trouvé")</f>
        <v>453</v>
      </c>
      <c r="O918">
        <f>_xlfn.XLOOKUP(_26_03_2026_Log_Reseau_v15[[#This Row],[province RDC]],_26_03_2026_Client_Churn_v1[Province_Client],_26_03_2026_Client_Churn_v1[Facture_Mensuelle],"non trouvé")</f>
        <v>56.84</v>
      </c>
      <c r="P918">
        <f>_xlfn.XLOOKUP(_26_03_2026_Log_Reseau_v15[[#This Row],[province RDC]],_26_03_2026_Client_Churn_v1[Province_Client],_26_03_2026_Client_Churn_v1[Plaintes_Service_Client],"non trouvé")</f>
        <v>0</v>
      </c>
    </row>
    <row r="919" spans="1:16" x14ac:dyDescent="0.25">
      <c r="A919" s="1">
        <v>45230</v>
      </c>
      <c r="B919" s="2">
        <v>0.99791666666666667</v>
      </c>
      <c r="C919" t="s">
        <v>1370</v>
      </c>
      <c r="D919">
        <v>72</v>
      </c>
      <c r="E919" t="s">
        <v>812</v>
      </c>
      <c r="F919" t="str">
        <f>_xlfn.XLOOKUP(_26_03_2026_Log_Reseau_v15[[#This Row],[Cell_ID]],_26_03_2026_Registre_Maintenance_v1[ID_Antenne],_26_03_2026_Registre_Maintenance_v1[zone],"pas trouvé")</f>
        <v>Ituri</v>
      </c>
      <c r="G919">
        <f>_xlfn.XLOOKUP(_26_03_2026_Log_Reseau_v15[[#This Row],[Cell_ID]],_26_03_2026_Registre_Maintenance_v1[ID_Antenne],_26_03_2026_Registre_Maintenance_v1[Latitude],"non trouvé")</f>
        <v>-1.9120569999999999</v>
      </c>
      <c r="H919">
        <f>_xlfn.XLOOKUP(_26_03_2026_Log_Reseau_v15[[#This Row],[Cell_ID]],_26_03_2026_Registre_Maintenance_v1[ID_Antenne],_26_03_2026_Registre_Maintenance_v1[Longitude],"pas trouvé")</f>
        <v>15.236072999999999</v>
      </c>
      <c r="I919" t="str">
        <f>_xlfn.XLOOKUP(_26_03_2026_Log_Reseau_v15[[#This Row],[Cell_ID]],_26_03_2026_Registre_Maintenance_v1[ID_Antenne],_26_03_2026_Registre_Maintenance_v1[Technologie],"non trouvé")</f>
        <v>5G</v>
      </c>
      <c r="J919" t="str">
        <f>_xlfn.XLOOKUP(_26_03_2026_Log_Reseau_v15[[#This Row],[Cell_ID]],_26_03_2026_Registre_Maintenance_v1[ID_Antenne],_26_03_2026_Registre_Maintenance_v1[Equipementier],"pas trouvé")</f>
        <v>Huawei</v>
      </c>
      <c r="K919" t="str">
        <f>_xlfn.XLOOKUP(_26_03_2026_Log_Reseau_v15[[#This Row],[province RDC]],_26_03_2026_Client_Churn_v1[Province_Client],_26_03_2026_Client_Churn_v1[ID_Client],"non trouvé")</f>
        <v>CLI-01147</v>
      </c>
      <c r="L919">
        <f>_xlfn.XLOOKUP(_26_03_2026_Log_Reseau_v15[[#This Row],[province RDC]],_26_03_2026_Client_Churn_v1[Province_Client],_26_03_2026_Client_Churn_v1[Anciennete_Mois],"non trouvé")</f>
        <v>29</v>
      </c>
      <c r="M919" t="str">
        <f>_xlfn.XLOOKUP(_26_03_2026_Log_Reseau_v15[[#This Row],[province RDC]],_26_03_2026_Client_Churn_v1[Province_Client],_26_03_2026_Client_Churn_v1[Type_Forfait],"non trouvé")</f>
        <v>Premium 5G 150Go</v>
      </c>
      <c r="N919">
        <f>_xlfn.XLOOKUP(_26_03_2026_Log_Reseau_v15[[#This Row],[province RDC]],_26_03_2026_Client_Churn_v1[Province_Client],_26_03_2026_Client_Churn_v1[Duree_Cumulee_Panne_Min],"non trouvé")</f>
        <v>214</v>
      </c>
      <c r="O919">
        <f>_xlfn.XLOOKUP(_26_03_2026_Log_Reseau_v15[[#This Row],[province RDC]],_26_03_2026_Client_Churn_v1[Province_Client],_26_03_2026_Client_Churn_v1[Facture_Mensuelle],"non trouvé")</f>
        <v>74.7</v>
      </c>
      <c r="P919">
        <f>_xlfn.XLOOKUP(_26_03_2026_Log_Reseau_v15[[#This Row],[province RDC]],_26_03_2026_Client_Churn_v1[Province_Client],_26_03_2026_Client_Churn_v1[Plaintes_Service_Client],"non trouvé")</f>
        <v>3</v>
      </c>
    </row>
    <row r="920" spans="1:16" hidden="1" x14ac:dyDescent="0.25">
      <c r="A920" s="1">
        <v>45215</v>
      </c>
      <c r="B920" s="2">
        <v>1.6666666666666666E-2</v>
      </c>
      <c r="C920" t="s">
        <v>1371</v>
      </c>
      <c r="D920">
        <v>35</v>
      </c>
      <c r="E920" t="s">
        <v>808</v>
      </c>
      <c r="F920" t="str">
        <f>_xlfn.XLOOKUP(_26_03_2026_Log_Reseau_v15[[#This Row],[Cell_ID]],_26_03_2026_Registre_Maintenance_v1[ID_Antenne],_26_03_2026_Registre_Maintenance_v1[zone],"pas trouvé")</f>
        <v>pas trouvé</v>
      </c>
      <c r="G920" t="str">
        <f>_xlfn.XLOOKUP(_26_03_2026_Log_Reseau_v15[[#This Row],[Cell_ID]],_26_03_2026_Registre_Maintenance_v1[ID_Antenne],_26_03_2026_Registre_Maintenance_v1[Latitude],"non trouvé")</f>
        <v>non trouvé</v>
      </c>
      <c r="H920" t="str">
        <f>_xlfn.XLOOKUP(_26_03_2026_Log_Reseau_v15[[#This Row],[Cell_ID]],_26_03_2026_Registre_Maintenance_v1[ID_Antenne],_26_03_2026_Registre_Maintenance_v1[Longitude],"pas trouvé")</f>
        <v>pas trouvé</v>
      </c>
      <c r="I920" t="str">
        <f>_xlfn.XLOOKUP(_26_03_2026_Log_Reseau_v15[[#This Row],[Cell_ID]],_26_03_2026_Registre_Maintenance_v1[ID_Antenne],_26_03_2026_Registre_Maintenance_v1[Technologie],"non trouvé")</f>
        <v>non trouvé</v>
      </c>
      <c r="J920" t="str">
        <f>_xlfn.XLOOKUP(_26_03_2026_Log_Reseau_v15[[#This Row],[Cell_ID]],_26_03_2026_Registre_Maintenance_v1[ID_Antenne],_26_03_2026_Registre_Maintenance_v1[Equipementier],"pas trouvé")</f>
        <v>pas trouvé</v>
      </c>
      <c r="K920" t="str">
        <f>_xlfn.XLOOKUP(_26_03_2026_Log_Reseau_v15[[#This Row],[province RDC]],_26_03_2026_Client_Churn_v1[Province_Client],_26_03_2026_Client_Churn_v1[ID_Client],"non trouvé")</f>
        <v>non trouvé</v>
      </c>
      <c r="L920" t="str">
        <f>_xlfn.XLOOKUP(_26_03_2026_Log_Reseau_v15[[#This Row],[province RDC]],_26_03_2026_Client_Churn_v1[Province_Client],_26_03_2026_Client_Churn_v1[Anciennete_Mois],"non trouvé")</f>
        <v>non trouvé</v>
      </c>
      <c r="M920" t="str">
        <f>_xlfn.XLOOKUP(_26_03_2026_Log_Reseau_v15[[#This Row],[province RDC]],_26_03_2026_Client_Churn_v1[Province_Client],_26_03_2026_Client_Churn_v1[Type_Forfait],"non trouvé")</f>
        <v>non trouvé</v>
      </c>
      <c r="N920" t="str">
        <f>_xlfn.XLOOKUP(_26_03_2026_Log_Reseau_v15[[#This Row],[province RDC]],_26_03_2026_Client_Churn_v1[Province_Client],_26_03_2026_Client_Churn_v1[Duree_Cumulee_Panne_Min],"non trouvé")</f>
        <v>non trouvé</v>
      </c>
      <c r="O920" t="str">
        <f>_xlfn.XLOOKUP(_26_03_2026_Log_Reseau_v15[[#This Row],[province RDC]],_26_03_2026_Client_Churn_v1[Province_Client],_26_03_2026_Client_Churn_v1[Facture_Mensuelle],"non trouvé")</f>
        <v>non trouvé</v>
      </c>
      <c r="P920" t="str">
        <f>_xlfn.XLOOKUP(_26_03_2026_Log_Reseau_v15[[#This Row],[province RDC]],_26_03_2026_Client_Churn_v1[Province_Client],_26_03_2026_Client_Churn_v1[Plaintes_Service_Client],"non trouvé")</f>
        <v>non trouvé</v>
      </c>
    </row>
    <row r="921" spans="1:16" hidden="1" x14ac:dyDescent="0.25">
      <c r="A921" s="1">
        <v>45210</v>
      </c>
      <c r="B921" s="2">
        <v>0.97916666666666663</v>
      </c>
      <c r="C921" t="s">
        <v>1372</v>
      </c>
      <c r="D921">
        <v>114</v>
      </c>
      <c r="E921" t="s">
        <v>812</v>
      </c>
      <c r="F921" t="str">
        <f>_xlfn.XLOOKUP(_26_03_2026_Log_Reseau_v15[[#This Row],[Cell_ID]],_26_03_2026_Registre_Maintenance_v1[ID_Antenne],_26_03_2026_Registre_Maintenance_v1[zone],"pas trouvé")</f>
        <v>pas trouvé</v>
      </c>
      <c r="G921" t="str">
        <f>_xlfn.XLOOKUP(_26_03_2026_Log_Reseau_v15[[#This Row],[Cell_ID]],_26_03_2026_Registre_Maintenance_v1[ID_Antenne],_26_03_2026_Registre_Maintenance_v1[Latitude],"non trouvé")</f>
        <v>non trouvé</v>
      </c>
      <c r="H921" t="str">
        <f>_xlfn.XLOOKUP(_26_03_2026_Log_Reseau_v15[[#This Row],[Cell_ID]],_26_03_2026_Registre_Maintenance_v1[ID_Antenne],_26_03_2026_Registre_Maintenance_v1[Longitude],"pas trouvé")</f>
        <v>pas trouvé</v>
      </c>
      <c r="I921" t="str">
        <f>_xlfn.XLOOKUP(_26_03_2026_Log_Reseau_v15[[#This Row],[Cell_ID]],_26_03_2026_Registre_Maintenance_v1[ID_Antenne],_26_03_2026_Registre_Maintenance_v1[Technologie],"non trouvé")</f>
        <v>non trouvé</v>
      </c>
      <c r="J921" t="str">
        <f>_xlfn.XLOOKUP(_26_03_2026_Log_Reseau_v15[[#This Row],[Cell_ID]],_26_03_2026_Registre_Maintenance_v1[ID_Antenne],_26_03_2026_Registre_Maintenance_v1[Equipementier],"pas trouvé")</f>
        <v>pas trouvé</v>
      </c>
      <c r="K921" t="str">
        <f>_xlfn.XLOOKUP(_26_03_2026_Log_Reseau_v15[[#This Row],[province RDC]],_26_03_2026_Client_Churn_v1[Province_Client],_26_03_2026_Client_Churn_v1[ID_Client],"non trouvé")</f>
        <v>non trouvé</v>
      </c>
      <c r="L921" t="str">
        <f>_xlfn.XLOOKUP(_26_03_2026_Log_Reseau_v15[[#This Row],[province RDC]],_26_03_2026_Client_Churn_v1[Province_Client],_26_03_2026_Client_Churn_v1[Anciennete_Mois],"non trouvé")</f>
        <v>non trouvé</v>
      </c>
      <c r="M921" t="str">
        <f>_xlfn.XLOOKUP(_26_03_2026_Log_Reseau_v15[[#This Row],[province RDC]],_26_03_2026_Client_Churn_v1[Province_Client],_26_03_2026_Client_Churn_v1[Type_Forfait],"non trouvé")</f>
        <v>non trouvé</v>
      </c>
      <c r="N921" t="str">
        <f>_xlfn.XLOOKUP(_26_03_2026_Log_Reseau_v15[[#This Row],[province RDC]],_26_03_2026_Client_Churn_v1[Province_Client],_26_03_2026_Client_Churn_v1[Duree_Cumulee_Panne_Min],"non trouvé")</f>
        <v>non trouvé</v>
      </c>
      <c r="O921" t="str">
        <f>_xlfn.XLOOKUP(_26_03_2026_Log_Reseau_v15[[#This Row],[province RDC]],_26_03_2026_Client_Churn_v1[Province_Client],_26_03_2026_Client_Churn_v1[Facture_Mensuelle],"non trouvé")</f>
        <v>non trouvé</v>
      </c>
      <c r="P921" t="str">
        <f>_xlfn.XLOOKUP(_26_03_2026_Log_Reseau_v15[[#This Row],[province RDC]],_26_03_2026_Client_Churn_v1[Province_Client],_26_03_2026_Client_Churn_v1[Plaintes_Service_Client],"non trouvé")</f>
        <v>non trouvé</v>
      </c>
    </row>
    <row r="922" spans="1:16" hidden="1" x14ac:dyDescent="0.25">
      <c r="A922" s="1">
        <v>45226</v>
      </c>
      <c r="B922" s="2">
        <v>0.38819444444444445</v>
      </c>
      <c r="C922" t="s">
        <v>1373</v>
      </c>
      <c r="D922">
        <v>115</v>
      </c>
      <c r="E922" t="s">
        <v>812</v>
      </c>
      <c r="F922" t="str">
        <f>_xlfn.XLOOKUP(_26_03_2026_Log_Reseau_v15[[#This Row],[Cell_ID]],_26_03_2026_Registre_Maintenance_v1[ID_Antenne],_26_03_2026_Registre_Maintenance_v1[zone],"pas trouvé")</f>
        <v>pas trouvé</v>
      </c>
      <c r="G922" t="str">
        <f>_xlfn.XLOOKUP(_26_03_2026_Log_Reseau_v15[[#This Row],[Cell_ID]],_26_03_2026_Registre_Maintenance_v1[ID_Antenne],_26_03_2026_Registre_Maintenance_v1[Latitude],"non trouvé")</f>
        <v>non trouvé</v>
      </c>
      <c r="H922" t="str">
        <f>_xlfn.XLOOKUP(_26_03_2026_Log_Reseau_v15[[#This Row],[Cell_ID]],_26_03_2026_Registre_Maintenance_v1[ID_Antenne],_26_03_2026_Registre_Maintenance_v1[Longitude],"pas trouvé")</f>
        <v>pas trouvé</v>
      </c>
      <c r="I922" t="str">
        <f>_xlfn.XLOOKUP(_26_03_2026_Log_Reseau_v15[[#This Row],[Cell_ID]],_26_03_2026_Registre_Maintenance_v1[ID_Antenne],_26_03_2026_Registre_Maintenance_v1[Technologie],"non trouvé")</f>
        <v>non trouvé</v>
      </c>
      <c r="J922" t="str">
        <f>_xlfn.XLOOKUP(_26_03_2026_Log_Reseau_v15[[#This Row],[Cell_ID]],_26_03_2026_Registre_Maintenance_v1[ID_Antenne],_26_03_2026_Registre_Maintenance_v1[Equipementier],"pas trouvé")</f>
        <v>pas trouvé</v>
      </c>
      <c r="K922" t="str">
        <f>_xlfn.XLOOKUP(_26_03_2026_Log_Reseau_v15[[#This Row],[province RDC]],_26_03_2026_Client_Churn_v1[Province_Client],_26_03_2026_Client_Churn_v1[ID_Client],"non trouvé")</f>
        <v>non trouvé</v>
      </c>
      <c r="L922" t="str">
        <f>_xlfn.XLOOKUP(_26_03_2026_Log_Reseau_v15[[#This Row],[province RDC]],_26_03_2026_Client_Churn_v1[Province_Client],_26_03_2026_Client_Churn_v1[Anciennete_Mois],"non trouvé")</f>
        <v>non trouvé</v>
      </c>
      <c r="M922" t="str">
        <f>_xlfn.XLOOKUP(_26_03_2026_Log_Reseau_v15[[#This Row],[province RDC]],_26_03_2026_Client_Churn_v1[Province_Client],_26_03_2026_Client_Churn_v1[Type_Forfait],"non trouvé")</f>
        <v>non trouvé</v>
      </c>
      <c r="N922" t="str">
        <f>_xlfn.XLOOKUP(_26_03_2026_Log_Reseau_v15[[#This Row],[province RDC]],_26_03_2026_Client_Churn_v1[Province_Client],_26_03_2026_Client_Churn_v1[Duree_Cumulee_Panne_Min],"non trouvé")</f>
        <v>non trouvé</v>
      </c>
      <c r="O922" t="str">
        <f>_xlfn.XLOOKUP(_26_03_2026_Log_Reseau_v15[[#This Row],[province RDC]],_26_03_2026_Client_Churn_v1[Province_Client],_26_03_2026_Client_Churn_v1[Facture_Mensuelle],"non trouvé")</f>
        <v>non trouvé</v>
      </c>
      <c r="P922" t="str">
        <f>_xlfn.XLOOKUP(_26_03_2026_Log_Reseau_v15[[#This Row],[province RDC]],_26_03_2026_Client_Churn_v1[Province_Client],_26_03_2026_Client_Churn_v1[Plaintes_Service_Client],"non trouvé")</f>
        <v>non trouvé</v>
      </c>
    </row>
    <row r="923" spans="1:16" hidden="1" x14ac:dyDescent="0.25">
      <c r="A923" s="1">
        <v>45201</v>
      </c>
      <c r="B923" s="2">
        <v>0.51944444444444449</v>
      </c>
      <c r="C923" t="s">
        <v>1374</v>
      </c>
      <c r="D923">
        <v>113</v>
      </c>
      <c r="E923" t="s">
        <v>812</v>
      </c>
      <c r="F923" t="str">
        <f>_xlfn.XLOOKUP(_26_03_2026_Log_Reseau_v15[[#This Row],[Cell_ID]],_26_03_2026_Registre_Maintenance_v1[ID_Antenne],_26_03_2026_Registre_Maintenance_v1[zone],"pas trouvé")</f>
        <v>pas trouvé</v>
      </c>
      <c r="G923" t="str">
        <f>_xlfn.XLOOKUP(_26_03_2026_Log_Reseau_v15[[#This Row],[Cell_ID]],_26_03_2026_Registre_Maintenance_v1[ID_Antenne],_26_03_2026_Registre_Maintenance_v1[Latitude],"non trouvé")</f>
        <v>non trouvé</v>
      </c>
      <c r="H923" t="str">
        <f>_xlfn.XLOOKUP(_26_03_2026_Log_Reseau_v15[[#This Row],[Cell_ID]],_26_03_2026_Registre_Maintenance_v1[ID_Antenne],_26_03_2026_Registre_Maintenance_v1[Longitude],"pas trouvé")</f>
        <v>pas trouvé</v>
      </c>
      <c r="I923" t="str">
        <f>_xlfn.XLOOKUP(_26_03_2026_Log_Reseau_v15[[#This Row],[Cell_ID]],_26_03_2026_Registre_Maintenance_v1[ID_Antenne],_26_03_2026_Registre_Maintenance_v1[Technologie],"non trouvé")</f>
        <v>non trouvé</v>
      </c>
      <c r="J923" t="str">
        <f>_xlfn.XLOOKUP(_26_03_2026_Log_Reseau_v15[[#This Row],[Cell_ID]],_26_03_2026_Registre_Maintenance_v1[ID_Antenne],_26_03_2026_Registre_Maintenance_v1[Equipementier],"pas trouvé")</f>
        <v>pas trouvé</v>
      </c>
      <c r="K923" t="str">
        <f>_xlfn.XLOOKUP(_26_03_2026_Log_Reseau_v15[[#This Row],[province RDC]],_26_03_2026_Client_Churn_v1[Province_Client],_26_03_2026_Client_Churn_v1[ID_Client],"non trouvé")</f>
        <v>non trouvé</v>
      </c>
      <c r="L923" t="str">
        <f>_xlfn.XLOOKUP(_26_03_2026_Log_Reseau_v15[[#This Row],[province RDC]],_26_03_2026_Client_Churn_v1[Province_Client],_26_03_2026_Client_Churn_v1[Anciennete_Mois],"non trouvé")</f>
        <v>non trouvé</v>
      </c>
      <c r="M923" t="str">
        <f>_xlfn.XLOOKUP(_26_03_2026_Log_Reseau_v15[[#This Row],[province RDC]],_26_03_2026_Client_Churn_v1[Province_Client],_26_03_2026_Client_Churn_v1[Type_Forfait],"non trouvé")</f>
        <v>non trouvé</v>
      </c>
      <c r="N923" t="str">
        <f>_xlfn.XLOOKUP(_26_03_2026_Log_Reseau_v15[[#This Row],[province RDC]],_26_03_2026_Client_Churn_v1[Province_Client],_26_03_2026_Client_Churn_v1[Duree_Cumulee_Panne_Min],"non trouvé")</f>
        <v>non trouvé</v>
      </c>
      <c r="O923" t="str">
        <f>_xlfn.XLOOKUP(_26_03_2026_Log_Reseau_v15[[#This Row],[province RDC]],_26_03_2026_Client_Churn_v1[Province_Client],_26_03_2026_Client_Churn_v1[Facture_Mensuelle],"non trouvé")</f>
        <v>non trouvé</v>
      </c>
      <c r="P923" t="str">
        <f>_xlfn.XLOOKUP(_26_03_2026_Log_Reseau_v15[[#This Row],[province RDC]],_26_03_2026_Client_Churn_v1[Province_Client],_26_03_2026_Client_Churn_v1[Plaintes_Service_Client],"non trouvé")</f>
        <v>non trouvé</v>
      </c>
    </row>
    <row r="924" spans="1:16" hidden="1" x14ac:dyDescent="0.25">
      <c r="A924" s="1">
        <v>45209</v>
      </c>
      <c r="B924" s="2">
        <v>0.26874999999999999</v>
      </c>
      <c r="C924" t="s">
        <v>1374</v>
      </c>
      <c r="D924">
        <v>94</v>
      </c>
      <c r="E924" t="s">
        <v>808</v>
      </c>
      <c r="F924" t="str">
        <f>_xlfn.XLOOKUP(_26_03_2026_Log_Reseau_v15[[#This Row],[Cell_ID]],_26_03_2026_Registre_Maintenance_v1[ID_Antenne],_26_03_2026_Registre_Maintenance_v1[zone],"pas trouvé")</f>
        <v>pas trouvé</v>
      </c>
      <c r="G924" t="str">
        <f>_xlfn.XLOOKUP(_26_03_2026_Log_Reseau_v15[[#This Row],[Cell_ID]],_26_03_2026_Registre_Maintenance_v1[ID_Antenne],_26_03_2026_Registre_Maintenance_v1[Latitude],"non trouvé")</f>
        <v>non trouvé</v>
      </c>
      <c r="H924" t="str">
        <f>_xlfn.XLOOKUP(_26_03_2026_Log_Reseau_v15[[#This Row],[Cell_ID]],_26_03_2026_Registre_Maintenance_v1[ID_Antenne],_26_03_2026_Registre_Maintenance_v1[Longitude],"pas trouvé")</f>
        <v>pas trouvé</v>
      </c>
      <c r="I924" t="str">
        <f>_xlfn.XLOOKUP(_26_03_2026_Log_Reseau_v15[[#This Row],[Cell_ID]],_26_03_2026_Registre_Maintenance_v1[ID_Antenne],_26_03_2026_Registre_Maintenance_v1[Technologie],"non trouvé")</f>
        <v>non trouvé</v>
      </c>
      <c r="J924" t="str">
        <f>_xlfn.XLOOKUP(_26_03_2026_Log_Reseau_v15[[#This Row],[Cell_ID]],_26_03_2026_Registre_Maintenance_v1[ID_Antenne],_26_03_2026_Registre_Maintenance_v1[Equipementier],"pas trouvé")</f>
        <v>pas trouvé</v>
      </c>
      <c r="K924" t="str">
        <f>_xlfn.XLOOKUP(_26_03_2026_Log_Reseau_v15[[#This Row],[province RDC]],_26_03_2026_Client_Churn_v1[Province_Client],_26_03_2026_Client_Churn_v1[ID_Client],"non trouvé")</f>
        <v>non trouvé</v>
      </c>
      <c r="L924" t="str">
        <f>_xlfn.XLOOKUP(_26_03_2026_Log_Reseau_v15[[#This Row],[province RDC]],_26_03_2026_Client_Churn_v1[Province_Client],_26_03_2026_Client_Churn_v1[Anciennete_Mois],"non trouvé")</f>
        <v>non trouvé</v>
      </c>
      <c r="M924" t="str">
        <f>_xlfn.XLOOKUP(_26_03_2026_Log_Reseau_v15[[#This Row],[province RDC]],_26_03_2026_Client_Churn_v1[Province_Client],_26_03_2026_Client_Churn_v1[Type_Forfait],"non trouvé")</f>
        <v>non trouvé</v>
      </c>
      <c r="N924" t="str">
        <f>_xlfn.XLOOKUP(_26_03_2026_Log_Reseau_v15[[#This Row],[province RDC]],_26_03_2026_Client_Churn_v1[Province_Client],_26_03_2026_Client_Churn_v1[Duree_Cumulee_Panne_Min],"non trouvé")</f>
        <v>non trouvé</v>
      </c>
      <c r="O924" t="str">
        <f>_xlfn.XLOOKUP(_26_03_2026_Log_Reseau_v15[[#This Row],[province RDC]],_26_03_2026_Client_Churn_v1[Province_Client],_26_03_2026_Client_Churn_v1[Facture_Mensuelle],"non trouvé")</f>
        <v>non trouvé</v>
      </c>
      <c r="P924" t="str">
        <f>_xlfn.XLOOKUP(_26_03_2026_Log_Reseau_v15[[#This Row],[province RDC]],_26_03_2026_Client_Churn_v1[Province_Client],_26_03_2026_Client_Churn_v1[Plaintes_Service_Client],"non trouvé")</f>
        <v>non trouvé</v>
      </c>
    </row>
    <row r="925" spans="1:16" x14ac:dyDescent="0.25">
      <c r="A925" s="1">
        <v>45212</v>
      </c>
      <c r="B925" s="2">
        <v>0.14027777777777778</v>
      </c>
      <c r="C925" t="s">
        <v>1375</v>
      </c>
      <c r="D925">
        <v>19</v>
      </c>
      <c r="E925" t="s">
        <v>808</v>
      </c>
      <c r="F925" t="str">
        <f>_xlfn.XLOOKUP(_26_03_2026_Log_Reseau_v15[[#This Row],[Cell_ID]],_26_03_2026_Registre_Maintenance_v1[ID_Antenne],_26_03_2026_Registre_Maintenance_v1[zone],"pas trouvé")</f>
        <v>Tanganyika</v>
      </c>
      <c r="G925">
        <f>_xlfn.XLOOKUP(_26_03_2026_Log_Reseau_v15[[#This Row],[Cell_ID]],_26_03_2026_Registre_Maintenance_v1[ID_Antenne],_26_03_2026_Registre_Maintenance_v1[Latitude],"non trouvé")</f>
        <v>-9.4708620000000003</v>
      </c>
      <c r="H925">
        <f>_xlfn.XLOOKUP(_26_03_2026_Log_Reseau_v15[[#This Row],[Cell_ID]],_26_03_2026_Registre_Maintenance_v1[ID_Antenne],_26_03_2026_Registre_Maintenance_v1[Longitude],"pas trouvé")</f>
        <v>29.234387999999999</v>
      </c>
      <c r="I925" t="str">
        <f>_xlfn.XLOOKUP(_26_03_2026_Log_Reseau_v15[[#This Row],[Cell_ID]],_26_03_2026_Registre_Maintenance_v1[ID_Antenne],_26_03_2026_Registre_Maintenance_v1[Technologie],"non trouvé")</f>
        <v>3G</v>
      </c>
      <c r="J925" t="str">
        <f>_xlfn.XLOOKUP(_26_03_2026_Log_Reseau_v15[[#This Row],[Cell_ID]],_26_03_2026_Registre_Maintenance_v1[ID_Antenne],_26_03_2026_Registre_Maintenance_v1[Equipementier],"pas trouvé")</f>
        <v>ZTE</v>
      </c>
      <c r="K925" t="str">
        <f>_xlfn.XLOOKUP(_26_03_2026_Log_Reseau_v15[[#This Row],[province RDC]],_26_03_2026_Client_Churn_v1[Province_Client],_26_03_2026_Client_Churn_v1[ID_Client],"non trouvé")</f>
        <v>CLI-01618</v>
      </c>
      <c r="L925">
        <f>_xlfn.XLOOKUP(_26_03_2026_Log_Reseau_v15[[#This Row],[province RDC]],_26_03_2026_Client_Churn_v1[Province_Client],_26_03_2026_Client_Churn_v1[Anciennete_Mois],"non trouvé")</f>
        <v>115</v>
      </c>
      <c r="M925" t="str">
        <f>_xlfn.XLOOKUP(_26_03_2026_Log_Reseau_v15[[#This Row],[province RDC]],_26_03_2026_Client_Churn_v1[Province_Client],_26_03_2026_Client_Churn_v1[Type_Forfait],"non trouvé")</f>
        <v>Bloqué 5Go</v>
      </c>
      <c r="N925">
        <f>_xlfn.XLOOKUP(_26_03_2026_Log_Reseau_v15[[#This Row],[province RDC]],_26_03_2026_Client_Churn_v1[Province_Client],_26_03_2026_Client_Churn_v1[Duree_Cumulee_Panne_Min],"non trouvé")</f>
        <v>176</v>
      </c>
      <c r="O925">
        <f>_xlfn.XLOOKUP(_26_03_2026_Log_Reseau_v15[[#This Row],[province RDC]],_26_03_2026_Client_Churn_v1[Province_Client],_26_03_2026_Client_Churn_v1[Facture_Mensuelle],"non trouvé")</f>
        <v>33.28</v>
      </c>
      <c r="P925">
        <f>_xlfn.XLOOKUP(_26_03_2026_Log_Reseau_v15[[#This Row],[province RDC]],_26_03_2026_Client_Churn_v1[Province_Client],_26_03_2026_Client_Churn_v1[Plaintes_Service_Client],"non trouvé")</f>
        <v>4</v>
      </c>
    </row>
    <row r="926" spans="1:16" hidden="1" x14ac:dyDescent="0.25">
      <c r="A926" s="1">
        <v>45211</v>
      </c>
      <c r="B926" s="2">
        <v>1.4583333333333334E-2</v>
      </c>
      <c r="C926" t="s">
        <v>1376</v>
      </c>
      <c r="D926">
        <v>7</v>
      </c>
      <c r="E926" t="s">
        <v>812</v>
      </c>
      <c r="F926" t="str">
        <f>_xlfn.XLOOKUP(_26_03_2026_Log_Reseau_v15[[#This Row],[Cell_ID]],_26_03_2026_Registre_Maintenance_v1[ID_Antenne],_26_03_2026_Registre_Maintenance_v1[zone],"pas trouvé")</f>
        <v>pas trouvé</v>
      </c>
      <c r="G926" t="str">
        <f>_xlfn.XLOOKUP(_26_03_2026_Log_Reseau_v15[[#This Row],[Cell_ID]],_26_03_2026_Registre_Maintenance_v1[ID_Antenne],_26_03_2026_Registre_Maintenance_v1[Latitude],"non trouvé")</f>
        <v>non trouvé</v>
      </c>
      <c r="H926" t="str">
        <f>_xlfn.XLOOKUP(_26_03_2026_Log_Reseau_v15[[#This Row],[Cell_ID]],_26_03_2026_Registre_Maintenance_v1[ID_Antenne],_26_03_2026_Registre_Maintenance_v1[Longitude],"pas trouvé")</f>
        <v>pas trouvé</v>
      </c>
      <c r="I926" t="str">
        <f>_xlfn.XLOOKUP(_26_03_2026_Log_Reseau_v15[[#This Row],[Cell_ID]],_26_03_2026_Registre_Maintenance_v1[ID_Antenne],_26_03_2026_Registre_Maintenance_v1[Technologie],"non trouvé")</f>
        <v>non trouvé</v>
      </c>
      <c r="J926" t="str">
        <f>_xlfn.XLOOKUP(_26_03_2026_Log_Reseau_v15[[#This Row],[Cell_ID]],_26_03_2026_Registre_Maintenance_v1[ID_Antenne],_26_03_2026_Registre_Maintenance_v1[Equipementier],"pas trouvé")</f>
        <v>pas trouvé</v>
      </c>
      <c r="K926" t="str">
        <f>_xlfn.XLOOKUP(_26_03_2026_Log_Reseau_v15[[#This Row],[province RDC]],_26_03_2026_Client_Churn_v1[Province_Client],_26_03_2026_Client_Churn_v1[ID_Client],"non trouvé")</f>
        <v>non trouvé</v>
      </c>
      <c r="L926" t="str">
        <f>_xlfn.XLOOKUP(_26_03_2026_Log_Reseau_v15[[#This Row],[province RDC]],_26_03_2026_Client_Churn_v1[Province_Client],_26_03_2026_Client_Churn_v1[Anciennete_Mois],"non trouvé")</f>
        <v>non trouvé</v>
      </c>
      <c r="M926" t="str">
        <f>_xlfn.XLOOKUP(_26_03_2026_Log_Reseau_v15[[#This Row],[province RDC]],_26_03_2026_Client_Churn_v1[Province_Client],_26_03_2026_Client_Churn_v1[Type_Forfait],"non trouvé")</f>
        <v>non trouvé</v>
      </c>
      <c r="N926" t="str">
        <f>_xlfn.XLOOKUP(_26_03_2026_Log_Reseau_v15[[#This Row],[province RDC]],_26_03_2026_Client_Churn_v1[Province_Client],_26_03_2026_Client_Churn_v1[Duree_Cumulee_Panne_Min],"non trouvé")</f>
        <v>non trouvé</v>
      </c>
      <c r="O926" t="str">
        <f>_xlfn.XLOOKUP(_26_03_2026_Log_Reseau_v15[[#This Row],[province RDC]],_26_03_2026_Client_Churn_v1[Province_Client],_26_03_2026_Client_Churn_v1[Facture_Mensuelle],"non trouvé")</f>
        <v>non trouvé</v>
      </c>
      <c r="P926" t="str">
        <f>_xlfn.XLOOKUP(_26_03_2026_Log_Reseau_v15[[#This Row],[province RDC]],_26_03_2026_Client_Churn_v1[Province_Client],_26_03_2026_Client_Churn_v1[Plaintes_Service_Client],"non trouvé")</f>
        <v>non trouvé</v>
      </c>
    </row>
    <row r="927" spans="1:16" hidden="1" x14ac:dyDescent="0.25">
      <c r="A927" s="1">
        <v>45230</v>
      </c>
      <c r="B927" s="2">
        <v>0.90625</v>
      </c>
      <c r="C927" t="s">
        <v>1376</v>
      </c>
      <c r="D927">
        <v>87</v>
      </c>
      <c r="E927" t="s">
        <v>807</v>
      </c>
      <c r="F927" t="str">
        <f>_xlfn.XLOOKUP(_26_03_2026_Log_Reseau_v15[[#This Row],[Cell_ID]],_26_03_2026_Registre_Maintenance_v1[ID_Antenne],_26_03_2026_Registre_Maintenance_v1[zone],"pas trouvé")</f>
        <v>pas trouvé</v>
      </c>
      <c r="G927" t="str">
        <f>_xlfn.XLOOKUP(_26_03_2026_Log_Reseau_v15[[#This Row],[Cell_ID]],_26_03_2026_Registre_Maintenance_v1[ID_Antenne],_26_03_2026_Registre_Maintenance_v1[Latitude],"non trouvé")</f>
        <v>non trouvé</v>
      </c>
      <c r="H927" t="str">
        <f>_xlfn.XLOOKUP(_26_03_2026_Log_Reseau_v15[[#This Row],[Cell_ID]],_26_03_2026_Registre_Maintenance_v1[ID_Antenne],_26_03_2026_Registre_Maintenance_v1[Longitude],"pas trouvé")</f>
        <v>pas trouvé</v>
      </c>
      <c r="I927" t="str">
        <f>_xlfn.XLOOKUP(_26_03_2026_Log_Reseau_v15[[#This Row],[Cell_ID]],_26_03_2026_Registre_Maintenance_v1[ID_Antenne],_26_03_2026_Registre_Maintenance_v1[Technologie],"non trouvé")</f>
        <v>non trouvé</v>
      </c>
      <c r="J927" t="str">
        <f>_xlfn.XLOOKUP(_26_03_2026_Log_Reseau_v15[[#This Row],[Cell_ID]],_26_03_2026_Registre_Maintenance_v1[ID_Antenne],_26_03_2026_Registre_Maintenance_v1[Equipementier],"pas trouvé")</f>
        <v>pas trouvé</v>
      </c>
      <c r="K927" t="str">
        <f>_xlfn.XLOOKUP(_26_03_2026_Log_Reseau_v15[[#This Row],[province RDC]],_26_03_2026_Client_Churn_v1[Province_Client],_26_03_2026_Client_Churn_v1[ID_Client],"non trouvé")</f>
        <v>non trouvé</v>
      </c>
      <c r="L927" t="str">
        <f>_xlfn.XLOOKUP(_26_03_2026_Log_Reseau_v15[[#This Row],[province RDC]],_26_03_2026_Client_Churn_v1[Province_Client],_26_03_2026_Client_Churn_v1[Anciennete_Mois],"non trouvé")</f>
        <v>non trouvé</v>
      </c>
      <c r="M927" t="str">
        <f>_xlfn.XLOOKUP(_26_03_2026_Log_Reseau_v15[[#This Row],[province RDC]],_26_03_2026_Client_Churn_v1[Province_Client],_26_03_2026_Client_Churn_v1[Type_Forfait],"non trouvé")</f>
        <v>non trouvé</v>
      </c>
      <c r="N927" t="str">
        <f>_xlfn.XLOOKUP(_26_03_2026_Log_Reseau_v15[[#This Row],[province RDC]],_26_03_2026_Client_Churn_v1[Province_Client],_26_03_2026_Client_Churn_v1[Duree_Cumulee_Panne_Min],"non trouvé")</f>
        <v>non trouvé</v>
      </c>
      <c r="O927" t="str">
        <f>_xlfn.XLOOKUP(_26_03_2026_Log_Reseau_v15[[#This Row],[province RDC]],_26_03_2026_Client_Churn_v1[Province_Client],_26_03_2026_Client_Churn_v1[Facture_Mensuelle],"non trouvé")</f>
        <v>non trouvé</v>
      </c>
      <c r="P927" t="str">
        <f>_xlfn.XLOOKUP(_26_03_2026_Log_Reseau_v15[[#This Row],[province RDC]],_26_03_2026_Client_Churn_v1[Province_Client],_26_03_2026_Client_Churn_v1[Plaintes_Service_Client],"non trouvé")</f>
        <v>non trouvé</v>
      </c>
    </row>
    <row r="928" spans="1:16" x14ac:dyDescent="0.25">
      <c r="A928" s="1">
        <v>45204</v>
      </c>
      <c r="B928" s="2">
        <v>0.98611111111111116</v>
      </c>
      <c r="C928" t="s">
        <v>1377</v>
      </c>
      <c r="D928">
        <v>76</v>
      </c>
      <c r="E928" t="s">
        <v>808</v>
      </c>
      <c r="F928" t="str">
        <f>_xlfn.XLOOKUP(_26_03_2026_Log_Reseau_v15[[#This Row],[Cell_ID]],_26_03_2026_Registre_Maintenance_v1[ID_Antenne],_26_03_2026_Registre_Maintenance_v1[zone],"pas trouvé")</f>
        <v>Haut-Uele</v>
      </c>
      <c r="G928">
        <f>_xlfn.XLOOKUP(_26_03_2026_Log_Reseau_v15[[#This Row],[Cell_ID]],_26_03_2026_Registre_Maintenance_v1[ID_Antenne],_26_03_2026_Registre_Maintenance_v1[Latitude],"non trouvé")</f>
        <v>-4.869434</v>
      </c>
      <c r="H928">
        <f>_xlfn.XLOOKUP(_26_03_2026_Log_Reseau_v15[[#This Row],[Cell_ID]],_26_03_2026_Registre_Maintenance_v1[ID_Antenne],_26_03_2026_Registre_Maintenance_v1[Longitude],"pas trouvé")</f>
        <v>22.326522000000001</v>
      </c>
      <c r="I928" t="str">
        <f>_xlfn.XLOOKUP(_26_03_2026_Log_Reseau_v15[[#This Row],[Cell_ID]],_26_03_2026_Registre_Maintenance_v1[ID_Antenne],_26_03_2026_Registre_Maintenance_v1[Technologie],"non trouvé")</f>
        <v>5G</v>
      </c>
      <c r="J928" t="str">
        <f>_xlfn.XLOOKUP(_26_03_2026_Log_Reseau_v15[[#This Row],[Cell_ID]],_26_03_2026_Registre_Maintenance_v1[ID_Antenne],_26_03_2026_Registre_Maintenance_v1[Equipementier],"pas trouvé")</f>
        <v>Ericsson</v>
      </c>
      <c r="K928" t="str">
        <f>_xlfn.XLOOKUP(_26_03_2026_Log_Reseau_v15[[#This Row],[province RDC]],_26_03_2026_Client_Churn_v1[Province_Client],_26_03_2026_Client_Churn_v1[ID_Client],"non trouvé")</f>
        <v>CLI-00439</v>
      </c>
      <c r="L928">
        <f>_xlfn.XLOOKUP(_26_03_2026_Log_Reseau_v15[[#This Row],[province RDC]],_26_03_2026_Client_Churn_v1[Province_Client],_26_03_2026_Client_Churn_v1[Anciennete_Mois],"non trouvé")</f>
        <v>40</v>
      </c>
      <c r="M928" t="str">
        <f>_xlfn.XLOOKUP(_26_03_2026_Log_Reseau_v15[[#This Row],[province RDC]],_26_03_2026_Client_Churn_v1[Province_Client],_26_03_2026_Client_Churn_v1[Type_Forfait],"non trouvé")</f>
        <v>Premium 5G 150Go</v>
      </c>
      <c r="N928">
        <f>_xlfn.XLOOKUP(_26_03_2026_Log_Reseau_v15[[#This Row],[province RDC]],_26_03_2026_Client_Churn_v1[Province_Client],_26_03_2026_Client_Churn_v1[Duree_Cumulee_Panne_Min],"non trouvé")</f>
        <v>345</v>
      </c>
      <c r="O928">
        <f>_xlfn.XLOOKUP(_26_03_2026_Log_Reseau_v15[[#This Row],[province RDC]],_26_03_2026_Client_Churn_v1[Province_Client],_26_03_2026_Client_Churn_v1[Facture_Mensuelle],"non trouvé")</f>
        <v>89.55</v>
      </c>
      <c r="P928">
        <f>_xlfn.XLOOKUP(_26_03_2026_Log_Reseau_v15[[#This Row],[province RDC]],_26_03_2026_Client_Churn_v1[Province_Client],_26_03_2026_Client_Churn_v1[Plaintes_Service_Client],"non trouvé")</f>
        <v>3</v>
      </c>
    </row>
    <row r="929" spans="1:16" x14ac:dyDescent="0.25">
      <c r="A929" s="1">
        <v>45210</v>
      </c>
      <c r="B929" s="2">
        <v>0.68958333333333333</v>
      </c>
      <c r="C929" t="s">
        <v>1377</v>
      </c>
      <c r="D929">
        <v>16</v>
      </c>
      <c r="E929" t="s">
        <v>807</v>
      </c>
      <c r="F929" t="str">
        <f>_xlfn.XLOOKUP(_26_03_2026_Log_Reseau_v15[[#This Row],[Cell_ID]],_26_03_2026_Registre_Maintenance_v1[ID_Antenne],_26_03_2026_Registre_Maintenance_v1[zone],"pas trouvé")</f>
        <v>Haut-Uele</v>
      </c>
      <c r="G929">
        <f>_xlfn.XLOOKUP(_26_03_2026_Log_Reseau_v15[[#This Row],[Cell_ID]],_26_03_2026_Registre_Maintenance_v1[ID_Antenne],_26_03_2026_Registre_Maintenance_v1[Latitude],"non trouvé")</f>
        <v>-4.869434</v>
      </c>
      <c r="H929">
        <f>_xlfn.XLOOKUP(_26_03_2026_Log_Reseau_v15[[#This Row],[Cell_ID]],_26_03_2026_Registre_Maintenance_v1[ID_Antenne],_26_03_2026_Registre_Maintenance_v1[Longitude],"pas trouvé")</f>
        <v>22.326522000000001</v>
      </c>
      <c r="I929" t="str">
        <f>_xlfn.XLOOKUP(_26_03_2026_Log_Reseau_v15[[#This Row],[Cell_ID]],_26_03_2026_Registre_Maintenance_v1[ID_Antenne],_26_03_2026_Registre_Maintenance_v1[Technologie],"non trouvé")</f>
        <v>5G</v>
      </c>
      <c r="J929" t="str">
        <f>_xlfn.XLOOKUP(_26_03_2026_Log_Reseau_v15[[#This Row],[Cell_ID]],_26_03_2026_Registre_Maintenance_v1[ID_Antenne],_26_03_2026_Registre_Maintenance_v1[Equipementier],"pas trouvé")</f>
        <v>Ericsson</v>
      </c>
      <c r="K929" t="str">
        <f>_xlfn.XLOOKUP(_26_03_2026_Log_Reseau_v15[[#This Row],[province RDC]],_26_03_2026_Client_Churn_v1[Province_Client],_26_03_2026_Client_Churn_v1[ID_Client],"non trouvé")</f>
        <v>CLI-00439</v>
      </c>
      <c r="L929">
        <f>_xlfn.XLOOKUP(_26_03_2026_Log_Reseau_v15[[#This Row],[province RDC]],_26_03_2026_Client_Churn_v1[Province_Client],_26_03_2026_Client_Churn_v1[Anciennete_Mois],"non trouvé")</f>
        <v>40</v>
      </c>
      <c r="M929" t="str">
        <f>_xlfn.XLOOKUP(_26_03_2026_Log_Reseau_v15[[#This Row],[province RDC]],_26_03_2026_Client_Churn_v1[Province_Client],_26_03_2026_Client_Churn_v1[Type_Forfait],"non trouvé")</f>
        <v>Premium 5G 150Go</v>
      </c>
      <c r="N929">
        <f>_xlfn.XLOOKUP(_26_03_2026_Log_Reseau_v15[[#This Row],[province RDC]],_26_03_2026_Client_Churn_v1[Province_Client],_26_03_2026_Client_Churn_v1[Duree_Cumulee_Panne_Min],"non trouvé")</f>
        <v>345</v>
      </c>
      <c r="O929">
        <f>_xlfn.XLOOKUP(_26_03_2026_Log_Reseau_v15[[#This Row],[province RDC]],_26_03_2026_Client_Churn_v1[Province_Client],_26_03_2026_Client_Churn_v1[Facture_Mensuelle],"non trouvé")</f>
        <v>89.55</v>
      </c>
      <c r="P929">
        <f>_xlfn.XLOOKUP(_26_03_2026_Log_Reseau_v15[[#This Row],[province RDC]],_26_03_2026_Client_Churn_v1[Province_Client],_26_03_2026_Client_Churn_v1[Plaintes_Service_Client],"non trouvé")</f>
        <v>3</v>
      </c>
    </row>
    <row r="930" spans="1:16" hidden="1" x14ac:dyDescent="0.25">
      <c r="A930" s="1">
        <v>45225</v>
      </c>
      <c r="B930" s="2">
        <v>0.55347222222222225</v>
      </c>
      <c r="C930" t="s">
        <v>1378</v>
      </c>
      <c r="D930">
        <v>120</v>
      </c>
      <c r="E930" t="s">
        <v>807</v>
      </c>
      <c r="F930" t="str">
        <f>_xlfn.XLOOKUP(_26_03_2026_Log_Reseau_v15[[#This Row],[Cell_ID]],_26_03_2026_Registre_Maintenance_v1[ID_Antenne],_26_03_2026_Registre_Maintenance_v1[zone],"pas trouvé")</f>
        <v>pas trouvé</v>
      </c>
      <c r="G930" t="str">
        <f>_xlfn.XLOOKUP(_26_03_2026_Log_Reseau_v15[[#This Row],[Cell_ID]],_26_03_2026_Registre_Maintenance_v1[ID_Antenne],_26_03_2026_Registre_Maintenance_v1[Latitude],"non trouvé")</f>
        <v>non trouvé</v>
      </c>
      <c r="H930" t="str">
        <f>_xlfn.XLOOKUP(_26_03_2026_Log_Reseau_v15[[#This Row],[Cell_ID]],_26_03_2026_Registre_Maintenance_v1[ID_Antenne],_26_03_2026_Registre_Maintenance_v1[Longitude],"pas trouvé")</f>
        <v>pas trouvé</v>
      </c>
      <c r="I930" t="str">
        <f>_xlfn.XLOOKUP(_26_03_2026_Log_Reseau_v15[[#This Row],[Cell_ID]],_26_03_2026_Registre_Maintenance_v1[ID_Antenne],_26_03_2026_Registre_Maintenance_v1[Technologie],"non trouvé")</f>
        <v>non trouvé</v>
      </c>
      <c r="J930" t="str">
        <f>_xlfn.XLOOKUP(_26_03_2026_Log_Reseau_v15[[#This Row],[Cell_ID]],_26_03_2026_Registre_Maintenance_v1[ID_Antenne],_26_03_2026_Registre_Maintenance_v1[Equipementier],"pas trouvé")</f>
        <v>pas trouvé</v>
      </c>
      <c r="K930" t="str">
        <f>_xlfn.XLOOKUP(_26_03_2026_Log_Reseau_v15[[#This Row],[province RDC]],_26_03_2026_Client_Churn_v1[Province_Client],_26_03_2026_Client_Churn_v1[ID_Client],"non trouvé")</f>
        <v>non trouvé</v>
      </c>
      <c r="L930" t="str">
        <f>_xlfn.XLOOKUP(_26_03_2026_Log_Reseau_v15[[#This Row],[province RDC]],_26_03_2026_Client_Churn_v1[Province_Client],_26_03_2026_Client_Churn_v1[Anciennete_Mois],"non trouvé")</f>
        <v>non trouvé</v>
      </c>
      <c r="M930" t="str">
        <f>_xlfn.XLOOKUP(_26_03_2026_Log_Reseau_v15[[#This Row],[province RDC]],_26_03_2026_Client_Churn_v1[Province_Client],_26_03_2026_Client_Churn_v1[Type_Forfait],"non trouvé")</f>
        <v>non trouvé</v>
      </c>
      <c r="N930" t="str">
        <f>_xlfn.XLOOKUP(_26_03_2026_Log_Reseau_v15[[#This Row],[province RDC]],_26_03_2026_Client_Churn_v1[Province_Client],_26_03_2026_Client_Churn_v1[Duree_Cumulee_Panne_Min],"non trouvé")</f>
        <v>non trouvé</v>
      </c>
      <c r="O930" t="str">
        <f>_xlfn.XLOOKUP(_26_03_2026_Log_Reseau_v15[[#This Row],[province RDC]],_26_03_2026_Client_Churn_v1[Province_Client],_26_03_2026_Client_Churn_v1[Facture_Mensuelle],"non trouvé")</f>
        <v>non trouvé</v>
      </c>
      <c r="P930" t="str">
        <f>_xlfn.XLOOKUP(_26_03_2026_Log_Reseau_v15[[#This Row],[province RDC]],_26_03_2026_Client_Churn_v1[Province_Client],_26_03_2026_Client_Churn_v1[Plaintes_Service_Client],"non trouvé")</f>
        <v>non trouvé</v>
      </c>
    </row>
    <row r="931" spans="1:16" hidden="1" x14ac:dyDescent="0.25">
      <c r="A931" s="1">
        <v>45211</v>
      </c>
      <c r="B931" s="2">
        <v>0.38263888888888886</v>
      </c>
      <c r="C931" t="s">
        <v>1379</v>
      </c>
      <c r="D931">
        <v>105</v>
      </c>
      <c r="E931" t="s">
        <v>807</v>
      </c>
      <c r="F931" t="str">
        <f>_xlfn.XLOOKUP(_26_03_2026_Log_Reseau_v15[[#This Row],[Cell_ID]],_26_03_2026_Registre_Maintenance_v1[ID_Antenne],_26_03_2026_Registre_Maintenance_v1[zone],"pas trouvé")</f>
        <v>pas trouvé</v>
      </c>
      <c r="G931" t="str">
        <f>_xlfn.XLOOKUP(_26_03_2026_Log_Reseau_v15[[#This Row],[Cell_ID]],_26_03_2026_Registre_Maintenance_v1[ID_Antenne],_26_03_2026_Registre_Maintenance_v1[Latitude],"non trouvé")</f>
        <v>non trouvé</v>
      </c>
      <c r="H931" t="str">
        <f>_xlfn.XLOOKUP(_26_03_2026_Log_Reseau_v15[[#This Row],[Cell_ID]],_26_03_2026_Registre_Maintenance_v1[ID_Antenne],_26_03_2026_Registre_Maintenance_v1[Longitude],"pas trouvé")</f>
        <v>pas trouvé</v>
      </c>
      <c r="I931" t="str">
        <f>_xlfn.XLOOKUP(_26_03_2026_Log_Reseau_v15[[#This Row],[Cell_ID]],_26_03_2026_Registre_Maintenance_v1[ID_Antenne],_26_03_2026_Registre_Maintenance_v1[Technologie],"non trouvé")</f>
        <v>non trouvé</v>
      </c>
      <c r="J931" t="str">
        <f>_xlfn.XLOOKUP(_26_03_2026_Log_Reseau_v15[[#This Row],[Cell_ID]],_26_03_2026_Registre_Maintenance_v1[ID_Antenne],_26_03_2026_Registre_Maintenance_v1[Equipementier],"pas trouvé")</f>
        <v>pas trouvé</v>
      </c>
      <c r="K931" t="str">
        <f>_xlfn.XLOOKUP(_26_03_2026_Log_Reseau_v15[[#This Row],[province RDC]],_26_03_2026_Client_Churn_v1[Province_Client],_26_03_2026_Client_Churn_v1[ID_Client],"non trouvé")</f>
        <v>non trouvé</v>
      </c>
      <c r="L931" t="str">
        <f>_xlfn.XLOOKUP(_26_03_2026_Log_Reseau_v15[[#This Row],[province RDC]],_26_03_2026_Client_Churn_v1[Province_Client],_26_03_2026_Client_Churn_v1[Anciennete_Mois],"non trouvé")</f>
        <v>non trouvé</v>
      </c>
      <c r="M931" t="str">
        <f>_xlfn.XLOOKUP(_26_03_2026_Log_Reseau_v15[[#This Row],[province RDC]],_26_03_2026_Client_Churn_v1[Province_Client],_26_03_2026_Client_Churn_v1[Type_Forfait],"non trouvé")</f>
        <v>non trouvé</v>
      </c>
      <c r="N931" t="str">
        <f>_xlfn.XLOOKUP(_26_03_2026_Log_Reseau_v15[[#This Row],[province RDC]],_26_03_2026_Client_Churn_v1[Province_Client],_26_03_2026_Client_Churn_v1[Duree_Cumulee_Panne_Min],"non trouvé")</f>
        <v>non trouvé</v>
      </c>
      <c r="O931" t="str">
        <f>_xlfn.XLOOKUP(_26_03_2026_Log_Reseau_v15[[#This Row],[province RDC]],_26_03_2026_Client_Churn_v1[Province_Client],_26_03_2026_Client_Churn_v1[Facture_Mensuelle],"non trouvé")</f>
        <v>non trouvé</v>
      </c>
      <c r="P931" t="str">
        <f>_xlfn.XLOOKUP(_26_03_2026_Log_Reseau_v15[[#This Row],[province RDC]],_26_03_2026_Client_Churn_v1[Province_Client],_26_03_2026_Client_Churn_v1[Plaintes_Service_Client],"non trouvé")</f>
        <v>non trouvé</v>
      </c>
    </row>
    <row r="932" spans="1:16" hidden="1" x14ac:dyDescent="0.25">
      <c r="A932" s="1">
        <v>45219</v>
      </c>
      <c r="B932" s="2">
        <v>0.95</v>
      </c>
      <c r="C932" t="s">
        <v>1379</v>
      </c>
      <c r="D932">
        <v>45</v>
      </c>
      <c r="E932" t="s">
        <v>812</v>
      </c>
      <c r="F932" t="str">
        <f>_xlfn.XLOOKUP(_26_03_2026_Log_Reseau_v15[[#This Row],[Cell_ID]],_26_03_2026_Registre_Maintenance_v1[ID_Antenne],_26_03_2026_Registre_Maintenance_v1[zone],"pas trouvé")</f>
        <v>pas trouvé</v>
      </c>
      <c r="G932" t="str">
        <f>_xlfn.XLOOKUP(_26_03_2026_Log_Reseau_v15[[#This Row],[Cell_ID]],_26_03_2026_Registre_Maintenance_v1[ID_Antenne],_26_03_2026_Registre_Maintenance_v1[Latitude],"non trouvé")</f>
        <v>non trouvé</v>
      </c>
      <c r="H932" t="str">
        <f>_xlfn.XLOOKUP(_26_03_2026_Log_Reseau_v15[[#This Row],[Cell_ID]],_26_03_2026_Registre_Maintenance_v1[ID_Antenne],_26_03_2026_Registre_Maintenance_v1[Longitude],"pas trouvé")</f>
        <v>pas trouvé</v>
      </c>
      <c r="I932" t="str">
        <f>_xlfn.XLOOKUP(_26_03_2026_Log_Reseau_v15[[#This Row],[Cell_ID]],_26_03_2026_Registre_Maintenance_v1[ID_Antenne],_26_03_2026_Registre_Maintenance_v1[Technologie],"non trouvé")</f>
        <v>non trouvé</v>
      </c>
      <c r="J932" t="str">
        <f>_xlfn.XLOOKUP(_26_03_2026_Log_Reseau_v15[[#This Row],[Cell_ID]],_26_03_2026_Registre_Maintenance_v1[ID_Antenne],_26_03_2026_Registre_Maintenance_v1[Equipementier],"pas trouvé")</f>
        <v>pas trouvé</v>
      </c>
      <c r="K932" t="str">
        <f>_xlfn.XLOOKUP(_26_03_2026_Log_Reseau_v15[[#This Row],[province RDC]],_26_03_2026_Client_Churn_v1[Province_Client],_26_03_2026_Client_Churn_v1[ID_Client],"non trouvé")</f>
        <v>non trouvé</v>
      </c>
      <c r="L932" t="str">
        <f>_xlfn.XLOOKUP(_26_03_2026_Log_Reseau_v15[[#This Row],[province RDC]],_26_03_2026_Client_Churn_v1[Province_Client],_26_03_2026_Client_Churn_v1[Anciennete_Mois],"non trouvé")</f>
        <v>non trouvé</v>
      </c>
      <c r="M932" t="str">
        <f>_xlfn.XLOOKUP(_26_03_2026_Log_Reseau_v15[[#This Row],[province RDC]],_26_03_2026_Client_Churn_v1[Province_Client],_26_03_2026_Client_Churn_v1[Type_Forfait],"non trouvé")</f>
        <v>non trouvé</v>
      </c>
      <c r="N932" t="str">
        <f>_xlfn.XLOOKUP(_26_03_2026_Log_Reseau_v15[[#This Row],[province RDC]],_26_03_2026_Client_Churn_v1[Province_Client],_26_03_2026_Client_Churn_v1[Duree_Cumulee_Panne_Min],"non trouvé")</f>
        <v>non trouvé</v>
      </c>
      <c r="O932" t="str">
        <f>_xlfn.XLOOKUP(_26_03_2026_Log_Reseau_v15[[#This Row],[province RDC]],_26_03_2026_Client_Churn_v1[Province_Client],_26_03_2026_Client_Churn_v1[Facture_Mensuelle],"non trouvé")</f>
        <v>non trouvé</v>
      </c>
      <c r="P932" t="str">
        <f>_xlfn.XLOOKUP(_26_03_2026_Log_Reseau_v15[[#This Row],[province RDC]],_26_03_2026_Client_Churn_v1[Province_Client],_26_03_2026_Client_Churn_v1[Plaintes_Service_Client],"non trouvé")</f>
        <v>non trouvé</v>
      </c>
    </row>
    <row r="933" spans="1:16" hidden="1" x14ac:dyDescent="0.25">
      <c r="A933" s="1">
        <v>45223</v>
      </c>
      <c r="B933" s="2">
        <v>0.45208333333333334</v>
      </c>
      <c r="C933" t="s">
        <v>1379</v>
      </c>
      <c r="D933">
        <v>117</v>
      </c>
      <c r="E933" t="s">
        <v>812</v>
      </c>
      <c r="F933" t="str">
        <f>_xlfn.XLOOKUP(_26_03_2026_Log_Reseau_v15[[#This Row],[Cell_ID]],_26_03_2026_Registre_Maintenance_v1[ID_Antenne],_26_03_2026_Registre_Maintenance_v1[zone],"pas trouvé")</f>
        <v>pas trouvé</v>
      </c>
      <c r="G933" t="str">
        <f>_xlfn.XLOOKUP(_26_03_2026_Log_Reseau_v15[[#This Row],[Cell_ID]],_26_03_2026_Registre_Maintenance_v1[ID_Antenne],_26_03_2026_Registre_Maintenance_v1[Latitude],"non trouvé")</f>
        <v>non trouvé</v>
      </c>
      <c r="H933" t="str">
        <f>_xlfn.XLOOKUP(_26_03_2026_Log_Reseau_v15[[#This Row],[Cell_ID]],_26_03_2026_Registre_Maintenance_v1[ID_Antenne],_26_03_2026_Registre_Maintenance_v1[Longitude],"pas trouvé")</f>
        <v>pas trouvé</v>
      </c>
      <c r="I933" t="str">
        <f>_xlfn.XLOOKUP(_26_03_2026_Log_Reseau_v15[[#This Row],[Cell_ID]],_26_03_2026_Registre_Maintenance_v1[ID_Antenne],_26_03_2026_Registre_Maintenance_v1[Technologie],"non trouvé")</f>
        <v>non trouvé</v>
      </c>
      <c r="J933" t="str">
        <f>_xlfn.XLOOKUP(_26_03_2026_Log_Reseau_v15[[#This Row],[Cell_ID]],_26_03_2026_Registre_Maintenance_v1[ID_Antenne],_26_03_2026_Registre_Maintenance_v1[Equipementier],"pas trouvé")</f>
        <v>pas trouvé</v>
      </c>
      <c r="K933" t="str">
        <f>_xlfn.XLOOKUP(_26_03_2026_Log_Reseau_v15[[#This Row],[province RDC]],_26_03_2026_Client_Churn_v1[Province_Client],_26_03_2026_Client_Churn_v1[ID_Client],"non trouvé")</f>
        <v>non trouvé</v>
      </c>
      <c r="L933" t="str">
        <f>_xlfn.XLOOKUP(_26_03_2026_Log_Reseau_v15[[#This Row],[province RDC]],_26_03_2026_Client_Churn_v1[Province_Client],_26_03_2026_Client_Churn_v1[Anciennete_Mois],"non trouvé")</f>
        <v>non trouvé</v>
      </c>
      <c r="M933" t="str">
        <f>_xlfn.XLOOKUP(_26_03_2026_Log_Reseau_v15[[#This Row],[province RDC]],_26_03_2026_Client_Churn_v1[Province_Client],_26_03_2026_Client_Churn_v1[Type_Forfait],"non trouvé")</f>
        <v>non trouvé</v>
      </c>
      <c r="N933" t="str">
        <f>_xlfn.XLOOKUP(_26_03_2026_Log_Reseau_v15[[#This Row],[province RDC]],_26_03_2026_Client_Churn_v1[Province_Client],_26_03_2026_Client_Churn_v1[Duree_Cumulee_Panne_Min],"non trouvé")</f>
        <v>non trouvé</v>
      </c>
      <c r="O933" t="str">
        <f>_xlfn.XLOOKUP(_26_03_2026_Log_Reseau_v15[[#This Row],[province RDC]],_26_03_2026_Client_Churn_v1[Province_Client],_26_03_2026_Client_Churn_v1[Facture_Mensuelle],"non trouvé")</f>
        <v>non trouvé</v>
      </c>
      <c r="P933" t="str">
        <f>_xlfn.XLOOKUP(_26_03_2026_Log_Reseau_v15[[#This Row],[province RDC]],_26_03_2026_Client_Churn_v1[Province_Client],_26_03_2026_Client_Churn_v1[Plaintes_Service_Client],"non trouvé")</f>
        <v>non trouvé</v>
      </c>
    </row>
    <row r="934" spans="1:16" hidden="1" x14ac:dyDescent="0.25">
      <c r="A934" s="1">
        <v>45221</v>
      </c>
      <c r="B934" s="2">
        <v>0.93194444444444446</v>
      </c>
      <c r="C934" t="s">
        <v>1380</v>
      </c>
      <c r="D934">
        <v>26</v>
      </c>
      <c r="E934" t="s">
        <v>807</v>
      </c>
      <c r="F934" t="str">
        <f>_xlfn.XLOOKUP(_26_03_2026_Log_Reseau_v15[[#This Row],[Cell_ID]],_26_03_2026_Registre_Maintenance_v1[ID_Antenne],_26_03_2026_Registre_Maintenance_v1[zone],"pas trouvé")</f>
        <v>pas trouvé</v>
      </c>
      <c r="G934" t="str">
        <f>_xlfn.XLOOKUP(_26_03_2026_Log_Reseau_v15[[#This Row],[Cell_ID]],_26_03_2026_Registre_Maintenance_v1[ID_Antenne],_26_03_2026_Registre_Maintenance_v1[Latitude],"non trouvé")</f>
        <v>non trouvé</v>
      </c>
      <c r="H934" t="str">
        <f>_xlfn.XLOOKUP(_26_03_2026_Log_Reseau_v15[[#This Row],[Cell_ID]],_26_03_2026_Registre_Maintenance_v1[ID_Antenne],_26_03_2026_Registre_Maintenance_v1[Longitude],"pas trouvé")</f>
        <v>pas trouvé</v>
      </c>
      <c r="I934" t="str">
        <f>_xlfn.XLOOKUP(_26_03_2026_Log_Reseau_v15[[#This Row],[Cell_ID]],_26_03_2026_Registre_Maintenance_v1[ID_Antenne],_26_03_2026_Registre_Maintenance_v1[Technologie],"non trouvé")</f>
        <v>non trouvé</v>
      </c>
      <c r="J934" t="str">
        <f>_xlfn.XLOOKUP(_26_03_2026_Log_Reseau_v15[[#This Row],[Cell_ID]],_26_03_2026_Registre_Maintenance_v1[ID_Antenne],_26_03_2026_Registre_Maintenance_v1[Equipementier],"pas trouvé")</f>
        <v>pas trouvé</v>
      </c>
      <c r="K934" t="str">
        <f>_xlfn.XLOOKUP(_26_03_2026_Log_Reseau_v15[[#This Row],[province RDC]],_26_03_2026_Client_Churn_v1[Province_Client],_26_03_2026_Client_Churn_v1[ID_Client],"non trouvé")</f>
        <v>non trouvé</v>
      </c>
      <c r="L934" t="str">
        <f>_xlfn.XLOOKUP(_26_03_2026_Log_Reseau_v15[[#This Row],[province RDC]],_26_03_2026_Client_Churn_v1[Province_Client],_26_03_2026_Client_Churn_v1[Anciennete_Mois],"non trouvé")</f>
        <v>non trouvé</v>
      </c>
      <c r="M934" t="str">
        <f>_xlfn.XLOOKUP(_26_03_2026_Log_Reseau_v15[[#This Row],[province RDC]],_26_03_2026_Client_Churn_v1[Province_Client],_26_03_2026_Client_Churn_v1[Type_Forfait],"non trouvé")</f>
        <v>non trouvé</v>
      </c>
      <c r="N934" t="str">
        <f>_xlfn.XLOOKUP(_26_03_2026_Log_Reseau_v15[[#This Row],[province RDC]],_26_03_2026_Client_Churn_v1[Province_Client],_26_03_2026_Client_Churn_v1[Duree_Cumulee_Panne_Min],"non trouvé")</f>
        <v>non trouvé</v>
      </c>
      <c r="O934" t="str">
        <f>_xlfn.XLOOKUP(_26_03_2026_Log_Reseau_v15[[#This Row],[province RDC]],_26_03_2026_Client_Churn_v1[Province_Client],_26_03_2026_Client_Churn_v1[Facture_Mensuelle],"non trouvé")</f>
        <v>non trouvé</v>
      </c>
      <c r="P934" t="str">
        <f>_xlfn.XLOOKUP(_26_03_2026_Log_Reseau_v15[[#This Row],[province RDC]],_26_03_2026_Client_Churn_v1[Province_Client],_26_03_2026_Client_Churn_v1[Plaintes_Service_Client],"non trouvé")</f>
        <v>non trouvé</v>
      </c>
    </row>
    <row r="935" spans="1:16" x14ac:dyDescent="0.25">
      <c r="A935" s="1">
        <v>45210</v>
      </c>
      <c r="B935" s="2">
        <v>0.36666666666666664</v>
      </c>
      <c r="C935" t="s">
        <v>1381</v>
      </c>
      <c r="D935">
        <v>67</v>
      </c>
      <c r="E935" t="s">
        <v>808</v>
      </c>
      <c r="F935" t="str">
        <f>_xlfn.XLOOKUP(_26_03_2026_Log_Reseau_v15[[#This Row],[Cell_ID]],_26_03_2026_Registre_Maintenance_v1[ID_Antenne],_26_03_2026_Registre_Maintenance_v1[zone],"pas trouvé")</f>
        <v>Lualaba</v>
      </c>
      <c r="G935">
        <f>_xlfn.XLOOKUP(_26_03_2026_Log_Reseau_v15[[#This Row],[Cell_ID]],_26_03_2026_Registre_Maintenance_v1[ID_Antenne],_26_03_2026_Registre_Maintenance_v1[Latitude],"non trouvé")</f>
        <v>-8.0301989999999996</v>
      </c>
      <c r="H935">
        <f>_xlfn.XLOOKUP(_26_03_2026_Log_Reseau_v15[[#This Row],[Cell_ID]],_26_03_2026_Registre_Maintenance_v1[ID_Antenne],_26_03_2026_Registre_Maintenance_v1[Longitude],"pas trouvé")</f>
        <v>24.122495000000001</v>
      </c>
      <c r="I935" t="str">
        <f>_xlfn.XLOOKUP(_26_03_2026_Log_Reseau_v15[[#This Row],[Cell_ID]],_26_03_2026_Registre_Maintenance_v1[ID_Antenne],_26_03_2026_Registre_Maintenance_v1[Technologie],"non trouvé")</f>
        <v>5G</v>
      </c>
      <c r="J935" t="str">
        <f>_xlfn.XLOOKUP(_26_03_2026_Log_Reseau_v15[[#This Row],[Cell_ID]],_26_03_2026_Registre_Maintenance_v1[ID_Antenne],_26_03_2026_Registre_Maintenance_v1[Equipementier],"pas trouvé")</f>
        <v>ZTE</v>
      </c>
      <c r="K935" t="str">
        <f>_xlfn.XLOOKUP(_26_03_2026_Log_Reseau_v15[[#This Row],[province RDC]],_26_03_2026_Client_Churn_v1[Province_Client],_26_03_2026_Client_Churn_v1[ID_Client],"non trouvé")</f>
        <v>CLI-01005</v>
      </c>
      <c r="L935">
        <f>_xlfn.XLOOKUP(_26_03_2026_Log_Reseau_v15[[#This Row],[province RDC]],_26_03_2026_Client_Churn_v1[Province_Client],_26_03_2026_Client_Churn_v1[Anciennete_Mois],"non trouvé")</f>
        <v>80</v>
      </c>
      <c r="M935" t="str">
        <f>_xlfn.XLOOKUP(_26_03_2026_Log_Reseau_v15[[#This Row],[province RDC]],_26_03_2026_Client_Churn_v1[Province_Client],_26_03_2026_Client_Churn_v1[Type_Forfait],"non trouvé")</f>
        <v>Illimité 50Go</v>
      </c>
      <c r="N935">
        <f>_xlfn.XLOOKUP(_26_03_2026_Log_Reseau_v15[[#This Row],[province RDC]],_26_03_2026_Client_Churn_v1[Province_Client],_26_03_2026_Client_Churn_v1[Duree_Cumulee_Panne_Min],"non trouvé")</f>
        <v>155</v>
      </c>
      <c r="O935">
        <f>_xlfn.XLOOKUP(_26_03_2026_Log_Reseau_v15[[#This Row],[province RDC]],_26_03_2026_Client_Churn_v1[Province_Client],_26_03_2026_Client_Churn_v1[Facture_Mensuelle],"non trouvé")</f>
        <v>28.96</v>
      </c>
      <c r="P935">
        <f>_xlfn.XLOOKUP(_26_03_2026_Log_Reseau_v15[[#This Row],[province RDC]],_26_03_2026_Client_Churn_v1[Province_Client],_26_03_2026_Client_Churn_v1[Plaintes_Service_Client],"non trouvé")</f>
        <v>2</v>
      </c>
    </row>
    <row r="936" spans="1:16" x14ac:dyDescent="0.25">
      <c r="A936" s="1">
        <v>45223</v>
      </c>
      <c r="B936" s="2">
        <v>0.61111111111111116</v>
      </c>
      <c r="C936" t="s">
        <v>1381</v>
      </c>
      <c r="D936">
        <v>88</v>
      </c>
      <c r="E936" t="s">
        <v>807</v>
      </c>
      <c r="F936" t="str">
        <f>_xlfn.XLOOKUP(_26_03_2026_Log_Reseau_v15[[#This Row],[Cell_ID]],_26_03_2026_Registre_Maintenance_v1[ID_Antenne],_26_03_2026_Registre_Maintenance_v1[zone],"pas trouvé")</f>
        <v>Lualaba</v>
      </c>
      <c r="G936">
        <f>_xlfn.XLOOKUP(_26_03_2026_Log_Reseau_v15[[#This Row],[Cell_ID]],_26_03_2026_Registre_Maintenance_v1[ID_Antenne],_26_03_2026_Registre_Maintenance_v1[Latitude],"non trouvé")</f>
        <v>-8.0301989999999996</v>
      </c>
      <c r="H936">
        <f>_xlfn.XLOOKUP(_26_03_2026_Log_Reseau_v15[[#This Row],[Cell_ID]],_26_03_2026_Registre_Maintenance_v1[ID_Antenne],_26_03_2026_Registre_Maintenance_v1[Longitude],"pas trouvé")</f>
        <v>24.122495000000001</v>
      </c>
      <c r="I936" t="str">
        <f>_xlfn.XLOOKUP(_26_03_2026_Log_Reseau_v15[[#This Row],[Cell_ID]],_26_03_2026_Registre_Maintenance_v1[ID_Antenne],_26_03_2026_Registre_Maintenance_v1[Technologie],"non trouvé")</f>
        <v>5G</v>
      </c>
      <c r="J936" t="str">
        <f>_xlfn.XLOOKUP(_26_03_2026_Log_Reseau_v15[[#This Row],[Cell_ID]],_26_03_2026_Registre_Maintenance_v1[ID_Antenne],_26_03_2026_Registre_Maintenance_v1[Equipementier],"pas trouvé")</f>
        <v>ZTE</v>
      </c>
      <c r="K936" t="str">
        <f>_xlfn.XLOOKUP(_26_03_2026_Log_Reseau_v15[[#This Row],[province RDC]],_26_03_2026_Client_Churn_v1[Province_Client],_26_03_2026_Client_Churn_v1[ID_Client],"non trouvé")</f>
        <v>CLI-01005</v>
      </c>
      <c r="L936">
        <f>_xlfn.XLOOKUP(_26_03_2026_Log_Reseau_v15[[#This Row],[province RDC]],_26_03_2026_Client_Churn_v1[Province_Client],_26_03_2026_Client_Churn_v1[Anciennete_Mois],"non trouvé")</f>
        <v>80</v>
      </c>
      <c r="M936" t="str">
        <f>_xlfn.XLOOKUP(_26_03_2026_Log_Reseau_v15[[#This Row],[province RDC]],_26_03_2026_Client_Churn_v1[Province_Client],_26_03_2026_Client_Churn_v1[Type_Forfait],"non trouvé")</f>
        <v>Illimité 50Go</v>
      </c>
      <c r="N936">
        <f>_xlfn.XLOOKUP(_26_03_2026_Log_Reseau_v15[[#This Row],[province RDC]],_26_03_2026_Client_Churn_v1[Province_Client],_26_03_2026_Client_Churn_v1[Duree_Cumulee_Panne_Min],"non trouvé")</f>
        <v>155</v>
      </c>
      <c r="O936">
        <f>_xlfn.XLOOKUP(_26_03_2026_Log_Reseau_v15[[#This Row],[province RDC]],_26_03_2026_Client_Churn_v1[Province_Client],_26_03_2026_Client_Churn_v1[Facture_Mensuelle],"non trouvé")</f>
        <v>28.96</v>
      </c>
      <c r="P936">
        <f>_xlfn.XLOOKUP(_26_03_2026_Log_Reseau_v15[[#This Row],[province RDC]],_26_03_2026_Client_Churn_v1[Province_Client],_26_03_2026_Client_Churn_v1[Plaintes_Service_Client],"non trouvé")</f>
        <v>2</v>
      </c>
    </row>
    <row r="937" spans="1:16" x14ac:dyDescent="0.25">
      <c r="A937" s="1">
        <v>45228</v>
      </c>
      <c r="B937" s="2">
        <v>0.74791666666666667</v>
      </c>
      <c r="C937" t="s">
        <v>1381</v>
      </c>
      <c r="D937">
        <v>27</v>
      </c>
      <c r="E937" t="s">
        <v>807</v>
      </c>
      <c r="F937" t="str">
        <f>_xlfn.XLOOKUP(_26_03_2026_Log_Reseau_v15[[#This Row],[Cell_ID]],_26_03_2026_Registre_Maintenance_v1[ID_Antenne],_26_03_2026_Registre_Maintenance_v1[zone],"pas trouvé")</f>
        <v>Lualaba</v>
      </c>
      <c r="G937">
        <f>_xlfn.XLOOKUP(_26_03_2026_Log_Reseau_v15[[#This Row],[Cell_ID]],_26_03_2026_Registre_Maintenance_v1[ID_Antenne],_26_03_2026_Registre_Maintenance_v1[Latitude],"non trouvé")</f>
        <v>-8.0301989999999996</v>
      </c>
      <c r="H937">
        <f>_xlfn.XLOOKUP(_26_03_2026_Log_Reseau_v15[[#This Row],[Cell_ID]],_26_03_2026_Registre_Maintenance_v1[ID_Antenne],_26_03_2026_Registre_Maintenance_v1[Longitude],"pas trouvé")</f>
        <v>24.122495000000001</v>
      </c>
      <c r="I937" t="str">
        <f>_xlfn.XLOOKUP(_26_03_2026_Log_Reseau_v15[[#This Row],[Cell_ID]],_26_03_2026_Registre_Maintenance_v1[ID_Antenne],_26_03_2026_Registre_Maintenance_v1[Technologie],"non trouvé")</f>
        <v>5G</v>
      </c>
      <c r="J937" t="str">
        <f>_xlfn.XLOOKUP(_26_03_2026_Log_Reseau_v15[[#This Row],[Cell_ID]],_26_03_2026_Registre_Maintenance_v1[ID_Antenne],_26_03_2026_Registre_Maintenance_v1[Equipementier],"pas trouvé")</f>
        <v>ZTE</v>
      </c>
      <c r="K937" t="str">
        <f>_xlfn.XLOOKUP(_26_03_2026_Log_Reseau_v15[[#This Row],[province RDC]],_26_03_2026_Client_Churn_v1[Province_Client],_26_03_2026_Client_Churn_v1[ID_Client],"non trouvé")</f>
        <v>CLI-01005</v>
      </c>
      <c r="L937">
        <f>_xlfn.XLOOKUP(_26_03_2026_Log_Reseau_v15[[#This Row],[province RDC]],_26_03_2026_Client_Churn_v1[Province_Client],_26_03_2026_Client_Churn_v1[Anciennete_Mois],"non trouvé")</f>
        <v>80</v>
      </c>
      <c r="M937" t="str">
        <f>_xlfn.XLOOKUP(_26_03_2026_Log_Reseau_v15[[#This Row],[province RDC]],_26_03_2026_Client_Churn_v1[Province_Client],_26_03_2026_Client_Churn_v1[Type_Forfait],"non trouvé")</f>
        <v>Illimité 50Go</v>
      </c>
      <c r="N937">
        <f>_xlfn.XLOOKUP(_26_03_2026_Log_Reseau_v15[[#This Row],[province RDC]],_26_03_2026_Client_Churn_v1[Province_Client],_26_03_2026_Client_Churn_v1[Duree_Cumulee_Panne_Min],"non trouvé")</f>
        <v>155</v>
      </c>
      <c r="O937">
        <f>_xlfn.XLOOKUP(_26_03_2026_Log_Reseau_v15[[#This Row],[province RDC]],_26_03_2026_Client_Churn_v1[Province_Client],_26_03_2026_Client_Churn_v1[Facture_Mensuelle],"non trouvé")</f>
        <v>28.96</v>
      </c>
      <c r="P937">
        <f>_xlfn.XLOOKUP(_26_03_2026_Log_Reseau_v15[[#This Row],[province RDC]],_26_03_2026_Client_Churn_v1[Province_Client],_26_03_2026_Client_Churn_v1[Plaintes_Service_Client],"non trouvé")</f>
        <v>2</v>
      </c>
    </row>
    <row r="938" spans="1:16" x14ac:dyDescent="0.25">
      <c r="A938" s="1">
        <v>45222</v>
      </c>
      <c r="B938" s="2">
        <v>0.58472222222222225</v>
      </c>
      <c r="C938" t="s">
        <v>1382</v>
      </c>
      <c r="D938">
        <v>15</v>
      </c>
      <c r="E938" t="s">
        <v>812</v>
      </c>
      <c r="F938" t="str">
        <f>_xlfn.XLOOKUP(_26_03_2026_Log_Reseau_v15[[#This Row],[Cell_ID]],_26_03_2026_Registre_Maintenance_v1[ID_Antenne],_26_03_2026_Registre_Maintenance_v1[zone],"pas trouvé")</f>
        <v>Equateur</v>
      </c>
      <c r="G938">
        <f>_xlfn.XLOOKUP(_26_03_2026_Log_Reseau_v15[[#This Row],[Cell_ID]],_26_03_2026_Registre_Maintenance_v1[ID_Antenne],_26_03_2026_Registre_Maintenance_v1[Latitude],"non trouvé")</f>
        <v>-9.1215879999999991</v>
      </c>
      <c r="H938">
        <f>_xlfn.XLOOKUP(_26_03_2026_Log_Reseau_v15[[#This Row],[Cell_ID]],_26_03_2026_Registre_Maintenance_v1[ID_Antenne],_26_03_2026_Registre_Maintenance_v1[Longitude],"pas trouvé")</f>
        <v>16.457916999999998</v>
      </c>
      <c r="I938" t="str">
        <f>_xlfn.XLOOKUP(_26_03_2026_Log_Reseau_v15[[#This Row],[Cell_ID]],_26_03_2026_Registre_Maintenance_v1[ID_Antenne],_26_03_2026_Registre_Maintenance_v1[Technologie],"non trouvé")</f>
        <v>4G</v>
      </c>
      <c r="J938" t="str">
        <f>_xlfn.XLOOKUP(_26_03_2026_Log_Reseau_v15[[#This Row],[Cell_ID]],_26_03_2026_Registre_Maintenance_v1[ID_Antenne],_26_03_2026_Registre_Maintenance_v1[Equipementier],"pas trouvé")</f>
        <v>Nokia</v>
      </c>
      <c r="K938" t="str">
        <f>_xlfn.XLOOKUP(_26_03_2026_Log_Reseau_v15[[#This Row],[province RDC]],_26_03_2026_Client_Churn_v1[Province_Client],_26_03_2026_Client_Churn_v1[ID_Client],"non trouvé")</f>
        <v>CLI-00643</v>
      </c>
      <c r="L938">
        <f>_xlfn.XLOOKUP(_26_03_2026_Log_Reseau_v15[[#This Row],[province RDC]],_26_03_2026_Client_Churn_v1[Province_Client],_26_03_2026_Client_Churn_v1[Anciennete_Mois],"non trouvé")</f>
        <v>14</v>
      </c>
      <c r="M938" t="str">
        <f>_xlfn.XLOOKUP(_26_03_2026_Log_Reseau_v15[[#This Row],[province RDC]],_26_03_2026_Client_Churn_v1[Province_Client],_26_03_2026_Client_Churn_v1[Type_Forfait],"non trouvé")</f>
        <v>Pro Monde</v>
      </c>
      <c r="N938">
        <f>_xlfn.XLOOKUP(_26_03_2026_Log_Reseau_v15[[#This Row],[province RDC]],_26_03_2026_Client_Churn_v1[Province_Client],_26_03_2026_Client_Churn_v1[Duree_Cumulee_Panne_Min],"non trouvé")</f>
        <v>316</v>
      </c>
      <c r="O938">
        <f>_xlfn.XLOOKUP(_26_03_2026_Log_Reseau_v15[[#This Row],[province RDC]],_26_03_2026_Client_Churn_v1[Province_Client],_26_03_2026_Client_Churn_v1[Facture_Mensuelle],"non trouvé")</f>
        <v>62.34</v>
      </c>
      <c r="P938">
        <f>_xlfn.XLOOKUP(_26_03_2026_Log_Reseau_v15[[#This Row],[province RDC]],_26_03_2026_Client_Churn_v1[Province_Client],_26_03_2026_Client_Churn_v1[Plaintes_Service_Client],"non trouvé")</f>
        <v>4</v>
      </c>
    </row>
    <row r="939" spans="1:16" x14ac:dyDescent="0.25">
      <c r="A939" s="1">
        <v>45230</v>
      </c>
      <c r="B939" s="2">
        <v>0.6333333333333333</v>
      </c>
      <c r="C939" t="s">
        <v>1383</v>
      </c>
      <c r="D939">
        <v>34</v>
      </c>
      <c r="E939" t="s">
        <v>807</v>
      </c>
      <c r="F939" t="str">
        <f>_xlfn.XLOOKUP(_26_03_2026_Log_Reseau_v15[[#This Row],[Cell_ID]],_26_03_2026_Registre_Maintenance_v1[ID_Antenne],_26_03_2026_Registre_Maintenance_v1[zone],"pas trouvé")</f>
        <v>Kasai-Oriental</v>
      </c>
      <c r="G939">
        <f>_xlfn.XLOOKUP(_26_03_2026_Log_Reseau_v15[[#This Row],[Cell_ID]],_26_03_2026_Registre_Maintenance_v1[ID_Antenne],_26_03_2026_Registre_Maintenance_v1[Latitude],"non trouvé")</f>
        <v>2.486888</v>
      </c>
      <c r="H939">
        <f>_xlfn.XLOOKUP(_26_03_2026_Log_Reseau_v15[[#This Row],[Cell_ID]],_26_03_2026_Registre_Maintenance_v1[ID_Antenne],_26_03_2026_Registre_Maintenance_v1[Longitude],"pas trouvé")</f>
        <v>23.798074</v>
      </c>
      <c r="I939" t="str">
        <f>_xlfn.XLOOKUP(_26_03_2026_Log_Reseau_v15[[#This Row],[Cell_ID]],_26_03_2026_Registre_Maintenance_v1[ID_Antenne],_26_03_2026_Registre_Maintenance_v1[Technologie],"non trouvé")</f>
        <v>5G</v>
      </c>
      <c r="J939" t="str">
        <f>_xlfn.XLOOKUP(_26_03_2026_Log_Reseau_v15[[#This Row],[Cell_ID]],_26_03_2026_Registre_Maintenance_v1[ID_Antenne],_26_03_2026_Registre_Maintenance_v1[Equipementier],"pas trouvé")</f>
        <v>ZTE</v>
      </c>
      <c r="K939" t="str">
        <f>_xlfn.XLOOKUP(_26_03_2026_Log_Reseau_v15[[#This Row],[province RDC]],_26_03_2026_Client_Churn_v1[Province_Client],_26_03_2026_Client_Churn_v1[ID_Client],"non trouvé")</f>
        <v>CLI-01837</v>
      </c>
      <c r="L939">
        <f>_xlfn.XLOOKUP(_26_03_2026_Log_Reseau_v15[[#This Row],[province RDC]],_26_03_2026_Client_Churn_v1[Province_Client],_26_03_2026_Client_Churn_v1[Anciennete_Mois],"non trouvé")</f>
        <v>97</v>
      </c>
      <c r="M939" t="str">
        <f>_xlfn.XLOOKUP(_26_03_2026_Log_Reseau_v15[[#This Row],[province RDC]],_26_03_2026_Client_Churn_v1[Province_Client],_26_03_2026_Client_Churn_v1[Type_Forfait],"non trouvé")</f>
        <v>Pro Monde</v>
      </c>
      <c r="N939">
        <f>_xlfn.XLOOKUP(_26_03_2026_Log_Reseau_v15[[#This Row],[province RDC]],_26_03_2026_Client_Churn_v1[Province_Client],_26_03_2026_Client_Churn_v1[Duree_Cumulee_Panne_Min],"non trouvé")</f>
        <v>319</v>
      </c>
      <c r="O939">
        <f>_xlfn.XLOOKUP(_26_03_2026_Log_Reseau_v15[[#This Row],[province RDC]],_26_03_2026_Client_Churn_v1[Province_Client],_26_03_2026_Client_Churn_v1[Facture_Mensuelle],"non trouvé")</f>
        <v>31.25</v>
      </c>
      <c r="P939">
        <f>_xlfn.XLOOKUP(_26_03_2026_Log_Reseau_v15[[#This Row],[province RDC]],_26_03_2026_Client_Churn_v1[Province_Client],_26_03_2026_Client_Churn_v1[Plaintes_Service_Client],"non trouvé")</f>
        <v>1</v>
      </c>
    </row>
    <row r="940" spans="1:16" x14ac:dyDescent="0.25">
      <c r="A940" s="1">
        <v>45226</v>
      </c>
      <c r="B940" s="2">
        <v>0.11597222222222223</v>
      </c>
      <c r="C940" t="s">
        <v>1383</v>
      </c>
      <c r="D940">
        <v>5</v>
      </c>
      <c r="E940" t="s">
        <v>812</v>
      </c>
      <c r="F940" t="str">
        <f>_xlfn.XLOOKUP(_26_03_2026_Log_Reseau_v15[[#This Row],[Cell_ID]],_26_03_2026_Registre_Maintenance_v1[ID_Antenne],_26_03_2026_Registre_Maintenance_v1[zone],"pas trouvé")</f>
        <v>Kasai-Oriental</v>
      </c>
      <c r="G940">
        <f>_xlfn.XLOOKUP(_26_03_2026_Log_Reseau_v15[[#This Row],[Cell_ID]],_26_03_2026_Registre_Maintenance_v1[ID_Antenne],_26_03_2026_Registre_Maintenance_v1[Latitude],"non trouvé")</f>
        <v>2.486888</v>
      </c>
      <c r="H940">
        <f>_xlfn.XLOOKUP(_26_03_2026_Log_Reseau_v15[[#This Row],[Cell_ID]],_26_03_2026_Registre_Maintenance_v1[ID_Antenne],_26_03_2026_Registre_Maintenance_v1[Longitude],"pas trouvé")</f>
        <v>23.798074</v>
      </c>
      <c r="I940" t="str">
        <f>_xlfn.XLOOKUP(_26_03_2026_Log_Reseau_v15[[#This Row],[Cell_ID]],_26_03_2026_Registre_Maintenance_v1[ID_Antenne],_26_03_2026_Registre_Maintenance_v1[Technologie],"non trouvé")</f>
        <v>5G</v>
      </c>
      <c r="J940" t="str">
        <f>_xlfn.XLOOKUP(_26_03_2026_Log_Reseau_v15[[#This Row],[Cell_ID]],_26_03_2026_Registre_Maintenance_v1[ID_Antenne],_26_03_2026_Registre_Maintenance_v1[Equipementier],"pas trouvé")</f>
        <v>ZTE</v>
      </c>
      <c r="K940" t="str">
        <f>_xlfn.XLOOKUP(_26_03_2026_Log_Reseau_v15[[#This Row],[province RDC]],_26_03_2026_Client_Churn_v1[Province_Client],_26_03_2026_Client_Churn_v1[ID_Client],"non trouvé")</f>
        <v>CLI-01837</v>
      </c>
      <c r="L940">
        <f>_xlfn.XLOOKUP(_26_03_2026_Log_Reseau_v15[[#This Row],[province RDC]],_26_03_2026_Client_Churn_v1[Province_Client],_26_03_2026_Client_Churn_v1[Anciennete_Mois],"non trouvé")</f>
        <v>97</v>
      </c>
      <c r="M940" t="str">
        <f>_xlfn.XLOOKUP(_26_03_2026_Log_Reseau_v15[[#This Row],[province RDC]],_26_03_2026_Client_Churn_v1[Province_Client],_26_03_2026_Client_Churn_v1[Type_Forfait],"non trouvé")</f>
        <v>Pro Monde</v>
      </c>
      <c r="N940">
        <f>_xlfn.XLOOKUP(_26_03_2026_Log_Reseau_v15[[#This Row],[province RDC]],_26_03_2026_Client_Churn_v1[Province_Client],_26_03_2026_Client_Churn_v1[Duree_Cumulee_Panne_Min],"non trouvé")</f>
        <v>319</v>
      </c>
      <c r="O940">
        <f>_xlfn.XLOOKUP(_26_03_2026_Log_Reseau_v15[[#This Row],[province RDC]],_26_03_2026_Client_Churn_v1[Province_Client],_26_03_2026_Client_Churn_v1[Facture_Mensuelle],"non trouvé")</f>
        <v>31.25</v>
      </c>
      <c r="P940">
        <f>_xlfn.XLOOKUP(_26_03_2026_Log_Reseau_v15[[#This Row],[province RDC]],_26_03_2026_Client_Churn_v1[Province_Client],_26_03_2026_Client_Churn_v1[Plaintes_Service_Client],"non trouvé")</f>
        <v>1</v>
      </c>
    </row>
    <row r="941" spans="1:16" hidden="1" x14ac:dyDescent="0.25">
      <c r="A941" s="1">
        <v>45226</v>
      </c>
      <c r="B941" s="2">
        <v>0.9555555555555556</v>
      </c>
      <c r="C941" t="s">
        <v>1384</v>
      </c>
      <c r="D941">
        <v>20</v>
      </c>
      <c r="E941" t="s">
        <v>808</v>
      </c>
      <c r="F941" t="str">
        <f>_xlfn.XLOOKUP(_26_03_2026_Log_Reseau_v15[[#This Row],[Cell_ID]],_26_03_2026_Registre_Maintenance_v1[ID_Antenne],_26_03_2026_Registre_Maintenance_v1[zone],"pas trouvé")</f>
        <v>pas trouvé</v>
      </c>
      <c r="G941" t="str">
        <f>_xlfn.XLOOKUP(_26_03_2026_Log_Reseau_v15[[#This Row],[Cell_ID]],_26_03_2026_Registre_Maintenance_v1[ID_Antenne],_26_03_2026_Registre_Maintenance_v1[Latitude],"non trouvé")</f>
        <v>non trouvé</v>
      </c>
      <c r="H941" t="str">
        <f>_xlfn.XLOOKUP(_26_03_2026_Log_Reseau_v15[[#This Row],[Cell_ID]],_26_03_2026_Registre_Maintenance_v1[ID_Antenne],_26_03_2026_Registre_Maintenance_v1[Longitude],"pas trouvé")</f>
        <v>pas trouvé</v>
      </c>
      <c r="I941" t="str">
        <f>_xlfn.XLOOKUP(_26_03_2026_Log_Reseau_v15[[#This Row],[Cell_ID]],_26_03_2026_Registre_Maintenance_v1[ID_Antenne],_26_03_2026_Registre_Maintenance_v1[Technologie],"non trouvé")</f>
        <v>non trouvé</v>
      </c>
      <c r="J941" t="str">
        <f>_xlfn.XLOOKUP(_26_03_2026_Log_Reseau_v15[[#This Row],[Cell_ID]],_26_03_2026_Registre_Maintenance_v1[ID_Antenne],_26_03_2026_Registre_Maintenance_v1[Equipementier],"pas trouvé")</f>
        <v>pas trouvé</v>
      </c>
      <c r="K941" t="str">
        <f>_xlfn.XLOOKUP(_26_03_2026_Log_Reseau_v15[[#This Row],[province RDC]],_26_03_2026_Client_Churn_v1[Province_Client],_26_03_2026_Client_Churn_v1[ID_Client],"non trouvé")</f>
        <v>non trouvé</v>
      </c>
      <c r="L941" t="str">
        <f>_xlfn.XLOOKUP(_26_03_2026_Log_Reseau_v15[[#This Row],[province RDC]],_26_03_2026_Client_Churn_v1[Province_Client],_26_03_2026_Client_Churn_v1[Anciennete_Mois],"non trouvé")</f>
        <v>non trouvé</v>
      </c>
      <c r="M941" t="str">
        <f>_xlfn.XLOOKUP(_26_03_2026_Log_Reseau_v15[[#This Row],[province RDC]],_26_03_2026_Client_Churn_v1[Province_Client],_26_03_2026_Client_Churn_v1[Type_Forfait],"non trouvé")</f>
        <v>non trouvé</v>
      </c>
      <c r="N941" t="str">
        <f>_xlfn.XLOOKUP(_26_03_2026_Log_Reseau_v15[[#This Row],[province RDC]],_26_03_2026_Client_Churn_v1[Province_Client],_26_03_2026_Client_Churn_v1[Duree_Cumulee_Panne_Min],"non trouvé")</f>
        <v>non trouvé</v>
      </c>
      <c r="O941" t="str">
        <f>_xlfn.XLOOKUP(_26_03_2026_Log_Reseau_v15[[#This Row],[province RDC]],_26_03_2026_Client_Churn_v1[Province_Client],_26_03_2026_Client_Churn_v1[Facture_Mensuelle],"non trouvé")</f>
        <v>non trouvé</v>
      </c>
      <c r="P941" t="str">
        <f>_xlfn.XLOOKUP(_26_03_2026_Log_Reseau_v15[[#This Row],[province RDC]],_26_03_2026_Client_Churn_v1[Province_Client],_26_03_2026_Client_Churn_v1[Plaintes_Service_Client],"non trouvé")</f>
        <v>non trouvé</v>
      </c>
    </row>
    <row r="942" spans="1:16" hidden="1" x14ac:dyDescent="0.25">
      <c r="A942" s="1">
        <v>45225</v>
      </c>
      <c r="B942" s="2">
        <v>0.66041666666666665</v>
      </c>
      <c r="C942" t="s">
        <v>1385</v>
      </c>
      <c r="D942">
        <v>14</v>
      </c>
      <c r="E942" t="s">
        <v>807</v>
      </c>
      <c r="F942" t="str">
        <f>_xlfn.XLOOKUP(_26_03_2026_Log_Reseau_v15[[#This Row],[Cell_ID]],_26_03_2026_Registre_Maintenance_v1[ID_Antenne],_26_03_2026_Registre_Maintenance_v1[zone],"pas trouvé")</f>
        <v>pas trouvé</v>
      </c>
      <c r="G942" t="str">
        <f>_xlfn.XLOOKUP(_26_03_2026_Log_Reseau_v15[[#This Row],[Cell_ID]],_26_03_2026_Registre_Maintenance_v1[ID_Antenne],_26_03_2026_Registre_Maintenance_v1[Latitude],"non trouvé")</f>
        <v>non trouvé</v>
      </c>
      <c r="H942" t="str">
        <f>_xlfn.XLOOKUP(_26_03_2026_Log_Reseau_v15[[#This Row],[Cell_ID]],_26_03_2026_Registre_Maintenance_v1[ID_Antenne],_26_03_2026_Registre_Maintenance_v1[Longitude],"pas trouvé")</f>
        <v>pas trouvé</v>
      </c>
      <c r="I942" t="str">
        <f>_xlfn.XLOOKUP(_26_03_2026_Log_Reseau_v15[[#This Row],[Cell_ID]],_26_03_2026_Registre_Maintenance_v1[ID_Antenne],_26_03_2026_Registre_Maintenance_v1[Technologie],"non trouvé")</f>
        <v>non trouvé</v>
      </c>
      <c r="J942" t="str">
        <f>_xlfn.XLOOKUP(_26_03_2026_Log_Reseau_v15[[#This Row],[Cell_ID]],_26_03_2026_Registre_Maintenance_v1[ID_Antenne],_26_03_2026_Registre_Maintenance_v1[Equipementier],"pas trouvé")</f>
        <v>pas trouvé</v>
      </c>
      <c r="K942" t="str">
        <f>_xlfn.XLOOKUP(_26_03_2026_Log_Reseau_v15[[#This Row],[province RDC]],_26_03_2026_Client_Churn_v1[Province_Client],_26_03_2026_Client_Churn_v1[ID_Client],"non trouvé")</f>
        <v>non trouvé</v>
      </c>
      <c r="L942" t="str">
        <f>_xlfn.XLOOKUP(_26_03_2026_Log_Reseau_v15[[#This Row],[province RDC]],_26_03_2026_Client_Churn_v1[Province_Client],_26_03_2026_Client_Churn_v1[Anciennete_Mois],"non trouvé")</f>
        <v>non trouvé</v>
      </c>
      <c r="M942" t="str">
        <f>_xlfn.XLOOKUP(_26_03_2026_Log_Reseau_v15[[#This Row],[province RDC]],_26_03_2026_Client_Churn_v1[Province_Client],_26_03_2026_Client_Churn_v1[Type_Forfait],"non trouvé")</f>
        <v>non trouvé</v>
      </c>
      <c r="N942" t="str">
        <f>_xlfn.XLOOKUP(_26_03_2026_Log_Reseau_v15[[#This Row],[province RDC]],_26_03_2026_Client_Churn_v1[Province_Client],_26_03_2026_Client_Churn_v1[Duree_Cumulee_Panne_Min],"non trouvé")</f>
        <v>non trouvé</v>
      </c>
      <c r="O942" t="str">
        <f>_xlfn.XLOOKUP(_26_03_2026_Log_Reseau_v15[[#This Row],[province RDC]],_26_03_2026_Client_Churn_v1[Province_Client],_26_03_2026_Client_Churn_v1[Facture_Mensuelle],"non trouvé")</f>
        <v>non trouvé</v>
      </c>
      <c r="P942" t="str">
        <f>_xlfn.XLOOKUP(_26_03_2026_Log_Reseau_v15[[#This Row],[province RDC]],_26_03_2026_Client_Churn_v1[Province_Client],_26_03_2026_Client_Churn_v1[Plaintes_Service_Client],"non trouvé")</f>
        <v>non trouvé</v>
      </c>
    </row>
    <row r="943" spans="1:16" hidden="1" x14ac:dyDescent="0.25">
      <c r="A943" s="1">
        <v>45208</v>
      </c>
      <c r="B943" s="2">
        <v>4.7222222222222221E-2</v>
      </c>
      <c r="C943" t="s">
        <v>1385</v>
      </c>
      <c r="D943">
        <v>92</v>
      </c>
      <c r="E943" t="s">
        <v>812</v>
      </c>
      <c r="F943" t="str">
        <f>_xlfn.XLOOKUP(_26_03_2026_Log_Reseau_v15[[#This Row],[Cell_ID]],_26_03_2026_Registre_Maintenance_v1[ID_Antenne],_26_03_2026_Registre_Maintenance_v1[zone],"pas trouvé")</f>
        <v>pas trouvé</v>
      </c>
      <c r="G943" t="str">
        <f>_xlfn.XLOOKUP(_26_03_2026_Log_Reseau_v15[[#This Row],[Cell_ID]],_26_03_2026_Registre_Maintenance_v1[ID_Antenne],_26_03_2026_Registre_Maintenance_v1[Latitude],"non trouvé")</f>
        <v>non trouvé</v>
      </c>
      <c r="H943" t="str">
        <f>_xlfn.XLOOKUP(_26_03_2026_Log_Reseau_v15[[#This Row],[Cell_ID]],_26_03_2026_Registre_Maintenance_v1[ID_Antenne],_26_03_2026_Registre_Maintenance_v1[Longitude],"pas trouvé")</f>
        <v>pas trouvé</v>
      </c>
      <c r="I943" t="str">
        <f>_xlfn.XLOOKUP(_26_03_2026_Log_Reseau_v15[[#This Row],[Cell_ID]],_26_03_2026_Registre_Maintenance_v1[ID_Antenne],_26_03_2026_Registre_Maintenance_v1[Technologie],"non trouvé")</f>
        <v>non trouvé</v>
      </c>
      <c r="J943" t="str">
        <f>_xlfn.XLOOKUP(_26_03_2026_Log_Reseau_v15[[#This Row],[Cell_ID]],_26_03_2026_Registre_Maintenance_v1[ID_Antenne],_26_03_2026_Registre_Maintenance_v1[Equipementier],"pas trouvé")</f>
        <v>pas trouvé</v>
      </c>
      <c r="K943" t="str">
        <f>_xlfn.XLOOKUP(_26_03_2026_Log_Reseau_v15[[#This Row],[province RDC]],_26_03_2026_Client_Churn_v1[Province_Client],_26_03_2026_Client_Churn_v1[ID_Client],"non trouvé")</f>
        <v>non trouvé</v>
      </c>
      <c r="L943" t="str">
        <f>_xlfn.XLOOKUP(_26_03_2026_Log_Reseau_v15[[#This Row],[province RDC]],_26_03_2026_Client_Churn_v1[Province_Client],_26_03_2026_Client_Churn_v1[Anciennete_Mois],"non trouvé")</f>
        <v>non trouvé</v>
      </c>
      <c r="M943" t="str">
        <f>_xlfn.XLOOKUP(_26_03_2026_Log_Reseau_v15[[#This Row],[province RDC]],_26_03_2026_Client_Churn_v1[Province_Client],_26_03_2026_Client_Churn_v1[Type_Forfait],"non trouvé")</f>
        <v>non trouvé</v>
      </c>
      <c r="N943" t="str">
        <f>_xlfn.XLOOKUP(_26_03_2026_Log_Reseau_v15[[#This Row],[province RDC]],_26_03_2026_Client_Churn_v1[Province_Client],_26_03_2026_Client_Churn_v1[Duree_Cumulee_Panne_Min],"non trouvé")</f>
        <v>non trouvé</v>
      </c>
      <c r="O943" t="str">
        <f>_xlfn.XLOOKUP(_26_03_2026_Log_Reseau_v15[[#This Row],[province RDC]],_26_03_2026_Client_Churn_v1[Province_Client],_26_03_2026_Client_Churn_v1[Facture_Mensuelle],"non trouvé")</f>
        <v>non trouvé</v>
      </c>
      <c r="P943" t="str">
        <f>_xlfn.XLOOKUP(_26_03_2026_Log_Reseau_v15[[#This Row],[province RDC]],_26_03_2026_Client_Churn_v1[Province_Client],_26_03_2026_Client_Churn_v1[Plaintes_Service_Client],"non trouvé")</f>
        <v>non trouvé</v>
      </c>
    </row>
    <row r="944" spans="1:16" x14ac:dyDescent="0.25">
      <c r="A944" s="1">
        <v>45213</v>
      </c>
      <c r="B944" s="2">
        <v>0.21041666666666667</v>
      </c>
      <c r="C944" t="s">
        <v>1386</v>
      </c>
      <c r="D944">
        <v>28</v>
      </c>
      <c r="E944" t="s">
        <v>812</v>
      </c>
      <c r="F944" t="str">
        <f>_xlfn.XLOOKUP(_26_03_2026_Log_Reseau_v15[[#This Row],[Cell_ID]],_26_03_2026_Registre_Maintenance_v1[ID_Antenne],_26_03_2026_Registre_Maintenance_v1[zone],"pas trouvé")</f>
        <v>Haut-Lomami</v>
      </c>
      <c r="G944">
        <f>_xlfn.XLOOKUP(_26_03_2026_Log_Reseau_v15[[#This Row],[Cell_ID]],_26_03_2026_Registre_Maintenance_v1[ID_Antenne],_26_03_2026_Registre_Maintenance_v1[Latitude],"non trouvé")</f>
        <v>-3.1608390000000002</v>
      </c>
      <c r="H944">
        <f>_xlfn.XLOOKUP(_26_03_2026_Log_Reseau_v15[[#This Row],[Cell_ID]],_26_03_2026_Registre_Maintenance_v1[ID_Antenne],_26_03_2026_Registre_Maintenance_v1[Longitude],"pas trouvé")</f>
        <v>13.244503999999999</v>
      </c>
      <c r="I944" t="str">
        <f>_xlfn.XLOOKUP(_26_03_2026_Log_Reseau_v15[[#This Row],[Cell_ID]],_26_03_2026_Registre_Maintenance_v1[ID_Antenne],_26_03_2026_Registre_Maintenance_v1[Technologie],"non trouvé")</f>
        <v>3G</v>
      </c>
      <c r="J944" t="str">
        <f>_xlfn.XLOOKUP(_26_03_2026_Log_Reseau_v15[[#This Row],[Cell_ID]],_26_03_2026_Registre_Maintenance_v1[ID_Antenne],_26_03_2026_Registre_Maintenance_v1[Equipementier],"pas trouvé")</f>
        <v>Huawei</v>
      </c>
      <c r="K944" t="str">
        <f>_xlfn.XLOOKUP(_26_03_2026_Log_Reseau_v15[[#This Row],[province RDC]],_26_03_2026_Client_Churn_v1[Province_Client],_26_03_2026_Client_Churn_v1[ID_Client],"non trouvé")</f>
        <v>CLI-01325</v>
      </c>
      <c r="L944">
        <f>_xlfn.XLOOKUP(_26_03_2026_Log_Reseau_v15[[#This Row],[province RDC]],_26_03_2026_Client_Churn_v1[Province_Client],_26_03_2026_Client_Churn_v1[Anciennete_Mois],"non trouvé")</f>
        <v>44</v>
      </c>
      <c r="M944" t="str">
        <f>_xlfn.XLOOKUP(_26_03_2026_Log_Reseau_v15[[#This Row],[province RDC]],_26_03_2026_Client_Churn_v1[Province_Client],_26_03_2026_Client_Churn_v1[Type_Forfait],"non trouvé")</f>
        <v>Bloqué 5Go</v>
      </c>
      <c r="N944">
        <f>_xlfn.XLOOKUP(_26_03_2026_Log_Reseau_v15[[#This Row],[province RDC]],_26_03_2026_Client_Churn_v1[Province_Client],_26_03_2026_Client_Churn_v1[Duree_Cumulee_Panne_Min],"non trouvé")</f>
        <v>348</v>
      </c>
      <c r="O944">
        <f>_xlfn.XLOOKUP(_26_03_2026_Log_Reseau_v15[[#This Row],[province RDC]],_26_03_2026_Client_Churn_v1[Province_Client],_26_03_2026_Client_Churn_v1[Facture_Mensuelle],"non trouvé")</f>
        <v>58.67</v>
      </c>
      <c r="P944">
        <f>_xlfn.XLOOKUP(_26_03_2026_Log_Reseau_v15[[#This Row],[province RDC]],_26_03_2026_Client_Churn_v1[Province_Client],_26_03_2026_Client_Churn_v1[Plaintes_Service_Client],"non trouvé")</f>
        <v>0</v>
      </c>
    </row>
    <row r="945" spans="1:16" x14ac:dyDescent="0.25">
      <c r="A945" s="1">
        <v>45203</v>
      </c>
      <c r="B945" s="2">
        <v>0.21388888888888888</v>
      </c>
      <c r="C945" t="s">
        <v>1387</v>
      </c>
      <c r="D945">
        <v>5</v>
      </c>
      <c r="E945" t="s">
        <v>807</v>
      </c>
      <c r="F945" t="str">
        <f>_xlfn.XLOOKUP(_26_03_2026_Log_Reseau_v15[[#This Row],[Cell_ID]],_26_03_2026_Registre_Maintenance_v1[ID_Antenne],_26_03_2026_Registre_Maintenance_v1[zone],"pas trouvé")</f>
        <v>Nord-Kivu</v>
      </c>
      <c r="G945">
        <f>_xlfn.XLOOKUP(_26_03_2026_Log_Reseau_v15[[#This Row],[Cell_ID]],_26_03_2026_Registre_Maintenance_v1[ID_Antenne],_26_03_2026_Registre_Maintenance_v1[Latitude],"non trouvé")</f>
        <v>-6.5332999999999997</v>
      </c>
      <c r="H945">
        <f>_xlfn.XLOOKUP(_26_03_2026_Log_Reseau_v15[[#This Row],[Cell_ID]],_26_03_2026_Registre_Maintenance_v1[ID_Antenne],_26_03_2026_Registre_Maintenance_v1[Longitude],"pas trouvé")</f>
        <v>20.098018</v>
      </c>
      <c r="I945" t="str">
        <f>_xlfn.XLOOKUP(_26_03_2026_Log_Reseau_v15[[#This Row],[Cell_ID]],_26_03_2026_Registre_Maintenance_v1[ID_Antenne],_26_03_2026_Registre_Maintenance_v1[Technologie],"non trouvé")</f>
        <v>4G</v>
      </c>
      <c r="J945" t="str">
        <f>_xlfn.XLOOKUP(_26_03_2026_Log_Reseau_v15[[#This Row],[Cell_ID]],_26_03_2026_Registre_Maintenance_v1[ID_Antenne],_26_03_2026_Registre_Maintenance_v1[Equipementier],"pas trouvé")</f>
        <v>Huawei</v>
      </c>
      <c r="K945" t="str">
        <f>_xlfn.XLOOKUP(_26_03_2026_Log_Reseau_v15[[#This Row],[province RDC]],_26_03_2026_Client_Churn_v1[Province_Client],_26_03_2026_Client_Churn_v1[ID_Client],"non trouvé")</f>
        <v>CLI-00837</v>
      </c>
      <c r="L945">
        <f>_xlfn.XLOOKUP(_26_03_2026_Log_Reseau_v15[[#This Row],[province RDC]],_26_03_2026_Client_Churn_v1[Province_Client],_26_03_2026_Client_Churn_v1[Anciennete_Mois],"non trouvé")</f>
        <v>16</v>
      </c>
      <c r="M945" t="str">
        <f>_xlfn.XLOOKUP(_26_03_2026_Log_Reseau_v15[[#This Row],[province RDC]],_26_03_2026_Client_Churn_v1[Province_Client],_26_03_2026_Client_Churn_v1[Type_Forfait],"non trouvé")</f>
        <v>Bloqué 5Go</v>
      </c>
      <c r="N945">
        <f>_xlfn.XLOOKUP(_26_03_2026_Log_Reseau_v15[[#This Row],[province RDC]],_26_03_2026_Client_Churn_v1[Province_Client],_26_03_2026_Client_Churn_v1[Duree_Cumulee_Panne_Min],"non trouvé")</f>
        <v>390</v>
      </c>
      <c r="O945">
        <f>_xlfn.XLOOKUP(_26_03_2026_Log_Reseau_v15[[#This Row],[province RDC]],_26_03_2026_Client_Churn_v1[Province_Client],_26_03_2026_Client_Churn_v1[Facture_Mensuelle],"non trouvé")</f>
        <v>98.17</v>
      </c>
      <c r="P945">
        <f>_xlfn.XLOOKUP(_26_03_2026_Log_Reseau_v15[[#This Row],[province RDC]],_26_03_2026_Client_Churn_v1[Province_Client],_26_03_2026_Client_Churn_v1[Plaintes_Service_Client],"non trouvé")</f>
        <v>5</v>
      </c>
    </row>
    <row r="946" spans="1:16" x14ac:dyDescent="0.25">
      <c r="A946" s="1">
        <v>45224</v>
      </c>
      <c r="B946" s="2">
        <v>0.19513888888888889</v>
      </c>
      <c r="C946" t="s">
        <v>1388</v>
      </c>
      <c r="D946">
        <v>81</v>
      </c>
      <c r="E946" t="s">
        <v>808</v>
      </c>
      <c r="F946" t="str">
        <f>_xlfn.XLOOKUP(_26_03_2026_Log_Reseau_v15[[#This Row],[Cell_ID]],_26_03_2026_Registre_Maintenance_v1[ID_Antenne],_26_03_2026_Registre_Maintenance_v1[zone],"pas trouvé")</f>
        <v>Bas-Uele</v>
      </c>
      <c r="G946">
        <f>_xlfn.XLOOKUP(_26_03_2026_Log_Reseau_v15[[#This Row],[Cell_ID]],_26_03_2026_Registre_Maintenance_v1[ID_Antenne],_26_03_2026_Registre_Maintenance_v1[Latitude],"non trouvé")</f>
        <v>-1.500685</v>
      </c>
      <c r="H946">
        <f>_xlfn.XLOOKUP(_26_03_2026_Log_Reseau_v15[[#This Row],[Cell_ID]],_26_03_2026_Registre_Maintenance_v1[ID_Antenne],_26_03_2026_Registre_Maintenance_v1[Longitude],"pas trouvé")</f>
        <v>26.563376000000002</v>
      </c>
      <c r="I946" t="str">
        <f>_xlfn.XLOOKUP(_26_03_2026_Log_Reseau_v15[[#This Row],[Cell_ID]],_26_03_2026_Registre_Maintenance_v1[ID_Antenne],_26_03_2026_Registre_Maintenance_v1[Technologie],"non trouvé")</f>
        <v>5G</v>
      </c>
      <c r="J946" t="str">
        <f>_xlfn.XLOOKUP(_26_03_2026_Log_Reseau_v15[[#This Row],[Cell_ID]],_26_03_2026_Registre_Maintenance_v1[ID_Antenne],_26_03_2026_Registre_Maintenance_v1[Equipementier],"pas trouvé")</f>
        <v>Nokia</v>
      </c>
      <c r="K946" t="str">
        <f>_xlfn.XLOOKUP(_26_03_2026_Log_Reseau_v15[[#This Row],[province RDC]],_26_03_2026_Client_Churn_v1[Province_Client],_26_03_2026_Client_Churn_v1[ID_Client],"non trouvé")</f>
        <v>CLI-00414</v>
      </c>
      <c r="L946">
        <f>_xlfn.XLOOKUP(_26_03_2026_Log_Reseau_v15[[#This Row],[province RDC]],_26_03_2026_Client_Churn_v1[Province_Client],_26_03_2026_Client_Churn_v1[Anciennete_Mois],"non trouvé")</f>
        <v>99</v>
      </c>
      <c r="M946" t="str">
        <f>_xlfn.XLOOKUP(_26_03_2026_Log_Reseau_v15[[#This Row],[province RDC]],_26_03_2026_Client_Churn_v1[Province_Client],_26_03_2026_Client_Churn_v1[Type_Forfait],"non trouvé")</f>
        <v>Premium 5G 150Go</v>
      </c>
      <c r="N946">
        <f>_xlfn.XLOOKUP(_26_03_2026_Log_Reseau_v15[[#This Row],[province RDC]],_26_03_2026_Client_Churn_v1[Province_Client],_26_03_2026_Client_Churn_v1[Duree_Cumulee_Panne_Min],"non trouvé")</f>
        <v>447</v>
      </c>
      <c r="O946">
        <f>_xlfn.XLOOKUP(_26_03_2026_Log_Reseau_v15[[#This Row],[province RDC]],_26_03_2026_Client_Churn_v1[Province_Client],_26_03_2026_Client_Churn_v1[Facture_Mensuelle],"non trouvé")</f>
        <v>38.1</v>
      </c>
      <c r="P946">
        <f>_xlfn.XLOOKUP(_26_03_2026_Log_Reseau_v15[[#This Row],[province RDC]],_26_03_2026_Client_Churn_v1[Province_Client],_26_03_2026_Client_Churn_v1[Plaintes_Service_Client],"non trouvé")</f>
        <v>3</v>
      </c>
    </row>
    <row r="947" spans="1:16" x14ac:dyDescent="0.25">
      <c r="A947" s="1">
        <v>45218</v>
      </c>
      <c r="B947" s="2">
        <v>7.6388888888888886E-3</v>
      </c>
      <c r="C947" t="s">
        <v>1389</v>
      </c>
      <c r="D947">
        <v>44</v>
      </c>
      <c r="E947" t="s">
        <v>808</v>
      </c>
      <c r="F947" t="str">
        <f>_xlfn.XLOOKUP(_26_03_2026_Log_Reseau_v15[[#This Row],[Cell_ID]],_26_03_2026_Registre_Maintenance_v1[ID_Antenne],_26_03_2026_Registre_Maintenance_v1[zone],"pas trouvé")</f>
        <v>Sud-Kivu</v>
      </c>
      <c r="G947">
        <f>_xlfn.XLOOKUP(_26_03_2026_Log_Reseau_v15[[#This Row],[Cell_ID]],_26_03_2026_Registre_Maintenance_v1[ID_Antenne],_26_03_2026_Registre_Maintenance_v1[Latitude],"non trouvé")</f>
        <v>-9.4702129999999993</v>
      </c>
      <c r="H947">
        <f>_xlfn.XLOOKUP(_26_03_2026_Log_Reseau_v15[[#This Row],[Cell_ID]],_26_03_2026_Registre_Maintenance_v1[ID_Antenne],_26_03_2026_Registre_Maintenance_v1[Longitude],"pas trouvé")</f>
        <v>12.826158</v>
      </c>
      <c r="I947" t="str">
        <f>_xlfn.XLOOKUP(_26_03_2026_Log_Reseau_v15[[#This Row],[Cell_ID]],_26_03_2026_Registre_Maintenance_v1[ID_Antenne],_26_03_2026_Registre_Maintenance_v1[Technologie],"non trouvé")</f>
        <v>3G</v>
      </c>
      <c r="J947" t="str">
        <f>_xlfn.XLOOKUP(_26_03_2026_Log_Reseau_v15[[#This Row],[Cell_ID]],_26_03_2026_Registre_Maintenance_v1[ID_Antenne],_26_03_2026_Registre_Maintenance_v1[Equipementier],"pas trouvé")</f>
        <v>Ericsson</v>
      </c>
      <c r="K947" t="str">
        <f>_xlfn.XLOOKUP(_26_03_2026_Log_Reseau_v15[[#This Row],[province RDC]],_26_03_2026_Client_Churn_v1[Province_Client],_26_03_2026_Client_Churn_v1[ID_Client],"non trouvé")</f>
        <v>CLI-01855</v>
      </c>
      <c r="L947">
        <f>_xlfn.XLOOKUP(_26_03_2026_Log_Reseau_v15[[#This Row],[province RDC]],_26_03_2026_Client_Churn_v1[Province_Client],_26_03_2026_Client_Churn_v1[Anciennete_Mois],"non trouvé")</f>
        <v>101</v>
      </c>
      <c r="M947" t="str">
        <f>_xlfn.XLOOKUP(_26_03_2026_Log_Reseau_v15[[#This Row],[province RDC]],_26_03_2026_Client_Churn_v1[Province_Client],_26_03_2026_Client_Churn_v1[Type_Forfait],"non trouvé")</f>
        <v>Illimité 50Go</v>
      </c>
      <c r="N947">
        <f>_xlfn.XLOOKUP(_26_03_2026_Log_Reseau_v15[[#This Row],[province RDC]],_26_03_2026_Client_Churn_v1[Province_Client],_26_03_2026_Client_Churn_v1[Duree_Cumulee_Panne_Min],"non trouvé")</f>
        <v>358</v>
      </c>
      <c r="O947">
        <f>_xlfn.XLOOKUP(_26_03_2026_Log_Reseau_v15[[#This Row],[province RDC]],_26_03_2026_Client_Churn_v1[Province_Client],_26_03_2026_Client_Churn_v1[Facture_Mensuelle],"non trouvé")</f>
        <v>29.24</v>
      </c>
      <c r="P947">
        <f>_xlfn.XLOOKUP(_26_03_2026_Log_Reseau_v15[[#This Row],[province RDC]],_26_03_2026_Client_Churn_v1[Province_Client],_26_03_2026_Client_Churn_v1[Plaintes_Service_Client],"non trouvé")</f>
        <v>3</v>
      </c>
    </row>
    <row r="948" spans="1:16" x14ac:dyDescent="0.25">
      <c r="A948" s="1">
        <v>45217</v>
      </c>
      <c r="B948" s="2">
        <v>0.17499999999999999</v>
      </c>
      <c r="C948" t="s">
        <v>1389</v>
      </c>
      <c r="D948">
        <v>18</v>
      </c>
      <c r="E948" t="s">
        <v>812</v>
      </c>
      <c r="F948" t="str">
        <f>_xlfn.XLOOKUP(_26_03_2026_Log_Reseau_v15[[#This Row],[Cell_ID]],_26_03_2026_Registre_Maintenance_v1[ID_Antenne],_26_03_2026_Registre_Maintenance_v1[zone],"pas trouvé")</f>
        <v>Sud-Kivu</v>
      </c>
      <c r="G948">
        <f>_xlfn.XLOOKUP(_26_03_2026_Log_Reseau_v15[[#This Row],[Cell_ID]],_26_03_2026_Registre_Maintenance_v1[ID_Antenne],_26_03_2026_Registre_Maintenance_v1[Latitude],"non trouvé")</f>
        <v>-9.4702129999999993</v>
      </c>
      <c r="H948">
        <f>_xlfn.XLOOKUP(_26_03_2026_Log_Reseau_v15[[#This Row],[Cell_ID]],_26_03_2026_Registre_Maintenance_v1[ID_Antenne],_26_03_2026_Registre_Maintenance_v1[Longitude],"pas trouvé")</f>
        <v>12.826158</v>
      </c>
      <c r="I948" t="str">
        <f>_xlfn.XLOOKUP(_26_03_2026_Log_Reseau_v15[[#This Row],[Cell_ID]],_26_03_2026_Registre_Maintenance_v1[ID_Antenne],_26_03_2026_Registre_Maintenance_v1[Technologie],"non trouvé")</f>
        <v>3G</v>
      </c>
      <c r="J948" t="str">
        <f>_xlfn.XLOOKUP(_26_03_2026_Log_Reseau_v15[[#This Row],[Cell_ID]],_26_03_2026_Registre_Maintenance_v1[ID_Antenne],_26_03_2026_Registre_Maintenance_v1[Equipementier],"pas trouvé")</f>
        <v>Ericsson</v>
      </c>
      <c r="K948" t="str">
        <f>_xlfn.XLOOKUP(_26_03_2026_Log_Reseau_v15[[#This Row],[province RDC]],_26_03_2026_Client_Churn_v1[Province_Client],_26_03_2026_Client_Churn_v1[ID_Client],"non trouvé")</f>
        <v>CLI-01855</v>
      </c>
      <c r="L948">
        <f>_xlfn.XLOOKUP(_26_03_2026_Log_Reseau_v15[[#This Row],[province RDC]],_26_03_2026_Client_Churn_v1[Province_Client],_26_03_2026_Client_Churn_v1[Anciennete_Mois],"non trouvé")</f>
        <v>101</v>
      </c>
      <c r="M948" t="str">
        <f>_xlfn.XLOOKUP(_26_03_2026_Log_Reseau_v15[[#This Row],[province RDC]],_26_03_2026_Client_Churn_v1[Province_Client],_26_03_2026_Client_Churn_v1[Type_Forfait],"non trouvé")</f>
        <v>Illimité 50Go</v>
      </c>
      <c r="N948">
        <f>_xlfn.XLOOKUP(_26_03_2026_Log_Reseau_v15[[#This Row],[province RDC]],_26_03_2026_Client_Churn_v1[Province_Client],_26_03_2026_Client_Churn_v1[Duree_Cumulee_Panne_Min],"non trouvé")</f>
        <v>358</v>
      </c>
      <c r="O948">
        <f>_xlfn.XLOOKUP(_26_03_2026_Log_Reseau_v15[[#This Row],[province RDC]],_26_03_2026_Client_Churn_v1[Province_Client],_26_03_2026_Client_Churn_v1[Facture_Mensuelle],"non trouvé")</f>
        <v>29.24</v>
      </c>
      <c r="P948">
        <f>_xlfn.XLOOKUP(_26_03_2026_Log_Reseau_v15[[#This Row],[province RDC]],_26_03_2026_Client_Churn_v1[Province_Client],_26_03_2026_Client_Churn_v1[Plaintes_Service_Client],"non trouvé")</f>
        <v>3</v>
      </c>
    </row>
    <row r="949" spans="1:16" x14ac:dyDescent="0.25">
      <c r="A949" s="1">
        <v>45203</v>
      </c>
      <c r="B949" s="2">
        <v>0.22430555555555556</v>
      </c>
      <c r="C949" t="s">
        <v>1389</v>
      </c>
      <c r="D949">
        <v>102</v>
      </c>
      <c r="E949" t="s">
        <v>812</v>
      </c>
      <c r="F949" t="str">
        <f>_xlfn.XLOOKUP(_26_03_2026_Log_Reseau_v15[[#This Row],[Cell_ID]],_26_03_2026_Registre_Maintenance_v1[ID_Antenne],_26_03_2026_Registre_Maintenance_v1[zone],"pas trouvé")</f>
        <v>Sud-Kivu</v>
      </c>
      <c r="G949">
        <f>_xlfn.XLOOKUP(_26_03_2026_Log_Reseau_v15[[#This Row],[Cell_ID]],_26_03_2026_Registre_Maintenance_v1[ID_Antenne],_26_03_2026_Registre_Maintenance_v1[Latitude],"non trouvé")</f>
        <v>-9.4702129999999993</v>
      </c>
      <c r="H949">
        <f>_xlfn.XLOOKUP(_26_03_2026_Log_Reseau_v15[[#This Row],[Cell_ID]],_26_03_2026_Registre_Maintenance_v1[ID_Antenne],_26_03_2026_Registre_Maintenance_v1[Longitude],"pas trouvé")</f>
        <v>12.826158</v>
      </c>
      <c r="I949" t="str">
        <f>_xlfn.XLOOKUP(_26_03_2026_Log_Reseau_v15[[#This Row],[Cell_ID]],_26_03_2026_Registre_Maintenance_v1[ID_Antenne],_26_03_2026_Registre_Maintenance_v1[Technologie],"non trouvé")</f>
        <v>3G</v>
      </c>
      <c r="J949" t="str">
        <f>_xlfn.XLOOKUP(_26_03_2026_Log_Reseau_v15[[#This Row],[Cell_ID]],_26_03_2026_Registre_Maintenance_v1[ID_Antenne],_26_03_2026_Registre_Maintenance_v1[Equipementier],"pas trouvé")</f>
        <v>Ericsson</v>
      </c>
      <c r="K949" t="str">
        <f>_xlfn.XLOOKUP(_26_03_2026_Log_Reseau_v15[[#This Row],[province RDC]],_26_03_2026_Client_Churn_v1[Province_Client],_26_03_2026_Client_Churn_v1[ID_Client],"non trouvé")</f>
        <v>CLI-01855</v>
      </c>
      <c r="L949">
        <f>_xlfn.XLOOKUP(_26_03_2026_Log_Reseau_v15[[#This Row],[province RDC]],_26_03_2026_Client_Churn_v1[Province_Client],_26_03_2026_Client_Churn_v1[Anciennete_Mois],"non trouvé")</f>
        <v>101</v>
      </c>
      <c r="M949" t="str">
        <f>_xlfn.XLOOKUP(_26_03_2026_Log_Reseau_v15[[#This Row],[province RDC]],_26_03_2026_Client_Churn_v1[Province_Client],_26_03_2026_Client_Churn_v1[Type_Forfait],"non trouvé")</f>
        <v>Illimité 50Go</v>
      </c>
      <c r="N949">
        <f>_xlfn.XLOOKUP(_26_03_2026_Log_Reseau_v15[[#This Row],[province RDC]],_26_03_2026_Client_Churn_v1[Province_Client],_26_03_2026_Client_Churn_v1[Duree_Cumulee_Panne_Min],"non trouvé")</f>
        <v>358</v>
      </c>
      <c r="O949">
        <f>_xlfn.XLOOKUP(_26_03_2026_Log_Reseau_v15[[#This Row],[province RDC]],_26_03_2026_Client_Churn_v1[Province_Client],_26_03_2026_Client_Churn_v1[Facture_Mensuelle],"non trouvé")</f>
        <v>29.24</v>
      </c>
      <c r="P949">
        <f>_xlfn.XLOOKUP(_26_03_2026_Log_Reseau_v15[[#This Row],[province RDC]],_26_03_2026_Client_Churn_v1[Province_Client],_26_03_2026_Client_Churn_v1[Plaintes_Service_Client],"non trouvé")</f>
        <v>3</v>
      </c>
    </row>
    <row r="950" spans="1:16" hidden="1" x14ac:dyDescent="0.25">
      <c r="A950" s="1">
        <v>45211</v>
      </c>
      <c r="B950" s="2">
        <v>0.73333333333333328</v>
      </c>
      <c r="C950" t="s">
        <v>1390</v>
      </c>
      <c r="D950">
        <v>108</v>
      </c>
      <c r="E950" t="s">
        <v>808</v>
      </c>
      <c r="F950" t="str">
        <f>_xlfn.XLOOKUP(_26_03_2026_Log_Reseau_v15[[#This Row],[Cell_ID]],_26_03_2026_Registre_Maintenance_v1[ID_Antenne],_26_03_2026_Registre_Maintenance_v1[zone],"pas trouvé")</f>
        <v>pas trouvé</v>
      </c>
      <c r="G950" t="str">
        <f>_xlfn.XLOOKUP(_26_03_2026_Log_Reseau_v15[[#This Row],[Cell_ID]],_26_03_2026_Registre_Maintenance_v1[ID_Antenne],_26_03_2026_Registre_Maintenance_v1[Latitude],"non trouvé")</f>
        <v>non trouvé</v>
      </c>
      <c r="H950" t="str">
        <f>_xlfn.XLOOKUP(_26_03_2026_Log_Reseau_v15[[#This Row],[Cell_ID]],_26_03_2026_Registre_Maintenance_v1[ID_Antenne],_26_03_2026_Registre_Maintenance_v1[Longitude],"pas trouvé")</f>
        <v>pas trouvé</v>
      </c>
      <c r="I950" t="str">
        <f>_xlfn.XLOOKUP(_26_03_2026_Log_Reseau_v15[[#This Row],[Cell_ID]],_26_03_2026_Registre_Maintenance_v1[ID_Antenne],_26_03_2026_Registre_Maintenance_v1[Technologie],"non trouvé")</f>
        <v>non trouvé</v>
      </c>
      <c r="J950" t="str">
        <f>_xlfn.XLOOKUP(_26_03_2026_Log_Reseau_v15[[#This Row],[Cell_ID]],_26_03_2026_Registre_Maintenance_v1[ID_Antenne],_26_03_2026_Registre_Maintenance_v1[Equipementier],"pas trouvé")</f>
        <v>pas trouvé</v>
      </c>
      <c r="K950" t="str">
        <f>_xlfn.XLOOKUP(_26_03_2026_Log_Reseau_v15[[#This Row],[province RDC]],_26_03_2026_Client_Churn_v1[Province_Client],_26_03_2026_Client_Churn_v1[ID_Client],"non trouvé")</f>
        <v>non trouvé</v>
      </c>
      <c r="L950" t="str">
        <f>_xlfn.XLOOKUP(_26_03_2026_Log_Reseau_v15[[#This Row],[province RDC]],_26_03_2026_Client_Churn_v1[Province_Client],_26_03_2026_Client_Churn_v1[Anciennete_Mois],"non trouvé")</f>
        <v>non trouvé</v>
      </c>
      <c r="M950" t="str">
        <f>_xlfn.XLOOKUP(_26_03_2026_Log_Reseau_v15[[#This Row],[province RDC]],_26_03_2026_Client_Churn_v1[Province_Client],_26_03_2026_Client_Churn_v1[Type_Forfait],"non trouvé")</f>
        <v>non trouvé</v>
      </c>
      <c r="N950" t="str">
        <f>_xlfn.XLOOKUP(_26_03_2026_Log_Reseau_v15[[#This Row],[province RDC]],_26_03_2026_Client_Churn_v1[Province_Client],_26_03_2026_Client_Churn_v1[Duree_Cumulee_Panne_Min],"non trouvé")</f>
        <v>non trouvé</v>
      </c>
      <c r="O950" t="str">
        <f>_xlfn.XLOOKUP(_26_03_2026_Log_Reseau_v15[[#This Row],[province RDC]],_26_03_2026_Client_Churn_v1[Province_Client],_26_03_2026_Client_Churn_v1[Facture_Mensuelle],"non trouvé")</f>
        <v>non trouvé</v>
      </c>
      <c r="P950" t="str">
        <f>_xlfn.XLOOKUP(_26_03_2026_Log_Reseau_v15[[#This Row],[province RDC]],_26_03_2026_Client_Churn_v1[Province_Client],_26_03_2026_Client_Churn_v1[Plaintes_Service_Client],"non trouvé")</f>
        <v>non trouvé</v>
      </c>
    </row>
    <row r="951" spans="1:16" hidden="1" x14ac:dyDescent="0.25">
      <c r="A951" s="1">
        <v>45204</v>
      </c>
      <c r="B951" s="2">
        <v>0.20208333333333334</v>
      </c>
      <c r="C951" t="s">
        <v>1391</v>
      </c>
      <c r="D951">
        <v>10</v>
      </c>
      <c r="E951" t="s">
        <v>807</v>
      </c>
      <c r="F951" t="str">
        <f>_xlfn.XLOOKUP(_26_03_2026_Log_Reseau_v15[[#This Row],[Cell_ID]],_26_03_2026_Registre_Maintenance_v1[ID_Antenne],_26_03_2026_Registre_Maintenance_v1[zone],"pas trouvé")</f>
        <v>pas trouvé</v>
      </c>
      <c r="G951" t="str">
        <f>_xlfn.XLOOKUP(_26_03_2026_Log_Reseau_v15[[#This Row],[Cell_ID]],_26_03_2026_Registre_Maintenance_v1[ID_Antenne],_26_03_2026_Registre_Maintenance_v1[Latitude],"non trouvé")</f>
        <v>non trouvé</v>
      </c>
      <c r="H951" t="str">
        <f>_xlfn.XLOOKUP(_26_03_2026_Log_Reseau_v15[[#This Row],[Cell_ID]],_26_03_2026_Registre_Maintenance_v1[ID_Antenne],_26_03_2026_Registre_Maintenance_v1[Longitude],"pas trouvé")</f>
        <v>pas trouvé</v>
      </c>
      <c r="I951" t="str">
        <f>_xlfn.XLOOKUP(_26_03_2026_Log_Reseau_v15[[#This Row],[Cell_ID]],_26_03_2026_Registre_Maintenance_v1[ID_Antenne],_26_03_2026_Registre_Maintenance_v1[Technologie],"non trouvé")</f>
        <v>non trouvé</v>
      </c>
      <c r="J951" t="str">
        <f>_xlfn.XLOOKUP(_26_03_2026_Log_Reseau_v15[[#This Row],[Cell_ID]],_26_03_2026_Registre_Maintenance_v1[ID_Antenne],_26_03_2026_Registre_Maintenance_v1[Equipementier],"pas trouvé")</f>
        <v>pas trouvé</v>
      </c>
      <c r="K951" t="str">
        <f>_xlfn.XLOOKUP(_26_03_2026_Log_Reseau_v15[[#This Row],[province RDC]],_26_03_2026_Client_Churn_v1[Province_Client],_26_03_2026_Client_Churn_v1[ID_Client],"non trouvé")</f>
        <v>non trouvé</v>
      </c>
      <c r="L951" t="str">
        <f>_xlfn.XLOOKUP(_26_03_2026_Log_Reseau_v15[[#This Row],[province RDC]],_26_03_2026_Client_Churn_v1[Province_Client],_26_03_2026_Client_Churn_v1[Anciennete_Mois],"non trouvé")</f>
        <v>non trouvé</v>
      </c>
      <c r="M951" t="str">
        <f>_xlfn.XLOOKUP(_26_03_2026_Log_Reseau_v15[[#This Row],[province RDC]],_26_03_2026_Client_Churn_v1[Province_Client],_26_03_2026_Client_Churn_v1[Type_Forfait],"non trouvé")</f>
        <v>non trouvé</v>
      </c>
      <c r="N951" t="str">
        <f>_xlfn.XLOOKUP(_26_03_2026_Log_Reseau_v15[[#This Row],[province RDC]],_26_03_2026_Client_Churn_v1[Province_Client],_26_03_2026_Client_Churn_v1[Duree_Cumulee_Panne_Min],"non trouvé")</f>
        <v>non trouvé</v>
      </c>
      <c r="O951" t="str">
        <f>_xlfn.XLOOKUP(_26_03_2026_Log_Reseau_v15[[#This Row],[province RDC]],_26_03_2026_Client_Churn_v1[Province_Client],_26_03_2026_Client_Churn_v1[Facture_Mensuelle],"non trouvé")</f>
        <v>non trouvé</v>
      </c>
      <c r="P951" t="str">
        <f>_xlfn.XLOOKUP(_26_03_2026_Log_Reseau_v15[[#This Row],[province RDC]],_26_03_2026_Client_Churn_v1[Province_Client],_26_03_2026_Client_Churn_v1[Plaintes_Service_Client],"non trouvé")</f>
        <v>non trouvé</v>
      </c>
    </row>
    <row r="952" spans="1:16" hidden="1" x14ac:dyDescent="0.25">
      <c r="A952" s="1">
        <v>45223</v>
      </c>
      <c r="B952" s="2">
        <v>0.6479166666666667</v>
      </c>
      <c r="C952" t="s">
        <v>1392</v>
      </c>
      <c r="D952">
        <v>14</v>
      </c>
      <c r="E952" t="s">
        <v>812</v>
      </c>
      <c r="F952" t="str">
        <f>_xlfn.XLOOKUP(_26_03_2026_Log_Reseau_v15[[#This Row],[Cell_ID]],_26_03_2026_Registre_Maintenance_v1[ID_Antenne],_26_03_2026_Registre_Maintenance_v1[zone],"pas trouvé")</f>
        <v>pas trouvé</v>
      </c>
      <c r="G952" t="str">
        <f>_xlfn.XLOOKUP(_26_03_2026_Log_Reseau_v15[[#This Row],[Cell_ID]],_26_03_2026_Registre_Maintenance_v1[ID_Antenne],_26_03_2026_Registre_Maintenance_v1[Latitude],"non trouvé")</f>
        <v>non trouvé</v>
      </c>
      <c r="H952" t="str">
        <f>_xlfn.XLOOKUP(_26_03_2026_Log_Reseau_v15[[#This Row],[Cell_ID]],_26_03_2026_Registre_Maintenance_v1[ID_Antenne],_26_03_2026_Registre_Maintenance_v1[Longitude],"pas trouvé")</f>
        <v>pas trouvé</v>
      </c>
      <c r="I952" t="str">
        <f>_xlfn.XLOOKUP(_26_03_2026_Log_Reseau_v15[[#This Row],[Cell_ID]],_26_03_2026_Registre_Maintenance_v1[ID_Antenne],_26_03_2026_Registre_Maintenance_v1[Technologie],"non trouvé")</f>
        <v>non trouvé</v>
      </c>
      <c r="J952" t="str">
        <f>_xlfn.XLOOKUP(_26_03_2026_Log_Reseau_v15[[#This Row],[Cell_ID]],_26_03_2026_Registre_Maintenance_v1[ID_Antenne],_26_03_2026_Registre_Maintenance_v1[Equipementier],"pas trouvé")</f>
        <v>pas trouvé</v>
      </c>
      <c r="K952" t="str">
        <f>_xlfn.XLOOKUP(_26_03_2026_Log_Reseau_v15[[#This Row],[province RDC]],_26_03_2026_Client_Churn_v1[Province_Client],_26_03_2026_Client_Churn_v1[ID_Client],"non trouvé")</f>
        <v>non trouvé</v>
      </c>
      <c r="L952" t="str">
        <f>_xlfn.XLOOKUP(_26_03_2026_Log_Reseau_v15[[#This Row],[province RDC]],_26_03_2026_Client_Churn_v1[Province_Client],_26_03_2026_Client_Churn_v1[Anciennete_Mois],"non trouvé")</f>
        <v>non trouvé</v>
      </c>
      <c r="M952" t="str">
        <f>_xlfn.XLOOKUP(_26_03_2026_Log_Reseau_v15[[#This Row],[province RDC]],_26_03_2026_Client_Churn_v1[Province_Client],_26_03_2026_Client_Churn_v1[Type_Forfait],"non trouvé")</f>
        <v>non trouvé</v>
      </c>
      <c r="N952" t="str">
        <f>_xlfn.XLOOKUP(_26_03_2026_Log_Reseau_v15[[#This Row],[province RDC]],_26_03_2026_Client_Churn_v1[Province_Client],_26_03_2026_Client_Churn_v1[Duree_Cumulee_Panne_Min],"non trouvé")</f>
        <v>non trouvé</v>
      </c>
      <c r="O952" t="str">
        <f>_xlfn.XLOOKUP(_26_03_2026_Log_Reseau_v15[[#This Row],[province RDC]],_26_03_2026_Client_Churn_v1[Province_Client],_26_03_2026_Client_Churn_v1[Facture_Mensuelle],"non trouvé")</f>
        <v>non trouvé</v>
      </c>
      <c r="P952" t="str">
        <f>_xlfn.XLOOKUP(_26_03_2026_Log_Reseau_v15[[#This Row],[province RDC]],_26_03_2026_Client_Churn_v1[Province_Client],_26_03_2026_Client_Churn_v1[Plaintes_Service_Client],"non trouvé")</f>
        <v>non trouvé</v>
      </c>
    </row>
    <row r="953" spans="1:16" hidden="1" x14ac:dyDescent="0.25">
      <c r="A953" s="1">
        <v>45205</v>
      </c>
      <c r="B953" s="2">
        <v>0.58611111111111114</v>
      </c>
      <c r="C953" t="s">
        <v>1393</v>
      </c>
      <c r="D953">
        <v>89</v>
      </c>
      <c r="E953" t="s">
        <v>812</v>
      </c>
      <c r="F953" t="str">
        <f>_xlfn.XLOOKUP(_26_03_2026_Log_Reseau_v15[[#This Row],[Cell_ID]],_26_03_2026_Registre_Maintenance_v1[ID_Antenne],_26_03_2026_Registre_Maintenance_v1[zone],"pas trouvé")</f>
        <v>pas trouvé</v>
      </c>
      <c r="G953" t="str">
        <f>_xlfn.XLOOKUP(_26_03_2026_Log_Reseau_v15[[#This Row],[Cell_ID]],_26_03_2026_Registre_Maintenance_v1[ID_Antenne],_26_03_2026_Registre_Maintenance_v1[Latitude],"non trouvé")</f>
        <v>non trouvé</v>
      </c>
      <c r="H953" t="str">
        <f>_xlfn.XLOOKUP(_26_03_2026_Log_Reseau_v15[[#This Row],[Cell_ID]],_26_03_2026_Registre_Maintenance_v1[ID_Antenne],_26_03_2026_Registre_Maintenance_v1[Longitude],"pas trouvé")</f>
        <v>pas trouvé</v>
      </c>
      <c r="I953" t="str">
        <f>_xlfn.XLOOKUP(_26_03_2026_Log_Reseau_v15[[#This Row],[Cell_ID]],_26_03_2026_Registre_Maintenance_v1[ID_Antenne],_26_03_2026_Registre_Maintenance_v1[Technologie],"non trouvé")</f>
        <v>non trouvé</v>
      </c>
      <c r="J953" t="str">
        <f>_xlfn.XLOOKUP(_26_03_2026_Log_Reseau_v15[[#This Row],[Cell_ID]],_26_03_2026_Registre_Maintenance_v1[ID_Antenne],_26_03_2026_Registre_Maintenance_v1[Equipementier],"pas trouvé")</f>
        <v>pas trouvé</v>
      </c>
      <c r="K953" t="str">
        <f>_xlfn.XLOOKUP(_26_03_2026_Log_Reseau_v15[[#This Row],[province RDC]],_26_03_2026_Client_Churn_v1[Province_Client],_26_03_2026_Client_Churn_v1[ID_Client],"non trouvé")</f>
        <v>non trouvé</v>
      </c>
      <c r="L953" t="str">
        <f>_xlfn.XLOOKUP(_26_03_2026_Log_Reseau_v15[[#This Row],[province RDC]],_26_03_2026_Client_Churn_v1[Province_Client],_26_03_2026_Client_Churn_v1[Anciennete_Mois],"non trouvé")</f>
        <v>non trouvé</v>
      </c>
      <c r="M953" t="str">
        <f>_xlfn.XLOOKUP(_26_03_2026_Log_Reseau_v15[[#This Row],[province RDC]],_26_03_2026_Client_Churn_v1[Province_Client],_26_03_2026_Client_Churn_v1[Type_Forfait],"non trouvé")</f>
        <v>non trouvé</v>
      </c>
      <c r="N953" t="str">
        <f>_xlfn.XLOOKUP(_26_03_2026_Log_Reseau_v15[[#This Row],[province RDC]],_26_03_2026_Client_Churn_v1[Province_Client],_26_03_2026_Client_Churn_v1[Duree_Cumulee_Panne_Min],"non trouvé")</f>
        <v>non trouvé</v>
      </c>
      <c r="O953" t="str">
        <f>_xlfn.XLOOKUP(_26_03_2026_Log_Reseau_v15[[#This Row],[province RDC]],_26_03_2026_Client_Churn_v1[Province_Client],_26_03_2026_Client_Churn_v1[Facture_Mensuelle],"non trouvé")</f>
        <v>non trouvé</v>
      </c>
      <c r="P953" t="str">
        <f>_xlfn.XLOOKUP(_26_03_2026_Log_Reseau_v15[[#This Row],[province RDC]],_26_03_2026_Client_Churn_v1[Province_Client],_26_03_2026_Client_Churn_v1[Plaintes_Service_Client],"non trouvé")</f>
        <v>non trouvé</v>
      </c>
    </row>
    <row r="954" spans="1:16" hidden="1" x14ac:dyDescent="0.25">
      <c r="A954" s="1">
        <v>45217</v>
      </c>
      <c r="B954" s="2">
        <v>2.7777777777777776E-2</v>
      </c>
      <c r="C954" t="s">
        <v>1394</v>
      </c>
      <c r="D954">
        <v>54</v>
      </c>
      <c r="E954" t="s">
        <v>808</v>
      </c>
      <c r="F954" t="str">
        <f>_xlfn.XLOOKUP(_26_03_2026_Log_Reseau_v15[[#This Row],[Cell_ID]],_26_03_2026_Registre_Maintenance_v1[ID_Antenne],_26_03_2026_Registre_Maintenance_v1[zone],"pas trouvé")</f>
        <v>pas trouvé</v>
      </c>
      <c r="G954" t="str">
        <f>_xlfn.XLOOKUP(_26_03_2026_Log_Reseau_v15[[#This Row],[Cell_ID]],_26_03_2026_Registre_Maintenance_v1[ID_Antenne],_26_03_2026_Registre_Maintenance_v1[Latitude],"non trouvé")</f>
        <v>non trouvé</v>
      </c>
      <c r="H954" t="str">
        <f>_xlfn.XLOOKUP(_26_03_2026_Log_Reseau_v15[[#This Row],[Cell_ID]],_26_03_2026_Registre_Maintenance_v1[ID_Antenne],_26_03_2026_Registre_Maintenance_v1[Longitude],"pas trouvé")</f>
        <v>pas trouvé</v>
      </c>
      <c r="I954" t="str">
        <f>_xlfn.XLOOKUP(_26_03_2026_Log_Reseau_v15[[#This Row],[Cell_ID]],_26_03_2026_Registre_Maintenance_v1[ID_Antenne],_26_03_2026_Registre_Maintenance_v1[Technologie],"non trouvé")</f>
        <v>non trouvé</v>
      </c>
      <c r="J954" t="str">
        <f>_xlfn.XLOOKUP(_26_03_2026_Log_Reseau_v15[[#This Row],[Cell_ID]],_26_03_2026_Registre_Maintenance_v1[ID_Antenne],_26_03_2026_Registre_Maintenance_v1[Equipementier],"pas trouvé")</f>
        <v>pas trouvé</v>
      </c>
      <c r="K954" t="str">
        <f>_xlfn.XLOOKUP(_26_03_2026_Log_Reseau_v15[[#This Row],[province RDC]],_26_03_2026_Client_Churn_v1[Province_Client],_26_03_2026_Client_Churn_v1[ID_Client],"non trouvé")</f>
        <v>non trouvé</v>
      </c>
      <c r="L954" t="str">
        <f>_xlfn.XLOOKUP(_26_03_2026_Log_Reseau_v15[[#This Row],[province RDC]],_26_03_2026_Client_Churn_v1[Province_Client],_26_03_2026_Client_Churn_v1[Anciennete_Mois],"non trouvé")</f>
        <v>non trouvé</v>
      </c>
      <c r="M954" t="str">
        <f>_xlfn.XLOOKUP(_26_03_2026_Log_Reseau_v15[[#This Row],[province RDC]],_26_03_2026_Client_Churn_v1[Province_Client],_26_03_2026_Client_Churn_v1[Type_Forfait],"non trouvé")</f>
        <v>non trouvé</v>
      </c>
      <c r="N954" t="str">
        <f>_xlfn.XLOOKUP(_26_03_2026_Log_Reseau_v15[[#This Row],[province RDC]],_26_03_2026_Client_Churn_v1[Province_Client],_26_03_2026_Client_Churn_v1[Duree_Cumulee_Panne_Min],"non trouvé")</f>
        <v>non trouvé</v>
      </c>
      <c r="O954" t="str">
        <f>_xlfn.XLOOKUP(_26_03_2026_Log_Reseau_v15[[#This Row],[province RDC]],_26_03_2026_Client_Churn_v1[Province_Client],_26_03_2026_Client_Churn_v1[Facture_Mensuelle],"non trouvé")</f>
        <v>non trouvé</v>
      </c>
      <c r="P954" t="str">
        <f>_xlfn.XLOOKUP(_26_03_2026_Log_Reseau_v15[[#This Row],[province RDC]],_26_03_2026_Client_Churn_v1[Province_Client],_26_03_2026_Client_Churn_v1[Plaintes_Service_Client],"non trouvé")</f>
        <v>non trouvé</v>
      </c>
    </row>
    <row r="955" spans="1:16" hidden="1" x14ac:dyDescent="0.25">
      <c r="A955" s="1">
        <v>45224</v>
      </c>
      <c r="B955" s="2">
        <v>0.68333333333333335</v>
      </c>
      <c r="C955" t="s">
        <v>1394</v>
      </c>
      <c r="D955">
        <v>71</v>
      </c>
      <c r="E955" t="s">
        <v>807</v>
      </c>
      <c r="F955" t="str">
        <f>_xlfn.XLOOKUP(_26_03_2026_Log_Reseau_v15[[#This Row],[Cell_ID]],_26_03_2026_Registre_Maintenance_v1[ID_Antenne],_26_03_2026_Registre_Maintenance_v1[zone],"pas trouvé")</f>
        <v>pas trouvé</v>
      </c>
      <c r="G955" t="str">
        <f>_xlfn.XLOOKUP(_26_03_2026_Log_Reseau_v15[[#This Row],[Cell_ID]],_26_03_2026_Registre_Maintenance_v1[ID_Antenne],_26_03_2026_Registre_Maintenance_v1[Latitude],"non trouvé")</f>
        <v>non trouvé</v>
      </c>
      <c r="H955" t="str">
        <f>_xlfn.XLOOKUP(_26_03_2026_Log_Reseau_v15[[#This Row],[Cell_ID]],_26_03_2026_Registre_Maintenance_v1[ID_Antenne],_26_03_2026_Registre_Maintenance_v1[Longitude],"pas trouvé")</f>
        <v>pas trouvé</v>
      </c>
      <c r="I955" t="str">
        <f>_xlfn.XLOOKUP(_26_03_2026_Log_Reseau_v15[[#This Row],[Cell_ID]],_26_03_2026_Registre_Maintenance_v1[ID_Antenne],_26_03_2026_Registre_Maintenance_v1[Technologie],"non trouvé")</f>
        <v>non trouvé</v>
      </c>
      <c r="J955" t="str">
        <f>_xlfn.XLOOKUP(_26_03_2026_Log_Reseau_v15[[#This Row],[Cell_ID]],_26_03_2026_Registre_Maintenance_v1[ID_Antenne],_26_03_2026_Registre_Maintenance_v1[Equipementier],"pas trouvé")</f>
        <v>pas trouvé</v>
      </c>
      <c r="K955" t="str">
        <f>_xlfn.XLOOKUP(_26_03_2026_Log_Reseau_v15[[#This Row],[province RDC]],_26_03_2026_Client_Churn_v1[Province_Client],_26_03_2026_Client_Churn_v1[ID_Client],"non trouvé")</f>
        <v>non trouvé</v>
      </c>
      <c r="L955" t="str">
        <f>_xlfn.XLOOKUP(_26_03_2026_Log_Reseau_v15[[#This Row],[province RDC]],_26_03_2026_Client_Churn_v1[Province_Client],_26_03_2026_Client_Churn_v1[Anciennete_Mois],"non trouvé")</f>
        <v>non trouvé</v>
      </c>
      <c r="M955" t="str">
        <f>_xlfn.XLOOKUP(_26_03_2026_Log_Reseau_v15[[#This Row],[province RDC]],_26_03_2026_Client_Churn_v1[Province_Client],_26_03_2026_Client_Churn_v1[Type_Forfait],"non trouvé")</f>
        <v>non trouvé</v>
      </c>
      <c r="N955" t="str">
        <f>_xlfn.XLOOKUP(_26_03_2026_Log_Reseau_v15[[#This Row],[province RDC]],_26_03_2026_Client_Churn_v1[Province_Client],_26_03_2026_Client_Churn_v1[Duree_Cumulee_Panne_Min],"non trouvé")</f>
        <v>non trouvé</v>
      </c>
      <c r="O955" t="str">
        <f>_xlfn.XLOOKUP(_26_03_2026_Log_Reseau_v15[[#This Row],[province RDC]],_26_03_2026_Client_Churn_v1[Province_Client],_26_03_2026_Client_Churn_v1[Facture_Mensuelle],"non trouvé")</f>
        <v>non trouvé</v>
      </c>
      <c r="P955" t="str">
        <f>_xlfn.XLOOKUP(_26_03_2026_Log_Reseau_v15[[#This Row],[province RDC]],_26_03_2026_Client_Churn_v1[Province_Client],_26_03_2026_Client_Churn_v1[Plaintes_Service_Client],"non trouvé")</f>
        <v>non trouvé</v>
      </c>
    </row>
    <row r="956" spans="1:16" hidden="1" x14ac:dyDescent="0.25">
      <c r="A956" s="1">
        <v>45221</v>
      </c>
      <c r="B956" s="2">
        <v>9.5138888888888884E-2</v>
      </c>
      <c r="C956" t="s">
        <v>1395</v>
      </c>
      <c r="D956">
        <v>10</v>
      </c>
      <c r="E956" t="s">
        <v>808</v>
      </c>
      <c r="F956" t="str">
        <f>_xlfn.XLOOKUP(_26_03_2026_Log_Reseau_v15[[#This Row],[Cell_ID]],_26_03_2026_Registre_Maintenance_v1[ID_Antenne],_26_03_2026_Registre_Maintenance_v1[zone],"pas trouvé")</f>
        <v>pas trouvé</v>
      </c>
      <c r="G956" t="str">
        <f>_xlfn.XLOOKUP(_26_03_2026_Log_Reseau_v15[[#This Row],[Cell_ID]],_26_03_2026_Registre_Maintenance_v1[ID_Antenne],_26_03_2026_Registre_Maintenance_v1[Latitude],"non trouvé")</f>
        <v>non trouvé</v>
      </c>
      <c r="H956" t="str">
        <f>_xlfn.XLOOKUP(_26_03_2026_Log_Reseau_v15[[#This Row],[Cell_ID]],_26_03_2026_Registre_Maintenance_v1[ID_Antenne],_26_03_2026_Registre_Maintenance_v1[Longitude],"pas trouvé")</f>
        <v>pas trouvé</v>
      </c>
      <c r="I956" t="str">
        <f>_xlfn.XLOOKUP(_26_03_2026_Log_Reseau_v15[[#This Row],[Cell_ID]],_26_03_2026_Registre_Maintenance_v1[ID_Antenne],_26_03_2026_Registre_Maintenance_v1[Technologie],"non trouvé")</f>
        <v>non trouvé</v>
      </c>
      <c r="J956" t="str">
        <f>_xlfn.XLOOKUP(_26_03_2026_Log_Reseau_v15[[#This Row],[Cell_ID]],_26_03_2026_Registre_Maintenance_v1[ID_Antenne],_26_03_2026_Registre_Maintenance_v1[Equipementier],"pas trouvé")</f>
        <v>pas trouvé</v>
      </c>
      <c r="K956" t="str">
        <f>_xlfn.XLOOKUP(_26_03_2026_Log_Reseau_v15[[#This Row],[province RDC]],_26_03_2026_Client_Churn_v1[Province_Client],_26_03_2026_Client_Churn_v1[ID_Client],"non trouvé")</f>
        <v>non trouvé</v>
      </c>
      <c r="L956" t="str">
        <f>_xlfn.XLOOKUP(_26_03_2026_Log_Reseau_v15[[#This Row],[province RDC]],_26_03_2026_Client_Churn_v1[Province_Client],_26_03_2026_Client_Churn_v1[Anciennete_Mois],"non trouvé")</f>
        <v>non trouvé</v>
      </c>
      <c r="M956" t="str">
        <f>_xlfn.XLOOKUP(_26_03_2026_Log_Reseau_v15[[#This Row],[province RDC]],_26_03_2026_Client_Churn_v1[Province_Client],_26_03_2026_Client_Churn_v1[Type_Forfait],"non trouvé")</f>
        <v>non trouvé</v>
      </c>
      <c r="N956" t="str">
        <f>_xlfn.XLOOKUP(_26_03_2026_Log_Reseau_v15[[#This Row],[province RDC]],_26_03_2026_Client_Churn_v1[Province_Client],_26_03_2026_Client_Churn_v1[Duree_Cumulee_Panne_Min],"non trouvé")</f>
        <v>non trouvé</v>
      </c>
      <c r="O956" t="str">
        <f>_xlfn.XLOOKUP(_26_03_2026_Log_Reseau_v15[[#This Row],[province RDC]],_26_03_2026_Client_Churn_v1[Province_Client],_26_03_2026_Client_Churn_v1[Facture_Mensuelle],"non trouvé")</f>
        <v>non trouvé</v>
      </c>
      <c r="P956" t="str">
        <f>_xlfn.XLOOKUP(_26_03_2026_Log_Reseau_v15[[#This Row],[province RDC]],_26_03_2026_Client_Churn_v1[Province_Client],_26_03_2026_Client_Churn_v1[Plaintes_Service_Client],"non trouvé")</f>
        <v>non trouvé</v>
      </c>
    </row>
    <row r="957" spans="1:16" hidden="1" x14ac:dyDescent="0.25">
      <c r="A957" s="1">
        <v>45213</v>
      </c>
      <c r="B957" s="2">
        <v>0.4284722222222222</v>
      </c>
      <c r="C957" t="s">
        <v>1395</v>
      </c>
      <c r="D957">
        <v>101</v>
      </c>
      <c r="E957" t="s">
        <v>808</v>
      </c>
      <c r="F957" t="str">
        <f>_xlfn.XLOOKUP(_26_03_2026_Log_Reseau_v15[[#This Row],[Cell_ID]],_26_03_2026_Registre_Maintenance_v1[ID_Antenne],_26_03_2026_Registre_Maintenance_v1[zone],"pas trouvé")</f>
        <v>pas trouvé</v>
      </c>
      <c r="G957" t="str">
        <f>_xlfn.XLOOKUP(_26_03_2026_Log_Reseau_v15[[#This Row],[Cell_ID]],_26_03_2026_Registre_Maintenance_v1[ID_Antenne],_26_03_2026_Registre_Maintenance_v1[Latitude],"non trouvé")</f>
        <v>non trouvé</v>
      </c>
      <c r="H957" t="str">
        <f>_xlfn.XLOOKUP(_26_03_2026_Log_Reseau_v15[[#This Row],[Cell_ID]],_26_03_2026_Registre_Maintenance_v1[ID_Antenne],_26_03_2026_Registre_Maintenance_v1[Longitude],"pas trouvé")</f>
        <v>pas trouvé</v>
      </c>
      <c r="I957" t="str">
        <f>_xlfn.XLOOKUP(_26_03_2026_Log_Reseau_v15[[#This Row],[Cell_ID]],_26_03_2026_Registre_Maintenance_v1[ID_Antenne],_26_03_2026_Registre_Maintenance_v1[Technologie],"non trouvé")</f>
        <v>non trouvé</v>
      </c>
      <c r="J957" t="str">
        <f>_xlfn.XLOOKUP(_26_03_2026_Log_Reseau_v15[[#This Row],[Cell_ID]],_26_03_2026_Registre_Maintenance_v1[ID_Antenne],_26_03_2026_Registre_Maintenance_v1[Equipementier],"pas trouvé")</f>
        <v>pas trouvé</v>
      </c>
      <c r="K957" t="str">
        <f>_xlfn.XLOOKUP(_26_03_2026_Log_Reseau_v15[[#This Row],[province RDC]],_26_03_2026_Client_Churn_v1[Province_Client],_26_03_2026_Client_Churn_v1[ID_Client],"non trouvé")</f>
        <v>non trouvé</v>
      </c>
      <c r="L957" t="str">
        <f>_xlfn.XLOOKUP(_26_03_2026_Log_Reseau_v15[[#This Row],[province RDC]],_26_03_2026_Client_Churn_v1[Province_Client],_26_03_2026_Client_Churn_v1[Anciennete_Mois],"non trouvé")</f>
        <v>non trouvé</v>
      </c>
      <c r="M957" t="str">
        <f>_xlfn.XLOOKUP(_26_03_2026_Log_Reseau_v15[[#This Row],[province RDC]],_26_03_2026_Client_Churn_v1[Province_Client],_26_03_2026_Client_Churn_v1[Type_Forfait],"non trouvé")</f>
        <v>non trouvé</v>
      </c>
      <c r="N957" t="str">
        <f>_xlfn.XLOOKUP(_26_03_2026_Log_Reseau_v15[[#This Row],[province RDC]],_26_03_2026_Client_Churn_v1[Province_Client],_26_03_2026_Client_Churn_v1[Duree_Cumulee_Panne_Min],"non trouvé")</f>
        <v>non trouvé</v>
      </c>
      <c r="O957" t="str">
        <f>_xlfn.XLOOKUP(_26_03_2026_Log_Reseau_v15[[#This Row],[province RDC]],_26_03_2026_Client_Churn_v1[Province_Client],_26_03_2026_Client_Churn_v1[Facture_Mensuelle],"non trouvé")</f>
        <v>non trouvé</v>
      </c>
      <c r="P957" t="str">
        <f>_xlfn.XLOOKUP(_26_03_2026_Log_Reseau_v15[[#This Row],[province RDC]],_26_03_2026_Client_Churn_v1[Province_Client],_26_03_2026_Client_Churn_v1[Plaintes_Service_Client],"non trouvé")</f>
        <v>non trouvé</v>
      </c>
    </row>
    <row r="958" spans="1:16" x14ac:dyDescent="0.25">
      <c r="A958" s="1">
        <v>45204</v>
      </c>
      <c r="B958" s="2">
        <v>0.47152777777777777</v>
      </c>
      <c r="C958" t="s">
        <v>1396</v>
      </c>
      <c r="D958">
        <v>10</v>
      </c>
      <c r="E958" t="s">
        <v>807</v>
      </c>
      <c r="F958" t="str">
        <f>_xlfn.XLOOKUP(_26_03_2026_Log_Reseau_v15[[#This Row],[Cell_ID]],_26_03_2026_Registre_Maintenance_v1[ID_Antenne],_26_03_2026_Registre_Maintenance_v1[zone],"pas trouvé")</f>
        <v>Nord-Kivu</v>
      </c>
      <c r="G958">
        <f>_xlfn.XLOOKUP(_26_03_2026_Log_Reseau_v15[[#This Row],[Cell_ID]],_26_03_2026_Registre_Maintenance_v1[ID_Antenne],_26_03_2026_Registre_Maintenance_v1[Latitude],"non trouvé")</f>
        <v>4.9455159999999996</v>
      </c>
      <c r="H958">
        <f>_xlfn.XLOOKUP(_26_03_2026_Log_Reseau_v15[[#This Row],[Cell_ID]],_26_03_2026_Registre_Maintenance_v1[ID_Antenne],_26_03_2026_Registre_Maintenance_v1[Longitude],"pas trouvé")</f>
        <v>23.647746000000001</v>
      </c>
      <c r="I958" t="str">
        <f>_xlfn.XLOOKUP(_26_03_2026_Log_Reseau_v15[[#This Row],[Cell_ID]],_26_03_2026_Registre_Maintenance_v1[ID_Antenne],_26_03_2026_Registre_Maintenance_v1[Technologie],"non trouvé")</f>
        <v>5G</v>
      </c>
      <c r="J958" t="str">
        <f>_xlfn.XLOOKUP(_26_03_2026_Log_Reseau_v15[[#This Row],[Cell_ID]],_26_03_2026_Registre_Maintenance_v1[ID_Antenne],_26_03_2026_Registre_Maintenance_v1[Equipementier],"pas trouvé")</f>
        <v>Huawei</v>
      </c>
      <c r="K958" t="str">
        <f>_xlfn.XLOOKUP(_26_03_2026_Log_Reseau_v15[[#This Row],[province RDC]],_26_03_2026_Client_Churn_v1[Province_Client],_26_03_2026_Client_Churn_v1[ID_Client],"non trouvé")</f>
        <v>CLI-00837</v>
      </c>
      <c r="L958">
        <f>_xlfn.XLOOKUP(_26_03_2026_Log_Reseau_v15[[#This Row],[province RDC]],_26_03_2026_Client_Churn_v1[Province_Client],_26_03_2026_Client_Churn_v1[Anciennete_Mois],"non trouvé")</f>
        <v>16</v>
      </c>
      <c r="M958" t="str">
        <f>_xlfn.XLOOKUP(_26_03_2026_Log_Reseau_v15[[#This Row],[province RDC]],_26_03_2026_Client_Churn_v1[Province_Client],_26_03_2026_Client_Churn_v1[Type_Forfait],"non trouvé")</f>
        <v>Bloqué 5Go</v>
      </c>
      <c r="N958">
        <f>_xlfn.XLOOKUP(_26_03_2026_Log_Reseau_v15[[#This Row],[province RDC]],_26_03_2026_Client_Churn_v1[Province_Client],_26_03_2026_Client_Churn_v1[Duree_Cumulee_Panne_Min],"non trouvé")</f>
        <v>390</v>
      </c>
      <c r="O958">
        <f>_xlfn.XLOOKUP(_26_03_2026_Log_Reseau_v15[[#This Row],[province RDC]],_26_03_2026_Client_Churn_v1[Province_Client],_26_03_2026_Client_Churn_v1[Facture_Mensuelle],"non trouvé")</f>
        <v>98.17</v>
      </c>
      <c r="P958">
        <f>_xlfn.XLOOKUP(_26_03_2026_Log_Reseau_v15[[#This Row],[province RDC]],_26_03_2026_Client_Churn_v1[Province_Client],_26_03_2026_Client_Churn_v1[Plaintes_Service_Client],"non trouvé")</f>
        <v>5</v>
      </c>
    </row>
    <row r="959" spans="1:16" hidden="1" x14ac:dyDescent="0.25">
      <c r="A959" s="1">
        <v>45220</v>
      </c>
      <c r="B959" s="2">
        <v>0.45277777777777778</v>
      </c>
      <c r="C959" t="s">
        <v>1397</v>
      </c>
      <c r="D959">
        <v>35</v>
      </c>
      <c r="E959" t="s">
        <v>808</v>
      </c>
      <c r="F959" t="str">
        <f>_xlfn.XLOOKUP(_26_03_2026_Log_Reseau_v15[[#This Row],[Cell_ID]],_26_03_2026_Registre_Maintenance_v1[ID_Antenne],_26_03_2026_Registre_Maintenance_v1[zone],"pas trouvé")</f>
        <v>pas trouvé</v>
      </c>
      <c r="G959" t="str">
        <f>_xlfn.XLOOKUP(_26_03_2026_Log_Reseau_v15[[#This Row],[Cell_ID]],_26_03_2026_Registre_Maintenance_v1[ID_Antenne],_26_03_2026_Registre_Maintenance_v1[Latitude],"non trouvé")</f>
        <v>non trouvé</v>
      </c>
      <c r="H959" t="str">
        <f>_xlfn.XLOOKUP(_26_03_2026_Log_Reseau_v15[[#This Row],[Cell_ID]],_26_03_2026_Registre_Maintenance_v1[ID_Antenne],_26_03_2026_Registre_Maintenance_v1[Longitude],"pas trouvé")</f>
        <v>pas trouvé</v>
      </c>
      <c r="I959" t="str">
        <f>_xlfn.XLOOKUP(_26_03_2026_Log_Reseau_v15[[#This Row],[Cell_ID]],_26_03_2026_Registre_Maintenance_v1[ID_Antenne],_26_03_2026_Registre_Maintenance_v1[Technologie],"non trouvé")</f>
        <v>non trouvé</v>
      </c>
      <c r="J959" t="str">
        <f>_xlfn.XLOOKUP(_26_03_2026_Log_Reseau_v15[[#This Row],[Cell_ID]],_26_03_2026_Registre_Maintenance_v1[ID_Antenne],_26_03_2026_Registre_Maintenance_v1[Equipementier],"pas trouvé")</f>
        <v>pas trouvé</v>
      </c>
      <c r="K959" t="str">
        <f>_xlfn.XLOOKUP(_26_03_2026_Log_Reseau_v15[[#This Row],[province RDC]],_26_03_2026_Client_Churn_v1[Province_Client],_26_03_2026_Client_Churn_v1[ID_Client],"non trouvé")</f>
        <v>non trouvé</v>
      </c>
      <c r="L959" t="str">
        <f>_xlfn.XLOOKUP(_26_03_2026_Log_Reseau_v15[[#This Row],[province RDC]],_26_03_2026_Client_Churn_v1[Province_Client],_26_03_2026_Client_Churn_v1[Anciennete_Mois],"non trouvé")</f>
        <v>non trouvé</v>
      </c>
      <c r="M959" t="str">
        <f>_xlfn.XLOOKUP(_26_03_2026_Log_Reseau_v15[[#This Row],[province RDC]],_26_03_2026_Client_Churn_v1[Province_Client],_26_03_2026_Client_Churn_v1[Type_Forfait],"non trouvé")</f>
        <v>non trouvé</v>
      </c>
      <c r="N959" t="str">
        <f>_xlfn.XLOOKUP(_26_03_2026_Log_Reseau_v15[[#This Row],[province RDC]],_26_03_2026_Client_Churn_v1[Province_Client],_26_03_2026_Client_Churn_v1[Duree_Cumulee_Panne_Min],"non trouvé")</f>
        <v>non trouvé</v>
      </c>
      <c r="O959" t="str">
        <f>_xlfn.XLOOKUP(_26_03_2026_Log_Reseau_v15[[#This Row],[province RDC]],_26_03_2026_Client_Churn_v1[Province_Client],_26_03_2026_Client_Churn_v1[Facture_Mensuelle],"non trouvé")</f>
        <v>non trouvé</v>
      </c>
      <c r="P959" t="str">
        <f>_xlfn.XLOOKUP(_26_03_2026_Log_Reseau_v15[[#This Row],[province RDC]],_26_03_2026_Client_Churn_v1[Province_Client],_26_03_2026_Client_Churn_v1[Plaintes_Service_Client],"non trouvé")</f>
        <v>non trouvé</v>
      </c>
    </row>
    <row r="960" spans="1:16" hidden="1" x14ac:dyDescent="0.25">
      <c r="A960" s="1">
        <v>45226</v>
      </c>
      <c r="B960" s="2">
        <v>0.90625</v>
      </c>
      <c r="C960" t="s">
        <v>1397</v>
      </c>
      <c r="D960">
        <v>26</v>
      </c>
      <c r="E960" t="s">
        <v>808</v>
      </c>
      <c r="F960" t="str">
        <f>_xlfn.XLOOKUP(_26_03_2026_Log_Reseau_v15[[#This Row],[Cell_ID]],_26_03_2026_Registre_Maintenance_v1[ID_Antenne],_26_03_2026_Registre_Maintenance_v1[zone],"pas trouvé")</f>
        <v>pas trouvé</v>
      </c>
      <c r="G960" t="str">
        <f>_xlfn.XLOOKUP(_26_03_2026_Log_Reseau_v15[[#This Row],[Cell_ID]],_26_03_2026_Registre_Maintenance_v1[ID_Antenne],_26_03_2026_Registre_Maintenance_v1[Latitude],"non trouvé")</f>
        <v>non trouvé</v>
      </c>
      <c r="H960" t="str">
        <f>_xlfn.XLOOKUP(_26_03_2026_Log_Reseau_v15[[#This Row],[Cell_ID]],_26_03_2026_Registre_Maintenance_v1[ID_Antenne],_26_03_2026_Registre_Maintenance_v1[Longitude],"pas trouvé")</f>
        <v>pas trouvé</v>
      </c>
      <c r="I960" t="str">
        <f>_xlfn.XLOOKUP(_26_03_2026_Log_Reseau_v15[[#This Row],[Cell_ID]],_26_03_2026_Registre_Maintenance_v1[ID_Antenne],_26_03_2026_Registre_Maintenance_v1[Technologie],"non trouvé")</f>
        <v>non trouvé</v>
      </c>
      <c r="J960" t="str">
        <f>_xlfn.XLOOKUP(_26_03_2026_Log_Reseau_v15[[#This Row],[Cell_ID]],_26_03_2026_Registre_Maintenance_v1[ID_Antenne],_26_03_2026_Registre_Maintenance_v1[Equipementier],"pas trouvé")</f>
        <v>pas trouvé</v>
      </c>
      <c r="K960" t="str">
        <f>_xlfn.XLOOKUP(_26_03_2026_Log_Reseau_v15[[#This Row],[province RDC]],_26_03_2026_Client_Churn_v1[Province_Client],_26_03_2026_Client_Churn_v1[ID_Client],"non trouvé")</f>
        <v>non trouvé</v>
      </c>
      <c r="L960" t="str">
        <f>_xlfn.XLOOKUP(_26_03_2026_Log_Reseau_v15[[#This Row],[province RDC]],_26_03_2026_Client_Churn_v1[Province_Client],_26_03_2026_Client_Churn_v1[Anciennete_Mois],"non trouvé")</f>
        <v>non trouvé</v>
      </c>
      <c r="M960" t="str">
        <f>_xlfn.XLOOKUP(_26_03_2026_Log_Reseau_v15[[#This Row],[province RDC]],_26_03_2026_Client_Churn_v1[Province_Client],_26_03_2026_Client_Churn_v1[Type_Forfait],"non trouvé")</f>
        <v>non trouvé</v>
      </c>
      <c r="N960" t="str">
        <f>_xlfn.XLOOKUP(_26_03_2026_Log_Reseau_v15[[#This Row],[province RDC]],_26_03_2026_Client_Churn_v1[Province_Client],_26_03_2026_Client_Churn_v1[Duree_Cumulee_Panne_Min],"non trouvé")</f>
        <v>non trouvé</v>
      </c>
      <c r="O960" t="str">
        <f>_xlfn.XLOOKUP(_26_03_2026_Log_Reseau_v15[[#This Row],[province RDC]],_26_03_2026_Client_Churn_v1[Province_Client],_26_03_2026_Client_Churn_v1[Facture_Mensuelle],"non trouvé")</f>
        <v>non trouvé</v>
      </c>
      <c r="P960" t="str">
        <f>_xlfn.XLOOKUP(_26_03_2026_Log_Reseau_v15[[#This Row],[province RDC]],_26_03_2026_Client_Churn_v1[Province_Client],_26_03_2026_Client_Churn_v1[Plaintes_Service_Client],"non trouvé")</f>
        <v>non trouvé</v>
      </c>
    </row>
    <row r="961" spans="1:16" hidden="1" x14ac:dyDescent="0.25">
      <c r="A961" s="1">
        <v>45217</v>
      </c>
      <c r="B961" s="2">
        <v>0.10902777777777778</v>
      </c>
      <c r="C961" t="s">
        <v>1398</v>
      </c>
      <c r="D961">
        <v>59</v>
      </c>
      <c r="E961" t="s">
        <v>807</v>
      </c>
      <c r="F961" t="str">
        <f>_xlfn.XLOOKUP(_26_03_2026_Log_Reseau_v15[[#This Row],[Cell_ID]],_26_03_2026_Registre_Maintenance_v1[ID_Antenne],_26_03_2026_Registre_Maintenance_v1[zone],"pas trouvé")</f>
        <v>pas trouvé</v>
      </c>
      <c r="G961" t="str">
        <f>_xlfn.XLOOKUP(_26_03_2026_Log_Reseau_v15[[#This Row],[Cell_ID]],_26_03_2026_Registre_Maintenance_v1[ID_Antenne],_26_03_2026_Registre_Maintenance_v1[Latitude],"non trouvé")</f>
        <v>non trouvé</v>
      </c>
      <c r="H961" t="str">
        <f>_xlfn.XLOOKUP(_26_03_2026_Log_Reseau_v15[[#This Row],[Cell_ID]],_26_03_2026_Registre_Maintenance_v1[ID_Antenne],_26_03_2026_Registre_Maintenance_v1[Longitude],"pas trouvé")</f>
        <v>pas trouvé</v>
      </c>
      <c r="I961" t="str">
        <f>_xlfn.XLOOKUP(_26_03_2026_Log_Reseau_v15[[#This Row],[Cell_ID]],_26_03_2026_Registre_Maintenance_v1[ID_Antenne],_26_03_2026_Registre_Maintenance_v1[Technologie],"non trouvé")</f>
        <v>non trouvé</v>
      </c>
      <c r="J961" t="str">
        <f>_xlfn.XLOOKUP(_26_03_2026_Log_Reseau_v15[[#This Row],[Cell_ID]],_26_03_2026_Registre_Maintenance_v1[ID_Antenne],_26_03_2026_Registre_Maintenance_v1[Equipementier],"pas trouvé")</f>
        <v>pas trouvé</v>
      </c>
      <c r="K961" t="str">
        <f>_xlfn.XLOOKUP(_26_03_2026_Log_Reseau_v15[[#This Row],[province RDC]],_26_03_2026_Client_Churn_v1[Province_Client],_26_03_2026_Client_Churn_v1[ID_Client],"non trouvé")</f>
        <v>non trouvé</v>
      </c>
      <c r="L961" t="str">
        <f>_xlfn.XLOOKUP(_26_03_2026_Log_Reseau_v15[[#This Row],[province RDC]],_26_03_2026_Client_Churn_v1[Province_Client],_26_03_2026_Client_Churn_v1[Anciennete_Mois],"non trouvé")</f>
        <v>non trouvé</v>
      </c>
      <c r="M961" t="str">
        <f>_xlfn.XLOOKUP(_26_03_2026_Log_Reseau_v15[[#This Row],[province RDC]],_26_03_2026_Client_Churn_v1[Province_Client],_26_03_2026_Client_Churn_v1[Type_Forfait],"non trouvé")</f>
        <v>non trouvé</v>
      </c>
      <c r="N961" t="str">
        <f>_xlfn.XLOOKUP(_26_03_2026_Log_Reseau_v15[[#This Row],[province RDC]],_26_03_2026_Client_Churn_v1[Province_Client],_26_03_2026_Client_Churn_v1[Duree_Cumulee_Panne_Min],"non trouvé")</f>
        <v>non trouvé</v>
      </c>
      <c r="O961" t="str">
        <f>_xlfn.XLOOKUP(_26_03_2026_Log_Reseau_v15[[#This Row],[province RDC]],_26_03_2026_Client_Churn_v1[Province_Client],_26_03_2026_Client_Churn_v1[Facture_Mensuelle],"non trouvé")</f>
        <v>non trouvé</v>
      </c>
      <c r="P961" t="str">
        <f>_xlfn.XLOOKUP(_26_03_2026_Log_Reseau_v15[[#This Row],[province RDC]],_26_03_2026_Client_Churn_v1[Province_Client],_26_03_2026_Client_Churn_v1[Plaintes_Service_Client],"non trouvé")</f>
        <v>non trouvé</v>
      </c>
    </row>
    <row r="962" spans="1:16" hidden="1" x14ac:dyDescent="0.25">
      <c r="A962" s="1">
        <v>45217</v>
      </c>
      <c r="B962" s="2">
        <v>0.50902777777777775</v>
      </c>
      <c r="C962" t="s">
        <v>1398</v>
      </c>
      <c r="D962">
        <v>49</v>
      </c>
      <c r="E962" t="s">
        <v>807</v>
      </c>
      <c r="F962" t="str">
        <f>_xlfn.XLOOKUP(_26_03_2026_Log_Reseau_v15[[#This Row],[Cell_ID]],_26_03_2026_Registre_Maintenance_v1[ID_Antenne],_26_03_2026_Registre_Maintenance_v1[zone],"pas trouvé")</f>
        <v>pas trouvé</v>
      </c>
      <c r="G962" t="str">
        <f>_xlfn.XLOOKUP(_26_03_2026_Log_Reseau_v15[[#This Row],[Cell_ID]],_26_03_2026_Registre_Maintenance_v1[ID_Antenne],_26_03_2026_Registre_Maintenance_v1[Latitude],"non trouvé")</f>
        <v>non trouvé</v>
      </c>
      <c r="H962" t="str">
        <f>_xlfn.XLOOKUP(_26_03_2026_Log_Reseau_v15[[#This Row],[Cell_ID]],_26_03_2026_Registre_Maintenance_v1[ID_Antenne],_26_03_2026_Registre_Maintenance_v1[Longitude],"pas trouvé")</f>
        <v>pas trouvé</v>
      </c>
      <c r="I962" t="str">
        <f>_xlfn.XLOOKUP(_26_03_2026_Log_Reseau_v15[[#This Row],[Cell_ID]],_26_03_2026_Registre_Maintenance_v1[ID_Antenne],_26_03_2026_Registre_Maintenance_v1[Technologie],"non trouvé")</f>
        <v>non trouvé</v>
      </c>
      <c r="J962" t="str">
        <f>_xlfn.XLOOKUP(_26_03_2026_Log_Reseau_v15[[#This Row],[Cell_ID]],_26_03_2026_Registre_Maintenance_v1[ID_Antenne],_26_03_2026_Registre_Maintenance_v1[Equipementier],"pas trouvé")</f>
        <v>pas trouvé</v>
      </c>
      <c r="K962" t="str">
        <f>_xlfn.XLOOKUP(_26_03_2026_Log_Reseau_v15[[#This Row],[province RDC]],_26_03_2026_Client_Churn_v1[Province_Client],_26_03_2026_Client_Churn_v1[ID_Client],"non trouvé")</f>
        <v>non trouvé</v>
      </c>
      <c r="L962" t="str">
        <f>_xlfn.XLOOKUP(_26_03_2026_Log_Reseau_v15[[#This Row],[province RDC]],_26_03_2026_Client_Churn_v1[Province_Client],_26_03_2026_Client_Churn_v1[Anciennete_Mois],"non trouvé")</f>
        <v>non trouvé</v>
      </c>
      <c r="M962" t="str">
        <f>_xlfn.XLOOKUP(_26_03_2026_Log_Reseau_v15[[#This Row],[province RDC]],_26_03_2026_Client_Churn_v1[Province_Client],_26_03_2026_Client_Churn_v1[Type_Forfait],"non trouvé")</f>
        <v>non trouvé</v>
      </c>
      <c r="N962" t="str">
        <f>_xlfn.XLOOKUP(_26_03_2026_Log_Reseau_v15[[#This Row],[province RDC]],_26_03_2026_Client_Churn_v1[Province_Client],_26_03_2026_Client_Churn_v1[Duree_Cumulee_Panne_Min],"non trouvé")</f>
        <v>non trouvé</v>
      </c>
      <c r="O962" t="str">
        <f>_xlfn.XLOOKUP(_26_03_2026_Log_Reseau_v15[[#This Row],[province RDC]],_26_03_2026_Client_Churn_v1[Province_Client],_26_03_2026_Client_Churn_v1[Facture_Mensuelle],"non trouvé")</f>
        <v>non trouvé</v>
      </c>
      <c r="P962" t="str">
        <f>_xlfn.XLOOKUP(_26_03_2026_Log_Reseau_v15[[#This Row],[province RDC]],_26_03_2026_Client_Churn_v1[Province_Client],_26_03_2026_Client_Churn_v1[Plaintes_Service_Client],"non trouvé")</f>
        <v>non trouvé</v>
      </c>
    </row>
    <row r="963" spans="1:16" hidden="1" x14ac:dyDescent="0.25">
      <c r="A963" s="1">
        <v>45222</v>
      </c>
      <c r="B963" s="2">
        <v>0.77152777777777781</v>
      </c>
      <c r="C963" t="s">
        <v>1398</v>
      </c>
      <c r="D963">
        <v>53</v>
      </c>
      <c r="E963" t="s">
        <v>812</v>
      </c>
      <c r="F963" t="str">
        <f>_xlfn.XLOOKUP(_26_03_2026_Log_Reseau_v15[[#This Row],[Cell_ID]],_26_03_2026_Registre_Maintenance_v1[ID_Antenne],_26_03_2026_Registre_Maintenance_v1[zone],"pas trouvé")</f>
        <v>pas trouvé</v>
      </c>
      <c r="G963" t="str">
        <f>_xlfn.XLOOKUP(_26_03_2026_Log_Reseau_v15[[#This Row],[Cell_ID]],_26_03_2026_Registre_Maintenance_v1[ID_Antenne],_26_03_2026_Registre_Maintenance_v1[Latitude],"non trouvé")</f>
        <v>non trouvé</v>
      </c>
      <c r="H963" t="str">
        <f>_xlfn.XLOOKUP(_26_03_2026_Log_Reseau_v15[[#This Row],[Cell_ID]],_26_03_2026_Registre_Maintenance_v1[ID_Antenne],_26_03_2026_Registre_Maintenance_v1[Longitude],"pas trouvé")</f>
        <v>pas trouvé</v>
      </c>
      <c r="I963" t="str">
        <f>_xlfn.XLOOKUP(_26_03_2026_Log_Reseau_v15[[#This Row],[Cell_ID]],_26_03_2026_Registre_Maintenance_v1[ID_Antenne],_26_03_2026_Registre_Maintenance_v1[Technologie],"non trouvé")</f>
        <v>non trouvé</v>
      </c>
      <c r="J963" t="str">
        <f>_xlfn.XLOOKUP(_26_03_2026_Log_Reseau_v15[[#This Row],[Cell_ID]],_26_03_2026_Registre_Maintenance_v1[ID_Antenne],_26_03_2026_Registre_Maintenance_v1[Equipementier],"pas trouvé")</f>
        <v>pas trouvé</v>
      </c>
      <c r="K963" t="str">
        <f>_xlfn.XLOOKUP(_26_03_2026_Log_Reseau_v15[[#This Row],[province RDC]],_26_03_2026_Client_Churn_v1[Province_Client],_26_03_2026_Client_Churn_v1[ID_Client],"non trouvé")</f>
        <v>non trouvé</v>
      </c>
      <c r="L963" t="str">
        <f>_xlfn.XLOOKUP(_26_03_2026_Log_Reseau_v15[[#This Row],[province RDC]],_26_03_2026_Client_Churn_v1[Province_Client],_26_03_2026_Client_Churn_v1[Anciennete_Mois],"non trouvé")</f>
        <v>non trouvé</v>
      </c>
      <c r="M963" t="str">
        <f>_xlfn.XLOOKUP(_26_03_2026_Log_Reseau_v15[[#This Row],[province RDC]],_26_03_2026_Client_Churn_v1[Province_Client],_26_03_2026_Client_Churn_v1[Type_Forfait],"non trouvé")</f>
        <v>non trouvé</v>
      </c>
      <c r="N963" t="str">
        <f>_xlfn.XLOOKUP(_26_03_2026_Log_Reseau_v15[[#This Row],[province RDC]],_26_03_2026_Client_Churn_v1[Province_Client],_26_03_2026_Client_Churn_v1[Duree_Cumulee_Panne_Min],"non trouvé")</f>
        <v>non trouvé</v>
      </c>
      <c r="O963" t="str">
        <f>_xlfn.XLOOKUP(_26_03_2026_Log_Reseau_v15[[#This Row],[province RDC]],_26_03_2026_Client_Churn_v1[Province_Client],_26_03_2026_Client_Churn_v1[Facture_Mensuelle],"non trouvé")</f>
        <v>non trouvé</v>
      </c>
      <c r="P963" t="str">
        <f>_xlfn.XLOOKUP(_26_03_2026_Log_Reseau_v15[[#This Row],[province RDC]],_26_03_2026_Client_Churn_v1[Province_Client],_26_03_2026_Client_Churn_v1[Plaintes_Service_Client],"non trouvé")</f>
        <v>non trouvé</v>
      </c>
    </row>
    <row r="964" spans="1:16" hidden="1" x14ac:dyDescent="0.25">
      <c r="A964" s="1">
        <v>45204</v>
      </c>
      <c r="B964" s="2">
        <v>0.31458333333333333</v>
      </c>
      <c r="C964" t="s">
        <v>1399</v>
      </c>
      <c r="D964">
        <v>120</v>
      </c>
      <c r="E964" t="s">
        <v>808</v>
      </c>
      <c r="F964" t="str">
        <f>_xlfn.XLOOKUP(_26_03_2026_Log_Reseau_v15[[#This Row],[Cell_ID]],_26_03_2026_Registre_Maintenance_v1[ID_Antenne],_26_03_2026_Registre_Maintenance_v1[zone],"pas trouvé")</f>
        <v>pas trouvé</v>
      </c>
      <c r="G964" t="str">
        <f>_xlfn.XLOOKUP(_26_03_2026_Log_Reseau_v15[[#This Row],[Cell_ID]],_26_03_2026_Registre_Maintenance_v1[ID_Antenne],_26_03_2026_Registre_Maintenance_v1[Latitude],"non trouvé")</f>
        <v>non trouvé</v>
      </c>
      <c r="H964" t="str">
        <f>_xlfn.XLOOKUP(_26_03_2026_Log_Reseau_v15[[#This Row],[Cell_ID]],_26_03_2026_Registre_Maintenance_v1[ID_Antenne],_26_03_2026_Registre_Maintenance_v1[Longitude],"pas trouvé")</f>
        <v>pas trouvé</v>
      </c>
      <c r="I964" t="str">
        <f>_xlfn.XLOOKUP(_26_03_2026_Log_Reseau_v15[[#This Row],[Cell_ID]],_26_03_2026_Registre_Maintenance_v1[ID_Antenne],_26_03_2026_Registre_Maintenance_v1[Technologie],"non trouvé")</f>
        <v>non trouvé</v>
      </c>
      <c r="J964" t="str">
        <f>_xlfn.XLOOKUP(_26_03_2026_Log_Reseau_v15[[#This Row],[Cell_ID]],_26_03_2026_Registre_Maintenance_v1[ID_Antenne],_26_03_2026_Registre_Maintenance_v1[Equipementier],"pas trouvé")</f>
        <v>pas trouvé</v>
      </c>
      <c r="K964" t="str">
        <f>_xlfn.XLOOKUP(_26_03_2026_Log_Reseau_v15[[#This Row],[province RDC]],_26_03_2026_Client_Churn_v1[Province_Client],_26_03_2026_Client_Churn_v1[ID_Client],"non trouvé")</f>
        <v>non trouvé</v>
      </c>
      <c r="L964" t="str">
        <f>_xlfn.XLOOKUP(_26_03_2026_Log_Reseau_v15[[#This Row],[province RDC]],_26_03_2026_Client_Churn_v1[Province_Client],_26_03_2026_Client_Churn_v1[Anciennete_Mois],"non trouvé")</f>
        <v>non trouvé</v>
      </c>
      <c r="M964" t="str">
        <f>_xlfn.XLOOKUP(_26_03_2026_Log_Reseau_v15[[#This Row],[province RDC]],_26_03_2026_Client_Churn_v1[Province_Client],_26_03_2026_Client_Churn_v1[Type_Forfait],"non trouvé")</f>
        <v>non trouvé</v>
      </c>
      <c r="N964" t="str">
        <f>_xlfn.XLOOKUP(_26_03_2026_Log_Reseau_v15[[#This Row],[province RDC]],_26_03_2026_Client_Churn_v1[Province_Client],_26_03_2026_Client_Churn_v1[Duree_Cumulee_Panne_Min],"non trouvé")</f>
        <v>non trouvé</v>
      </c>
      <c r="O964" t="str">
        <f>_xlfn.XLOOKUP(_26_03_2026_Log_Reseau_v15[[#This Row],[province RDC]],_26_03_2026_Client_Churn_v1[Province_Client],_26_03_2026_Client_Churn_v1[Facture_Mensuelle],"non trouvé")</f>
        <v>non trouvé</v>
      </c>
      <c r="P964" t="str">
        <f>_xlfn.XLOOKUP(_26_03_2026_Log_Reseau_v15[[#This Row],[province RDC]],_26_03_2026_Client_Churn_v1[Province_Client],_26_03_2026_Client_Churn_v1[Plaintes_Service_Client],"non trouvé")</f>
        <v>non trouvé</v>
      </c>
    </row>
    <row r="965" spans="1:16" x14ac:dyDescent="0.25">
      <c r="A965" s="1">
        <v>45210</v>
      </c>
      <c r="B965" s="2">
        <v>5.1388888888888887E-2</v>
      </c>
      <c r="C965" t="s">
        <v>1400</v>
      </c>
      <c r="D965">
        <v>73</v>
      </c>
      <c r="E965" t="s">
        <v>807</v>
      </c>
      <c r="F965" t="str">
        <f>_xlfn.XLOOKUP(_26_03_2026_Log_Reseau_v15[[#This Row],[Cell_ID]],_26_03_2026_Registre_Maintenance_v1[ID_Antenne],_26_03_2026_Registre_Maintenance_v1[zone],"pas trouvé")</f>
        <v>Tanganyika</v>
      </c>
      <c r="G965">
        <f>_xlfn.XLOOKUP(_26_03_2026_Log_Reseau_v15[[#This Row],[Cell_ID]],_26_03_2026_Registre_Maintenance_v1[ID_Antenne],_26_03_2026_Registre_Maintenance_v1[Latitude],"non trouvé")</f>
        <v>-10.776204</v>
      </c>
      <c r="H965">
        <f>_xlfn.XLOOKUP(_26_03_2026_Log_Reseau_v15[[#This Row],[Cell_ID]],_26_03_2026_Registre_Maintenance_v1[ID_Antenne],_26_03_2026_Registre_Maintenance_v1[Longitude],"pas trouvé")</f>
        <v>24.672934000000001</v>
      </c>
      <c r="I965" t="str">
        <f>_xlfn.XLOOKUP(_26_03_2026_Log_Reseau_v15[[#This Row],[Cell_ID]],_26_03_2026_Registre_Maintenance_v1[ID_Antenne],_26_03_2026_Registre_Maintenance_v1[Technologie],"non trouvé")</f>
        <v>4G</v>
      </c>
      <c r="J965" t="str">
        <f>_xlfn.XLOOKUP(_26_03_2026_Log_Reseau_v15[[#This Row],[Cell_ID]],_26_03_2026_Registre_Maintenance_v1[ID_Antenne],_26_03_2026_Registre_Maintenance_v1[Equipementier],"pas trouvé")</f>
        <v>Ericsson</v>
      </c>
      <c r="K965" t="str">
        <f>_xlfn.XLOOKUP(_26_03_2026_Log_Reseau_v15[[#This Row],[province RDC]],_26_03_2026_Client_Churn_v1[Province_Client],_26_03_2026_Client_Churn_v1[ID_Client],"non trouvé")</f>
        <v>CLI-01618</v>
      </c>
      <c r="L965">
        <f>_xlfn.XLOOKUP(_26_03_2026_Log_Reseau_v15[[#This Row],[province RDC]],_26_03_2026_Client_Churn_v1[Province_Client],_26_03_2026_Client_Churn_v1[Anciennete_Mois],"non trouvé")</f>
        <v>115</v>
      </c>
      <c r="M965" t="str">
        <f>_xlfn.XLOOKUP(_26_03_2026_Log_Reseau_v15[[#This Row],[province RDC]],_26_03_2026_Client_Churn_v1[Province_Client],_26_03_2026_Client_Churn_v1[Type_Forfait],"non trouvé")</f>
        <v>Bloqué 5Go</v>
      </c>
      <c r="N965">
        <f>_xlfn.XLOOKUP(_26_03_2026_Log_Reseau_v15[[#This Row],[province RDC]],_26_03_2026_Client_Churn_v1[Province_Client],_26_03_2026_Client_Churn_v1[Duree_Cumulee_Panne_Min],"non trouvé")</f>
        <v>176</v>
      </c>
      <c r="O965">
        <f>_xlfn.XLOOKUP(_26_03_2026_Log_Reseau_v15[[#This Row],[province RDC]],_26_03_2026_Client_Churn_v1[Province_Client],_26_03_2026_Client_Churn_v1[Facture_Mensuelle],"non trouvé")</f>
        <v>33.28</v>
      </c>
      <c r="P965">
        <f>_xlfn.XLOOKUP(_26_03_2026_Log_Reseau_v15[[#This Row],[province RDC]],_26_03_2026_Client_Churn_v1[Province_Client],_26_03_2026_Client_Churn_v1[Plaintes_Service_Client],"non trouvé")</f>
        <v>4</v>
      </c>
    </row>
    <row r="966" spans="1:16" x14ac:dyDescent="0.25">
      <c r="A966" s="1">
        <v>45214</v>
      </c>
      <c r="B966" s="2">
        <v>0.43472222222222223</v>
      </c>
      <c r="C966" t="s">
        <v>1400</v>
      </c>
      <c r="D966">
        <v>61</v>
      </c>
      <c r="E966" t="s">
        <v>812</v>
      </c>
      <c r="F966" t="str">
        <f>_xlfn.XLOOKUP(_26_03_2026_Log_Reseau_v15[[#This Row],[Cell_ID]],_26_03_2026_Registre_Maintenance_v1[ID_Antenne],_26_03_2026_Registre_Maintenance_v1[zone],"pas trouvé")</f>
        <v>Tanganyika</v>
      </c>
      <c r="G966">
        <f>_xlfn.XLOOKUP(_26_03_2026_Log_Reseau_v15[[#This Row],[Cell_ID]],_26_03_2026_Registre_Maintenance_v1[ID_Antenne],_26_03_2026_Registre_Maintenance_v1[Latitude],"non trouvé")</f>
        <v>-10.776204</v>
      </c>
      <c r="H966">
        <f>_xlfn.XLOOKUP(_26_03_2026_Log_Reseau_v15[[#This Row],[Cell_ID]],_26_03_2026_Registre_Maintenance_v1[ID_Antenne],_26_03_2026_Registre_Maintenance_v1[Longitude],"pas trouvé")</f>
        <v>24.672934000000001</v>
      </c>
      <c r="I966" t="str">
        <f>_xlfn.XLOOKUP(_26_03_2026_Log_Reseau_v15[[#This Row],[Cell_ID]],_26_03_2026_Registre_Maintenance_v1[ID_Antenne],_26_03_2026_Registre_Maintenance_v1[Technologie],"non trouvé")</f>
        <v>4G</v>
      </c>
      <c r="J966" t="str">
        <f>_xlfn.XLOOKUP(_26_03_2026_Log_Reseau_v15[[#This Row],[Cell_ID]],_26_03_2026_Registre_Maintenance_v1[ID_Antenne],_26_03_2026_Registre_Maintenance_v1[Equipementier],"pas trouvé")</f>
        <v>Ericsson</v>
      </c>
      <c r="K966" t="str">
        <f>_xlfn.XLOOKUP(_26_03_2026_Log_Reseau_v15[[#This Row],[province RDC]],_26_03_2026_Client_Churn_v1[Province_Client],_26_03_2026_Client_Churn_v1[ID_Client],"non trouvé")</f>
        <v>CLI-01618</v>
      </c>
      <c r="L966">
        <f>_xlfn.XLOOKUP(_26_03_2026_Log_Reseau_v15[[#This Row],[province RDC]],_26_03_2026_Client_Churn_v1[Province_Client],_26_03_2026_Client_Churn_v1[Anciennete_Mois],"non trouvé")</f>
        <v>115</v>
      </c>
      <c r="M966" t="str">
        <f>_xlfn.XLOOKUP(_26_03_2026_Log_Reseau_v15[[#This Row],[province RDC]],_26_03_2026_Client_Churn_v1[Province_Client],_26_03_2026_Client_Churn_v1[Type_Forfait],"non trouvé")</f>
        <v>Bloqué 5Go</v>
      </c>
      <c r="N966">
        <f>_xlfn.XLOOKUP(_26_03_2026_Log_Reseau_v15[[#This Row],[province RDC]],_26_03_2026_Client_Churn_v1[Province_Client],_26_03_2026_Client_Churn_v1[Duree_Cumulee_Panne_Min],"non trouvé")</f>
        <v>176</v>
      </c>
      <c r="O966">
        <f>_xlfn.XLOOKUP(_26_03_2026_Log_Reseau_v15[[#This Row],[province RDC]],_26_03_2026_Client_Churn_v1[Province_Client],_26_03_2026_Client_Churn_v1[Facture_Mensuelle],"non trouvé")</f>
        <v>33.28</v>
      </c>
      <c r="P966">
        <f>_xlfn.XLOOKUP(_26_03_2026_Log_Reseau_v15[[#This Row],[province RDC]],_26_03_2026_Client_Churn_v1[Province_Client],_26_03_2026_Client_Churn_v1[Plaintes_Service_Client],"non trouvé")</f>
        <v>4</v>
      </c>
    </row>
    <row r="967" spans="1:16" x14ac:dyDescent="0.25">
      <c r="A967" s="1">
        <v>45228</v>
      </c>
      <c r="B967" s="2">
        <v>0.85347222222222219</v>
      </c>
      <c r="C967" t="s">
        <v>1400</v>
      </c>
      <c r="D967">
        <v>42</v>
      </c>
      <c r="E967" t="s">
        <v>807</v>
      </c>
      <c r="F967" t="str">
        <f>_xlfn.XLOOKUP(_26_03_2026_Log_Reseau_v15[[#This Row],[Cell_ID]],_26_03_2026_Registre_Maintenance_v1[ID_Antenne],_26_03_2026_Registre_Maintenance_v1[zone],"pas trouvé")</f>
        <v>Tanganyika</v>
      </c>
      <c r="G967">
        <f>_xlfn.XLOOKUP(_26_03_2026_Log_Reseau_v15[[#This Row],[Cell_ID]],_26_03_2026_Registre_Maintenance_v1[ID_Antenne],_26_03_2026_Registre_Maintenance_v1[Latitude],"non trouvé")</f>
        <v>-10.776204</v>
      </c>
      <c r="H967">
        <f>_xlfn.XLOOKUP(_26_03_2026_Log_Reseau_v15[[#This Row],[Cell_ID]],_26_03_2026_Registre_Maintenance_v1[ID_Antenne],_26_03_2026_Registre_Maintenance_v1[Longitude],"pas trouvé")</f>
        <v>24.672934000000001</v>
      </c>
      <c r="I967" t="str">
        <f>_xlfn.XLOOKUP(_26_03_2026_Log_Reseau_v15[[#This Row],[Cell_ID]],_26_03_2026_Registre_Maintenance_v1[ID_Antenne],_26_03_2026_Registre_Maintenance_v1[Technologie],"non trouvé")</f>
        <v>4G</v>
      </c>
      <c r="J967" t="str">
        <f>_xlfn.XLOOKUP(_26_03_2026_Log_Reseau_v15[[#This Row],[Cell_ID]],_26_03_2026_Registre_Maintenance_v1[ID_Antenne],_26_03_2026_Registre_Maintenance_v1[Equipementier],"pas trouvé")</f>
        <v>Ericsson</v>
      </c>
      <c r="K967" t="str">
        <f>_xlfn.XLOOKUP(_26_03_2026_Log_Reseau_v15[[#This Row],[province RDC]],_26_03_2026_Client_Churn_v1[Province_Client],_26_03_2026_Client_Churn_v1[ID_Client],"non trouvé")</f>
        <v>CLI-01618</v>
      </c>
      <c r="L967">
        <f>_xlfn.XLOOKUP(_26_03_2026_Log_Reseau_v15[[#This Row],[province RDC]],_26_03_2026_Client_Churn_v1[Province_Client],_26_03_2026_Client_Churn_v1[Anciennete_Mois],"non trouvé")</f>
        <v>115</v>
      </c>
      <c r="M967" t="str">
        <f>_xlfn.XLOOKUP(_26_03_2026_Log_Reseau_v15[[#This Row],[province RDC]],_26_03_2026_Client_Churn_v1[Province_Client],_26_03_2026_Client_Churn_v1[Type_Forfait],"non trouvé")</f>
        <v>Bloqué 5Go</v>
      </c>
      <c r="N967">
        <f>_xlfn.XLOOKUP(_26_03_2026_Log_Reseau_v15[[#This Row],[province RDC]],_26_03_2026_Client_Churn_v1[Province_Client],_26_03_2026_Client_Churn_v1[Duree_Cumulee_Panne_Min],"non trouvé")</f>
        <v>176</v>
      </c>
      <c r="O967">
        <f>_xlfn.XLOOKUP(_26_03_2026_Log_Reseau_v15[[#This Row],[province RDC]],_26_03_2026_Client_Churn_v1[Province_Client],_26_03_2026_Client_Churn_v1[Facture_Mensuelle],"non trouvé")</f>
        <v>33.28</v>
      </c>
      <c r="P967">
        <f>_xlfn.XLOOKUP(_26_03_2026_Log_Reseau_v15[[#This Row],[province RDC]],_26_03_2026_Client_Churn_v1[Province_Client],_26_03_2026_Client_Churn_v1[Plaintes_Service_Client],"non trouvé")</f>
        <v>4</v>
      </c>
    </row>
    <row r="968" spans="1:16" hidden="1" x14ac:dyDescent="0.25">
      <c r="A968" s="1">
        <v>45208</v>
      </c>
      <c r="B968" s="2">
        <v>0.19444444444444445</v>
      </c>
      <c r="C968" t="s">
        <v>1401</v>
      </c>
      <c r="D968">
        <v>98</v>
      </c>
      <c r="E968" t="s">
        <v>808</v>
      </c>
      <c r="F968" t="str">
        <f>_xlfn.XLOOKUP(_26_03_2026_Log_Reseau_v15[[#This Row],[Cell_ID]],_26_03_2026_Registre_Maintenance_v1[ID_Antenne],_26_03_2026_Registre_Maintenance_v1[zone],"pas trouvé")</f>
        <v>pas trouvé</v>
      </c>
      <c r="G968" t="str">
        <f>_xlfn.XLOOKUP(_26_03_2026_Log_Reseau_v15[[#This Row],[Cell_ID]],_26_03_2026_Registre_Maintenance_v1[ID_Antenne],_26_03_2026_Registre_Maintenance_v1[Latitude],"non trouvé")</f>
        <v>non trouvé</v>
      </c>
      <c r="H968" t="str">
        <f>_xlfn.XLOOKUP(_26_03_2026_Log_Reseau_v15[[#This Row],[Cell_ID]],_26_03_2026_Registre_Maintenance_v1[ID_Antenne],_26_03_2026_Registre_Maintenance_v1[Longitude],"pas trouvé")</f>
        <v>pas trouvé</v>
      </c>
      <c r="I968" t="str">
        <f>_xlfn.XLOOKUP(_26_03_2026_Log_Reseau_v15[[#This Row],[Cell_ID]],_26_03_2026_Registre_Maintenance_v1[ID_Antenne],_26_03_2026_Registre_Maintenance_v1[Technologie],"non trouvé")</f>
        <v>non trouvé</v>
      </c>
      <c r="J968" t="str">
        <f>_xlfn.XLOOKUP(_26_03_2026_Log_Reseau_v15[[#This Row],[Cell_ID]],_26_03_2026_Registre_Maintenance_v1[ID_Antenne],_26_03_2026_Registre_Maintenance_v1[Equipementier],"pas trouvé")</f>
        <v>pas trouvé</v>
      </c>
      <c r="K968" t="str">
        <f>_xlfn.XLOOKUP(_26_03_2026_Log_Reseau_v15[[#This Row],[province RDC]],_26_03_2026_Client_Churn_v1[Province_Client],_26_03_2026_Client_Churn_v1[ID_Client],"non trouvé")</f>
        <v>non trouvé</v>
      </c>
      <c r="L968" t="str">
        <f>_xlfn.XLOOKUP(_26_03_2026_Log_Reseau_v15[[#This Row],[province RDC]],_26_03_2026_Client_Churn_v1[Province_Client],_26_03_2026_Client_Churn_v1[Anciennete_Mois],"non trouvé")</f>
        <v>non trouvé</v>
      </c>
      <c r="M968" t="str">
        <f>_xlfn.XLOOKUP(_26_03_2026_Log_Reseau_v15[[#This Row],[province RDC]],_26_03_2026_Client_Churn_v1[Province_Client],_26_03_2026_Client_Churn_v1[Type_Forfait],"non trouvé")</f>
        <v>non trouvé</v>
      </c>
      <c r="N968" t="str">
        <f>_xlfn.XLOOKUP(_26_03_2026_Log_Reseau_v15[[#This Row],[province RDC]],_26_03_2026_Client_Churn_v1[Province_Client],_26_03_2026_Client_Churn_v1[Duree_Cumulee_Panne_Min],"non trouvé")</f>
        <v>non trouvé</v>
      </c>
      <c r="O968" t="str">
        <f>_xlfn.XLOOKUP(_26_03_2026_Log_Reseau_v15[[#This Row],[province RDC]],_26_03_2026_Client_Churn_v1[Province_Client],_26_03_2026_Client_Churn_v1[Facture_Mensuelle],"non trouvé")</f>
        <v>non trouvé</v>
      </c>
      <c r="P968" t="str">
        <f>_xlfn.XLOOKUP(_26_03_2026_Log_Reseau_v15[[#This Row],[province RDC]],_26_03_2026_Client_Churn_v1[Province_Client],_26_03_2026_Client_Churn_v1[Plaintes_Service_Client],"non trouvé")</f>
        <v>non trouvé</v>
      </c>
    </row>
    <row r="969" spans="1:16" x14ac:dyDescent="0.25">
      <c r="A969" s="1">
        <v>45209</v>
      </c>
      <c r="B969" s="2">
        <v>0.82430555555555551</v>
      </c>
      <c r="C969" t="s">
        <v>1402</v>
      </c>
      <c r="D969">
        <v>93</v>
      </c>
      <c r="E969" t="s">
        <v>812</v>
      </c>
      <c r="F969" t="str">
        <f>_xlfn.XLOOKUP(_26_03_2026_Log_Reseau_v15[[#This Row],[Cell_ID]],_26_03_2026_Registre_Maintenance_v1[ID_Antenne],_26_03_2026_Registre_Maintenance_v1[zone],"pas trouvé")</f>
        <v>Kasai-Central</v>
      </c>
      <c r="G969">
        <f>_xlfn.XLOOKUP(_26_03_2026_Log_Reseau_v15[[#This Row],[Cell_ID]],_26_03_2026_Registre_Maintenance_v1[ID_Antenne],_26_03_2026_Registre_Maintenance_v1[Latitude],"non trouvé")</f>
        <v>-10.414493</v>
      </c>
      <c r="H969">
        <f>_xlfn.XLOOKUP(_26_03_2026_Log_Reseau_v15[[#This Row],[Cell_ID]],_26_03_2026_Registre_Maintenance_v1[ID_Antenne],_26_03_2026_Registre_Maintenance_v1[Longitude],"pas trouvé")</f>
        <v>12.333356999999999</v>
      </c>
      <c r="I969" t="str">
        <f>_xlfn.XLOOKUP(_26_03_2026_Log_Reseau_v15[[#This Row],[Cell_ID]],_26_03_2026_Registre_Maintenance_v1[ID_Antenne],_26_03_2026_Registre_Maintenance_v1[Technologie],"non trouvé")</f>
        <v>3G</v>
      </c>
      <c r="J969" t="str">
        <f>_xlfn.XLOOKUP(_26_03_2026_Log_Reseau_v15[[#This Row],[Cell_ID]],_26_03_2026_Registre_Maintenance_v1[ID_Antenne],_26_03_2026_Registre_Maintenance_v1[Equipementier],"pas trouvé")</f>
        <v>Ericsson</v>
      </c>
      <c r="K969" t="str">
        <f>_xlfn.XLOOKUP(_26_03_2026_Log_Reseau_v15[[#This Row],[province RDC]],_26_03_2026_Client_Churn_v1[Province_Client],_26_03_2026_Client_Churn_v1[ID_Client],"non trouvé")</f>
        <v>CLI-00060</v>
      </c>
      <c r="L969">
        <f>_xlfn.XLOOKUP(_26_03_2026_Log_Reseau_v15[[#This Row],[province RDC]],_26_03_2026_Client_Churn_v1[Province_Client],_26_03_2026_Client_Churn_v1[Anciennete_Mois],"non trouvé")</f>
        <v>72</v>
      </c>
      <c r="M969" t="str">
        <f>_xlfn.XLOOKUP(_26_03_2026_Log_Reseau_v15[[#This Row],[province RDC]],_26_03_2026_Client_Churn_v1[Province_Client],_26_03_2026_Client_Churn_v1[Type_Forfait],"non trouvé")</f>
        <v>Pro Monde</v>
      </c>
      <c r="N969">
        <f>_xlfn.XLOOKUP(_26_03_2026_Log_Reseau_v15[[#This Row],[province RDC]],_26_03_2026_Client_Churn_v1[Province_Client],_26_03_2026_Client_Churn_v1[Duree_Cumulee_Panne_Min],"non trouvé")</f>
        <v>160</v>
      </c>
      <c r="O969">
        <f>_xlfn.XLOOKUP(_26_03_2026_Log_Reseau_v15[[#This Row],[province RDC]],_26_03_2026_Client_Churn_v1[Province_Client],_26_03_2026_Client_Churn_v1[Facture_Mensuelle],"non trouvé")</f>
        <v>90.13</v>
      </c>
      <c r="P969">
        <f>_xlfn.XLOOKUP(_26_03_2026_Log_Reseau_v15[[#This Row],[province RDC]],_26_03_2026_Client_Churn_v1[Province_Client],_26_03_2026_Client_Churn_v1[Plaintes_Service_Client],"non trouvé")</f>
        <v>2</v>
      </c>
    </row>
    <row r="970" spans="1:16" x14ac:dyDescent="0.25">
      <c r="A970" s="1">
        <v>45204</v>
      </c>
      <c r="B970" s="2">
        <v>0.81527777777777777</v>
      </c>
      <c r="C970" t="s">
        <v>1402</v>
      </c>
      <c r="D970">
        <v>71</v>
      </c>
      <c r="E970" t="s">
        <v>812</v>
      </c>
      <c r="F970" t="str">
        <f>_xlfn.XLOOKUP(_26_03_2026_Log_Reseau_v15[[#This Row],[Cell_ID]],_26_03_2026_Registre_Maintenance_v1[ID_Antenne],_26_03_2026_Registre_Maintenance_v1[zone],"pas trouvé")</f>
        <v>Kasai-Central</v>
      </c>
      <c r="G970">
        <f>_xlfn.XLOOKUP(_26_03_2026_Log_Reseau_v15[[#This Row],[Cell_ID]],_26_03_2026_Registre_Maintenance_v1[ID_Antenne],_26_03_2026_Registre_Maintenance_v1[Latitude],"non trouvé")</f>
        <v>-10.414493</v>
      </c>
      <c r="H970">
        <f>_xlfn.XLOOKUP(_26_03_2026_Log_Reseau_v15[[#This Row],[Cell_ID]],_26_03_2026_Registre_Maintenance_v1[ID_Antenne],_26_03_2026_Registre_Maintenance_v1[Longitude],"pas trouvé")</f>
        <v>12.333356999999999</v>
      </c>
      <c r="I970" t="str">
        <f>_xlfn.XLOOKUP(_26_03_2026_Log_Reseau_v15[[#This Row],[Cell_ID]],_26_03_2026_Registre_Maintenance_v1[ID_Antenne],_26_03_2026_Registre_Maintenance_v1[Technologie],"non trouvé")</f>
        <v>3G</v>
      </c>
      <c r="J970" t="str">
        <f>_xlfn.XLOOKUP(_26_03_2026_Log_Reseau_v15[[#This Row],[Cell_ID]],_26_03_2026_Registre_Maintenance_v1[ID_Antenne],_26_03_2026_Registre_Maintenance_v1[Equipementier],"pas trouvé")</f>
        <v>Ericsson</v>
      </c>
      <c r="K970" t="str">
        <f>_xlfn.XLOOKUP(_26_03_2026_Log_Reseau_v15[[#This Row],[province RDC]],_26_03_2026_Client_Churn_v1[Province_Client],_26_03_2026_Client_Churn_v1[ID_Client],"non trouvé")</f>
        <v>CLI-00060</v>
      </c>
      <c r="L970">
        <f>_xlfn.XLOOKUP(_26_03_2026_Log_Reseau_v15[[#This Row],[province RDC]],_26_03_2026_Client_Churn_v1[Province_Client],_26_03_2026_Client_Churn_v1[Anciennete_Mois],"non trouvé")</f>
        <v>72</v>
      </c>
      <c r="M970" t="str">
        <f>_xlfn.XLOOKUP(_26_03_2026_Log_Reseau_v15[[#This Row],[province RDC]],_26_03_2026_Client_Churn_v1[Province_Client],_26_03_2026_Client_Churn_v1[Type_Forfait],"non trouvé")</f>
        <v>Pro Monde</v>
      </c>
      <c r="N970">
        <f>_xlfn.XLOOKUP(_26_03_2026_Log_Reseau_v15[[#This Row],[province RDC]],_26_03_2026_Client_Churn_v1[Province_Client],_26_03_2026_Client_Churn_v1[Duree_Cumulee_Panne_Min],"non trouvé")</f>
        <v>160</v>
      </c>
      <c r="O970">
        <f>_xlfn.XLOOKUP(_26_03_2026_Log_Reseau_v15[[#This Row],[province RDC]],_26_03_2026_Client_Churn_v1[Province_Client],_26_03_2026_Client_Churn_v1[Facture_Mensuelle],"non trouvé")</f>
        <v>90.13</v>
      </c>
      <c r="P970">
        <f>_xlfn.XLOOKUP(_26_03_2026_Log_Reseau_v15[[#This Row],[province RDC]],_26_03_2026_Client_Churn_v1[Province_Client],_26_03_2026_Client_Churn_v1[Plaintes_Service_Client],"non trouvé")</f>
        <v>2</v>
      </c>
    </row>
    <row r="971" spans="1:16" x14ac:dyDescent="0.25">
      <c r="A971" s="1">
        <v>45221</v>
      </c>
      <c r="B971" s="2">
        <v>0.91041666666666665</v>
      </c>
      <c r="C971" t="s">
        <v>1402</v>
      </c>
      <c r="D971">
        <v>60</v>
      </c>
      <c r="E971" t="s">
        <v>808</v>
      </c>
      <c r="F971" t="str">
        <f>_xlfn.XLOOKUP(_26_03_2026_Log_Reseau_v15[[#This Row],[Cell_ID]],_26_03_2026_Registre_Maintenance_v1[ID_Antenne],_26_03_2026_Registre_Maintenance_v1[zone],"pas trouvé")</f>
        <v>Kasai-Central</v>
      </c>
      <c r="G971">
        <f>_xlfn.XLOOKUP(_26_03_2026_Log_Reseau_v15[[#This Row],[Cell_ID]],_26_03_2026_Registre_Maintenance_v1[ID_Antenne],_26_03_2026_Registre_Maintenance_v1[Latitude],"non trouvé")</f>
        <v>-10.414493</v>
      </c>
      <c r="H971">
        <f>_xlfn.XLOOKUP(_26_03_2026_Log_Reseau_v15[[#This Row],[Cell_ID]],_26_03_2026_Registre_Maintenance_v1[ID_Antenne],_26_03_2026_Registre_Maintenance_v1[Longitude],"pas trouvé")</f>
        <v>12.333356999999999</v>
      </c>
      <c r="I971" t="str">
        <f>_xlfn.XLOOKUP(_26_03_2026_Log_Reseau_v15[[#This Row],[Cell_ID]],_26_03_2026_Registre_Maintenance_v1[ID_Antenne],_26_03_2026_Registre_Maintenance_v1[Technologie],"non trouvé")</f>
        <v>3G</v>
      </c>
      <c r="J971" t="str">
        <f>_xlfn.XLOOKUP(_26_03_2026_Log_Reseau_v15[[#This Row],[Cell_ID]],_26_03_2026_Registre_Maintenance_v1[ID_Antenne],_26_03_2026_Registre_Maintenance_v1[Equipementier],"pas trouvé")</f>
        <v>Ericsson</v>
      </c>
      <c r="K971" t="str">
        <f>_xlfn.XLOOKUP(_26_03_2026_Log_Reseau_v15[[#This Row],[province RDC]],_26_03_2026_Client_Churn_v1[Province_Client],_26_03_2026_Client_Churn_v1[ID_Client],"non trouvé")</f>
        <v>CLI-00060</v>
      </c>
      <c r="L971">
        <f>_xlfn.XLOOKUP(_26_03_2026_Log_Reseau_v15[[#This Row],[province RDC]],_26_03_2026_Client_Churn_v1[Province_Client],_26_03_2026_Client_Churn_v1[Anciennete_Mois],"non trouvé")</f>
        <v>72</v>
      </c>
      <c r="M971" t="str">
        <f>_xlfn.XLOOKUP(_26_03_2026_Log_Reseau_v15[[#This Row],[province RDC]],_26_03_2026_Client_Churn_v1[Province_Client],_26_03_2026_Client_Churn_v1[Type_Forfait],"non trouvé")</f>
        <v>Pro Monde</v>
      </c>
      <c r="N971">
        <f>_xlfn.XLOOKUP(_26_03_2026_Log_Reseau_v15[[#This Row],[province RDC]],_26_03_2026_Client_Churn_v1[Province_Client],_26_03_2026_Client_Churn_v1[Duree_Cumulee_Panne_Min],"non trouvé")</f>
        <v>160</v>
      </c>
      <c r="O971">
        <f>_xlfn.XLOOKUP(_26_03_2026_Log_Reseau_v15[[#This Row],[province RDC]],_26_03_2026_Client_Churn_v1[Province_Client],_26_03_2026_Client_Churn_v1[Facture_Mensuelle],"non trouvé")</f>
        <v>90.13</v>
      </c>
      <c r="P971">
        <f>_xlfn.XLOOKUP(_26_03_2026_Log_Reseau_v15[[#This Row],[province RDC]],_26_03_2026_Client_Churn_v1[Province_Client],_26_03_2026_Client_Churn_v1[Plaintes_Service_Client],"non trouvé")</f>
        <v>2</v>
      </c>
    </row>
    <row r="972" spans="1:16" x14ac:dyDescent="0.25">
      <c r="A972" s="1">
        <v>45203</v>
      </c>
      <c r="B972" s="2">
        <v>0.25069444444444444</v>
      </c>
      <c r="C972" t="s">
        <v>1402</v>
      </c>
      <c r="D972">
        <v>49</v>
      </c>
      <c r="E972" t="s">
        <v>808</v>
      </c>
      <c r="F972" t="str">
        <f>_xlfn.XLOOKUP(_26_03_2026_Log_Reseau_v15[[#This Row],[Cell_ID]],_26_03_2026_Registre_Maintenance_v1[ID_Antenne],_26_03_2026_Registre_Maintenance_v1[zone],"pas trouvé")</f>
        <v>Kasai-Central</v>
      </c>
      <c r="G972">
        <f>_xlfn.XLOOKUP(_26_03_2026_Log_Reseau_v15[[#This Row],[Cell_ID]],_26_03_2026_Registre_Maintenance_v1[ID_Antenne],_26_03_2026_Registre_Maintenance_v1[Latitude],"non trouvé")</f>
        <v>-10.414493</v>
      </c>
      <c r="H972">
        <f>_xlfn.XLOOKUP(_26_03_2026_Log_Reseau_v15[[#This Row],[Cell_ID]],_26_03_2026_Registre_Maintenance_v1[ID_Antenne],_26_03_2026_Registre_Maintenance_v1[Longitude],"pas trouvé")</f>
        <v>12.333356999999999</v>
      </c>
      <c r="I972" t="str">
        <f>_xlfn.XLOOKUP(_26_03_2026_Log_Reseau_v15[[#This Row],[Cell_ID]],_26_03_2026_Registre_Maintenance_v1[ID_Antenne],_26_03_2026_Registre_Maintenance_v1[Technologie],"non trouvé")</f>
        <v>3G</v>
      </c>
      <c r="J972" t="str">
        <f>_xlfn.XLOOKUP(_26_03_2026_Log_Reseau_v15[[#This Row],[Cell_ID]],_26_03_2026_Registre_Maintenance_v1[ID_Antenne],_26_03_2026_Registre_Maintenance_v1[Equipementier],"pas trouvé")</f>
        <v>Ericsson</v>
      </c>
      <c r="K972" t="str">
        <f>_xlfn.XLOOKUP(_26_03_2026_Log_Reseau_v15[[#This Row],[province RDC]],_26_03_2026_Client_Churn_v1[Province_Client],_26_03_2026_Client_Churn_v1[ID_Client],"non trouvé")</f>
        <v>CLI-00060</v>
      </c>
      <c r="L972">
        <f>_xlfn.XLOOKUP(_26_03_2026_Log_Reseau_v15[[#This Row],[province RDC]],_26_03_2026_Client_Churn_v1[Province_Client],_26_03_2026_Client_Churn_v1[Anciennete_Mois],"non trouvé")</f>
        <v>72</v>
      </c>
      <c r="M972" t="str">
        <f>_xlfn.XLOOKUP(_26_03_2026_Log_Reseau_v15[[#This Row],[province RDC]],_26_03_2026_Client_Churn_v1[Province_Client],_26_03_2026_Client_Churn_v1[Type_Forfait],"non trouvé")</f>
        <v>Pro Monde</v>
      </c>
      <c r="N972">
        <f>_xlfn.XLOOKUP(_26_03_2026_Log_Reseau_v15[[#This Row],[province RDC]],_26_03_2026_Client_Churn_v1[Province_Client],_26_03_2026_Client_Churn_v1[Duree_Cumulee_Panne_Min],"non trouvé")</f>
        <v>160</v>
      </c>
      <c r="O972">
        <f>_xlfn.XLOOKUP(_26_03_2026_Log_Reseau_v15[[#This Row],[province RDC]],_26_03_2026_Client_Churn_v1[Province_Client],_26_03_2026_Client_Churn_v1[Facture_Mensuelle],"non trouvé")</f>
        <v>90.13</v>
      </c>
      <c r="P972">
        <f>_xlfn.XLOOKUP(_26_03_2026_Log_Reseau_v15[[#This Row],[province RDC]],_26_03_2026_Client_Churn_v1[Province_Client],_26_03_2026_Client_Churn_v1[Plaintes_Service_Client],"non trouvé")</f>
        <v>2</v>
      </c>
    </row>
    <row r="973" spans="1:16" hidden="1" x14ac:dyDescent="0.25">
      <c r="A973" s="1">
        <v>45210</v>
      </c>
      <c r="B973" s="2">
        <v>0.24722222222222223</v>
      </c>
      <c r="C973" t="s">
        <v>1403</v>
      </c>
      <c r="D973">
        <v>74</v>
      </c>
      <c r="E973" t="s">
        <v>807</v>
      </c>
      <c r="F973" t="str">
        <f>_xlfn.XLOOKUP(_26_03_2026_Log_Reseau_v15[[#This Row],[Cell_ID]],_26_03_2026_Registre_Maintenance_v1[ID_Antenne],_26_03_2026_Registre_Maintenance_v1[zone],"pas trouvé")</f>
        <v>pas trouvé</v>
      </c>
      <c r="G973" t="str">
        <f>_xlfn.XLOOKUP(_26_03_2026_Log_Reseau_v15[[#This Row],[Cell_ID]],_26_03_2026_Registre_Maintenance_v1[ID_Antenne],_26_03_2026_Registre_Maintenance_v1[Latitude],"non trouvé")</f>
        <v>non trouvé</v>
      </c>
      <c r="H973" t="str">
        <f>_xlfn.XLOOKUP(_26_03_2026_Log_Reseau_v15[[#This Row],[Cell_ID]],_26_03_2026_Registre_Maintenance_v1[ID_Antenne],_26_03_2026_Registre_Maintenance_v1[Longitude],"pas trouvé")</f>
        <v>pas trouvé</v>
      </c>
      <c r="I973" t="str">
        <f>_xlfn.XLOOKUP(_26_03_2026_Log_Reseau_v15[[#This Row],[Cell_ID]],_26_03_2026_Registre_Maintenance_v1[ID_Antenne],_26_03_2026_Registre_Maintenance_v1[Technologie],"non trouvé")</f>
        <v>non trouvé</v>
      </c>
      <c r="J973" t="str">
        <f>_xlfn.XLOOKUP(_26_03_2026_Log_Reseau_v15[[#This Row],[Cell_ID]],_26_03_2026_Registre_Maintenance_v1[ID_Antenne],_26_03_2026_Registre_Maintenance_v1[Equipementier],"pas trouvé")</f>
        <v>pas trouvé</v>
      </c>
      <c r="K973" t="str">
        <f>_xlfn.XLOOKUP(_26_03_2026_Log_Reseau_v15[[#This Row],[province RDC]],_26_03_2026_Client_Churn_v1[Province_Client],_26_03_2026_Client_Churn_v1[ID_Client],"non trouvé")</f>
        <v>non trouvé</v>
      </c>
      <c r="L973" t="str">
        <f>_xlfn.XLOOKUP(_26_03_2026_Log_Reseau_v15[[#This Row],[province RDC]],_26_03_2026_Client_Churn_v1[Province_Client],_26_03_2026_Client_Churn_v1[Anciennete_Mois],"non trouvé")</f>
        <v>non trouvé</v>
      </c>
      <c r="M973" t="str">
        <f>_xlfn.XLOOKUP(_26_03_2026_Log_Reseau_v15[[#This Row],[province RDC]],_26_03_2026_Client_Churn_v1[Province_Client],_26_03_2026_Client_Churn_v1[Type_Forfait],"non trouvé")</f>
        <v>non trouvé</v>
      </c>
      <c r="N973" t="str">
        <f>_xlfn.XLOOKUP(_26_03_2026_Log_Reseau_v15[[#This Row],[province RDC]],_26_03_2026_Client_Churn_v1[Province_Client],_26_03_2026_Client_Churn_v1[Duree_Cumulee_Panne_Min],"non trouvé")</f>
        <v>non trouvé</v>
      </c>
      <c r="O973" t="str">
        <f>_xlfn.XLOOKUP(_26_03_2026_Log_Reseau_v15[[#This Row],[province RDC]],_26_03_2026_Client_Churn_v1[Province_Client],_26_03_2026_Client_Churn_v1[Facture_Mensuelle],"non trouvé")</f>
        <v>non trouvé</v>
      </c>
      <c r="P973" t="str">
        <f>_xlfn.XLOOKUP(_26_03_2026_Log_Reseau_v15[[#This Row],[province RDC]],_26_03_2026_Client_Churn_v1[Province_Client],_26_03_2026_Client_Churn_v1[Plaintes_Service_Client],"non trouvé")</f>
        <v>non trouvé</v>
      </c>
    </row>
    <row r="974" spans="1:16" hidden="1" x14ac:dyDescent="0.25">
      <c r="A974" s="1">
        <v>45211</v>
      </c>
      <c r="B974" s="2">
        <v>0.2902777777777778</v>
      </c>
      <c r="C974" t="s">
        <v>1403</v>
      </c>
      <c r="D974">
        <v>73</v>
      </c>
      <c r="E974" t="s">
        <v>812</v>
      </c>
      <c r="F974" t="str">
        <f>_xlfn.XLOOKUP(_26_03_2026_Log_Reseau_v15[[#This Row],[Cell_ID]],_26_03_2026_Registre_Maintenance_v1[ID_Antenne],_26_03_2026_Registre_Maintenance_v1[zone],"pas trouvé")</f>
        <v>pas trouvé</v>
      </c>
      <c r="G974" t="str">
        <f>_xlfn.XLOOKUP(_26_03_2026_Log_Reseau_v15[[#This Row],[Cell_ID]],_26_03_2026_Registre_Maintenance_v1[ID_Antenne],_26_03_2026_Registre_Maintenance_v1[Latitude],"non trouvé")</f>
        <v>non trouvé</v>
      </c>
      <c r="H974" t="str">
        <f>_xlfn.XLOOKUP(_26_03_2026_Log_Reseau_v15[[#This Row],[Cell_ID]],_26_03_2026_Registre_Maintenance_v1[ID_Antenne],_26_03_2026_Registre_Maintenance_v1[Longitude],"pas trouvé")</f>
        <v>pas trouvé</v>
      </c>
      <c r="I974" t="str">
        <f>_xlfn.XLOOKUP(_26_03_2026_Log_Reseau_v15[[#This Row],[Cell_ID]],_26_03_2026_Registre_Maintenance_v1[ID_Antenne],_26_03_2026_Registre_Maintenance_v1[Technologie],"non trouvé")</f>
        <v>non trouvé</v>
      </c>
      <c r="J974" t="str">
        <f>_xlfn.XLOOKUP(_26_03_2026_Log_Reseau_v15[[#This Row],[Cell_ID]],_26_03_2026_Registre_Maintenance_v1[ID_Antenne],_26_03_2026_Registre_Maintenance_v1[Equipementier],"pas trouvé")</f>
        <v>pas trouvé</v>
      </c>
      <c r="K974" t="str">
        <f>_xlfn.XLOOKUP(_26_03_2026_Log_Reseau_v15[[#This Row],[province RDC]],_26_03_2026_Client_Churn_v1[Province_Client],_26_03_2026_Client_Churn_v1[ID_Client],"non trouvé")</f>
        <v>non trouvé</v>
      </c>
      <c r="L974" t="str">
        <f>_xlfn.XLOOKUP(_26_03_2026_Log_Reseau_v15[[#This Row],[province RDC]],_26_03_2026_Client_Churn_v1[Province_Client],_26_03_2026_Client_Churn_v1[Anciennete_Mois],"non trouvé")</f>
        <v>non trouvé</v>
      </c>
      <c r="M974" t="str">
        <f>_xlfn.XLOOKUP(_26_03_2026_Log_Reseau_v15[[#This Row],[province RDC]],_26_03_2026_Client_Churn_v1[Province_Client],_26_03_2026_Client_Churn_v1[Type_Forfait],"non trouvé")</f>
        <v>non trouvé</v>
      </c>
      <c r="N974" t="str">
        <f>_xlfn.XLOOKUP(_26_03_2026_Log_Reseau_v15[[#This Row],[province RDC]],_26_03_2026_Client_Churn_v1[Province_Client],_26_03_2026_Client_Churn_v1[Duree_Cumulee_Panne_Min],"non trouvé")</f>
        <v>non trouvé</v>
      </c>
      <c r="O974" t="str">
        <f>_xlfn.XLOOKUP(_26_03_2026_Log_Reseau_v15[[#This Row],[province RDC]],_26_03_2026_Client_Churn_v1[Province_Client],_26_03_2026_Client_Churn_v1[Facture_Mensuelle],"non trouvé")</f>
        <v>non trouvé</v>
      </c>
      <c r="P974" t="str">
        <f>_xlfn.XLOOKUP(_26_03_2026_Log_Reseau_v15[[#This Row],[province RDC]],_26_03_2026_Client_Churn_v1[Province_Client],_26_03_2026_Client_Churn_v1[Plaintes_Service_Client],"non trouvé")</f>
        <v>non trouvé</v>
      </c>
    </row>
    <row r="975" spans="1:16" hidden="1" x14ac:dyDescent="0.25">
      <c r="A975" s="1">
        <v>45227</v>
      </c>
      <c r="B975" s="2">
        <v>0.21111111111111111</v>
      </c>
      <c r="C975" t="s">
        <v>1404</v>
      </c>
      <c r="D975">
        <v>38</v>
      </c>
      <c r="E975" t="s">
        <v>807</v>
      </c>
      <c r="F975" t="str">
        <f>_xlfn.XLOOKUP(_26_03_2026_Log_Reseau_v15[[#This Row],[Cell_ID]],_26_03_2026_Registre_Maintenance_v1[ID_Antenne],_26_03_2026_Registre_Maintenance_v1[zone],"pas trouvé")</f>
        <v>pas trouvé</v>
      </c>
      <c r="G975" t="str">
        <f>_xlfn.XLOOKUP(_26_03_2026_Log_Reseau_v15[[#This Row],[Cell_ID]],_26_03_2026_Registre_Maintenance_v1[ID_Antenne],_26_03_2026_Registre_Maintenance_v1[Latitude],"non trouvé")</f>
        <v>non trouvé</v>
      </c>
      <c r="H975" t="str">
        <f>_xlfn.XLOOKUP(_26_03_2026_Log_Reseau_v15[[#This Row],[Cell_ID]],_26_03_2026_Registre_Maintenance_v1[ID_Antenne],_26_03_2026_Registre_Maintenance_v1[Longitude],"pas trouvé")</f>
        <v>pas trouvé</v>
      </c>
      <c r="I975" t="str">
        <f>_xlfn.XLOOKUP(_26_03_2026_Log_Reseau_v15[[#This Row],[Cell_ID]],_26_03_2026_Registre_Maintenance_v1[ID_Antenne],_26_03_2026_Registre_Maintenance_v1[Technologie],"non trouvé")</f>
        <v>non trouvé</v>
      </c>
      <c r="J975" t="str">
        <f>_xlfn.XLOOKUP(_26_03_2026_Log_Reseau_v15[[#This Row],[Cell_ID]],_26_03_2026_Registre_Maintenance_v1[ID_Antenne],_26_03_2026_Registre_Maintenance_v1[Equipementier],"pas trouvé")</f>
        <v>pas trouvé</v>
      </c>
      <c r="K975" t="str">
        <f>_xlfn.XLOOKUP(_26_03_2026_Log_Reseau_v15[[#This Row],[province RDC]],_26_03_2026_Client_Churn_v1[Province_Client],_26_03_2026_Client_Churn_v1[ID_Client],"non trouvé")</f>
        <v>non trouvé</v>
      </c>
      <c r="L975" t="str">
        <f>_xlfn.XLOOKUP(_26_03_2026_Log_Reseau_v15[[#This Row],[province RDC]],_26_03_2026_Client_Churn_v1[Province_Client],_26_03_2026_Client_Churn_v1[Anciennete_Mois],"non trouvé")</f>
        <v>non trouvé</v>
      </c>
      <c r="M975" t="str">
        <f>_xlfn.XLOOKUP(_26_03_2026_Log_Reseau_v15[[#This Row],[province RDC]],_26_03_2026_Client_Churn_v1[Province_Client],_26_03_2026_Client_Churn_v1[Type_Forfait],"non trouvé")</f>
        <v>non trouvé</v>
      </c>
      <c r="N975" t="str">
        <f>_xlfn.XLOOKUP(_26_03_2026_Log_Reseau_v15[[#This Row],[province RDC]],_26_03_2026_Client_Churn_v1[Province_Client],_26_03_2026_Client_Churn_v1[Duree_Cumulee_Panne_Min],"non trouvé")</f>
        <v>non trouvé</v>
      </c>
      <c r="O975" t="str">
        <f>_xlfn.XLOOKUP(_26_03_2026_Log_Reseau_v15[[#This Row],[province RDC]],_26_03_2026_Client_Churn_v1[Province_Client],_26_03_2026_Client_Churn_v1[Facture_Mensuelle],"non trouvé")</f>
        <v>non trouvé</v>
      </c>
      <c r="P975" t="str">
        <f>_xlfn.XLOOKUP(_26_03_2026_Log_Reseau_v15[[#This Row],[province RDC]],_26_03_2026_Client_Churn_v1[Province_Client],_26_03_2026_Client_Churn_v1[Plaintes_Service_Client],"non trouvé")</f>
        <v>non trouvé</v>
      </c>
    </row>
    <row r="976" spans="1:16" hidden="1" x14ac:dyDescent="0.25">
      <c r="A976" s="1">
        <v>45226</v>
      </c>
      <c r="B976" s="2">
        <v>0.16319444444444445</v>
      </c>
      <c r="C976" t="s">
        <v>1405</v>
      </c>
      <c r="D976">
        <v>36</v>
      </c>
      <c r="E976" t="s">
        <v>808</v>
      </c>
      <c r="F976" t="str">
        <f>_xlfn.XLOOKUP(_26_03_2026_Log_Reseau_v15[[#This Row],[Cell_ID]],_26_03_2026_Registre_Maintenance_v1[ID_Antenne],_26_03_2026_Registre_Maintenance_v1[zone],"pas trouvé")</f>
        <v>pas trouvé</v>
      </c>
      <c r="G976" t="str">
        <f>_xlfn.XLOOKUP(_26_03_2026_Log_Reseau_v15[[#This Row],[Cell_ID]],_26_03_2026_Registre_Maintenance_v1[ID_Antenne],_26_03_2026_Registre_Maintenance_v1[Latitude],"non trouvé")</f>
        <v>non trouvé</v>
      </c>
      <c r="H976" t="str">
        <f>_xlfn.XLOOKUP(_26_03_2026_Log_Reseau_v15[[#This Row],[Cell_ID]],_26_03_2026_Registre_Maintenance_v1[ID_Antenne],_26_03_2026_Registre_Maintenance_v1[Longitude],"pas trouvé")</f>
        <v>pas trouvé</v>
      </c>
      <c r="I976" t="str">
        <f>_xlfn.XLOOKUP(_26_03_2026_Log_Reseau_v15[[#This Row],[Cell_ID]],_26_03_2026_Registre_Maintenance_v1[ID_Antenne],_26_03_2026_Registre_Maintenance_v1[Technologie],"non trouvé")</f>
        <v>non trouvé</v>
      </c>
      <c r="J976" t="str">
        <f>_xlfn.XLOOKUP(_26_03_2026_Log_Reseau_v15[[#This Row],[Cell_ID]],_26_03_2026_Registre_Maintenance_v1[ID_Antenne],_26_03_2026_Registre_Maintenance_v1[Equipementier],"pas trouvé")</f>
        <v>pas trouvé</v>
      </c>
      <c r="K976" t="str">
        <f>_xlfn.XLOOKUP(_26_03_2026_Log_Reseau_v15[[#This Row],[province RDC]],_26_03_2026_Client_Churn_v1[Province_Client],_26_03_2026_Client_Churn_v1[ID_Client],"non trouvé")</f>
        <v>non trouvé</v>
      </c>
      <c r="L976" t="str">
        <f>_xlfn.XLOOKUP(_26_03_2026_Log_Reseau_v15[[#This Row],[province RDC]],_26_03_2026_Client_Churn_v1[Province_Client],_26_03_2026_Client_Churn_v1[Anciennete_Mois],"non trouvé")</f>
        <v>non trouvé</v>
      </c>
      <c r="M976" t="str">
        <f>_xlfn.XLOOKUP(_26_03_2026_Log_Reseau_v15[[#This Row],[province RDC]],_26_03_2026_Client_Churn_v1[Province_Client],_26_03_2026_Client_Churn_v1[Type_Forfait],"non trouvé")</f>
        <v>non trouvé</v>
      </c>
      <c r="N976" t="str">
        <f>_xlfn.XLOOKUP(_26_03_2026_Log_Reseau_v15[[#This Row],[province RDC]],_26_03_2026_Client_Churn_v1[Province_Client],_26_03_2026_Client_Churn_v1[Duree_Cumulee_Panne_Min],"non trouvé")</f>
        <v>non trouvé</v>
      </c>
      <c r="O976" t="str">
        <f>_xlfn.XLOOKUP(_26_03_2026_Log_Reseau_v15[[#This Row],[province RDC]],_26_03_2026_Client_Churn_v1[Province_Client],_26_03_2026_Client_Churn_v1[Facture_Mensuelle],"non trouvé")</f>
        <v>non trouvé</v>
      </c>
      <c r="P976" t="str">
        <f>_xlfn.XLOOKUP(_26_03_2026_Log_Reseau_v15[[#This Row],[province RDC]],_26_03_2026_Client_Churn_v1[Province_Client],_26_03_2026_Client_Churn_v1[Plaintes_Service_Client],"non trouvé")</f>
        <v>non trouvé</v>
      </c>
    </row>
    <row r="977" spans="1:16" hidden="1" x14ac:dyDescent="0.25">
      <c r="A977" s="1">
        <v>45225</v>
      </c>
      <c r="B977" s="2">
        <v>0.77986111111111112</v>
      </c>
      <c r="C977" t="s">
        <v>1406</v>
      </c>
      <c r="D977">
        <v>69</v>
      </c>
      <c r="E977" t="s">
        <v>808</v>
      </c>
      <c r="F977" t="str">
        <f>_xlfn.XLOOKUP(_26_03_2026_Log_Reseau_v15[[#This Row],[Cell_ID]],_26_03_2026_Registre_Maintenance_v1[ID_Antenne],_26_03_2026_Registre_Maintenance_v1[zone],"pas trouvé")</f>
        <v>pas trouvé</v>
      </c>
      <c r="G977" t="str">
        <f>_xlfn.XLOOKUP(_26_03_2026_Log_Reseau_v15[[#This Row],[Cell_ID]],_26_03_2026_Registre_Maintenance_v1[ID_Antenne],_26_03_2026_Registre_Maintenance_v1[Latitude],"non trouvé")</f>
        <v>non trouvé</v>
      </c>
      <c r="H977" t="str">
        <f>_xlfn.XLOOKUP(_26_03_2026_Log_Reseau_v15[[#This Row],[Cell_ID]],_26_03_2026_Registre_Maintenance_v1[ID_Antenne],_26_03_2026_Registre_Maintenance_v1[Longitude],"pas trouvé")</f>
        <v>pas trouvé</v>
      </c>
      <c r="I977" t="str">
        <f>_xlfn.XLOOKUP(_26_03_2026_Log_Reseau_v15[[#This Row],[Cell_ID]],_26_03_2026_Registre_Maintenance_v1[ID_Antenne],_26_03_2026_Registre_Maintenance_v1[Technologie],"non trouvé")</f>
        <v>non trouvé</v>
      </c>
      <c r="J977" t="str">
        <f>_xlfn.XLOOKUP(_26_03_2026_Log_Reseau_v15[[#This Row],[Cell_ID]],_26_03_2026_Registre_Maintenance_v1[ID_Antenne],_26_03_2026_Registre_Maintenance_v1[Equipementier],"pas trouvé")</f>
        <v>pas trouvé</v>
      </c>
      <c r="K977" t="str">
        <f>_xlfn.XLOOKUP(_26_03_2026_Log_Reseau_v15[[#This Row],[province RDC]],_26_03_2026_Client_Churn_v1[Province_Client],_26_03_2026_Client_Churn_v1[ID_Client],"non trouvé")</f>
        <v>non trouvé</v>
      </c>
      <c r="L977" t="str">
        <f>_xlfn.XLOOKUP(_26_03_2026_Log_Reseau_v15[[#This Row],[province RDC]],_26_03_2026_Client_Churn_v1[Province_Client],_26_03_2026_Client_Churn_v1[Anciennete_Mois],"non trouvé")</f>
        <v>non trouvé</v>
      </c>
      <c r="M977" t="str">
        <f>_xlfn.XLOOKUP(_26_03_2026_Log_Reseau_v15[[#This Row],[province RDC]],_26_03_2026_Client_Churn_v1[Province_Client],_26_03_2026_Client_Churn_v1[Type_Forfait],"non trouvé")</f>
        <v>non trouvé</v>
      </c>
      <c r="N977" t="str">
        <f>_xlfn.XLOOKUP(_26_03_2026_Log_Reseau_v15[[#This Row],[province RDC]],_26_03_2026_Client_Churn_v1[Province_Client],_26_03_2026_Client_Churn_v1[Duree_Cumulee_Panne_Min],"non trouvé")</f>
        <v>non trouvé</v>
      </c>
      <c r="O977" t="str">
        <f>_xlfn.XLOOKUP(_26_03_2026_Log_Reseau_v15[[#This Row],[province RDC]],_26_03_2026_Client_Churn_v1[Province_Client],_26_03_2026_Client_Churn_v1[Facture_Mensuelle],"non trouvé")</f>
        <v>non trouvé</v>
      </c>
      <c r="P977" t="str">
        <f>_xlfn.XLOOKUP(_26_03_2026_Log_Reseau_v15[[#This Row],[province RDC]],_26_03_2026_Client_Churn_v1[Province_Client],_26_03_2026_Client_Churn_v1[Plaintes_Service_Client],"non trouvé")</f>
        <v>non trouvé</v>
      </c>
    </row>
    <row r="978" spans="1:16" x14ac:dyDescent="0.25">
      <c r="A978" s="1">
        <v>45210</v>
      </c>
      <c r="B978" s="2">
        <v>0.56805555555555554</v>
      </c>
      <c r="C978" t="s">
        <v>1407</v>
      </c>
      <c r="D978">
        <v>96</v>
      </c>
      <c r="E978" t="s">
        <v>807</v>
      </c>
      <c r="F978" t="str">
        <f>_xlfn.XLOOKUP(_26_03_2026_Log_Reseau_v15[[#This Row],[Cell_ID]],_26_03_2026_Registre_Maintenance_v1[ID_Antenne],_26_03_2026_Registre_Maintenance_v1[zone],"pas trouvé")</f>
        <v>Kinshasa</v>
      </c>
      <c r="G978">
        <f>_xlfn.XLOOKUP(_26_03_2026_Log_Reseau_v15[[#This Row],[Cell_ID]],_26_03_2026_Registre_Maintenance_v1[ID_Antenne],_26_03_2026_Registre_Maintenance_v1[Latitude],"non trouvé")</f>
        <v>-5.4126279999999998</v>
      </c>
      <c r="H978">
        <f>_xlfn.XLOOKUP(_26_03_2026_Log_Reseau_v15[[#This Row],[Cell_ID]],_26_03_2026_Registre_Maintenance_v1[ID_Antenne],_26_03_2026_Registre_Maintenance_v1[Longitude],"pas trouvé")</f>
        <v>25.498235999999999</v>
      </c>
      <c r="I978" t="str">
        <f>_xlfn.XLOOKUP(_26_03_2026_Log_Reseau_v15[[#This Row],[Cell_ID]],_26_03_2026_Registre_Maintenance_v1[ID_Antenne],_26_03_2026_Registre_Maintenance_v1[Technologie],"non trouvé")</f>
        <v>5G</v>
      </c>
      <c r="J978" t="str">
        <f>_xlfn.XLOOKUP(_26_03_2026_Log_Reseau_v15[[#This Row],[Cell_ID]],_26_03_2026_Registre_Maintenance_v1[ID_Antenne],_26_03_2026_Registre_Maintenance_v1[Equipementier],"pas trouvé")</f>
        <v>ZTE</v>
      </c>
      <c r="K978" t="str">
        <f>_xlfn.XLOOKUP(_26_03_2026_Log_Reseau_v15[[#This Row],[province RDC]],_26_03_2026_Client_Churn_v1[Province_Client],_26_03_2026_Client_Churn_v1[ID_Client],"non trouvé")</f>
        <v>CLI-00611</v>
      </c>
      <c r="L978">
        <f>_xlfn.XLOOKUP(_26_03_2026_Log_Reseau_v15[[#This Row],[province RDC]],_26_03_2026_Client_Churn_v1[Province_Client],_26_03_2026_Client_Churn_v1[Anciennete_Mois],"non trouvé")</f>
        <v>79</v>
      </c>
      <c r="M978" t="str">
        <f>_xlfn.XLOOKUP(_26_03_2026_Log_Reseau_v15[[#This Row],[province RDC]],_26_03_2026_Client_Churn_v1[Province_Client],_26_03_2026_Client_Churn_v1[Type_Forfait],"non trouvé")</f>
        <v>Premium 5G 150Go</v>
      </c>
      <c r="N978">
        <f>_xlfn.XLOOKUP(_26_03_2026_Log_Reseau_v15[[#This Row],[province RDC]],_26_03_2026_Client_Churn_v1[Province_Client],_26_03_2026_Client_Churn_v1[Duree_Cumulee_Panne_Min],"non trouvé")</f>
        <v>226</v>
      </c>
      <c r="O978">
        <f>_xlfn.XLOOKUP(_26_03_2026_Log_Reseau_v15[[#This Row],[province RDC]],_26_03_2026_Client_Churn_v1[Province_Client],_26_03_2026_Client_Churn_v1[Facture_Mensuelle],"non trouvé")</f>
        <v>94.38</v>
      </c>
      <c r="P978">
        <f>_xlfn.XLOOKUP(_26_03_2026_Log_Reseau_v15[[#This Row],[province RDC]],_26_03_2026_Client_Churn_v1[Province_Client],_26_03_2026_Client_Churn_v1[Plaintes_Service_Client],"non trouvé")</f>
        <v>3</v>
      </c>
    </row>
    <row r="979" spans="1:16" x14ac:dyDescent="0.25">
      <c r="A979" s="1">
        <v>45214</v>
      </c>
      <c r="B979" s="2">
        <v>0.68402777777777779</v>
      </c>
      <c r="C979" t="s">
        <v>1408</v>
      </c>
      <c r="D979">
        <v>119</v>
      </c>
      <c r="E979" t="s">
        <v>812</v>
      </c>
      <c r="F979" t="str">
        <f>_xlfn.XLOOKUP(_26_03_2026_Log_Reseau_v15[[#This Row],[Cell_ID]],_26_03_2026_Registre_Maintenance_v1[ID_Antenne],_26_03_2026_Registre_Maintenance_v1[zone],"pas trouvé")</f>
        <v>Lomami</v>
      </c>
      <c r="G979">
        <f>_xlfn.XLOOKUP(_26_03_2026_Log_Reseau_v15[[#This Row],[Cell_ID]],_26_03_2026_Registre_Maintenance_v1[ID_Antenne],_26_03_2026_Registre_Maintenance_v1[Latitude],"non trouvé")</f>
        <v>-11.218453999999999</v>
      </c>
      <c r="H979">
        <f>_xlfn.XLOOKUP(_26_03_2026_Log_Reseau_v15[[#This Row],[Cell_ID]],_26_03_2026_Registre_Maintenance_v1[ID_Antenne],_26_03_2026_Registre_Maintenance_v1[Longitude],"pas trouvé")</f>
        <v>28.230025000000001</v>
      </c>
      <c r="I979" t="str">
        <f>_xlfn.XLOOKUP(_26_03_2026_Log_Reseau_v15[[#This Row],[Cell_ID]],_26_03_2026_Registre_Maintenance_v1[ID_Antenne],_26_03_2026_Registre_Maintenance_v1[Technologie],"non trouvé")</f>
        <v>5G</v>
      </c>
      <c r="J979" t="str">
        <f>_xlfn.XLOOKUP(_26_03_2026_Log_Reseau_v15[[#This Row],[Cell_ID]],_26_03_2026_Registre_Maintenance_v1[ID_Antenne],_26_03_2026_Registre_Maintenance_v1[Equipementier],"pas trouvé")</f>
        <v>ZTE</v>
      </c>
      <c r="K979" t="str">
        <f>_xlfn.XLOOKUP(_26_03_2026_Log_Reseau_v15[[#This Row],[province RDC]],_26_03_2026_Client_Churn_v1[Province_Client],_26_03_2026_Client_Churn_v1[ID_Client],"non trouvé")</f>
        <v>CLI-00131</v>
      </c>
      <c r="L979">
        <f>_xlfn.XLOOKUP(_26_03_2026_Log_Reseau_v15[[#This Row],[province RDC]],_26_03_2026_Client_Churn_v1[Province_Client],_26_03_2026_Client_Churn_v1[Anciennete_Mois],"non trouvé")</f>
        <v>101</v>
      </c>
      <c r="M979" t="str">
        <f>_xlfn.XLOOKUP(_26_03_2026_Log_Reseau_v15[[#This Row],[province RDC]],_26_03_2026_Client_Churn_v1[Province_Client],_26_03_2026_Client_Churn_v1[Type_Forfait],"non trouvé")</f>
        <v>Pro Monde</v>
      </c>
      <c r="N979">
        <f>_xlfn.XLOOKUP(_26_03_2026_Log_Reseau_v15[[#This Row],[province RDC]],_26_03_2026_Client_Churn_v1[Province_Client],_26_03_2026_Client_Churn_v1[Duree_Cumulee_Panne_Min],"non trouvé")</f>
        <v>176</v>
      </c>
      <c r="O979">
        <f>_xlfn.XLOOKUP(_26_03_2026_Log_Reseau_v15[[#This Row],[province RDC]],_26_03_2026_Client_Churn_v1[Province_Client],_26_03_2026_Client_Churn_v1[Facture_Mensuelle],"non trouvé")</f>
        <v>86</v>
      </c>
      <c r="P979">
        <f>_xlfn.XLOOKUP(_26_03_2026_Log_Reseau_v15[[#This Row],[province RDC]],_26_03_2026_Client_Churn_v1[Province_Client],_26_03_2026_Client_Churn_v1[Plaintes_Service_Client],"non trouvé")</f>
        <v>3</v>
      </c>
    </row>
    <row r="980" spans="1:16" x14ac:dyDescent="0.25">
      <c r="A980" s="1">
        <v>45229</v>
      </c>
      <c r="B980" s="2">
        <v>0.73819444444444449</v>
      </c>
      <c r="C980" t="s">
        <v>1408</v>
      </c>
      <c r="D980">
        <v>36</v>
      </c>
      <c r="E980" t="s">
        <v>808</v>
      </c>
      <c r="F980" t="str">
        <f>_xlfn.XLOOKUP(_26_03_2026_Log_Reseau_v15[[#This Row],[Cell_ID]],_26_03_2026_Registre_Maintenance_v1[ID_Antenne],_26_03_2026_Registre_Maintenance_v1[zone],"pas trouvé")</f>
        <v>Lomami</v>
      </c>
      <c r="G980">
        <f>_xlfn.XLOOKUP(_26_03_2026_Log_Reseau_v15[[#This Row],[Cell_ID]],_26_03_2026_Registre_Maintenance_v1[ID_Antenne],_26_03_2026_Registre_Maintenance_v1[Latitude],"non trouvé")</f>
        <v>-11.218453999999999</v>
      </c>
      <c r="H980">
        <f>_xlfn.XLOOKUP(_26_03_2026_Log_Reseau_v15[[#This Row],[Cell_ID]],_26_03_2026_Registre_Maintenance_v1[ID_Antenne],_26_03_2026_Registre_Maintenance_v1[Longitude],"pas trouvé")</f>
        <v>28.230025000000001</v>
      </c>
      <c r="I980" t="str">
        <f>_xlfn.XLOOKUP(_26_03_2026_Log_Reseau_v15[[#This Row],[Cell_ID]],_26_03_2026_Registre_Maintenance_v1[ID_Antenne],_26_03_2026_Registre_Maintenance_v1[Technologie],"non trouvé")</f>
        <v>5G</v>
      </c>
      <c r="J980" t="str">
        <f>_xlfn.XLOOKUP(_26_03_2026_Log_Reseau_v15[[#This Row],[Cell_ID]],_26_03_2026_Registre_Maintenance_v1[ID_Antenne],_26_03_2026_Registre_Maintenance_v1[Equipementier],"pas trouvé")</f>
        <v>ZTE</v>
      </c>
      <c r="K980" t="str">
        <f>_xlfn.XLOOKUP(_26_03_2026_Log_Reseau_v15[[#This Row],[province RDC]],_26_03_2026_Client_Churn_v1[Province_Client],_26_03_2026_Client_Churn_v1[ID_Client],"non trouvé")</f>
        <v>CLI-00131</v>
      </c>
      <c r="L980">
        <f>_xlfn.XLOOKUP(_26_03_2026_Log_Reseau_v15[[#This Row],[province RDC]],_26_03_2026_Client_Churn_v1[Province_Client],_26_03_2026_Client_Churn_v1[Anciennete_Mois],"non trouvé")</f>
        <v>101</v>
      </c>
      <c r="M980" t="str">
        <f>_xlfn.XLOOKUP(_26_03_2026_Log_Reseau_v15[[#This Row],[province RDC]],_26_03_2026_Client_Churn_v1[Province_Client],_26_03_2026_Client_Churn_v1[Type_Forfait],"non trouvé")</f>
        <v>Pro Monde</v>
      </c>
      <c r="N980">
        <f>_xlfn.XLOOKUP(_26_03_2026_Log_Reseau_v15[[#This Row],[province RDC]],_26_03_2026_Client_Churn_v1[Province_Client],_26_03_2026_Client_Churn_v1[Duree_Cumulee_Panne_Min],"non trouvé")</f>
        <v>176</v>
      </c>
      <c r="O980">
        <f>_xlfn.XLOOKUP(_26_03_2026_Log_Reseau_v15[[#This Row],[province RDC]],_26_03_2026_Client_Churn_v1[Province_Client],_26_03_2026_Client_Churn_v1[Facture_Mensuelle],"non trouvé")</f>
        <v>86</v>
      </c>
      <c r="P980">
        <f>_xlfn.XLOOKUP(_26_03_2026_Log_Reseau_v15[[#This Row],[province RDC]],_26_03_2026_Client_Churn_v1[Province_Client],_26_03_2026_Client_Churn_v1[Plaintes_Service_Client],"non trouvé")</f>
        <v>3</v>
      </c>
    </row>
    <row r="981" spans="1:16" x14ac:dyDescent="0.25">
      <c r="A981" s="1">
        <v>45216</v>
      </c>
      <c r="B981" s="2">
        <v>0.46041666666666664</v>
      </c>
      <c r="C981" t="s">
        <v>1409</v>
      </c>
      <c r="D981">
        <v>36</v>
      </c>
      <c r="E981" t="s">
        <v>812</v>
      </c>
      <c r="F981" t="str">
        <f>_xlfn.XLOOKUP(_26_03_2026_Log_Reseau_v15[[#This Row],[Cell_ID]],_26_03_2026_Registre_Maintenance_v1[ID_Antenne],_26_03_2026_Registre_Maintenance_v1[zone],"pas trouvé")</f>
        <v>Nord-Kivu</v>
      </c>
      <c r="G981">
        <f>_xlfn.XLOOKUP(_26_03_2026_Log_Reseau_v15[[#This Row],[Cell_ID]],_26_03_2026_Registre_Maintenance_v1[ID_Antenne],_26_03_2026_Registre_Maintenance_v1[Latitude],"non trouvé")</f>
        <v>-11.231472</v>
      </c>
      <c r="H981">
        <f>_xlfn.XLOOKUP(_26_03_2026_Log_Reseau_v15[[#This Row],[Cell_ID]],_26_03_2026_Registre_Maintenance_v1[ID_Antenne],_26_03_2026_Registre_Maintenance_v1[Longitude],"pas trouvé")</f>
        <v>25.388874000000001</v>
      </c>
      <c r="I981" t="str">
        <f>_xlfn.XLOOKUP(_26_03_2026_Log_Reseau_v15[[#This Row],[Cell_ID]],_26_03_2026_Registre_Maintenance_v1[ID_Antenne],_26_03_2026_Registre_Maintenance_v1[Technologie],"non trouvé")</f>
        <v>4G</v>
      </c>
      <c r="J981" t="str">
        <f>_xlfn.XLOOKUP(_26_03_2026_Log_Reseau_v15[[#This Row],[Cell_ID]],_26_03_2026_Registre_Maintenance_v1[ID_Antenne],_26_03_2026_Registre_Maintenance_v1[Equipementier],"pas trouvé")</f>
        <v>Huawei</v>
      </c>
      <c r="K981" t="str">
        <f>_xlfn.XLOOKUP(_26_03_2026_Log_Reseau_v15[[#This Row],[province RDC]],_26_03_2026_Client_Churn_v1[Province_Client],_26_03_2026_Client_Churn_v1[ID_Client],"non trouvé")</f>
        <v>CLI-00837</v>
      </c>
      <c r="L981">
        <f>_xlfn.XLOOKUP(_26_03_2026_Log_Reseau_v15[[#This Row],[province RDC]],_26_03_2026_Client_Churn_v1[Province_Client],_26_03_2026_Client_Churn_v1[Anciennete_Mois],"non trouvé")</f>
        <v>16</v>
      </c>
      <c r="M981" t="str">
        <f>_xlfn.XLOOKUP(_26_03_2026_Log_Reseau_v15[[#This Row],[province RDC]],_26_03_2026_Client_Churn_v1[Province_Client],_26_03_2026_Client_Churn_v1[Type_Forfait],"non trouvé")</f>
        <v>Bloqué 5Go</v>
      </c>
      <c r="N981">
        <f>_xlfn.XLOOKUP(_26_03_2026_Log_Reseau_v15[[#This Row],[province RDC]],_26_03_2026_Client_Churn_v1[Province_Client],_26_03_2026_Client_Churn_v1[Duree_Cumulee_Panne_Min],"non trouvé")</f>
        <v>390</v>
      </c>
      <c r="O981">
        <f>_xlfn.XLOOKUP(_26_03_2026_Log_Reseau_v15[[#This Row],[province RDC]],_26_03_2026_Client_Churn_v1[Province_Client],_26_03_2026_Client_Churn_v1[Facture_Mensuelle],"non trouvé")</f>
        <v>98.17</v>
      </c>
      <c r="P981">
        <f>_xlfn.XLOOKUP(_26_03_2026_Log_Reseau_v15[[#This Row],[province RDC]],_26_03_2026_Client_Churn_v1[Province_Client],_26_03_2026_Client_Churn_v1[Plaintes_Service_Client],"non trouvé")</f>
        <v>5</v>
      </c>
    </row>
    <row r="982" spans="1:16" hidden="1" x14ac:dyDescent="0.25">
      <c r="A982" s="1">
        <v>45209</v>
      </c>
      <c r="B982" s="2">
        <v>0.67986111111111114</v>
      </c>
      <c r="C982" t="s">
        <v>1410</v>
      </c>
      <c r="D982">
        <v>115</v>
      </c>
      <c r="E982" t="s">
        <v>812</v>
      </c>
      <c r="F982" t="str">
        <f>_xlfn.XLOOKUP(_26_03_2026_Log_Reseau_v15[[#This Row],[Cell_ID]],_26_03_2026_Registre_Maintenance_v1[ID_Antenne],_26_03_2026_Registre_Maintenance_v1[zone],"pas trouvé")</f>
        <v>pas trouvé</v>
      </c>
      <c r="G982" t="str">
        <f>_xlfn.XLOOKUP(_26_03_2026_Log_Reseau_v15[[#This Row],[Cell_ID]],_26_03_2026_Registre_Maintenance_v1[ID_Antenne],_26_03_2026_Registre_Maintenance_v1[Latitude],"non trouvé")</f>
        <v>non trouvé</v>
      </c>
      <c r="H982" t="str">
        <f>_xlfn.XLOOKUP(_26_03_2026_Log_Reseau_v15[[#This Row],[Cell_ID]],_26_03_2026_Registre_Maintenance_v1[ID_Antenne],_26_03_2026_Registre_Maintenance_v1[Longitude],"pas trouvé")</f>
        <v>pas trouvé</v>
      </c>
      <c r="I982" t="str">
        <f>_xlfn.XLOOKUP(_26_03_2026_Log_Reseau_v15[[#This Row],[Cell_ID]],_26_03_2026_Registre_Maintenance_v1[ID_Antenne],_26_03_2026_Registre_Maintenance_v1[Technologie],"non trouvé")</f>
        <v>non trouvé</v>
      </c>
      <c r="J982" t="str">
        <f>_xlfn.XLOOKUP(_26_03_2026_Log_Reseau_v15[[#This Row],[Cell_ID]],_26_03_2026_Registre_Maintenance_v1[ID_Antenne],_26_03_2026_Registre_Maintenance_v1[Equipementier],"pas trouvé")</f>
        <v>pas trouvé</v>
      </c>
      <c r="K982" t="str">
        <f>_xlfn.XLOOKUP(_26_03_2026_Log_Reseau_v15[[#This Row],[province RDC]],_26_03_2026_Client_Churn_v1[Province_Client],_26_03_2026_Client_Churn_v1[ID_Client],"non trouvé")</f>
        <v>non trouvé</v>
      </c>
      <c r="L982" t="str">
        <f>_xlfn.XLOOKUP(_26_03_2026_Log_Reseau_v15[[#This Row],[province RDC]],_26_03_2026_Client_Churn_v1[Province_Client],_26_03_2026_Client_Churn_v1[Anciennete_Mois],"non trouvé")</f>
        <v>non trouvé</v>
      </c>
      <c r="M982" t="str">
        <f>_xlfn.XLOOKUP(_26_03_2026_Log_Reseau_v15[[#This Row],[province RDC]],_26_03_2026_Client_Churn_v1[Province_Client],_26_03_2026_Client_Churn_v1[Type_Forfait],"non trouvé")</f>
        <v>non trouvé</v>
      </c>
      <c r="N982" t="str">
        <f>_xlfn.XLOOKUP(_26_03_2026_Log_Reseau_v15[[#This Row],[province RDC]],_26_03_2026_Client_Churn_v1[Province_Client],_26_03_2026_Client_Churn_v1[Duree_Cumulee_Panne_Min],"non trouvé")</f>
        <v>non trouvé</v>
      </c>
      <c r="O982" t="str">
        <f>_xlfn.XLOOKUP(_26_03_2026_Log_Reseau_v15[[#This Row],[province RDC]],_26_03_2026_Client_Churn_v1[Province_Client],_26_03_2026_Client_Churn_v1[Facture_Mensuelle],"non trouvé")</f>
        <v>non trouvé</v>
      </c>
      <c r="P982" t="str">
        <f>_xlfn.XLOOKUP(_26_03_2026_Log_Reseau_v15[[#This Row],[province RDC]],_26_03_2026_Client_Churn_v1[Province_Client],_26_03_2026_Client_Churn_v1[Plaintes_Service_Client],"non trouvé")</f>
        <v>non trouvé</v>
      </c>
    </row>
    <row r="983" spans="1:16" hidden="1" x14ac:dyDescent="0.25">
      <c r="A983" s="1">
        <v>45228</v>
      </c>
      <c r="B983" s="2">
        <v>1.4583333333333334E-2</v>
      </c>
      <c r="C983" t="s">
        <v>1410</v>
      </c>
      <c r="D983">
        <v>98</v>
      </c>
      <c r="E983" t="s">
        <v>807</v>
      </c>
      <c r="F983" t="str">
        <f>_xlfn.XLOOKUP(_26_03_2026_Log_Reseau_v15[[#This Row],[Cell_ID]],_26_03_2026_Registre_Maintenance_v1[ID_Antenne],_26_03_2026_Registre_Maintenance_v1[zone],"pas trouvé")</f>
        <v>pas trouvé</v>
      </c>
      <c r="G983" t="str">
        <f>_xlfn.XLOOKUP(_26_03_2026_Log_Reseau_v15[[#This Row],[Cell_ID]],_26_03_2026_Registre_Maintenance_v1[ID_Antenne],_26_03_2026_Registre_Maintenance_v1[Latitude],"non trouvé")</f>
        <v>non trouvé</v>
      </c>
      <c r="H983" t="str">
        <f>_xlfn.XLOOKUP(_26_03_2026_Log_Reseau_v15[[#This Row],[Cell_ID]],_26_03_2026_Registre_Maintenance_v1[ID_Antenne],_26_03_2026_Registre_Maintenance_v1[Longitude],"pas trouvé")</f>
        <v>pas trouvé</v>
      </c>
      <c r="I983" t="str">
        <f>_xlfn.XLOOKUP(_26_03_2026_Log_Reseau_v15[[#This Row],[Cell_ID]],_26_03_2026_Registre_Maintenance_v1[ID_Antenne],_26_03_2026_Registre_Maintenance_v1[Technologie],"non trouvé")</f>
        <v>non trouvé</v>
      </c>
      <c r="J983" t="str">
        <f>_xlfn.XLOOKUP(_26_03_2026_Log_Reseau_v15[[#This Row],[Cell_ID]],_26_03_2026_Registre_Maintenance_v1[ID_Antenne],_26_03_2026_Registre_Maintenance_v1[Equipementier],"pas trouvé")</f>
        <v>pas trouvé</v>
      </c>
      <c r="K983" t="str">
        <f>_xlfn.XLOOKUP(_26_03_2026_Log_Reseau_v15[[#This Row],[province RDC]],_26_03_2026_Client_Churn_v1[Province_Client],_26_03_2026_Client_Churn_v1[ID_Client],"non trouvé")</f>
        <v>non trouvé</v>
      </c>
      <c r="L983" t="str">
        <f>_xlfn.XLOOKUP(_26_03_2026_Log_Reseau_v15[[#This Row],[province RDC]],_26_03_2026_Client_Churn_v1[Province_Client],_26_03_2026_Client_Churn_v1[Anciennete_Mois],"non trouvé")</f>
        <v>non trouvé</v>
      </c>
      <c r="M983" t="str">
        <f>_xlfn.XLOOKUP(_26_03_2026_Log_Reseau_v15[[#This Row],[province RDC]],_26_03_2026_Client_Churn_v1[Province_Client],_26_03_2026_Client_Churn_v1[Type_Forfait],"non trouvé")</f>
        <v>non trouvé</v>
      </c>
      <c r="N983" t="str">
        <f>_xlfn.XLOOKUP(_26_03_2026_Log_Reseau_v15[[#This Row],[province RDC]],_26_03_2026_Client_Churn_v1[Province_Client],_26_03_2026_Client_Churn_v1[Duree_Cumulee_Panne_Min],"non trouvé")</f>
        <v>non trouvé</v>
      </c>
      <c r="O983" t="str">
        <f>_xlfn.XLOOKUP(_26_03_2026_Log_Reseau_v15[[#This Row],[province RDC]],_26_03_2026_Client_Churn_v1[Province_Client],_26_03_2026_Client_Churn_v1[Facture_Mensuelle],"non trouvé")</f>
        <v>non trouvé</v>
      </c>
      <c r="P983" t="str">
        <f>_xlfn.XLOOKUP(_26_03_2026_Log_Reseau_v15[[#This Row],[province RDC]],_26_03_2026_Client_Churn_v1[Province_Client],_26_03_2026_Client_Churn_v1[Plaintes_Service_Client],"non trouvé")</f>
        <v>non trouvé</v>
      </c>
    </row>
    <row r="984" spans="1:16" hidden="1" x14ac:dyDescent="0.25">
      <c r="A984" s="1">
        <v>45205</v>
      </c>
      <c r="B984" s="2">
        <v>0.33680555555555558</v>
      </c>
      <c r="C984" t="s">
        <v>1411</v>
      </c>
      <c r="D984">
        <v>119</v>
      </c>
      <c r="E984" t="s">
        <v>812</v>
      </c>
      <c r="F984" t="str">
        <f>_xlfn.XLOOKUP(_26_03_2026_Log_Reseau_v15[[#This Row],[Cell_ID]],_26_03_2026_Registre_Maintenance_v1[ID_Antenne],_26_03_2026_Registre_Maintenance_v1[zone],"pas trouvé")</f>
        <v>pas trouvé</v>
      </c>
      <c r="G984" t="str">
        <f>_xlfn.XLOOKUP(_26_03_2026_Log_Reseau_v15[[#This Row],[Cell_ID]],_26_03_2026_Registre_Maintenance_v1[ID_Antenne],_26_03_2026_Registre_Maintenance_v1[Latitude],"non trouvé")</f>
        <v>non trouvé</v>
      </c>
      <c r="H984" t="str">
        <f>_xlfn.XLOOKUP(_26_03_2026_Log_Reseau_v15[[#This Row],[Cell_ID]],_26_03_2026_Registre_Maintenance_v1[ID_Antenne],_26_03_2026_Registre_Maintenance_v1[Longitude],"pas trouvé")</f>
        <v>pas trouvé</v>
      </c>
      <c r="I984" t="str">
        <f>_xlfn.XLOOKUP(_26_03_2026_Log_Reseau_v15[[#This Row],[Cell_ID]],_26_03_2026_Registre_Maintenance_v1[ID_Antenne],_26_03_2026_Registre_Maintenance_v1[Technologie],"non trouvé")</f>
        <v>non trouvé</v>
      </c>
      <c r="J984" t="str">
        <f>_xlfn.XLOOKUP(_26_03_2026_Log_Reseau_v15[[#This Row],[Cell_ID]],_26_03_2026_Registre_Maintenance_v1[ID_Antenne],_26_03_2026_Registre_Maintenance_v1[Equipementier],"pas trouvé")</f>
        <v>pas trouvé</v>
      </c>
      <c r="K984" t="str">
        <f>_xlfn.XLOOKUP(_26_03_2026_Log_Reseau_v15[[#This Row],[province RDC]],_26_03_2026_Client_Churn_v1[Province_Client],_26_03_2026_Client_Churn_v1[ID_Client],"non trouvé")</f>
        <v>non trouvé</v>
      </c>
      <c r="L984" t="str">
        <f>_xlfn.XLOOKUP(_26_03_2026_Log_Reseau_v15[[#This Row],[province RDC]],_26_03_2026_Client_Churn_v1[Province_Client],_26_03_2026_Client_Churn_v1[Anciennete_Mois],"non trouvé")</f>
        <v>non trouvé</v>
      </c>
      <c r="M984" t="str">
        <f>_xlfn.XLOOKUP(_26_03_2026_Log_Reseau_v15[[#This Row],[province RDC]],_26_03_2026_Client_Churn_v1[Province_Client],_26_03_2026_Client_Churn_v1[Type_Forfait],"non trouvé")</f>
        <v>non trouvé</v>
      </c>
      <c r="N984" t="str">
        <f>_xlfn.XLOOKUP(_26_03_2026_Log_Reseau_v15[[#This Row],[province RDC]],_26_03_2026_Client_Churn_v1[Province_Client],_26_03_2026_Client_Churn_v1[Duree_Cumulee_Panne_Min],"non trouvé")</f>
        <v>non trouvé</v>
      </c>
      <c r="O984" t="str">
        <f>_xlfn.XLOOKUP(_26_03_2026_Log_Reseau_v15[[#This Row],[province RDC]],_26_03_2026_Client_Churn_v1[Province_Client],_26_03_2026_Client_Churn_v1[Facture_Mensuelle],"non trouvé")</f>
        <v>non trouvé</v>
      </c>
      <c r="P984" t="str">
        <f>_xlfn.XLOOKUP(_26_03_2026_Log_Reseau_v15[[#This Row],[province RDC]],_26_03_2026_Client_Churn_v1[Province_Client],_26_03_2026_Client_Churn_v1[Plaintes_Service_Client],"non trouvé")</f>
        <v>non trouvé</v>
      </c>
    </row>
    <row r="985" spans="1:16" x14ac:dyDescent="0.25">
      <c r="A985" s="1">
        <v>45203</v>
      </c>
      <c r="B985" s="2">
        <v>0.65208333333333335</v>
      </c>
      <c r="C985" t="s">
        <v>1412</v>
      </c>
      <c r="D985">
        <v>65</v>
      </c>
      <c r="E985" t="s">
        <v>812</v>
      </c>
      <c r="F985" t="str">
        <f>_xlfn.XLOOKUP(_26_03_2026_Log_Reseau_v15[[#This Row],[Cell_ID]],_26_03_2026_Registre_Maintenance_v1[ID_Antenne],_26_03_2026_Registre_Maintenance_v1[zone],"pas trouvé")</f>
        <v>Haut-Katanga</v>
      </c>
      <c r="G985">
        <f>_xlfn.XLOOKUP(_26_03_2026_Log_Reseau_v15[[#This Row],[Cell_ID]],_26_03_2026_Registre_Maintenance_v1[ID_Antenne],_26_03_2026_Registre_Maintenance_v1[Latitude],"non trouvé")</f>
        <v>2.016505</v>
      </c>
      <c r="H985">
        <f>_xlfn.XLOOKUP(_26_03_2026_Log_Reseau_v15[[#This Row],[Cell_ID]],_26_03_2026_Registre_Maintenance_v1[ID_Antenne],_26_03_2026_Registre_Maintenance_v1[Longitude],"pas trouvé")</f>
        <v>14.294164</v>
      </c>
      <c r="I985" t="str">
        <f>_xlfn.XLOOKUP(_26_03_2026_Log_Reseau_v15[[#This Row],[Cell_ID]],_26_03_2026_Registre_Maintenance_v1[ID_Antenne],_26_03_2026_Registre_Maintenance_v1[Technologie],"non trouvé")</f>
        <v>5G</v>
      </c>
      <c r="J985" t="str">
        <f>_xlfn.XLOOKUP(_26_03_2026_Log_Reseau_v15[[#This Row],[Cell_ID]],_26_03_2026_Registre_Maintenance_v1[ID_Antenne],_26_03_2026_Registre_Maintenance_v1[Equipementier],"pas trouvé")</f>
        <v>Huawei</v>
      </c>
      <c r="K985" t="str">
        <f>_xlfn.XLOOKUP(_26_03_2026_Log_Reseau_v15[[#This Row],[province RDC]],_26_03_2026_Client_Churn_v1[Province_Client],_26_03_2026_Client_Churn_v1[ID_Client],"non trouvé")</f>
        <v>CLI-00076</v>
      </c>
      <c r="L985">
        <f>_xlfn.XLOOKUP(_26_03_2026_Log_Reseau_v15[[#This Row],[province RDC]],_26_03_2026_Client_Churn_v1[Province_Client],_26_03_2026_Client_Churn_v1[Anciennete_Mois],"non trouvé")</f>
        <v>46</v>
      </c>
      <c r="M985" t="str">
        <f>_xlfn.XLOOKUP(_26_03_2026_Log_Reseau_v15[[#This Row],[province RDC]],_26_03_2026_Client_Churn_v1[Province_Client],_26_03_2026_Client_Churn_v1[Type_Forfait],"non trouvé")</f>
        <v>Premium 5G 150Go</v>
      </c>
      <c r="N985">
        <f>_xlfn.XLOOKUP(_26_03_2026_Log_Reseau_v15[[#This Row],[province RDC]],_26_03_2026_Client_Churn_v1[Province_Client],_26_03_2026_Client_Churn_v1[Duree_Cumulee_Panne_Min],"non trouvé")</f>
        <v>283</v>
      </c>
      <c r="O985">
        <f>_xlfn.XLOOKUP(_26_03_2026_Log_Reseau_v15[[#This Row],[province RDC]],_26_03_2026_Client_Churn_v1[Province_Client],_26_03_2026_Client_Churn_v1[Facture_Mensuelle],"non trouvé")</f>
        <v>56.05</v>
      </c>
      <c r="P985">
        <f>_xlfn.XLOOKUP(_26_03_2026_Log_Reseau_v15[[#This Row],[province RDC]],_26_03_2026_Client_Churn_v1[Province_Client],_26_03_2026_Client_Churn_v1[Plaintes_Service_Client],"non trouvé")</f>
        <v>1</v>
      </c>
    </row>
    <row r="986" spans="1:16" x14ac:dyDescent="0.25">
      <c r="A986" s="1">
        <v>45207</v>
      </c>
      <c r="B986" s="2">
        <v>0.9555555555555556</v>
      </c>
      <c r="C986" t="s">
        <v>1412</v>
      </c>
      <c r="D986">
        <v>73</v>
      </c>
      <c r="E986" t="s">
        <v>808</v>
      </c>
      <c r="F986" t="str">
        <f>_xlfn.XLOOKUP(_26_03_2026_Log_Reseau_v15[[#This Row],[Cell_ID]],_26_03_2026_Registre_Maintenance_v1[ID_Antenne],_26_03_2026_Registre_Maintenance_v1[zone],"pas trouvé")</f>
        <v>Haut-Katanga</v>
      </c>
      <c r="G986">
        <f>_xlfn.XLOOKUP(_26_03_2026_Log_Reseau_v15[[#This Row],[Cell_ID]],_26_03_2026_Registre_Maintenance_v1[ID_Antenne],_26_03_2026_Registre_Maintenance_v1[Latitude],"non trouvé")</f>
        <v>2.016505</v>
      </c>
      <c r="H986">
        <f>_xlfn.XLOOKUP(_26_03_2026_Log_Reseau_v15[[#This Row],[Cell_ID]],_26_03_2026_Registre_Maintenance_v1[ID_Antenne],_26_03_2026_Registre_Maintenance_v1[Longitude],"pas trouvé")</f>
        <v>14.294164</v>
      </c>
      <c r="I986" t="str">
        <f>_xlfn.XLOOKUP(_26_03_2026_Log_Reseau_v15[[#This Row],[Cell_ID]],_26_03_2026_Registre_Maintenance_v1[ID_Antenne],_26_03_2026_Registre_Maintenance_v1[Technologie],"non trouvé")</f>
        <v>5G</v>
      </c>
      <c r="J986" t="str">
        <f>_xlfn.XLOOKUP(_26_03_2026_Log_Reseau_v15[[#This Row],[Cell_ID]],_26_03_2026_Registre_Maintenance_v1[ID_Antenne],_26_03_2026_Registre_Maintenance_v1[Equipementier],"pas trouvé")</f>
        <v>Huawei</v>
      </c>
      <c r="K986" t="str">
        <f>_xlfn.XLOOKUP(_26_03_2026_Log_Reseau_v15[[#This Row],[province RDC]],_26_03_2026_Client_Churn_v1[Province_Client],_26_03_2026_Client_Churn_v1[ID_Client],"non trouvé")</f>
        <v>CLI-00076</v>
      </c>
      <c r="L986">
        <f>_xlfn.XLOOKUP(_26_03_2026_Log_Reseau_v15[[#This Row],[province RDC]],_26_03_2026_Client_Churn_v1[Province_Client],_26_03_2026_Client_Churn_v1[Anciennete_Mois],"non trouvé")</f>
        <v>46</v>
      </c>
      <c r="M986" t="str">
        <f>_xlfn.XLOOKUP(_26_03_2026_Log_Reseau_v15[[#This Row],[province RDC]],_26_03_2026_Client_Churn_v1[Province_Client],_26_03_2026_Client_Churn_v1[Type_Forfait],"non trouvé")</f>
        <v>Premium 5G 150Go</v>
      </c>
      <c r="N986">
        <f>_xlfn.XLOOKUP(_26_03_2026_Log_Reseau_v15[[#This Row],[province RDC]],_26_03_2026_Client_Churn_v1[Province_Client],_26_03_2026_Client_Churn_v1[Duree_Cumulee_Panne_Min],"non trouvé")</f>
        <v>283</v>
      </c>
      <c r="O986">
        <f>_xlfn.XLOOKUP(_26_03_2026_Log_Reseau_v15[[#This Row],[province RDC]],_26_03_2026_Client_Churn_v1[Province_Client],_26_03_2026_Client_Churn_v1[Facture_Mensuelle],"non trouvé")</f>
        <v>56.05</v>
      </c>
      <c r="P986">
        <f>_xlfn.XLOOKUP(_26_03_2026_Log_Reseau_v15[[#This Row],[province RDC]],_26_03_2026_Client_Churn_v1[Province_Client],_26_03_2026_Client_Churn_v1[Plaintes_Service_Client],"non trouvé")</f>
        <v>1</v>
      </c>
    </row>
    <row r="987" spans="1:16" hidden="1" x14ac:dyDescent="0.25">
      <c r="A987" s="1">
        <v>45209</v>
      </c>
      <c r="B987" s="2">
        <v>1.6666666666666666E-2</v>
      </c>
      <c r="C987" t="s">
        <v>1413</v>
      </c>
      <c r="D987">
        <v>43</v>
      </c>
      <c r="E987" t="s">
        <v>807</v>
      </c>
      <c r="F987" t="str">
        <f>_xlfn.XLOOKUP(_26_03_2026_Log_Reseau_v15[[#This Row],[Cell_ID]],_26_03_2026_Registre_Maintenance_v1[ID_Antenne],_26_03_2026_Registre_Maintenance_v1[zone],"pas trouvé")</f>
        <v>pas trouvé</v>
      </c>
      <c r="G987" t="str">
        <f>_xlfn.XLOOKUP(_26_03_2026_Log_Reseau_v15[[#This Row],[Cell_ID]],_26_03_2026_Registre_Maintenance_v1[ID_Antenne],_26_03_2026_Registre_Maintenance_v1[Latitude],"non trouvé")</f>
        <v>non trouvé</v>
      </c>
      <c r="H987" t="str">
        <f>_xlfn.XLOOKUP(_26_03_2026_Log_Reseau_v15[[#This Row],[Cell_ID]],_26_03_2026_Registre_Maintenance_v1[ID_Antenne],_26_03_2026_Registre_Maintenance_v1[Longitude],"pas trouvé")</f>
        <v>pas trouvé</v>
      </c>
      <c r="I987" t="str">
        <f>_xlfn.XLOOKUP(_26_03_2026_Log_Reseau_v15[[#This Row],[Cell_ID]],_26_03_2026_Registre_Maintenance_v1[ID_Antenne],_26_03_2026_Registre_Maintenance_v1[Technologie],"non trouvé")</f>
        <v>non trouvé</v>
      </c>
      <c r="J987" t="str">
        <f>_xlfn.XLOOKUP(_26_03_2026_Log_Reseau_v15[[#This Row],[Cell_ID]],_26_03_2026_Registre_Maintenance_v1[ID_Antenne],_26_03_2026_Registre_Maintenance_v1[Equipementier],"pas trouvé")</f>
        <v>pas trouvé</v>
      </c>
      <c r="K987" t="str">
        <f>_xlfn.XLOOKUP(_26_03_2026_Log_Reseau_v15[[#This Row],[province RDC]],_26_03_2026_Client_Churn_v1[Province_Client],_26_03_2026_Client_Churn_v1[ID_Client],"non trouvé")</f>
        <v>non trouvé</v>
      </c>
      <c r="L987" t="str">
        <f>_xlfn.XLOOKUP(_26_03_2026_Log_Reseau_v15[[#This Row],[province RDC]],_26_03_2026_Client_Churn_v1[Province_Client],_26_03_2026_Client_Churn_v1[Anciennete_Mois],"non trouvé")</f>
        <v>non trouvé</v>
      </c>
      <c r="M987" t="str">
        <f>_xlfn.XLOOKUP(_26_03_2026_Log_Reseau_v15[[#This Row],[province RDC]],_26_03_2026_Client_Churn_v1[Province_Client],_26_03_2026_Client_Churn_v1[Type_Forfait],"non trouvé")</f>
        <v>non trouvé</v>
      </c>
      <c r="N987" t="str">
        <f>_xlfn.XLOOKUP(_26_03_2026_Log_Reseau_v15[[#This Row],[province RDC]],_26_03_2026_Client_Churn_v1[Province_Client],_26_03_2026_Client_Churn_v1[Duree_Cumulee_Panne_Min],"non trouvé")</f>
        <v>non trouvé</v>
      </c>
      <c r="O987" t="str">
        <f>_xlfn.XLOOKUP(_26_03_2026_Log_Reseau_v15[[#This Row],[province RDC]],_26_03_2026_Client_Churn_v1[Province_Client],_26_03_2026_Client_Churn_v1[Facture_Mensuelle],"non trouvé")</f>
        <v>non trouvé</v>
      </c>
      <c r="P987" t="str">
        <f>_xlfn.XLOOKUP(_26_03_2026_Log_Reseau_v15[[#This Row],[province RDC]],_26_03_2026_Client_Churn_v1[Province_Client],_26_03_2026_Client_Churn_v1[Plaintes_Service_Client],"non trouvé")</f>
        <v>non trouvé</v>
      </c>
    </row>
    <row r="988" spans="1:16" x14ac:dyDescent="0.25">
      <c r="A988" s="1">
        <v>45221</v>
      </c>
      <c r="B988" s="2">
        <v>0.38819444444444445</v>
      </c>
      <c r="C988" t="s">
        <v>1414</v>
      </c>
      <c r="D988">
        <v>64</v>
      </c>
      <c r="E988" t="s">
        <v>808</v>
      </c>
      <c r="F988" t="str">
        <f>_xlfn.XLOOKUP(_26_03_2026_Log_Reseau_v15[[#This Row],[Cell_ID]],_26_03_2026_Registre_Maintenance_v1[ID_Antenne],_26_03_2026_Registre_Maintenance_v1[zone],"pas trouvé")</f>
        <v>Tshopo</v>
      </c>
      <c r="G988">
        <f>_xlfn.XLOOKUP(_26_03_2026_Log_Reseau_v15[[#This Row],[Cell_ID]],_26_03_2026_Registre_Maintenance_v1[ID_Antenne],_26_03_2026_Registre_Maintenance_v1[Latitude],"non trouvé")</f>
        <v>-12.070842000000001</v>
      </c>
      <c r="H988">
        <f>_xlfn.XLOOKUP(_26_03_2026_Log_Reseau_v15[[#This Row],[Cell_ID]],_26_03_2026_Registre_Maintenance_v1[ID_Antenne],_26_03_2026_Registre_Maintenance_v1[Longitude],"pas trouvé")</f>
        <v>14.757847</v>
      </c>
      <c r="I988" t="str">
        <f>_xlfn.XLOOKUP(_26_03_2026_Log_Reseau_v15[[#This Row],[Cell_ID]],_26_03_2026_Registre_Maintenance_v1[ID_Antenne],_26_03_2026_Registre_Maintenance_v1[Technologie],"non trouvé")</f>
        <v>4G</v>
      </c>
      <c r="J988" t="str">
        <f>_xlfn.XLOOKUP(_26_03_2026_Log_Reseau_v15[[#This Row],[Cell_ID]],_26_03_2026_Registre_Maintenance_v1[ID_Antenne],_26_03_2026_Registre_Maintenance_v1[Equipementier],"pas trouvé")</f>
        <v>ZTE</v>
      </c>
      <c r="K988" t="str">
        <f>_xlfn.XLOOKUP(_26_03_2026_Log_Reseau_v15[[#This Row],[province RDC]],_26_03_2026_Client_Churn_v1[Province_Client],_26_03_2026_Client_Churn_v1[ID_Client],"non trouvé")</f>
        <v>CLI-00745</v>
      </c>
      <c r="L988">
        <f>_xlfn.XLOOKUP(_26_03_2026_Log_Reseau_v15[[#This Row],[province RDC]],_26_03_2026_Client_Churn_v1[Province_Client],_26_03_2026_Client_Churn_v1[Anciennete_Mois],"non trouvé")</f>
        <v>6</v>
      </c>
      <c r="M988" t="str">
        <f>_xlfn.XLOOKUP(_26_03_2026_Log_Reseau_v15[[#This Row],[province RDC]],_26_03_2026_Client_Churn_v1[Province_Client],_26_03_2026_Client_Churn_v1[Type_Forfait],"non trouvé")</f>
        <v>Premium 5G 150Go</v>
      </c>
      <c r="N988">
        <f>_xlfn.XLOOKUP(_26_03_2026_Log_Reseau_v15[[#This Row],[province RDC]],_26_03_2026_Client_Churn_v1[Province_Client],_26_03_2026_Client_Churn_v1[Duree_Cumulee_Panne_Min],"non trouvé")</f>
        <v>207</v>
      </c>
      <c r="O988">
        <f>_xlfn.XLOOKUP(_26_03_2026_Log_Reseau_v15[[#This Row],[province RDC]],_26_03_2026_Client_Churn_v1[Province_Client],_26_03_2026_Client_Churn_v1[Facture_Mensuelle],"non trouvé")</f>
        <v>61.55</v>
      </c>
      <c r="P988">
        <f>_xlfn.XLOOKUP(_26_03_2026_Log_Reseau_v15[[#This Row],[province RDC]],_26_03_2026_Client_Churn_v1[Province_Client],_26_03_2026_Client_Churn_v1[Plaintes_Service_Client],"non trouvé")</f>
        <v>0</v>
      </c>
    </row>
    <row r="989" spans="1:16" hidden="1" x14ac:dyDescent="0.25">
      <c r="A989" s="1">
        <v>45213</v>
      </c>
      <c r="B989" s="2">
        <v>0.57777777777777772</v>
      </c>
      <c r="C989" t="s">
        <v>1415</v>
      </c>
      <c r="D989">
        <v>93</v>
      </c>
      <c r="E989" t="s">
        <v>808</v>
      </c>
      <c r="F989" t="str">
        <f>_xlfn.XLOOKUP(_26_03_2026_Log_Reseau_v15[[#This Row],[Cell_ID]],_26_03_2026_Registre_Maintenance_v1[ID_Antenne],_26_03_2026_Registre_Maintenance_v1[zone],"pas trouvé")</f>
        <v>pas trouvé</v>
      </c>
      <c r="G989" t="str">
        <f>_xlfn.XLOOKUP(_26_03_2026_Log_Reseau_v15[[#This Row],[Cell_ID]],_26_03_2026_Registre_Maintenance_v1[ID_Antenne],_26_03_2026_Registre_Maintenance_v1[Latitude],"non trouvé")</f>
        <v>non trouvé</v>
      </c>
      <c r="H989" t="str">
        <f>_xlfn.XLOOKUP(_26_03_2026_Log_Reseau_v15[[#This Row],[Cell_ID]],_26_03_2026_Registre_Maintenance_v1[ID_Antenne],_26_03_2026_Registre_Maintenance_v1[Longitude],"pas trouvé")</f>
        <v>pas trouvé</v>
      </c>
      <c r="I989" t="str">
        <f>_xlfn.XLOOKUP(_26_03_2026_Log_Reseau_v15[[#This Row],[Cell_ID]],_26_03_2026_Registre_Maintenance_v1[ID_Antenne],_26_03_2026_Registre_Maintenance_v1[Technologie],"non trouvé")</f>
        <v>non trouvé</v>
      </c>
      <c r="J989" t="str">
        <f>_xlfn.XLOOKUP(_26_03_2026_Log_Reseau_v15[[#This Row],[Cell_ID]],_26_03_2026_Registre_Maintenance_v1[ID_Antenne],_26_03_2026_Registre_Maintenance_v1[Equipementier],"pas trouvé")</f>
        <v>pas trouvé</v>
      </c>
      <c r="K989" t="str">
        <f>_xlfn.XLOOKUP(_26_03_2026_Log_Reseau_v15[[#This Row],[province RDC]],_26_03_2026_Client_Churn_v1[Province_Client],_26_03_2026_Client_Churn_v1[ID_Client],"non trouvé")</f>
        <v>non trouvé</v>
      </c>
      <c r="L989" t="str">
        <f>_xlfn.XLOOKUP(_26_03_2026_Log_Reseau_v15[[#This Row],[province RDC]],_26_03_2026_Client_Churn_v1[Province_Client],_26_03_2026_Client_Churn_v1[Anciennete_Mois],"non trouvé")</f>
        <v>non trouvé</v>
      </c>
      <c r="M989" t="str">
        <f>_xlfn.XLOOKUP(_26_03_2026_Log_Reseau_v15[[#This Row],[province RDC]],_26_03_2026_Client_Churn_v1[Province_Client],_26_03_2026_Client_Churn_v1[Type_Forfait],"non trouvé")</f>
        <v>non trouvé</v>
      </c>
      <c r="N989" t="str">
        <f>_xlfn.XLOOKUP(_26_03_2026_Log_Reseau_v15[[#This Row],[province RDC]],_26_03_2026_Client_Churn_v1[Province_Client],_26_03_2026_Client_Churn_v1[Duree_Cumulee_Panne_Min],"non trouvé")</f>
        <v>non trouvé</v>
      </c>
      <c r="O989" t="str">
        <f>_xlfn.XLOOKUP(_26_03_2026_Log_Reseau_v15[[#This Row],[province RDC]],_26_03_2026_Client_Churn_v1[Province_Client],_26_03_2026_Client_Churn_v1[Facture_Mensuelle],"non trouvé")</f>
        <v>non trouvé</v>
      </c>
      <c r="P989" t="str">
        <f>_xlfn.XLOOKUP(_26_03_2026_Log_Reseau_v15[[#This Row],[province RDC]],_26_03_2026_Client_Churn_v1[Province_Client],_26_03_2026_Client_Churn_v1[Plaintes_Service_Client],"non trouvé")</f>
        <v>non trouvé</v>
      </c>
    </row>
    <row r="990" spans="1:16" x14ac:dyDescent="0.25">
      <c r="A990" s="1">
        <v>45205</v>
      </c>
      <c r="B990" s="2">
        <v>0.8305555555555556</v>
      </c>
      <c r="C990" t="s">
        <v>1416</v>
      </c>
      <c r="D990">
        <v>52</v>
      </c>
      <c r="E990" t="s">
        <v>807</v>
      </c>
      <c r="F990" t="str">
        <f>_xlfn.XLOOKUP(_26_03_2026_Log_Reseau_v15[[#This Row],[Cell_ID]],_26_03_2026_Registre_Maintenance_v1[ID_Antenne],_26_03_2026_Registre_Maintenance_v1[zone],"pas trouvé")</f>
        <v>Haut-Uele</v>
      </c>
      <c r="G990">
        <f>_xlfn.XLOOKUP(_26_03_2026_Log_Reseau_v15[[#This Row],[Cell_ID]],_26_03_2026_Registre_Maintenance_v1[ID_Antenne],_26_03_2026_Registre_Maintenance_v1[Latitude],"non trouvé")</f>
        <v>-2.2199559999999998</v>
      </c>
      <c r="H990">
        <f>_xlfn.XLOOKUP(_26_03_2026_Log_Reseau_v15[[#This Row],[Cell_ID]],_26_03_2026_Registre_Maintenance_v1[ID_Antenne],_26_03_2026_Registre_Maintenance_v1[Longitude],"pas trouvé")</f>
        <v>22.614449</v>
      </c>
      <c r="I990" t="str">
        <f>_xlfn.XLOOKUP(_26_03_2026_Log_Reseau_v15[[#This Row],[Cell_ID]],_26_03_2026_Registre_Maintenance_v1[ID_Antenne],_26_03_2026_Registre_Maintenance_v1[Technologie],"non trouvé")</f>
        <v>3G</v>
      </c>
      <c r="J990" t="str">
        <f>_xlfn.XLOOKUP(_26_03_2026_Log_Reseau_v15[[#This Row],[Cell_ID]],_26_03_2026_Registre_Maintenance_v1[ID_Antenne],_26_03_2026_Registre_Maintenance_v1[Equipementier],"pas trouvé")</f>
        <v>Nokia</v>
      </c>
      <c r="K990" t="str">
        <f>_xlfn.XLOOKUP(_26_03_2026_Log_Reseau_v15[[#This Row],[province RDC]],_26_03_2026_Client_Churn_v1[Province_Client],_26_03_2026_Client_Churn_v1[ID_Client],"non trouvé")</f>
        <v>CLI-00439</v>
      </c>
      <c r="L990">
        <f>_xlfn.XLOOKUP(_26_03_2026_Log_Reseau_v15[[#This Row],[province RDC]],_26_03_2026_Client_Churn_v1[Province_Client],_26_03_2026_Client_Churn_v1[Anciennete_Mois],"non trouvé")</f>
        <v>40</v>
      </c>
      <c r="M990" t="str">
        <f>_xlfn.XLOOKUP(_26_03_2026_Log_Reseau_v15[[#This Row],[province RDC]],_26_03_2026_Client_Churn_v1[Province_Client],_26_03_2026_Client_Churn_v1[Type_Forfait],"non trouvé")</f>
        <v>Premium 5G 150Go</v>
      </c>
      <c r="N990">
        <f>_xlfn.XLOOKUP(_26_03_2026_Log_Reseau_v15[[#This Row],[province RDC]],_26_03_2026_Client_Churn_v1[Province_Client],_26_03_2026_Client_Churn_v1[Duree_Cumulee_Panne_Min],"non trouvé")</f>
        <v>345</v>
      </c>
      <c r="O990">
        <f>_xlfn.XLOOKUP(_26_03_2026_Log_Reseau_v15[[#This Row],[province RDC]],_26_03_2026_Client_Churn_v1[Province_Client],_26_03_2026_Client_Churn_v1[Facture_Mensuelle],"non trouvé")</f>
        <v>89.55</v>
      </c>
      <c r="P990">
        <f>_xlfn.XLOOKUP(_26_03_2026_Log_Reseau_v15[[#This Row],[province RDC]],_26_03_2026_Client_Churn_v1[Province_Client],_26_03_2026_Client_Churn_v1[Plaintes_Service_Client],"non trouvé")</f>
        <v>3</v>
      </c>
    </row>
    <row r="991" spans="1:16" x14ac:dyDescent="0.25">
      <c r="A991" s="1">
        <v>45214</v>
      </c>
      <c r="B991" s="2">
        <v>0.77430555555555558</v>
      </c>
      <c r="C991" t="s">
        <v>1417</v>
      </c>
      <c r="D991">
        <v>118</v>
      </c>
      <c r="E991" t="s">
        <v>807</v>
      </c>
      <c r="F991" t="str">
        <f>_xlfn.XLOOKUP(_26_03_2026_Log_Reseau_v15[[#This Row],[Cell_ID]],_26_03_2026_Registre_Maintenance_v1[ID_Antenne],_26_03_2026_Registre_Maintenance_v1[zone],"pas trouvé")</f>
        <v>Sud-Ubangi</v>
      </c>
      <c r="G991">
        <f>_xlfn.XLOOKUP(_26_03_2026_Log_Reseau_v15[[#This Row],[Cell_ID]],_26_03_2026_Registre_Maintenance_v1[ID_Antenne],_26_03_2026_Registre_Maintenance_v1[Latitude],"non trouvé")</f>
        <v>-10.914952</v>
      </c>
      <c r="H991">
        <f>_xlfn.XLOOKUP(_26_03_2026_Log_Reseau_v15[[#This Row],[Cell_ID]],_26_03_2026_Registre_Maintenance_v1[ID_Antenne],_26_03_2026_Registre_Maintenance_v1[Longitude],"pas trouvé")</f>
        <v>26.409648000000001</v>
      </c>
      <c r="I991" t="str">
        <f>_xlfn.XLOOKUP(_26_03_2026_Log_Reseau_v15[[#This Row],[Cell_ID]],_26_03_2026_Registre_Maintenance_v1[ID_Antenne],_26_03_2026_Registre_Maintenance_v1[Technologie],"non trouvé")</f>
        <v>4G</v>
      </c>
      <c r="J991" t="str">
        <f>_xlfn.XLOOKUP(_26_03_2026_Log_Reseau_v15[[#This Row],[Cell_ID]],_26_03_2026_Registre_Maintenance_v1[ID_Antenne],_26_03_2026_Registre_Maintenance_v1[Equipementier],"pas trouvé")</f>
        <v>Huawei</v>
      </c>
      <c r="K991" t="str">
        <f>_xlfn.XLOOKUP(_26_03_2026_Log_Reseau_v15[[#This Row],[province RDC]],_26_03_2026_Client_Churn_v1[Province_Client],_26_03_2026_Client_Churn_v1[ID_Client],"non trouvé")</f>
        <v>CLI-00280</v>
      </c>
      <c r="L991">
        <f>_xlfn.XLOOKUP(_26_03_2026_Log_Reseau_v15[[#This Row],[province RDC]],_26_03_2026_Client_Churn_v1[Province_Client],_26_03_2026_Client_Churn_v1[Anciennete_Mois],"non trouvé")</f>
        <v>113</v>
      </c>
      <c r="M991" t="str">
        <f>_xlfn.XLOOKUP(_26_03_2026_Log_Reseau_v15[[#This Row],[province RDC]],_26_03_2026_Client_Churn_v1[Province_Client],_26_03_2026_Client_Churn_v1[Type_Forfait],"non trouvé")</f>
        <v>Illimité 50Go</v>
      </c>
      <c r="N991">
        <f>_xlfn.XLOOKUP(_26_03_2026_Log_Reseau_v15[[#This Row],[province RDC]],_26_03_2026_Client_Churn_v1[Province_Client],_26_03_2026_Client_Churn_v1[Duree_Cumulee_Panne_Min],"non trouvé")</f>
        <v>380</v>
      </c>
      <c r="O991">
        <f>_xlfn.XLOOKUP(_26_03_2026_Log_Reseau_v15[[#This Row],[province RDC]],_26_03_2026_Client_Churn_v1[Province_Client],_26_03_2026_Client_Churn_v1[Facture_Mensuelle],"non trouvé")</f>
        <v>12.11</v>
      </c>
      <c r="P991">
        <f>_xlfn.XLOOKUP(_26_03_2026_Log_Reseau_v15[[#This Row],[province RDC]],_26_03_2026_Client_Churn_v1[Province_Client],_26_03_2026_Client_Churn_v1[Plaintes_Service_Client],"non trouvé")</f>
        <v>0</v>
      </c>
    </row>
    <row r="992" spans="1:16" x14ac:dyDescent="0.25">
      <c r="A992" s="1">
        <v>45216</v>
      </c>
      <c r="B992" s="2">
        <v>0.76458333333333328</v>
      </c>
      <c r="C992" t="s">
        <v>1417</v>
      </c>
      <c r="D992">
        <v>53</v>
      </c>
      <c r="E992" t="s">
        <v>808</v>
      </c>
      <c r="F992" t="str">
        <f>_xlfn.XLOOKUP(_26_03_2026_Log_Reseau_v15[[#This Row],[Cell_ID]],_26_03_2026_Registre_Maintenance_v1[ID_Antenne],_26_03_2026_Registre_Maintenance_v1[zone],"pas trouvé")</f>
        <v>Sud-Ubangi</v>
      </c>
      <c r="G992">
        <f>_xlfn.XLOOKUP(_26_03_2026_Log_Reseau_v15[[#This Row],[Cell_ID]],_26_03_2026_Registre_Maintenance_v1[ID_Antenne],_26_03_2026_Registre_Maintenance_v1[Latitude],"non trouvé")</f>
        <v>-10.914952</v>
      </c>
      <c r="H992">
        <f>_xlfn.XLOOKUP(_26_03_2026_Log_Reseau_v15[[#This Row],[Cell_ID]],_26_03_2026_Registre_Maintenance_v1[ID_Antenne],_26_03_2026_Registre_Maintenance_v1[Longitude],"pas trouvé")</f>
        <v>26.409648000000001</v>
      </c>
      <c r="I992" t="str">
        <f>_xlfn.XLOOKUP(_26_03_2026_Log_Reseau_v15[[#This Row],[Cell_ID]],_26_03_2026_Registre_Maintenance_v1[ID_Antenne],_26_03_2026_Registre_Maintenance_v1[Technologie],"non trouvé")</f>
        <v>4G</v>
      </c>
      <c r="J992" t="str">
        <f>_xlfn.XLOOKUP(_26_03_2026_Log_Reseau_v15[[#This Row],[Cell_ID]],_26_03_2026_Registre_Maintenance_v1[ID_Antenne],_26_03_2026_Registre_Maintenance_v1[Equipementier],"pas trouvé")</f>
        <v>Huawei</v>
      </c>
      <c r="K992" t="str">
        <f>_xlfn.XLOOKUP(_26_03_2026_Log_Reseau_v15[[#This Row],[province RDC]],_26_03_2026_Client_Churn_v1[Province_Client],_26_03_2026_Client_Churn_v1[ID_Client],"non trouvé")</f>
        <v>CLI-00280</v>
      </c>
      <c r="L992">
        <f>_xlfn.XLOOKUP(_26_03_2026_Log_Reseau_v15[[#This Row],[province RDC]],_26_03_2026_Client_Churn_v1[Province_Client],_26_03_2026_Client_Churn_v1[Anciennete_Mois],"non trouvé")</f>
        <v>113</v>
      </c>
      <c r="M992" t="str">
        <f>_xlfn.XLOOKUP(_26_03_2026_Log_Reseau_v15[[#This Row],[province RDC]],_26_03_2026_Client_Churn_v1[Province_Client],_26_03_2026_Client_Churn_v1[Type_Forfait],"non trouvé")</f>
        <v>Illimité 50Go</v>
      </c>
      <c r="N992">
        <f>_xlfn.XLOOKUP(_26_03_2026_Log_Reseau_v15[[#This Row],[province RDC]],_26_03_2026_Client_Churn_v1[Province_Client],_26_03_2026_Client_Churn_v1[Duree_Cumulee_Panne_Min],"non trouvé")</f>
        <v>380</v>
      </c>
      <c r="O992">
        <f>_xlfn.XLOOKUP(_26_03_2026_Log_Reseau_v15[[#This Row],[province RDC]],_26_03_2026_Client_Churn_v1[Province_Client],_26_03_2026_Client_Churn_v1[Facture_Mensuelle],"non trouvé")</f>
        <v>12.11</v>
      </c>
      <c r="P992">
        <f>_xlfn.XLOOKUP(_26_03_2026_Log_Reseau_v15[[#This Row],[province RDC]],_26_03_2026_Client_Churn_v1[Province_Client],_26_03_2026_Client_Churn_v1[Plaintes_Service_Client],"non trouvé")</f>
        <v>0</v>
      </c>
    </row>
    <row r="993" spans="1:16" x14ac:dyDescent="0.25">
      <c r="A993" s="1">
        <v>45227</v>
      </c>
      <c r="B993" s="2">
        <v>0.30902777777777779</v>
      </c>
      <c r="C993" t="s">
        <v>1417</v>
      </c>
      <c r="D993">
        <v>118</v>
      </c>
      <c r="E993" t="s">
        <v>812</v>
      </c>
      <c r="F993" t="str">
        <f>_xlfn.XLOOKUP(_26_03_2026_Log_Reseau_v15[[#This Row],[Cell_ID]],_26_03_2026_Registre_Maintenance_v1[ID_Antenne],_26_03_2026_Registre_Maintenance_v1[zone],"pas trouvé")</f>
        <v>Sud-Ubangi</v>
      </c>
      <c r="G993">
        <f>_xlfn.XLOOKUP(_26_03_2026_Log_Reseau_v15[[#This Row],[Cell_ID]],_26_03_2026_Registre_Maintenance_v1[ID_Antenne],_26_03_2026_Registre_Maintenance_v1[Latitude],"non trouvé")</f>
        <v>-10.914952</v>
      </c>
      <c r="H993">
        <f>_xlfn.XLOOKUP(_26_03_2026_Log_Reseau_v15[[#This Row],[Cell_ID]],_26_03_2026_Registre_Maintenance_v1[ID_Antenne],_26_03_2026_Registre_Maintenance_v1[Longitude],"pas trouvé")</f>
        <v>26.409648000000001</v>
      </c>
      <c r="I993" t="str">
        <f>_xlfn.XLOOKUP(_26_03_2026_Log_Reseau_v15[[#This Row],[Cell_ID]],_26_03_2026_Registre_Maintenance_v1[ID_Antenne],_26_03_2026_Registre_Maintenance_v1[Technologie],"non trouvé")</f>
        <v>4G</v>
      </c>
      <c r="J993" t="str">
        <f>_xlfn.XLOOKUP(_26_03_2026_Log_Reseau_v15[[#This Row],[Cell_ID]],_26_03_2026_Registre_Maintenance_v1[ID_Antenne],_26_03_2026_Registre_Maintenance_v1[Equipementier],"pas trouvé")</f>
        <v>Huawei</v>
      </c>
      <c r="K993" t="str">
        <f>_xlfn.XLOOKUP(_26_03_2026_Log_Reseau_v15[[#This Row],[province RDC]],_26_03_2026_Client_Churn_v1[Province_Client],_26_03_2026_Client_Churn_v1[ID_Client],"non trouvé")</f>
        <v>CLI-00280</v>
      </c>
      <c r="L993">
        <f>_xlfn.XLOOKUP(_26_03_2026_Log_Reseau_v15[[#This Row],[province RDC]],_26_03_2026_Client_Churn_v1[Province_Client],_26_03_2026_Client_Churn_v1[Anciennete_Mois],"non trouvé")</f>
        <v>113</v>
      </c>
      <c r="M993" t="str">
        <f>_xlfn.XLOOKUP(_26_03_2026_Log_Reseau_v15[[#This Row],[province RDC]],_26_03_2026_Client_Churn_v1[Province_Client],_26_03_2026_Client_Churn_v1[Type_Forfait],"non trouvé")</f>
        <v>Illimité 50Go</v>
      </c>
      <c r="N993">
        <f>_xlfn.XLOOKUP(_26_03_2026_Log_Reseau_v15[[#This Row],[province RDC]],_26_03_2026_Client_Churn_v1[Province_Client],_26_03_2026_Client_Churn_v1[Duree_Cumulee_Panne_Min],"non trouvé")</f>
        <v>380</v>
      </c>
      <c r="O993">
        <f>_xlfn.XLOOKUP(_26_03_2026_Log_Reseau_v15[[#This Row],[province RDC]],_26_03_2026_Client_Churn_v1[Province_Client],_26_03_2026_Client_Churn_v1[Facture_Mensuelle],"non trouvé")</f>
        <v>12.11</v>
      </c>
      <c r="P993">
        <f>_xlfn.XLOOKUP(_26_03_2026_Log_Reseau_v15[[#This Row],[province RDC]],_26_03_2026_Client_Churn_v1[Province_Client],_26_03_2026_Client_Churn_v1[Plaintes_Service_Client],"non trouvé")</f>
        <v>0</v>
      </c>
    </row>
    <row r="994" spans="1:16" hidden="1" x14ac:dyDescent="0.25">
      <c r="A994" s="1">
        <v>45225</v>
      </c>
      <c r="B994" s="2">
        <v>0.6479166666666667</v>
      </c>
      <c r="C994" t="s">
        <v>1418</v>
      </c>
      <c r="D994">
        <v>49</v>
      </c>
      <c r="E994" t="s">
        <v>807</v>
      </c>
      <c r="F994" t="str">
        <f>_xlfn.XLOOKUP(_26_03_2026_Log_Reseau_v15[[#This Row],[Cell_ID]],_26_03_2026_Registre_Maintenance_v1[ID_Antenne],_26_03_2026_Registre_Maintenance_v1[zone],"pas trouvé")</f>
        <v>pas trouvé</v>
      </c>
      <c r="G994" t="str">
        <f>_xlfn.XLOOKUP(_26_03_2026_Log_Reseau_v15[[#This Row],[Cell_ID]],_26_03_2026_Registre_Maintenance_v1[ID_Antenne],_26_03_2026_Registre_Maintenance_v1[Latitude],"non trouvé")</f>
        <v>non trouvé</v>
      </c>
      <c r="H994" t="str">
        <f>_xlfn.XLOOKUP(_26_03_2026_Log_Reseau_v15[[#This Row],[Cell_ID]],_26_03_2026_Registre_Maintenance_v1[ID_Antenne],_26_03_2026_Registre_Maintenance_v1[Longitude],"pas trouvé")</f>
        <v>pas trouvé</v>
      </c>
      <c r="I994" t="str">
        <f>_xlfn.XLOOKUP(_26_03_2026_Log_Reseau_v15[[#This Row],[Cell_ID]],_26_03_2026_Registre_Maintenance_v1[ID_Antenne],_26_03_2026_Registre_Maintenance_v1[Technologie],"non trouvé")</f>
        <v>non trouvé</v>
      </c>
      <c r="J994" t="str">
        <f>_xlfn.XLOOKUP(_26_03_2026_Log_Reseau_v15[[#This Row],[Cell_ID]],_26_03_2026_Registre_Maintenance_v1[ID_Antenne],_26_03_2026_Registre_Maintenance_v1[Equipementier],"pas trouvé")</f>
        <v>pas trouvé</v>
      </c>
      <c r="K994" t="str">
        <f>_xlfn.XLOOKUP(_26_03_2026_Log_Reseau_v15[[#This Row],[province RDC]],_26_03_2026_Client_Churn_v1[Province_Client],_26_03_2026_Client_Churn_v1[ID_Client],"non trouvé")</f>
        <v>non trouvé</v>
      </c>
      <c r="L994" t="str">
        <f>_xlfn.XLOOKUP(_26_03_2026_Log_Reseau_v15[[#This Row],[province RDC]],_26_03_2026_Client_Churn_v1[Province_Client],_26_03_2026_Client_Churn_v1[Anciennete_Mois],"non trouvé")</f>
        <v>non trouvé</v>
      </c>
      <c r="M994" t="str">
        <f>_xlfn.XLOOKUP(_26_03_2026_Log_Reseau_v15[[#This Row],[province RDC]],_26_03_2026_Client_Churn_v1[Province_Client],_26_03_2026_Client_Churn_v1[Type_Forfait],"non trouvé")</f>
        <v>non trouvé</v>
      </c>
      <c r="N994" t="str">
        <f>_xlfn.XLOOKUP(_26_03_2026_Log_Reseau_v15[[#This Row],[province RDC]],_26_03_2026_Client_Churn_v1[Province_Client],_26_03_2026_Client_Churn_v1[Duree_Cumulee_Panne_Min],"non trouvé")</f>
        <v>non trouvé</v>
      </c>
      <c r="O994" t="str">
        <f>_xlfn.XLOOKUP(_26_03_2026_Log_Reseau_v15[[#This Row],[province RDC]],_26_03_2026_Client_Churn_v1[Province_Client],_26_03_2026_Client_Churn_v1[Facture_Mensuelle],"non trouvé")</f>
        <v>non trouvé</v>
      </c>
      <c r="P994" t="str">
        <f>_xlfn.XLOOKUP(_26_03_2026_Log_Reseau_v15[[#This Row],[province RDC]],_26_03_2026_Client_Churn_v1[Province_Client],_26_03_2026_Client_Churn_v1[Plaintes_Service_Client],"non trouvé")</f>
        <v>non trouvé</v>
      </c>
    </row>
    <row r="995" spans="1:16" x14ac:dyDescent="0.25">
      <c r="A995" s="1">
        <v>45221</v>
      </c>
      <c r="B995" s="2">
        <v>0.8618055555555556</v>
      </c>
      <c r="C995" t="s">
        <v>1419</v>
      </c>
      <c r="D995">
        <v>21</v>
      </c>
      <c r="E995" t="s">
        <v>808</v>
      </c>
      <c r="F995" t="str">
        <f>_xlfn.XLOOKUP(_26_03_2026_Log_Reseau_v15[[#This Row],[Cell_ID]],_26_03_2026_Registre_Maintenance_v1[ID_Antenne],_26_03_2026_Registre_Maintenance_v1[zone],"pas trouvé")</f>
        <v>Tanganyika</v>
      </c>
      <c r="G995">
        <f>_xlfn.XLOOKUP(_26_03_2026_Log_Reseau_v15[[#This Row],[Cell_ID]],_26_03_2026_Registre_Maintenance_v1[ID_Antenne],_26_03_2026_Registre_Maintenance_v1[Latitude],"non trouvé")</f>
        <v>-1.864393</v>
      </c>
      <c r="H995">
        <f>_xlfn.XLOOKUP(_26_03_2026_Log_Reseau_v15[[#This Row],[Cell_ID]],_26_03_2026_Registre_Maintenance_v1[ID_Antenne],_26_03_2026_Registre_Maintenance_v1[Longitude],"pas trouvé")</f>
        <v>21.453434000000001</v>
      </c>
      <c r="I995" t="str">
        <f>_xlfn.XLOOKUP(_26_03_2026_Log_Reseau_v15[[#This Row],[Cell_ID]],_26_03_2026_Registre_Maintenance_v1[ID_Antenne],_26_03_2026_Registre_Maintenance_v1[Technologie],"non trouvé")</f>
        <v>5G</v>
      </c>
      <c r="J995" t="str">
        <f>_xlfn.XLOOKUP(_26_03_2026_Log_Reseau_v15[[#This Row],[Cell_ID]],_26_03_2026_Registre_Maintenance_v1[ID_Antenne],_26_03_2026_Registre_Maintenance_v1[Equipementier],"pas trouvé")</f>
        <v>Ericsson</v>
      </c>
      <c r="K995" t="str">
        <f>_xlfn.XLOOKUP(_26_03_2026_Log_Reseau_v15[[#This Row],[province RDC]],_26_03_2026_Client_Churn_v1[Province_Client],_26_03_2026_Client_Churn_v1[ID_Client],"non trouvé")</f>
        <v>CLI-01618</v>
      </c>
      <c r="L995">
        <f>_xlfn.XLOOKUP(_26_03_2026_Log_Reseau_v15[[#This Row],[province RDC]],_26_03_2026_Client_Churn_v1[Province_Client],_26_03_2026_Client_Churn_v1[Anciennete_Mois],"non trouvé")</f>
        <v>115</v>
      </c>
      <c r="M995" t="str">
        <f>_xlfn.XLOOKUP(_26_03_2026_Log_Reseau_v15[[#This Row],[province RDC]],_26_03_2026_Client_Churn_v1[Province_Client],_26_03_2026_Client_Churn_v1[Type_Forfait],"non trouvé")</f>
        <v>Bloqué 5Go</v>
      </c>
      <c r="N995">
        <f>_xlfn.XLOOKUP(_26_03_2026_Log_Reseau_v15[[#This Row],[province RDC]],_26_03_2026_Client_Churn_v1[Province_Client],_26_03_2026_Client_Churn_v1[Duree_Cumulee_Panne_Min],"non trouvé")</f>
        <v>176</v>
      </c>
      <c r="O995">
        <f>_xlfn.XLOOKUP(_26_03_2026_Log_Reseau_v15[[#This Row],[province RDC]],_26_03_2026_Client_Churn_v1[Province_Client],_26_03_2026_Client_Churn_v1[Facture_Mensuelle],"non trouvé")</f>
        <v>33.28</v>
      </c>
      <c r="P995">
        <f>_xlfn.XLOOKUP(_26_03_2026_Log_Reseau_v15[[#This Row],[province RDC]],_26_03_2026_Client_Churn_v1[Province_Client],_26_03_2026_Client_Churn_v1[Plaintes_Service_Client],"non trouvé")</f>
        <v>4</v>
      </c>
    </row>
    <row r="996" spans="1:16" x14ac:dyDescent="0.25">
      <c r="A996" s="1">
        <v>45229</v>
      </c>
      <c r="B996" s="2">
        <v>0.44374999999999998</v>
      </c>
      <c r="C996" t="s">
        <v>1420</v>
      </c>
      <c r="D996">
        <v>5</v>
      </c>
      <c r="E996" t="s">
        <v>807</v>
      </c>
      <c r="F996" t="str">
        <f>_xlfn.XLOOKUP(_26_03_2026_Log_Reseau_v15[[#This Row],[Cell_ID]],_26_03_2026_Registre_Maintenance_v1[ID_Antenne],_26_03_2026_Registre_Maintenance_v1[zone],"pas trouvé")</f>
        <v>Kasai-Central</v>
      </c>
      <c r="G996">
        <f>_xlfn.XLOOKUP(_26_03_2026_Log_Reseau_v15[[#This Row],[Cell_ID]],_26_03_2026_Registre_Maintenance_v1[ID_Antenne],_26_03_2026_Registre_Maintenance_v1[Latitude],"non trouvé")</f>
        <v>-6.6803710000000001</v>
      </c>
      <c r="H996">
        <f>_xlfn.XLOOKUP(_26_03_2026_Log_Reseau_v15[[#This Row],[Cell_ID]],_26_03_2026_Registre_Maintenance_v1[ID_Antenne],_26_03_2026_Registre_Maintenance_v1[Longitude],"pas trouvé")</f>
        <v>21.955673000000001</v>
      </c>
      <c r="I996" t="str">
        <f>_xlfn.XLOOKUP(_26_03_2026_Log_Reseau_v15[[#This Row],[Cell_ID]],_26_03_2026_Registre_Maintenance_v1[ID_Antenne],_26_03_2026_Registre_Maintenance_v1[Technologie],"non trouvé")</f>
        <v>4G</v>
      </c>
      <c r="J996" t="str">
        <f>_xlfn.XLOOKUP(_26_03_2026_Log_Reseau_v15[[#This Row],[Cell_ID]],_26_03_2026_Registre_Maintenance_v1[ID_Antenne],_26_03_2026_Registre_Maintenance_v1[Equipementier],"pas trouvé")</f>
        <v>Nokia</v>
      </c>
      <c r="K996" t="str">
        <f>_xlfn.XLOOKUP(_26_03_2026_Log_Reseau_v15[[#This Row],[province RDC]],_26_03_2026_Client_Churn_v1[Province_Client],_26_03_2026_Client_Churn_v1[ID_Client],"non trouvé")</f>
        <v>CLI-00060</v>
      </c>
      <c r="L996">
        <f>_xlfn.XLOOKUP(_26_03_2026_Log_Reseau_v15[[#This Row],[province RDC]],_26_03_2026_Client_Churn_v1[Province_Client],_26_03_2026_Client_Churn_v1[Anciennete_Mois],"non trouvé")</f>
        <v>72</v>
      </c>
      <c r="M996" t="str">
        <f>_xlfn.XLOOKUP(_26_03_2026_Log_Reseau_v15[[#This Row],[province RDC]],_26_03_2026_Client_Churn_v1[Province_Client],_26_03_2026_Client_Churn_v1[Type_Forfait],"non trouvé")</f>
        <v>Pro Monde</v>
      </c>
      <c r="N996">
        <f>_xlfn.XLOOKUP(_26_03_2026_Log_Reseau_v15[[#This Row],[province RDC]],_26_03_2026_Client_Churn_v1[Province_Client],_26_03_2026_Client_Churn_v1[Duree_Cumulee_Panne_Min],"non trouvé")</f>
        <v>160</v>
      </c>
      <c r="O996">
        <f>_xlfn.XLOOKUP(_26_03_2026_Log_Reseau_v15[[#This Row],[province RDC]],_26_03_2026_Client_Churn_v1[Province_Client],_26_03_2026_Client_Churn_v1[Facture_Mensuelle],"non trouvé")</f>
        <v>90.13</v>
      </c>
      <c r="P996">
        <f>_xlfn.XLOOKUP(_26_03_2026_Log_Reseau_v15[[#This Row],[province RDC]],_26_03_2026_Client_Churn_v1[Province_Client],_26_03_2026_Client_Churn_v1[Plaintes_Service_Client],"non trouvé")</f>
        <v>2</v>
      </c>
    </row>
    <row r="997" spans="1:16" hidden="1" x14ac:dyDescent="0.25">
      <c r="A997" s="1">
        <v>45203</v>
      </c>
      <c r="B997" s="2">
        <v>5.9027777777777776E-2</v>
      </c>
      <c r="C997" t="s">
        <v>1421</v>
      </c>
      <c r="D997">
        <v>49</v>
      </c>
      <c r="E997" t="s">
        <v>807</v>
      </c>
      <c r="F997" t="str">
        <f>_xlfn.XLOOKUP(_26_03_2026_Log_Reseau_v15[[#This Row],[Cell_ID]],_26_03_2026_Registre_Maintenance_v1[ID_Antenne],_26_03_2026_Registre_Maintenance_v1[zone],"pas trouvé")</f>
        <v>pas trouvé</v>
      </c>
      <c r="G997" t="str">
        <f>_xlfn.XLOOKUP(_26_03_2026_Log_Reseau_v15[[#This Row],[Cell_ID]],_26_03_2026_Registre_Maintenance_v1[ID_Antenne],_26_03_2026_Registre_Maintenance_v1[Latitude],"non trouvé")</f>
        <v>non trouvé</v>
      </c>
      <c r="H997" t="str">
        <f>_xlfn.XLOOKUP(_26_03_2026_Log_Reseau_v15[[#This Row],[Cell_ID]],_26_03_2026_Registre_Maintenance_v1[ID_Antenne],_26_03_2026_Registre_Maintenance_v1[Longitude],"pas trouvé")</f>
        <v>pas trouvé</v>
      </c>
      <c r="I997" t="str">
        <f>_xlfn.XLOOKUP(_26_03_2026_Log_Reseau_v15[[#This Row],[Cell_ID]],_26_03_2026_Registre_Maintenance_v1[ID_Antenne],_26_03_2026_Registre_Maintenance_v1[Technologie],"non trouvé")</f>
        <v>non trouvé</v>
      </c>
      <c r="J997" t="str">
        <f>_xlfn.XLOOKUP(_26_03_2026_Log_Reseau_v15[[#This Row],[Cell_ID]],_26_03_2026_Registre_Maintenance_v1[ID_Antenne],_26_03_2026_Registre_Maintenance_v1[Equipementier],"pas trouvé")</f>
        <v>pas trouvé</v>
      </c>
      <c r="K997" t="str">
        <f>_xlfn.XLOOKUP(_26_03_2026_Log_Reseau_v15[[#This Row],[province RDC]],_26_03_2026_Client_Churn_v1[Province_Client],_26_03_2026_Client_Churn_v1[ID_Client],"non trouvé")</f>
        <v>non trouvé</v>
      </c>
      <c r="L997" t="str">
        <f>_xlfn.XLOOKUP(_26_03_2026_Log_Reseau_v15[[#This Row],[province RDC]],_26_03_2026_Client_Churn_v1[Province_Client],_26_03_2026_Client_Churn_v1[Anciennete_Mois],"non trouvé")</f>
        <v>non trouvé</v>
      </c>
      <c r="M997" t="str">
        <f>_xlfn.XLOOKUP(_26_03_2026_Log_Reseau_v15[[#This Row],[province RDC]],_26_03_2026_Client_Churn_v1[Province_Client],_26_03_2026_Client_Churn_v1[Type_Forfait],"non trouvé")</f>
        <v>non trouvé</v>
      </c>
      <c r="N997" t="str">
        <f>_xlfn.XLOOKUP(_26_03_2026_Log_Reseau_v15[[#This Row],[province RDC]],_26_03_2026_Client_Churn_v1[Province_Client],_26_03_2026_Client_Churn_v1[Duree_Cumulee_Panne_Min],"non trouvé")</f>
        <v>non trouvé</v>
      </c>
      <c r="O997" t="str">
        <f>_xlfn.XLOOKUP(_26_03_2026_Log_Reseau_v15[[#This Row],[province RDC]],_26_03_2026_Client_Churn_v1[Province_Client],_26_03_2026_Client_Churn_v1[Facture_Mensuelle],"non trouvé")</f>
        <v>non trouvé</v>
      </c>
      <c r="P997" t="str">
        <f>_xlfn.XLOOKUP(_26_03_2026_Log_Reseau_v15[[#This Row],[province RDC]],_26_03_2026_Client_Churn_v1[Province_Client],_26_03_2026_Client_Churn_v1[Plaintes_Service_Client],"non trouvé")</f>
        <v>non trouvé</v>
      </c>
    </row>
    <row r="998" spans="1:16" hidden="1" x14ac:dyDescent="0.25">
      <c r="A998" s="1">
        <v>45224</v>
      </c>
      <c r="B998" s="2">
        <v>0.98819444444444449</v>
      </c>
      <c r="C998" t="s">
        <v>1421</v>
      </c>
      <c r="D998">
        <v>39</v>
      </c>
      <c r="E998" t="s">
        <v>807</v>
      </c>
      <c r="F998" t="str">
        <f>_xlfn.XLOOKUP(_26_03_2026_Log_Reseau_v15[[#This Row],[Cell_ID]],_26_03_2026_Registre_Maintenance_v1[ID_Antenne],_26_03_2026_Registre_Maintenance_v1[zone],"pas trouvé")</f>
        <v>pas trouvé</v>
      </c>
      <c r="G998" t="str">
        <f>_xlfn.XLOOKUP(_26_03_2026_Log_Reseau_v15[[#This Row],[Cell_ID]],_26_03_2026_Registre_Maintenance_v1[ID_Antenne],_26_03_2026_Registre_Maintenance_v1[Latitude],"non trouvé")</f>
        <v>non trouvé</v>
      </c>
      <c r="H998" t="str">
        <f>_xlfn.XLOOKUP(_26_03_2026_Log_Reseau_v15[[#This Row],[Cell_ID]],_26_03_2026_Registre_Maintenance_v1[ID_Antenne],_26_03_2026_Registre_Maintenance_v1[Longitude],"pas trouvé")</f>
        <v>pas trouvé</v>
      </c>
      <c r="I998" t="str">
        <f>_xlfn.XLOOKUP(_26_03_2026_Log_Reseau_v15[[#This Row],[Cell_ID]],_26_03_2026_Registre_Maintenance_v1[ID_Antenne],_26_03_2026_Registre_Maintenance_v1[Technologie],"non trouvé")</f>
        <v>non trouvé</v>
      </c>
      <c r="J998" t="str">
        <f>_xlfn.XLOOKUP(_26_03_2026_Log_Reseau_v15[[#This Row],[Cell_ID]],_26_03_2026_Registre_Maintenance_v1[ID_Antenne],_26_03_2026_Registre_Maintenance_v1[Equipementier],"pas trouvé")</f>
        <v>pas trouvé</v>
      </c>
      <c r="K998" t="str">
        <f>_xlfn.XLOOKUP(_26_03_2026_Log_Reseau_v15[[#This Row],[province RDC]],_26_03_2026_Client_Churn_v1[Province_Client],_26_03_2026_Client_Churn_v1[ID_Client],"non trouvé")</f>
        <v>non trouvé</v>
      </c>
      <c r="L998" t="str">
        <f>_xlfn.XLOOKUP(_26_03_2026_Log_Reseau_v15[[#This Row],[province RDC]],_26_03_2026_Client_Churn_v1[Province_Client],_26_03_2026_Client_Churn_v1[Anciennete_Mois],"non trouvé")</f>
        <v>non trouvé</v>
      </c>
      <c r="M998" t="str">
        <f>_xlfn.XLOOKUP(_26_03_2026_Log_Reseau_v15[[#This Row],[province RDC]],_26_03_2026_Client_Churn_v1[Province_Client],_26_03_2026_Client_Churn_v1[Type_Forfait],"non trouvé")</f>
        <v>non trouvé</v>
      </c>
      <c r="N998" t="str">
        <f>_xlfn.XLOOKUP(_26_03_2026_Log_Reseau_v15[[#This Row],[province RDC]],_26_03_2026_Client_Churn_v1[Province_Client],_26_03_2026_Client_Churn_v1[Duree_Cumulee_Panne_Min],"non trouvé")</f>
        <v>non trouvé</v>
      </c>
      <c r="O998" t="str">
        <f>_xlfn.XLOOKUP(_26_03_2026_Log_Reseau_v15[[#This Row],[province RDC]],_26_03_2026_Client_Churn_v1[Province_Client],_26_03_2026_Client_Churn_v1[Facture_Mensuelle],"non trouvé")</f>
        <v>non trouvé</v>
      </c>
      <c r="P998" t="str">
        <f>_xlfn.XLOOKUP(_26_03_2026_Log_Reseau_v15[[#This Row],[province RDC]],_26_03_2026_Client_Churn_v1[Province_Client],_26_03_2026_Client_Churn_v1[Plaintes_Service_Client],"non trouvé")</f>
        <v>non trouvé</v>
      </c>
    </row>
    <row r="999" spans="1:16" hidden="1" x14ac:dyDescent="0.25">
      <c r="A999" s="1">
        <v>45219</v>
      </c>
      <c r="B999" s="2">
        <v>0.79305555555555551</v>
      </c>
      <c r="C999" t="s">
        <v>1422</v>
      </c>
      <c r="D999">
        <v>9</v>
      </c>
      <c r="E999" t="s">
        <v>808</v>
      </c>
      <c r="F999" t="str">
        <f>_xlfn.XLOOKUP(_26_03_2026_Log_Reseau_v15[[#This Row],[Cell_ID]],_26_03_2026_Registre_Maintenance_v1[ID_Antenne],_26_03_2026_Registre_Maintenance_v1[zone],"pas trouvé")</f>
        <v>pas trouvé</v>
      </c>
      <c r="G999" t="str">
        <f>_xlfn.XLOOKUP(_26_03_2026_Log_Reseau_v15[[#This Row],[Cell_ID]],_26_03_2026_Registre_Maintenance_v1[ID_Antenne],_26_03_2026_Registre_Maintenance_v1[Latitude],"non trouvé")</f>
        <v>non trouvé</v>
      </c>
      <c r="H999" t="str">
        <f>_xlfn.XLOOKUP(_26_03_2026_Log_Reseau_v15[[#This Row],[Cell_ID]],_26_03_2026_Registre_Maintenance_v1[ID_Antenne],_26_03_2026_Registre_Maintenance_v1[Longitude],"pas trouvé")</f>
        <v>pas trouvé</v>
      </c>
      <c r="I999" t="str">
        <f>_xlfn.XLOOKUP(_26_03_2026_Log_Reseau_v15[[#This Row],[Cell_ID]],_26_03_2026_Registre_Maintenance_v1[ID_Antenne],_26_03_2026_Registre_Maintenance_v1[Technologie],"non trouvé")</f>
        <v>non trouvé</v>
      </c>
      <c r="J999" t="str">
        <f>_xlfn.XLOOKUP(_26_03_2026_Log_Reseau_v15[[#This Row],[Cell_ID]],_26_03_2026_Registre_Maintenance_v1[ID_Antenne],_26_03_2026_Registre_Maintenance_v1[Equipementier],"pas trouvé")</f>
        <v>pas trouvé</v>
      </c>
      <c r="K999" t="str">
        <f>_xlfn.XLOOKUP(_26_03_2026_Log_Reseau_v15[[#This Row],[province RDC]],_26_03_2026_Client_Churn_v1[Province_Client],_26_03_2026_Client_Churn_v1[ID_Client],"non trouvé")</f>
        <v>non trouvé</v>
      </c>
      <c r="L999" t="str">
        <f>_xlfn.XLOOKUP(_26_03_2026_Log_Reseau_v15[[#This Row],[province RDC]],_26_03_2026_Client_Churn_v1[Province_Client],_26_03_2026_Client_Churn_v1[Anciennete_Mois],"non trouvé")</f>
        <v>non trouvé</v>
      </c>
      <c r="M999" t="str">
        <f>_xlfn.XLOOKUP(_26_03_2026_Log_Reseau_v15[[#This Row],[province RDC]],_26_03_2026_Client_Churn_v1[Province_Client],_26_03_2026_Client_Churn_v1[Type_Forfait],"non trouvé")</f>
        <v>non trouvé</v>
      </c>
      <c r="N999" t="str">
        <f>_xlfn.XLOOKUP(_26_03_2026_Log_Reseau_v15[[#This Row],[province RDC]],_26_03_2026_Client_Churn_v1[Province_Client],_26_03_2026_Client_Churn_v1[Duree_Cumulee_Panne_Min],"non trouvé")</f>
        <v>non trouvé</v>
      </c>
      <c r="O999" t="str">
        <f>_xlfn.XLOOKUP(_26_03_2026_Log_Reseau_v15[[#This Row],[province RDC]],_26_03_2026_Client_Churn_v1[Province_Client],_26_03_2026_Client_Churn_v1[Facture_Mensuelle],"non trouvé")</f>
        <v>non trouvé</v>
      </c>
      <c r="P999" t="str">
        <f>_xlfn.XLOOKUP(_26_03_2026_Log_Reseau_v15[[#This Row],[province RDC]],_26_03_2026_Client_Churn_v1[Province_Client],_26_03_2026_Client_Churn_v1[Plaintes_Service_Client],"non trouvé")</f>
        <v>non trouvé</v>
      </c>
    </row>
    <row r="1000" spans="1:16" hidden="1" x14ac:dyDescent="0.25">
      <c r="A1000" s="1">
        <v>45230</v>
      </c>
      <c r="B1000" s="2">
        <v>0.72638888888888886</v>
      </c>
      <c r="C1000" t="s">
        <v>1422</v>
      </c>
      <c r="D1000">
        <v>19</v>
      </c>
      <c r="E1000" t="s">
        <v>808</v>
      </c>
      <c r="F1000" t="str">
        <f>_xlfn.XLOOKUP(_26_03_2026_Log_Reseau_v15[[#This Row],[Cell_ID]],_26_03_2026_Registre_Maintenance_v1[ID_Antenne],_26_03_2026_Registre_Maintenance_v1[zone],"pas trouvé")</f>
        <v>pas trouvé</v>
      </c>
      <c r="G1000" t="str">
        <f>_xlfn.XLOOKUP(_26_03_2026_Log_Reseau_v15[[#This Row],[Cell_ID]],_26_03_2026_Registre_Maintenance_v1[ID_Antenne],_26_03_2026_Registre_Maintenance_v1[Latitude],"non trouvé")</f>
        <v>non trouvé</v>
      </c>
      <c r="H1000" t="str">
        <f>_xlfn.XLOOKUP(_26_03_2026_Log_Reseau_v15[[#This Row],[Cell_ID]],_26_03_2026_Registre_Maintenance_v1[ID_Antenne],_26_03_2026_Registre_Maintenance_v1[Longitude],"pas trouvé")</f>
        <v>pas trouvé</v>
      </c>
      <c r="I1000" t="str">
        <f>_xlfn.XLOOKUP(_26_03_2026_Log_Reseau_v15[[#This Row],[Cell_ID]],_26_03_2026_Registre_Maintenance_v1[ID_Antenne],_26_03_2026_Registre_Maintenance_v1[Technologie],"non trouvé")</f>
        <v>non trouvé</v>
      </c>
      <c r="J1000" t="str">
        <f>_xlfn.XLOOKUP(_26_03_2026_Log_Reseau_v15[[#This Row],[Cell_ID]],_26_03_2026_Registre_Maintenance_v1[ID_Antenne],_26_03_2026_Registre_Maintenance_v1[Equipementier],"pas trouvé")</f>
        <v>pas trouvé</v>
      </c>
      <c r="K1000" t="str">
        <f>_xlfn.XLOOKUP(_26_03_2026_Log_Reseau_v15[[#This Row],[province RDC]],_26_03_2026_Client_Churn_v1[Province_Client],_26_03_2026_Client_Churn_v1[ID_Client],"non trouvé")</f>
        <v>non trouvé</v>
      </c>
      <c r="L1000" t="str">
        <f>_xlfn.XLOOKUP(_26_03_2026_Log_Reseau_v15[[#This Row],[province RDC]],_26_03_2026_Client_Churn_v1[Province_Client],_26_03_2026_Client_Churn_v1[Anciennete_Mois],"non trouvé")</f>
        <v>non trouvé</v>
      </c>
      <c r="M1000" t="str">
        <f>_xlfn.XLOOKUP(_26_03_2026_Log_Reseau_v15[[#This Row],[province RDC]],_26_03_2026_Client_Churn_v1[Province_Client],_26_03_2026_Client_Churn_v1[Type_Forfait],"non trouvé")</f>
        <v>non trouvé</v>
      </c>
      <c r="N1000" t="str">
        <f>_xlfn.XLOOKUP(_26_03_2026_Log_Reseau_v15[[#This Row],[province RDC]],_26_03_2026_Client_Churn_v1[Province_Client],_26_03_2026_Client_Churn_v1[Duree_Cumulee_Panne_Min],"non trouvé")</f>
        <v>non trouvé</v>
      </c>
      <c r="O1000" t="str">
        <f>_xlfn.XLOOKUP(_26_03_2026_Log_Reseau_v15[[#This Row],[province RDC]],_26_03_2026_Client_Churn_v1[Province_Client],_26_03_2026_Client_Churn_v1[Facture_Mensuelle],"non trouvé")</f>
        <v>non trouvé</v>
      </c>
      <c r="P1000" t="str">
        <f>_xlfn.XLOOKUP(_26_03_2026_Log_Reseau_v15[[#This Row],[province RDC]],_26_03_2026_Client_Churn_v1[Province_Client],_26_03_2026_Client_Churn_v1[Plaintes_Service_Client],"non trouvé")</f>
        <v>non trouvé</v>
      </c>
    </row>
    <row r="1001" spans="1:16" hidden="1" x14ac:dyDescent="0.25">
      <c r="A1001" s="1">
        <v>45217</v>
      </c>
      <c r="B1001" s="2">
        <v>6.8750000000000006E-2</v>
      </c>
      <c r="C1001" t="s">
        <v>1422</v>
      </c>
      <c r="D1001">
        <v>77</v>
      </c>
      <c r="E1001" t="s">
        <v>812</v>
      </c>
      <c r="F1001" t="str">
        <f>_xlfn.XLOOKUP(_26_03_2026_Log_Reseau_v15[[#This Row],[Cell_ID]],_26_03_2026_Registre_Maintenance_v1[ID_Antenne],_26_03_2026_Registre_Maintenance_v1[zone],"pas trouvé")</f>
        <v>pas trouvé</v>
      </c>
      <c r="G1001" t="str">
        <f>_xlfn.XLOOKUP(_26_03_2026_Log_Reseau_v15[[#This Row],[Cell_ID]],_26_03_2026_Registre_Maintenance_v1[ID_Antenne],_26_03_2026_Registre_Maintenance_v1[Latitude],"non trouvé")</f>
        <v>non trouvé</v>
      </c>
      <c r="H1001" t="str">
        <f>_xlfn.XLOOKUP(_26_03_2026_Log_Reseau_v15[[#This Row],[Cell_ID]],_26_03_2026_Registre_Maintenance_v1[ID_Antenne],_26_03_2026_Registre_Maintenance_v1[Longitude],"pas trouvé")</f>
        <v>pas trouvé</v>
      </c>
      <c r="I1001" t="str">
        <f>_xlfn.XLOOKUP(_26_03_2026_Log_Reseau_v15[[#This Row],[Cell_ID]],_26_03_2026_Registre_Maintenance_v1[ID_Antenne],_26_03_2026_Registre_Maintenance_v1[Technologie],"non trouvé")</f>
        <v>non trouvé</v>
      </c>
      <c r="J1001" t="str">
        <f>_xlfn.XLOOKUP(_26_03_2026_Log_Reseau_v15[[#This Row],[Cell_ID]],_26_03_2026_Registre_Maintenance_v1[ID_Antenne],_26_03_2026_Registre_Maintenance_v1[Equipementier],"pas trouvé")</f>
        <v>pas trouvé</v>
      </c>
      <c r="K1001" t="str">
        <f>_xlfn.XLOOKUP(_26_03_2026_Log_Reseau_v15[[#This Row],[province RDC]],_26_03_2026_Client_Churn_v1[Province_Client],_26_03_2026_Client_Churn_v1[ID_Client],"non trouvé")</f>
        <v>non trouvé</v>
      </c>
      <c r="L1001" t="str">
        <f>_xlfn.XLOOKUP(_26_03_2026_Log_Reseau_v15[[#This Row],[province RDC]],_26_03_2026_Client_Churn_v1[Province_Client],_26_03_2026_Client_Churn_v1[Anciennete_Mois],"non trouvé")</f>
        <v>non trouvé</v>
      </c>
      <c r="M1001" t="str">
        <f>_xlfn.XLOOKUP(_26_03_2026_Log_Reseau_v15[[#This Row],[province RDC]],_26_03_2026_Client_Churn_v1[Province_Client],_26_03_2026_Client_Churn_v1[Type_Forfait],"non trouvé")</f>
        <v>non trouvé</v>
      </c>
      <c r="N1001" t="str">
        <f>_xlfn.XLOOKUP(_26_03_2026_Log_Reseau_v15[[#This Row],[province RDC]],_26_03_2026_Client_Churn_v1[Province_Client],_26_03_2026_Client_Churn_v1[Duree_Cumulee_Panne_Min],"non trouvé")</f>
        <v>non trouvé</v>
      </c>
      <c r="O1001" t="str">
        <f>_xlfn.XLOOKUP(_26_03_2026_Log_Reseau_v15[[#This Row],[province RDC]],_26_03_2026_Client_Churn_v1[Province_Client],_26_03_2026_Client_Churn_v1[Facture_Mensuelle],"non trouvé")</f>
        <v>non trouvé</v>
      </c>
      <c r="P1001" t="str">
        <f>_xlfn.XLOOKUP(_26_03_2026_Log_Reseau_v15[[#This Row],[province RDC]],_26_03_2026_Client_Churn_v1[Province_Client],_26_03_2026_Client_Churn_v1[Plaintes_Service_Client],"non trouvé")</f>
        <v>non trouvé</v>
      </c>
    </row>
    <row r="1002" spans="1:16" x14ac:dyDescent="0.25">
      <c r="A1002" s="1">
        <v>45216</v>
      </c>
      <c r="B1002" s="2">
        <v>0.76041666666666663</v>
      </c>
      <c r="C1002" t="s">
        <v>1423</v>
      </c>
      <c r="D1002">
        <v>48</v>
      </c>
      <c r="E1002" t="s">
        <v>807</v>
      </c>
      <c r="F1002" t="str">
        <f>_xlfn.XLOOKUP(_26_03_2026_Log_Reseau_v15[[#This Row],[Cell_ID]],_26_03_2026_Registre_Maintenance_v1[ID_Antenne],_26_03_2026_Registre_Maintenance_v1[zone],"pas trouvé")</f>
        <v>Ituri</v>
      </c>
      <c r="G1002">
        <f>_xlfn.XLOOKUP(_26_03_2026_Log_Reseau_v15[[#This Row],[Cell_ID]],_26_03_2026_Registre_Maintenance_v1[ID_Antenne],_26_03_2026_Registre_Maintenance_v1[Latitude],"non trouvé")</f>
        <v>-11.002602</v>
      </c>
      <c r="H1002">
        <f>_xlfn.XLOOKUP(_26_03_2026_Log_Reseau_v15[[#This Row],[Cell_ID]],_26_03_2026_Registre_Maintenance_v1[ID_Antenne],_26_03_2026_Registre_Maintenance_v1[Longitude],"pas trouvé")</f>
        <v>23.918247999999998</v>
      </c>
      <c r="I1002" t="str">
        <f>_xlfn.XLOOKUP(_26_03_2026_Log_Reseau_v15[[#This Row],[Cell_ID]],_26_03_2026_Registre_Maintenance_v1[ID_Antenne],_26_03_2026_Registre_Maintenance_v1[Technologie],"non trouvé")</f>
        <v>5G</v>
      </c>
      <c r="J1002" t="str">
        <f>_xlfn.XLOOKUP(_26_03_2026_Log_Reseau_v15[[#This Row],[Cell_ID]],_26_03_2026_Registre_Maintenance_v1[ID_Antenne],_26_03_2026_Registre_Maintenance_v1[Equipementier],"pas trouvé")</f>
        <v>ZTE</v>
      </c>
      <c r="K1002" t="str">
        <f>_xlfn.XLOOKUP(_26_03_2026_Log_Reseau_v15[[#This Row],[province RDC]],_26_03_2026_Client_Churn_v1[Province_Client],_26_03_2026_Client_Churn_v1[ID_Client],"non trouvé")</f>
        <v>CLI-01147</v>
      </c>
      <c r="L1002">
        <f>_xlfn.XLOOKUP(_26_03_2026_Log_Reseau_v15[[#This Row],[province RDC]],_26_03_2026_Client_Churn_v1[Province_Client],_26_03_2026_Client_Churn_v1[Anciennete_Mois],"non trouvé")</f>
        <v>29</v>
      </c>
      <c r="M1002" t="str">
        <f>_xlfn.XLOOKUP(_26_03_2026_Log_Reseau_v15[[#This Row],[province RDC]],_26_03_2026_Client_Churn_v1[Province_Client],_26_03_2026_Client_Churn_v1[Type_Forfait],"non trouvé")</f>
        <v>Premium 5G 150Go</v>
      </c>
      <c r="N1002">
        <f>_xlfn.XLOOKUP(_26_03_2026_Log_Reseau_v15[[#This Row],[province RDC]],_26_03_2026_Client_Churn_v1[Province_Client],_26_03_2026_Client_Churn_v1[Duree_Cumulee_Panne_Min],"non trouvé")</f>
        <v>214</v>
      </c>
      <c r="O1002">
        <f>_xlfn.XLOOKUP(_26_03_2026_Log_Reseau_v15[[#This Row],[province RDC]],_26_03_2026_Client_Churn_v1[Province_Client],_26_03_2026_Client_Churn_v1[Facture_Mensuelle],"non trouvé")</f>
        <v>74.7</v>
      </c>
      <c r="P1002">
        <f>_xlfn.XLOOKUP(_26_03_2026_Log_Reseau_v15[[#This Row],[province RDC]],_26_03_2026_Client_Churn_v1[Province_Client],_26_03_2026_Client_Churn_v1[Plaintes_Service_Client],"non trouvé")</f>
        <v>3</v>
      </c>
    </row>
    <row r="1003" spans="1:16" x14ac:dyDescent="0.25">
      <c r="A1003" s="1">
        <v>45227</v>
      </c>
      <c r="B1003" s="2">
        <v>3.3333333333333333E-2</v>
      </c>
      <c r="C1003" t="s">
        <v>1424</v>
      </c>
      <c r="D1003">
        <v>68</v>
      </c>
      <c r="E1003" t="s">
        <v>812</v>
      </c>
      <c r="F1003" t="str">
        <f>_xlfn.XLOOKUP(_26_03_2026_Log_Reseau_v15[[#This Row],[Cell_ID]],_26_03_2026_Registre_Maintenance_v1[ID_Antenne],_26_03_2026_Registre_Maintenance_v1[zone],"pas trouvé")</f>
        <v>Nord-Ubangi</v>
      </c>
      <c r="G1003">
        <f>_xlfn.XLOOKUP(_26_03_2026_Log_Reseau_v15[[#This Row],[Cell_ID]],_26_03_2026_Registre_Maintenance_v1[ID_Antenne],_26_03_2026_Registre_Maintenance_v1[Latitude],"non trouvé")</f>
        <v>-10.375266999999999</v>
      </c>
      <c r="H1003">
        <f>_xlfn.XLOOKUP(_26_03_2026_Log_Reseau_v15[[#This Row],[Cell_ID]],_26_03_2026_Registre_Maintenance_v1[ID_Antenne],_26_03_2026_Registre_Maintenance_v1[Longitude],"pas trouvé")</f>
        <v>17.993663000000002</v>
      </c>
      <c r="I1003" t="str">
        <f>_xlfn.XLOOKUP(_26_03_2026_Log_Reseau_v15[[#This Row],[Cell_ID]],_26_03_2026_Registre_Maintenance_v1[ID_Antenne],_26_03_2026_Registre_Maintenance_v1[Technologie],"non trouvé")</f>
        <v>5G</v>
      </c>
      <c r="J1003" t="str">
        <f>_xlfn.XLOOKUP(_26_03_2026_Log_Reseau_v15[[#This Row],[Cell_ID]],_26_03_2026_Registre_Maintenance_v1[ID_Antenne],_26_03_2026_Registre_Maintenance_v1[Equipementier],"pas trouvé")</f>
        <v>ZTE</v>
      </c>
      <c r="K1003" t="str">
        <f>_xlfn.XLOOKUP(_26_03_2026_Log_Reseau_v15[[#This Row],[province RDC]],_26_03_2026_Client_Churn_v1[Province_Client],_26_03_2026_Client_Churn_v1[ID_Client],"non trouvé")</f>
        <v>CLI-01170</v>
      </c>
      <c r="L1003">
        <f>_xlfn.XLOOKUP(_26_03_2026_Log_Reseau_v15[[#This Row],[province RDC]],_26_03_2026_Client_Churn_v1[Province_Client],_26_03_2026_Client_Churn_v1[Anciennete_Mois],"non trouvé")</f>
        <v>98</v>
      </c>
      <c r="M1003" t="str">
        <f>_xlfn.XLOOKUP(_26_03_2026_Log_Reseau_v15[[#This Row],[province RDC]],_26_03_2026_Client_Churn_v1[Province_Client],_26_03_2026_Client_Churn_v1[Type_Forfait],"non trouvé")</f>
        <v>Pro Monde</v>
      </c>
      <c r="N1003">
        <f>_xlfn.XLOOKUP(_26_03_2026_Log_Reseau_v15[[#This Row],[province RDC]],_26_03_2026_Client_Churn_v1[Province_Client],_26_03_2026_Client_Churn_v1[Duree_Cumulee_Panne_Min],"non trouvé")</f>
        <v>482</v>
      </c>
      <c r="O1003">
        <f>_xlfn.XLOOKUP(_26_03_2026_Log_Reseau_v15[[#This Row],[province RDC]],_26_03_2026_Client_Churn_v1[Province_Client],_26_03_2026_Client_Churn_v1[Facture_Mensuelle],"non trouvé")</f>
        <v>55.04</v>
      </c>
      <c r="P1003">
        <f>_xlfn.XLOOKUP(_26_03_2026_Log_Reseau_v15[[#This Row],[province RDC]],_26_03_2026_Client_Churn_v1[Province_Client],_26_03_2026_Client_Churn_v1[Plaintes_Service_Client],"non trouvé")</f>
        <v>5</v>
      </c>
    </row>
    <row r="1004" spans="1:16" x14ac:dyDescent="0.25">
      <c r="A1004" s="1">
        <v>45225</v>
      </c>
      <c r="B1004" s="2">
        <v>0.62291666666666667</v>
      </c>
      <c r="C1004" t="s">
        <v>1425</v>
      </c>
      <c r="D1004">
        <v>86</v>
      </c>
      <c r="E1004" t="s">
        <v>807</v>
      </c>
      <c r="F1004" t="str">
        <f>_xlfn.XLOOKUP(_26_03_2026_Log_Reseau_v15[[#This Row],[Cell_ID]],_26_03_2026_Registre_Maintenance_v1[ID_Antenne],_26_03_2026_Registre_Maintenance_v1[zone],"pas trouvé")</f>
        <v>Kasai</v>
      </c>
      <c r="G1004">
        <f>_xlfn.XLOOKUP(_26_03_2026_Log_Reseau_v15[[#This Row],[Cell_ID]],_26_03_2026_Registre_Maintenance_v1[ID_Antenne],_26_03_2026_Registre_Maintenance_v1[Latitude],"non trouvé")</f>
        <v>-10.165072</v>
      </c>
      <c r="H1004">
        <f>_xlfn.XLOOKUP(_26_03_2026_Log_Reseau_v15[[#This Row],[Cell_ID]],_26_03_2026_Registre_Maintenance_v1[ID_Antenne],_26_03_2026_Registre_Maintenance_v1[Longitude],"pas trouvé")</f>
        <v>29.428024000000001</v>
      </c>
      <c r="I1004" t="str">
        <f>_xlfn.XLOOKUP(_26_03_2026_Log_Reseau_v15[[#This Row],[Cell_ID]],_26_03_2026_Registre_Maintenance_v1[ID_Antenne],_26_03_2026_Registre_Maintenance_v1[Technologie],"non trouvé")</f>
        <v>5G</v>
      </c>
      <c r="J1004" t="str">
        <f>_xlfn.XLOOKUP(_26_03_2026_Log_Reseau_v15[[#This Row],[Cell_ID]],_26_03_2026_Registre_Maintenance_v1[ID_Antenne],_26_03_2026_Registre_Maintenance_v1[Equipementier],"pas trouvé")</f>
        <v>Huawei</v>
      </c>
      <c r="K1004" t="str">
        <f>_xlfn.XLOOKUP(_26_03_2026_Log_Reseau_v15[[#This Row],[province RDC]],_26_03_2026_Client_Churn_v1[Province_Client],_26_03_2026_Client_Churn_v1[ID_Client],"non trouvé")</f>
        <v>CLI-00559</v>
      </c>
      <c r="L1004">
        <f>_xlfn.XLOOKUP(_26_03_2026_Log_Reseau_v15[[#This Row],[province RDC]],_26_03_2026_Client_Churn_v1[Province_Client],_26_03_2026_Client_Churn_v1[Anciennete_Mois],"non trouvé")</f>
        <v>99</v>
      </c>
      <c r="M1004" t="str">
        <f>_xlfn.XLOOKUP(_26_03_2026_Log_Reseau_v15[[#This Row],[province RDC]],_26_03_2026_Client_Churn_v1[Province_Client],_26_03_2026_Client_Churn_v1[Type_Forfait],"non trouvé")</f>
        <v>Bloqué 5Go</v>
      </c>
      <c r="N1004">
        <f>_xlfn.XLOOKUP(_26_03_2026_Log_Reseau_v15[[#This Row],[province RDC]],_26_03_2026_Client_Churn_v1[Province_Client],_26_03_2026_Client_Churn_v1[Duree_Cumulee_Panne_Min],"non trouvé")</f>
        <v>369</v>
      </c>
      <c r="O1004">
        <f>_xlfn.XLOOKUP(_26_03_2026_Log_Reseau_v15[[#This Row],[province RDC]],_26_03_2026_Client_Churn_v1[Province_Client],_26_03_2026_Client_Churn_v1[Facture_Mensuelle],"non trouvé")</f>
        <v>67.209999999999994</v>
      </c>
      <c r="P1004">
        <f>_xlfn.XLOOKUP(_26_03_2026_Log_Reseau_v15[[#This Row],[province RDC]],_26_03_2026_Client_Churn_v1[Province_Client],_26_03_2026_Client_Churn_v1[Plaintes_Service_Client],"non trouvé")</f>
        <v>3</v>
      </c>
    </row>
    <row r="1005" spans="1:16" x14ac:dyDescent="0.25">
      <c r="A1005" s="1">
        <v>45221</v>
      </c>
      <c r="B1005" s="2">
        <v>0.31319444444444444</v>
      </c>
      <c r="C1005" t="s">
        <v>1425</v>
      </c>
      <c r="D1005">
        <v>34</v>
      </c>
      <c r="E1005" t="s">
        <v>808</v>
      </c>
      <c r="F1005" t="str">
        <f>_xlfn.XLOOKUP(_26_03_2026_Log_Reseau_v15[[#This Row],[Cell_ID]],_26_03_2026_Registre_Maintenance_v1[ID_Antenne],_26_03_2026_Registre_Maintenance_v1[zone],"pas trouvé")</f>
        <v>Kasai</v>
      </c>
      <c r="G1005">
        <f>_xlfn.XLOOKUP(_26_03_2026_Log_Reseau_v15[[#This Row],[Cell_ID]],_26_03_2026_Registre_Maintenance_v1[ID_Antenne],_26_03_2026_Registre_Maintenance_v1[Latitude],"non trouvé")</f>
        <v>-10.165072</v>
      </c>
      <c r="H1005">
        <f>_xlfn.XLOOKUP(_26_03_2026_Log_Reseau_v15[[#This Row],[Cell_ID]],_26_03_2026_Registre_Maintenance_v1[ID_Antenne],_26_03_2026_Registre_Maintenance_v1[Longitude],"pas trouvé")</f>
        <v>29.428024000000001</v>
      </c>
      <c r="I1005" t="str">
        <f>_xlfn.XLOOKUP(_26_03_2026_Log_Reseau_v15[[#This Row],[Cell_ID]],_26_03_2026_Registre_Maintenance_v1[ID_Antenne],_26_03_2026_Registre_Maintenance_v1[Technologie],"non trouvé")</f>
        <v>5G</v>
      </c>
      <c r="J1005" t="str">
        <f>_xlfn.XLOOKUP(_26_03_2026_Log_Reseau_v15[[#This Row],[Cell_ID]],_26_03_2026_Registre_Maintenance_v1[ID_Antenne],_26_03_2026_Registre_Maintenance_v1[Equipementier],"pas trouvé")</f>
        <v>Huawei</v>
      </c>
      <c r="K1005" t="str">
        <f>_xlfn.XLOOKUP(_26_03_2026_Log_Reseau_v15[[#This Row],[province RDC]],_26_03_2026_Client_Churn_v1[Province_Client],_26_03_2026_Client_Churn_v1[ID_Client],"non trouvé")</f>
        <v>CLI-00559</v>
      </c>
      <c r="L1005">
        <f>_xlfn.XLOOKUP(_26_03_2026_Log_Reseau_v15[[#This Row],[province RDC]],_26_03_2026_Client_Churn_v1[Province_Client],_26_03_2026_Client_Churn_v1[Anciennete_Mois],"non trouvé")</f>
        <v>99</v>
      </c>
      <c r="M1005" t="str">
        <f>_xlfn.XLOOKUP(_26_03_2026_Log_Reseau_v15[[#This Row],[province RDC]],_26_03_2026_Client_Churn_v1[Province_Client],_26_03_2026_Client_Churn_v1[Type_Forfait],"non trouvé")</f>
        <v>Bloqué 5Go</v>
      </c>
      <c r="N1005">
        <f>_xlfn.XLOOKUP(_26_03_2026_Log_Reseau_v15[[#This Row],[province RDC]],_26_03_2026_Client_Churn_v1[Province_Client],_26_03_2026_Client_Churn_v1[Duree_Cumulee_Panne_Min],"non trouvé")</f>
        <v>369</v>
      </c>
      <c r="O1005">
        <f>_xlfn.XLOOKUP(_26_03_2026_Log_Reseau_v15[[#This Row],[province RDC]],_26_03_2026_Client_Churn_v1[Province_Client],_26_03_2026_Client_Churn_v1[Facture_Mensuelle],"non trouvé")</f>
        <v>67.209999999999994</v>
      </c>
      <c r="P1005">
        <f>_xlfn.XLOOKUP(_26_03_2026_Log_Reseau_v15[[#This Row],[province RDC]],_26_03_2026_Client_Churn_v1[Province_Client],_26_03_2026_Client_Churn_v1[Plaintes_Service_Client],"non trouvé")</f>
        <v>3</v>
      </c>
    </row>
    <row r="1006" spans="1:16" x14ac:dyDescent="0.25">
      <c r="A1006" s="1">
        <v>45200</v>
      </c>
      <c r="B1006" s="2">
        <v>7.8472222222222221E-2</v>
      </c>
      <c r="C1006" t="s">
        <v>1425</v>
      </c>
      <c r="D1006">
        <v>40</v>
      </c>
      <c r="E1006" t="s">
        <v>807</v>
      </c>
      <c r="F1006" t="str">
        <f>_xlfn.XLOOKUP(_26_03_2026_Log_Reseau_v15[[#This Row],[Cell_ID]],_26_03_2026_Registre_Maintenance_v1[ID_Antenne],_26_03_2026_Registre_Maintenance_v1[zone],"pas trouvé")</f>
        <v>Kasai</v>
      </c>
      <c r="G1006">
        <f>_xlfn.XLOOKUP(_26_03_2026_Log_Reseau_v15[[#This Row],[Cell_ID]],_26_03_2026_Registre_Maintenance_v1[ID_Antenne],_26_03_2026_Registre_Maintenance_v1[Latitude],"non trouvé")</f>
        <v>-10.165072</v>
      </c>
      <c r="H1006">
        <f>_xlfn.XLOOKUP(_26_03_2026_Log_Reseau_v15[[#This Row],[Cell_ID]],_26_03_2026_Registre_Maintenance_v1[ID_Antenne],_26_03_2026_Registre_Maintenance_v1[Longitude],"pas trouvé")</f>
        <v>29.428024000000001</v>
      </c>
      <c r="I1006" t="str">
        <f>_xlfn.XLOOKUP(_26_03_2026_Log_Reseau_v15[[#This Row],[Cell_ID]],_26_03_2026_Registre_Maintenance_v1[ID_Antenne],_26_03_2026_Registre_Maintenance_v1[Technologie],"non trouvé")</f>
        <v>5G</v>
      </c>
      <c r="J1006" t="str">
        <f>_xlfn.XLOOKUP(_26_03_2026_Log_Reseau_v15[[#This Row],[Cell_ID]],_26_03_2026_Registre_Maintenance_v1[ID_Antenne],_26_03_2026_Registre_Maintenance_v1[Equipementier],"pas trouvé")</f>
        <v>Huawei</v>
      </c>
      <c r="K1006" t="str">
        <f>_xlfn.XLOOKUP(_26_03_2026_Log_Reseau_v15[[#This Row],[province RDC]],_26_03_2026_Client_Churn_v1[Province_Client],_26_03_2026_Client_Churn_v1[ID_Client],"non trouvé")</f>
        <v>CLI-00559</v>
      </c>
      <c r="L1006">
        <f>_xlfn.XLOOKUP(_26_03_2026_Log_Reseau_v15[[#This Row],[province RDC]],_26_03_2026_Client_Churn_v1[Province_Client],_26_03_2026_Client_Churn_v1[Anciennete_Mois],"non trouvé")</f>
        <v>99</v>
      </c>
      <c r="M1006" t="str">
        <f>_xlfn.XLOOKUP(_26_03_2026_Log_Reseau_v15[[#This Row],[province RDC]],_26_03_2026_Client_Churn_v1[Province_Client],_26_03_2026_Client_Churn_v1[Type_Forfait],"non trouvé")</f>
        <v>Bloqué 5Go</v>
      </c>
      <c r="N1006">
        <f>_xlfn.XLOOKUP(_26_03_2026_Log_Reseau_v15[[#This Row],[province RDC]],_26_03_2026_Client_Churn_v1[Province_Client],_26_03_2026_Client_Churn_v1[Duree_Cumulee_Panne_Min],"non trouvé")</f>
        <v>369</v>
      </c>
      <c r="O1006">
        <f>_xlfn.XLOOKUP(_26_03_2026_Log_Reseau_v15[[#This Row],[province RDC]],_26_03_2026_Client_Churn_v1[Province_Client],_26_03_2026_Client_Churn_v1[Facture_Mensuelle],"non trouvé")</f>
        <v>67.209999999999994</v>
      </c>
      <c r="P1006">
        <f>_xlfn.XLOOKUP(_26_03_2026_Log_Reseau_v15[[#This Row],[province RDC]],_26_03_2026_Client_Churn_v1[Province_Client],_26_03_2026_Client_Churn_v1[Plaintes_Service_Client],"non trouvé")</f>
        <v>3</v>
      </c>
    </row>
    <row r="1007" spans="1:16" x14ac:dyDescent="0.25">
      <c r="A1007" s="1">
        <v>45211</v>
      </c>
      <c r="B1007" s="2">
        <v>0.22430555555555556</v>
      </c>
      <c r="C1007" t="s">
        <v>1426</v>
      </c>
      <c r="D1007">
        <v>37</v>
      </c>
      <c r="E1007" t="s">
        <v>807</v>
      </c>
      <c r="F1007" t="str">
        <f>_xlfn.XLOOKUP(_26_03_2026_Log_Reseau_v15[[#This Row],[Cell_ID]],_26_03_2026_Registre_Maintenance_v1[ID_Antenne],_26_03_2026_Registre_Maintenance_v1[zone],"pas trouvé")</f>
        <v>Tanganyika</v>
      </c>
      <c r="G1007">
        <f>_xlfn.XLOOKUP(_26_03_2026_Log_Reseau_v15[[#This Row],[Cell_ID]],_26_03_2026_Registre_Maintenance_v1[ID_Antenne],_26_03_2026_Registre_Maintenance_v1[Latitude],"non trouvé")</f>
        <v>-2.4662510000000002</v>
      </c>
      <c r="H1007">
        <f>_xlfn.XLOOKUP(_26_03_2026_Log_Reseau_v15[[#This Row],[Cell_ID]],_26_03_2026_Registre_Maintenance_v1[ID_Antenne],_26_03_2026_Registre_Maintenance_v1[Longitude],"pas trouvé")</f>
        <v>18.007998000000001</v>
      </c>
      <c r="I1007" t="str">
        <f>_xlfn.XLOOKUP(_26_03_2026_Log_Reseau_v15[[#This Row],[Cell_ID]],_26_03_2026_Registre_Maintenance_v1[ID_Antenne],_26_03_2026_Registre_Maintenance_v1[Technologie],"non trouvé")</f>
        <v>5G</v>
      </c>
      <c r="J1007" t="str">
        <f>_xlfn.XLOOKUP(_26_03_2026_Log_Reseau_v15[[#This Row],[Cell_ID]],_26_03_2026_Registre_Maintenance_v1[ID_Antenne],_26_03_2026_Registre_Maintenance_v1[Equipementier],"pas trouvé")</f>
        <v>Ericsson</v>
      </c>
      <c r="K1007" t="str">
        <f>_xlfn.XLOOKUP(_26_03_2026_Log_Reseau_v15[[#This Row],[province RDC]],_26_03_2026_Client_Churn_v1[Province_Client],_26_03_2026_Client_Churn_v1[ID_Client],"non trouvé")</f>
        <v>CLI-01618</v>
      </c>
      <c r="L1007">
        <f>_xlfn.XLOOKUP(_26_03_2026_Log_Reseau_v15[[#This Row],[province RDC]],_26_03_2026_Client_Churn_v1[Province_Client],_26_03_2026_Client_Churn_v1[Anciennete_Mois],"non trouvé")</f>
        <v>115</v>
      </c>
      <c r="M1007" t="str">
        <f>_xlfn.XLOOKUP(_26_03_2026_Log_Reseau_v15[[#This Row],[province RDC]],_26_03_2026_Client_Churn_v1[Province_Client],_26_03_2026_Client_Churn_v1[Type_Forfait],"non trouvé")</f>
        <v>Bloqué 5Go</v>
      </c>
      <c r="N1007">
        <f>_xlfn.XLOOKUP(_26_03_2026_Log_Reseau_v15[[#This Row],[province RDC]],_26_03_2026_Client_Churn_v1[Province_Client],_26_03_2026_Client_Churn_v1[Duree_Cumulee_Panne_Min],"non trouvé")</f>
        <v>176</v>
      </c>
      <c r="O1007">
        <f>_xlfn.XLOOKUP(_26_03_2026_Log_Reseau_v15[[#This Row],[province RDC]],_26_03_2026_Client_Churn_v1[Province_Client],_26_03_2026_Client_Churn_v1[Facture_Mensuelle],"non trouvé")</f>
        <v>33.28</v>
      </c>
      <c r="P1007">
        <f>_xlfn.XLOOKUP(_26_03_2026_Log_Reseau_v15[[#This Row],[province RDC]],_26_03_2026_Client_Churn_v1[Province_Client],_26_03_2026_Client_Churn_v1[Plaintes_Service_Client],"non trouvé")</f>
        <v>4</v>
      </c>
    </row>
    <row r="1008" spans="1:16" x14ac:dyDescent="0.25">
      <c r="A1008" s="1">
        <v>45221</v>
      </c>
      <c r="B1008" s="2">
        <v>0.71736111111111112</v>
      </c>
      <c r="C1008" t="s">
        <v>1426</v>
      </c>
      <c r="D1008">
        <v>14</v>
      </c>
      <c r="E1008" t="s">
        <v>807</v>
      </c>
      <c r="F1008" t="str">
        <f>_xlfn.XLOOKUP(_26_03_2026_Log_Reseau_v15[[#This Row],[Cell_ID]],_26_03_2026_Registre_Maintenance_v1[ID_Antenne],_26_03_2026_Registre_Maintenance_v1[zone],"pas trouvé")</f>
        <v>Tanganyika</v>
      </c>
      <c r="G1008">
        <f>_xlfn.XLOOKUP(_26_03_2026_Log_Reseau_v15[[#This Row],[Cell_ID]],_26_03_2026_Registre_Maintenance_v1[ID_Antenne],_26_03_2026_Registre_Maintenance_v1[Latitude],"non trouvé")</f>
        <v>-2.4662510000000002</v>
      </c>
      <c r="H1008">
        <f>_xlfn.XLOOKUP(_26_03_2026_Log_Reseau_v15[[#This Row],[Cell_ID]],_26_03_2026_Registre_Maintenance_v1[ID_Antenne],_26_03_2026_Registre_Maintenance_v1[Longitude],"pas trouvé")</f>
        <v>18.007998000000001</v>
      </c>
      <c r="I1008" t="str">
        <f>_xlfn.XLOOKUP(_26_03_2026_Log_Reseau_v15[[#This Row],[Cell_ID]],_26_03_2026_Registre_Maintenance_v1[ID_Antenne],_26_03_2026_Registre_Maintenance_v1[Technologie],"non trouvé")</f>
        <v>5G</v>
      </c>
      <c r="J1008" t="str">
        <f>_xlfn.XLOOKUP(_26_03_2026_Log_Reseau_v15[[#This Row],[Cell_ID]],_26_03_2026_Registre_Maintenance_v1[ID_Antenne],_26_03_2026_Registre_Maintenance_v1[Equipementier],"pas trouvé")</f>
        <v>Ericsson</v>
      </c>
      <c r="K1008" t="str">
        <f>_xlfn.XLOOKUP(_26_03_2026_Log_Reseau_v15[[#This Row],[province RDC]],_26_03_2026_Client_Churn_v1[Province_Client],_26_03_2026_Client_Churn_v1[ID_Client],"non trouvé")</f>
        <v>CLI-01618</v>
      </c>
      <c r="L1008">
        <f>_xlfn.XLOOKUP(_26_03_2026_Log_Reseau_v15[[#This Row],[province RDC]],_26_03_2026_Client_Churn_v1[Province_Client],_26_03_2026_Client_Churn_v1[Anciennete_Mois],"non trouvé")</f>
        <v>115</v>
      </c>
      <c r="M1008" t="str">
        <f>_xlfn.XLOOKUP(_26_03_2026_Log_Reseau_v15[[#This Row],[province RDC]],_26_03_2026_Client_Churn_v1[Province_Client],_26_03_2026_Client_Churn_v1[Type_Forfait],"non trouvé")</f>
        <v>Bloqué 5Go</v>
      </c>
      <c r="N1008">
        <f>_xlfn.XLOOKUP(_26_03_2026_Log_Reseau_v15[[#This Row],[province RDC]],_26_03_2026_Client_Churn_v1[Province_Client],_26_03_2026_Client_Churn_v1[Duree_Cumulee_Panne_Min],"non trouvé")</f>
        <v>176</v>
      </c>
      <c r="O1008">
        <f>_xlfn.XLOOKUP(_26_03_2026_Log_Reseau_v15[[#This Row],[province RDC]],_26_03_2026_Client_Churn_v1[Province_Client],_26_03_2026_Client_Churn_v1[Facture_Mensuelle],"non trouvé")</f>
        <v>33.28</v>
      </c>
      <c r="P1008">
        <f>_xlfn.XLOOKUP(_26_03_2026_Log_Reseau_v15[[#This Row],[province RDC]],_26_03_2026_Client_Churn_v1[Province_Client],_26_03_2026_Client_Churn_v1[Plaintes_Service_Client],"non trouvé")</f>
        <v>4</v>
      </c>
    </row>
    <row r="1009" spans="1:16" x14ac:dyDescent="0.25">
      <c r="A1009" s="1">
        <v>45222</v>
      </c>
      <c r="B1009" s="2">
        <v>0.4152777777777778</v>
      </c>
      <c r="C1009" t="s">
        <v>1427</v>
      </c>
      <c r="D1009">
        <v>73</v>
      </c>
      <c r="E1009" t="s">
        <v>807</v>
      </c>
      <c r="F1009" t="str">
        <f>_xlfn.XLOOKUP(_26_03_2026_Log_Reseau_v15[[#This Row],[Cell_ID]],_26_03_2026_Registre_Maintenance_v1[ID_Antenne],_26_03_2026_Registre_Maintenance_v1[zone],"pas trouvé")</f>
        <v>Nord-Ubangi</v>
      </c>
      <c r="G1009">
        <f>_xlfn.XLOOKUP(_26_03_2026_Log_Reseau_v15[[#This Row],[Cell_ID]],_26_03_2026_Registre_Maintenance_v1[ID_Antenne],_26_03_2026_Registre_Maintenance_v1[Latitude],"non trouvé")</f>
        <v>-4.8128659999999996</v>
      </c>
      <c r="H1009">
        <f>_xlfn.XLOOKUP(_26_03_2026_Log_Reseau_v15[[#This Row],[Cell_ID]],_26_03_2026_Registre_Maintenance_v1[ID_Antenne],_26_03_2026_Registre_Maintenance_v1[Longitude],"pas trouvé")</f>
        <v>18.559304999999998</v>
      </c>
      <c r="I1009" t="str">
        <f>_xlfn.XLOOKUP(_26_03_2026_Log_Reseau_v15[[#This Row],[Cell_ID]],_26_03_2026_Registre_Maintenance_v1[ID_Antenne],_26_03_2026_Registre_Maintenance_v1[Technologie],"non trouvé")</f>
        <v>5G</v>
      </c>
      <c r="J1009" t="str">
        <f>_xlfn.XLOOKUP(_26_03_2026_Log_Reseau_v15[[#This Row],[Cell_ID]],_26_03_2026_Registre_Maintenance_v1[ID_Antenne],_26_03_2026_Registre_Maintenance_v1[Equipementier],"pas trouvé")</f>
        <v>ZTE</v>
      </c>
      <c r="K1009" t="str">
        <f>_xlfn.XLOOKUP(_26_03_2026_Log_Reseau_v15[[#This Row],[province RDC]],_26_03_2026_Client_Churn_v1[Province_Client],_26_03_2026_Client_Churn_v1[ID_Client],"non trouvé")</f>
        <v>CLI-01170</v>
      </c>
      <c r="L1009">
        <f>_xlfn.XLOOKUP(_26_03_2026_Log_Reseau_v15[[#This Row],[province RDC]],_26_03_2026_Client_Churn_v1[Province_Client],_26_03_2026_Client_Churn_v1[Anciennete_Mois],"non trouvé")</f>
        <v>98</v>
      </c>
      <c r="M1009" t="str">
        <f>_xlfn.XLOOKUP(_26_03_2026_Log_Reseau_v15[[#This Row],[province RDC]],_26_03_2026_Client_Churn_v1[Province_Client],_26_03_2026_Client_Churn_v1[Type_Forfait],"non trouvé")</f>
        <v>Pro Monde</v>
      </c>
      <c r="N1009">
        <f>_xlfn.XLOOKUP(_26_03_2026_Log_Reseau_v15[[#This Row],[province RDC]],_26_03_2026_Client_Churn_v1[Province_Client],_26_03_2026_Client_Churn_v1[Duree_Cumulee_Panne_Min],"non trouvé")</f>
        <v>482</v>
      </c>
      <c r="O1009">
        <f>_xlfn.XLOOKUP(_26_03_2026_Log_Reseau_v15[[#This Row],[province RDC]],_26_03_2026_Client_Churn_v1[Province_Client],_26_03_2026_Client_Churn_v1[Facture_Mensuelle],"non trouvé")</f>
        <v>55.04</v>
      </c>
      <c r="P1009">
        <f>_xlfn.XLOOKUP(_26_03_2026_Log_Reseau_v15[[#This Row],[province RDC]],_26_03_2026_Client_Churn_v1[Province_Client],_26_03_2026_Client_Churn_v1[Plaintes_Service_Client],"non trouvé")</f>
        <v>5</v>
      </c>
    </row>
    <row r="1010" spans="1:16" hidden="1" x14ac:dyDescent="0.25">
      <c r="A1010" s="1">
        <v>45223</v>
      </c>
      <c r="B1010" s="2">
        <v>0.36527777777777776</v>
      </c>
      <c r="C1010" t="s">
        <v>1428</v>
      </c>
      <c r="D1010">
        <v>104</v>
      </c>
      <c r="E1010" t="s">
        <v>808</v>
      </c>
      <c r="F1010" t="str">
        <f>_xlfn.XLOOKUP(_26_03_2026_Log_Reseau_v15[[#This Row],[Cell_ID]],_26_03_2026_Registre_Maintenance_v1[ID_Antenne],_26_03_2026_Registre_Maintenance_v1[zone],"pas trouvé")</f>
        <v>pas trouvé</v>
      </c>
      <c r="G1010" t="str">
        <f>_xlfn.XLOOKUP(_26_03_2026_Log_Reseau_v15[[#This Row],[Cell_ID]],_26_03_2026_Registre_Maintenance_v1[ID_Antenne],_26_03_2026_Registre_Maintenance_v1[Latitude],"non trouvé")</f>
        <v>non trouvé</v>
      </c>
      <c r="H1010" t="str">
        <f>_xlfn.XLOOKUP(_26_03_2026_Log_Reseau_v15[[#This Row],[Cell_ID]],_26_03_2026_Registre_Maintenance_v1[ID_Antenne],_26_03_2026_Registre_Maintenance_v1[Longitude],"pas trouvé")</f>
        <v>pas trouvé</v>
      </c>
      <c r="I1010" t="str">
        <f>_xlfn.XLOOKUP(_26_03_2026_Log_Reseau_v15[[#This Row],[Cell_ID]],_26_03_2026_Registre_Maintenance_v1[ID_Antenne],_26_03_2026_Registre_Maintenance_v1[Technologie],"non trouvé")</f>
        <v>non trouvé</v>
      </c>
      <c r="J1010" t="str">
        <f>_xlfn.XLOOKUP(_26_03_2026_Log_Reseau_v15[[#This Row],[Cell_ID]],_26_03_2026_Registre_Maintenance_v1[ID_Antenne],_26_03_2026_Registre_Maintenance_v1[Equipementier],"pas trouvé")</f>
        <v>pas trouvé</v>
      </c>
      <c r="K1010" t="str">
        <f>_xlfn.XLOOKUP(_26_03_2026_Log_Reseau_v15[[#This Row],[province RDC]],_26_03_2026_Client_Churn_v1[Province_Client],_26_03_2026_Client_Churn_v1[ID_Client],"non trouvé")</f>
        <v>non trouvé</v>
      </c>
      <c r="L1010" t="str">
        <f>_xlfn.XLOOKUP(_26_03_2026_Log_Reseau_v15[[#This Row],[province RDC]],_26_03_2026_Client_Churn_v1[Province_Client],_26_03_2026_Client_Churn_v1[Anciennete_Mois],"non trouvé")</f>
        <v>non trouvé</v>
      </c>
      <c r="M1010" t="str">
        <f>_xlfn.XLOOKUP(_26_03_2026_Log_Reseau_v15[[#This Row],[province RDC]],_26_03_2026_Client_Churn_v1[Province_Client],_26_03_2026_Client_Churn_v1[Type_Forfait],"non trouvé")</f>
        <v>non trouvé</v>
      </c>
      <c r="N1010" t="str">
        <f>_xlfn.XLOOKUP(_26_03_2026_Log_Reseau_v15[[#This Row],[province RDC]],_26_03_2026_Client_Churn_v1[Province_Client],_26_03_2026_Client_Churn_v1[Duree_Cumulee_Panne_Min],"non trouvé")</f>
        <v>non trouvé</v>
      </c>
      <c r="O1010" t="str">
        <f>_xlfn.XLOOKUP(_26_03_2026_Log_Reseau_v15[[#This Row],[province RDC]],_26_03_2026_Client_Churn_v1[Province_Client],_26_03_2026_Client_Churn_v1[Facture_Mensuelle],"non trouvé")</f>
        <v>non trouvé</v>
      </c>
      <c r="P1010" t="str">
        <f>_xlfn.XLOOKUP(_26_03_2026_Log_Reseau_v15[[#This Row],[province RDC]],_26_03_2026_Client_Churn_v1[Province_Client],_26_03_2026_Client_Churn_v1[Plaintes_Service_Client],"non trouvé")</f>
        <v>non trouvé</v>
      </c>
    </row>
    <row r="1011" spans="1:16" x14ac:dyDescent="0.25">
      <c r="A1011" s="1">
        <v>45203</v>
      </c>
      <c r="B1011" s="2">
        <v>0.51180555555555551</v>
      </c>
      <c r="C1011" t="s">
        <v>1429</v>
      </c>
      <c r="D1011">
        <v>64</v>
      </c>
      <c r="E1011" t="s">
        <v>812</v>
      </c>
      <c r="F1011" t="str">
        <f>_xlfn.XLOOKUP(_26_03_2026_Log_Reseau_v15[[#This Row],[Cell_ID]],_26_03_2026_Registre_Maintenance_v1[ID_Antenne],_26_03_2026_Registre_Maintenance_v1[zone],"pas trouvé")</f>
        <v>Tshopo</v>
      </c>
      <c r="G1011">
        <f>_xlfn.XLOOKUP(_26_03_2026_Log_Reseau_v15[[#This Row],[Cell_ID]],_26_03_2026_Registre_Maintenance_v1[ID_Antenne],_26_03_2026_Registre_Maintenance_v1[Latitude],"non trouvé")</f>
        <v>0.23583499999999999</v>
      </c>
      <c r="H1011">
        <f>_xlfn.XLOOKUP(_26_03_2026_Log_Reseau_v15[[#This Row],[Cell_ID]],_26_03_2026_Registre_Maintenance_v1[ID_Antenne],_26_03_2026_Registre_Maintenance_v1[Longitude],"pas trouvé")</f>
        <v>24.889558999999998</v>
      </c>
      <c r="I1011" t="str">
        <f>_xlfn.XLOOKUP(_26_03_2026_Log_Reseau_v15[[#This Row],[Cell_ID]],_26_03_2026_Registre_Maintenance_v1[ID_Antenne],_26_03_2026_Registre_Maintenance_v1[Technologie],"non trouvé")</f>
        <v>3G</v>
      </c>
      <c r="J1011" t="str">
        <f>_xlfn.XLOOKUP(_26_03_2026_Log_Reseau_v15[[#This Row],[Cell_ID]],_26_03_2026_Registre_Maintenance_v1[ID_Antenne],_26_03_2026_Registre_Maintenance_v1[Equipementier],"pas trouvé")</f>
        <v>ZTE</v>
      </c>
      <c r="K1011" t="str">
        <f>_xlfn.XLOOKUP(_26_03_2026_Log_Reseau_v15[[#This Row],[province RDC]],_26_03_2026_Client_Churn_v1[Province_Client],_26_03_2026_Client_Churn_v1[ID_Client],"non trouvé")</f>
        <v>CLI-00745</v>
      </c>
      <c r="L1011">
        <f>_xlfn.XLOOKUP(_26_03_2026_Log_Reseau_v15[[#This Row],[province RDC]],_26_03_2026_Client_Churn_v1[Province_Client],_26_03_2026_Client_Churn_v1[Anciennete_Mois],"non trouvé")</f>
        <v>6</v>
      </c>
      <c r="M1011" t="str">
        <f>_xlfn.XLOOKUP(_26_03_2026_Log_Reseau_v15[[#This Row],[province RDC]],_26_03_2026_Client_Churn_v1[Province_Client],_26_03_2026_Client_Churn_v1[Type_Forfait],"non trouvé")</f>
        <v>Premium 5G 150Go</v>
      </c>
      <c r="N1011">
        <f>_xlfn.XLOOKUP(_26_03_2026_Log_Reseau_v15[[#This Row],[province RDC]],_26_03_2026_Client_Churn_v1[Province_Client],_26_03_2026_Client_Churn_v1[Duree_Cumulee_Panne_Min],"non trouvé")</f>
        <v>207</v>
      </c>
      <c r="O1011">
        <f>_xlfn.XLOOKUP(_26_03_2026_Log_Reseau_v15[[#This Row],[province RDC]],_26_03_2026_Client_Churn_v1[Province_Client],_26_03_2026_Client_Churn_v1[Facture_Mensuelle],"non trouvé")</f>
        <v>61.55</v>
      </c>
      <c r="P1011">
        <f>_xlfn.XLOOKUP(_26_03_2026_Log_Reseau_v15[[#This Row],[province RDC]],_26_03_2026_Client_Churn_v1[Province_Client],_26_03_2026_Client_Churn_v1[Plaintes_Service_Client],"non trouvé")</f>
        <v>0</v>
      </c>
    </row>
    <row r="1012" spans="1:16" x14ac:dyDescent="0.25">
      <c r="A1012" s="1">
        <v>45220</v>
      </c>
      <c r="B1012" s="2">
        <v>0.20694444444444443</v>
      </c>
      <c r="C1012" t="s">
        <v>1430</v>
      </c>
      <c r="D1012">
        <v>25</v>
      </c>
      <c r="E1012" t="s">
        <v>807</v>
      </c>
      <c r="F1012" t="str">
        <f>_xlfn.XLOOKUP(_26_03_2026_Log_Reseau_v15[[#This Row],[Cell_ID]],_26_03_2026_Registre_Maintenance_v1[ID_Antenne],_26_03_2026_Registre_Maintenance_v1[zone],"pas trouvé")</f>
        <v>Equateur</v>
      </c>
      <c r="G1012">
        <f>_xlfn.XLOOKUP(_26_03_2026_Log_Reseau_v15[[#This Row],[Cell_ID]],_26_03_2026_Registre_Maintenance_v1[ID_Antenne],_26_03_2026_Registre_Maintenance_v1[Latitude],"non trouvé")</f>
        <v>3.3289240000000002</v>
      </c>
      <c r="H1012">
        <f>_xlfn.XLOOKUP(_26_03_2026_Log_Reseau_v15[[#This Row],[Cell_ID]],_26_03_2026_Registre_Maintenance_v1[ID_Antenne],_26_03_2026_Registre_Maintenance_v1[Longitude],"pas trouvé")</f>
        <v>24.412261000000001</v>
      </c>
      <c r="I1012" t="str">
        <f>_xlfn.XLOOKUP(_26_03_2026_Log_Reseau_v15[[#This Row],[Cell_ID]],_26_03_2026_Registre_Maintenance_v1[ID_Antenne],_26_03_2026_Registre_Maintenance_v1[Technologie],"non trouvé")</f>
        <v>5G</v>
      </c>
      <c r="J1012" t="str">
        <f>_xlfn.XLOOKUP(_26_03_2026_Log_Reseau_v15[[#This Row],[Cell_ID]],_26_03_2026_Registre_Maintenance_v1[ID_Antenne],_26_03_2026_Registre_Maintenance_v1[Equipementier],"pas trouvé")</f>
        <v>Nokia</v>
      </c>
      <c r="K1012" t="str">
        <f>_xlfn.XLOOKUP(_26_03_2026_Log_Reseau_v15[[#This Row],[province RDC]],_26_03_2026_Client_Churn_v1[Province_Client],_26_03_2026_Client_Churn_v1[ID_Client],"non trouvé")</f>
        <v>CLI-00643</v>
      </c>
      <c r="L1012">
        <f>_xlfn.XLOOKUP(_26_03_2026_Log_Reseau_v15[[#This Row],[province RDC]],_26_03_2026_Client_Churn_v1[Province_Client],_26_03_2026_Client_Churn_v1[Anciennete_Mois],"non trouvé")</f>
        <v>14</v>
      </c>
      <c r="M1012" t="str">
        <f>_xlfn.XLOOKUP(_26_03_2026_Log_Reseau_v15[[#This Row],[province RDC]],_26_03_2026_Client_Churn_v1[Province_Client],_26_03_2026_Client_Churn_v1[Type_Forfait],"non trouvé")</f>
        <v>Pro Monde</v>
      </c>
      <c r="N1012">
        <f>_xlfn.XLOOKUP(_26_03_2026_Log_Reseau_v15[[#This Row],[province RDC]],_26_03_2026_Client_Churn_v1[Province_Client],_26_03_2026_Client_Churn_v1[Duree_Cumulee_Panne_Min],"non trouvé")</f>
        <v>316</v>
      </c>
      <c r="O1012">
        <f>_xlfn.XLOOKUP(_26_03_2026_Log_Reseau_v15[[#This Row],[province RDC]],_26_03_2026_Client_Churn_v1[Province_Client],_26_03_2026_Client_Churn_v1[Facture_Mensuelle],"non trouvé")</f>
        <v>62.34</v>
      </c>
      <c r="P1012">
        <f>_xlfn.XLOOKUP(_26_03_2026_Log_Reseau_v15[[#This Row],[province RDC]],_26_03_2026_Client_Churn_v1[Province_Client],_26_03_2026_Client_Churn_v1[Plaintes_Service_Client],"non trouvé")</f>
        <v>4</v>
      </c>
    </row>
    <row r="1013" spans="1:16" hidden="1" x14ac:dyDescent="0.25">
      <c r="A1013" s="1">
        <v>45219</v>
      </c>
      <c r="B1013" s="2">
        <v>0.9291666666666667</v>
      </c>
      <c r="C1013" t="s">
        <v>1431</v>
      </c>
      <c r="D1013">
        <v>115</v>
      </c>
      <c r="E1013" t="s">
        <v>807</v>
      </c>
      <c r="F1013" t="str">
        <f>_xlfn.XLOOKUP(_26_03_2026_Log_Reseau_v15[[#This Row],[Cell_ID]],_26_03_2026_Registre_Maintenance_v1[ID_Antenne],_26_03_2026_Registre_Maintenance_v1[zone],"pas trouvé")</f>
        <v>pas trouvé</v>
      </c>
      <c r="G1013" t="str">
        <f>_xlfn.XLOOKUP(_26_03_2026_Log_Reseau_v15[[#This Row],[Cell_ID]],_26_03_2026_Registre_Maintenance_v1[ID_Antenne],_26_03_2026_Registre_Maintenance_v1[Latitude],"non trouvé")</f>
        <v>non trouvé</v>
      </c>
      <c r="H1013" t="str">
        <f>_xlfn.XLOOKUP(_26_03_2026_Log_Reseau_v15[[#This Row],[Cell_ID]],_26_03_2026_Registre_Maintenance_v1[ID_Antenne],_26_03_2026_Registre_Maintenance_v1[Longitude],"pas trouvé")</f>
        <v>pas trouvé</v>
      </c>
      <c r="I1013" t="str">
        <f>_xlfn.XLOOKUP(_26_03_2026_Log_Reseau_v15[[#This Row],[Cell_ID]],_26_03_2026_Registre_Maintenance_v1[ID_Antenne],_26_03_2026_Registre_Maintenance_v1[Technologie],"non trouvé")</f>
        <v>non trouvé</v>
      </c>
      <c r="J1013" t="str">
        <f>_xlfn.XLOOKUP(_26_03_2026_Log_Reseau_v15[[#This Row],[Cell_ID]],_26_03_2026_Registre_Maintenance_v1[ID_Antenne],_26_03_2026_Registre_Maintenance_v1[Equipementier],"pas trouvé")</f>
        <v>pas trouvé</v>
      </c>
      <c r="K1013" t="str">
        <f>_xlfn.XLOOKUP(_26_03_2026_Log_Reseau_v15[[#This Row],[province RDC]],_26_03_2026_Client_Churn_v1[Province_Client],_26_03_2026_Client_Churn_v1[ID_Client],"non trouvé")</f>
        <v>non trouvé</v>
      </c>
      <c r="L1013" t="str">
        <f>_xlfn.XLOOKUP(_26_03_2026_Log_Reseau_v15[[#This Row],[province RDC]],_26_03_2026_Client_Churn_v1[Province_Client],_26_03_2026_Client_Churn_v1[Anciennete_Mois],"non trouvé")</f>
        <v>non trouvé</v>
      </c>
      <c r="M1013" t="str">
        <f>_xlfn.XLOOKUP(_26_03_2026_Log_Reseau_v15[[#This Row],[province RDC]],_26_03_2026_Client_Churn_v1[Province_Client],_26_03_2026_Client_Churn_v1[Type_Forfait],"non trouvé")</f>
        <v>non trouvé</v>
      </c>
      <c r="N1013" t="str">
        <f>_xlfn.XLOOKUP(_26_03_2026_Log_Reseau_v15[[#This Row],[province RDC]],_26_03_2026_Client_Churn_v1[Province_Client],_26_03_2026_Client_Churn_v1[Duree_Cumulee_Panne_Min],"non trouvé")</f>
        <v>non trouvé</v>
      </c>
      <c r="O1013" t="str">
        <f>_xlfn.XLOOKUP(_26_03_2026_Log_Reseau_v15[[#This Row],[province RDC]],_26_03_2026_Client_Churn_v1[Province_Client],_26_03_2026_Client_Churn_v1[Facture_Mensuelle],"non trouvé")</f>
        <v>non trouvé</v>
      </c>
      <c r="P1013" t="str">
        <f>_xlfn.XLOOKUP(_26_03_2026_Log_Reseau_v15[[#This Row],[province RDC]],_26_03_2026_Client_Churn_v1[Province_Client],_26_03_2026_Client_Churn_v1[Plaintes_Service_Client],"non trouvé")</f>
        <v>non trouvé</v>
      </c>
    </row>
    <row r="1014" spans="1:16" x14ac:dyDescent="0.25">
      <c r="A1014" s="1">
        <v>45218</v>
      </c>
      <c r="B1014" s="2">
        <v>0.63194444444444442</v>
      </c>
      <c r="C1014" t="s">
        <v>1432</v>
      </c>
      <c r="D1014">
        <v>42</v>
      </c>
      <c r="E1014" t="s">
        <v>808</v>
      </c>
      <c r="F1014" t="str">
        <f>_xlfn.XLOOKUP(_26_03_2026_Log_Reseau_v15[[#This Row],[Cell_ID]],_26_03_2026_Registre_Maintenance_v1[ID_Antenne],_26_03_2026_Registre_Maintenance_v1[zone],"pas trouvé")</f>
        <v>Kwilu</v>
      </c>
      <c r="G1014">
        <f>_xlfn.XLOOKUP(_26_03_2026_Log_Reseau_v15[[#This Row],[Cell_ID]],_26_03_2026_Registre_Maintenance_v1[ID_Antenne],_26_03_2026_Registre_Maintenance_v1[Latitude],"non trouvé")</f>
        <v>-0.77432100000000004</v>
      </c>
      <c r="H1014">
        <f>_xlfn.XLOOKUP(_26_03_2026_Log_Reseau_v15[[#This Row],[Cell_ID]],_26_03_2026_Registre_Maintenance_v1[ID_Antenne],_26_03_2026_Registre_Maintenance_v1[Longitude],"pas trouvé")</f>
        <v>18.628658999999999</v>
      </c>
      <c r="I1014" t="str">
        <f>_xlfn.XLOOKUP(_26_03_2026_Log_Reseau_v15[[#This Row],[Cell_ID]],_26_03_2026_Registre_Maintenance_v1[ID_Antenne],_26_03_2026_Registre_Maintenance_v1[Technologie],"non trouvé")</f>
        <v>4G</v>
      </c>
      <c r="J1014" t="str">
        <f>_xlfn.XLOOKUP(_26_03_2026_Log_Reseau_v15[[#This Row],[Cell_ID]],_26_03_2026_Registre_Maintenance_v1[ID_Antenne],_26_03_2026_Registre_Maintenance_v1[Equipementier],"pas trouvé")</f>
        <v>Huawei</v>
      </c>
      <c r="K1014" t="str">
        <f>_xlfn.XLOOKUP(_26_03_2026_Log_Reseau_v15[[#This Row],[province RDC]],_26_03_2026_Client_Churn_v1[Province_Client],_26_03_2026_Client_Churn_v1[ID_Client],"non trouvé")</f>
        <v>CLI-00996</v>
      </c>
      <c r="L1014">
        <f>_xlfn.XLOOKUP(_26_03_2026_Log_Reseau_v15[[#This Row],[province RDC]],_26_03_2026_Client_Churn_v1[Province_Client],_26_03_2026_Client_Churn_v1[Anciennete_Mois],"non trouvé")</f>
        <v>119</v>
      </c>
      <c r="M1014" t="str">
        <f>_xlfn.XLOOKUP(_26_03_2026_Log_Reseau_v15[[#This Row],[province RDC]],_26_03_2026_Client_Churn_v1[Province_Client],_26_03_2026_Client_Churn_v1[Type_Forfait],"non trouvé")</f>
        <v>Illimité 50Go</v>
      </c>
      <c r="N1014">
        <f>_xlfn.XLOOKUP(_26_03_2026_Log_Reseau_v15[[#This Row],[province RDC]],_26_03_2026_Client_Churn_v1[Province_Client],_26_03_2026_Client_Churn_v1[Duree_Cumulee_Panne_Min],"non trouvé")</f>
        <v>228</v>
      </c>
      <c r="O1014">
        <f>_xlfn.XLOOKUP(_26_03_2026_Log_Reseau_v15[[#This Row],[province RDC]],_26_03_2026_Client_Churn_v1[Province_Client],_26_03_2026_Client_Churn_v1[Facture_Mensuelle],"non trouvé")</f>
        <v>94.72</v>
      </c>
      <c r="P1014">
        <f>_xlfn.XLOOKUP(_26_03_2026_Log_Reseau_v15[[#This Row],[province RDC]],_26_03_2026_Client_Churn_v1[Province_Client],_26_03_2026_Client_Churn_v1[Plaintes_Service_Client],"non trouvé")</f>
        <v>3</v>
      </c>
    </row>
    <row r="1015" spans="1:16" x14ac:dyDescent="0.25">
      <c r="A1015" s="1">
        <v>45208</v>
      </c>
      <c r="B1015" s="2">
        <v>0.86388888888888893</v>
      </c>
      <c r="C1015" t="s">
        <v>1432</v>
      </c>
      <c r="D1015">
        <v>92</v>
      </c>
      <c r="E1015" t="s">
        <v>807</v>
      </c>
      <c r="F1015" t="str">
        <f>_xlfn.XLOOKUP(_26_03_2026_Log_Reseau_v15[[#This Row],[Cell_ID]],_26_03_2026_Registre_Maintenance_v1[ID_Antenne],_26_03_2026_Registre_Maintenance_v1[zone],"pas trouvé")</f>
        <v>Kwilu</v>
      </c>
      <c r="G1015">
        <f>_xlfn.XLOOKUP(_26_03_2026_Log_Reseau_v15[[#This Row],[Cell_ID]],_26_03_2026_Registre_Maintenance_v1[ID_Antenne],_26_03_2026_Registre_Maintenance_v1[Latitude],"non trouvé")</f>
        <v>-0.77432100000000004</v>
      </c>
      <c r="H1015">
        <f>_xlfn.XLOOKUP(_26_03_2026_Log_Reseau_v15[[#This Row],[Cell_ID]],_26_03_2026_Registre_Maintenance_v1[ID_Antenne],_26_03_2026_Registre_Maintenance_v1[Longitude],"pas trouvé")</f>
        <v>18.628658999999999</v>
      </c>
      <c r="I1015" t="str">
        <f>_xlfn.XLOOKUP(_26_03_2026_Log_Reseau_v15[[#This Row],[Cell_ID]],_26_03_2026_Registre_Maintenance_v1[ID_Antenne],_26_03_2026_Registre_Maintenance_v1[Technologie],"non trouvé")</f>
        <v>4G</v>
      </c>
      <c r="J1015" t="str">
        <f>_xlfn.XLOOKUP(_26_03_2026_Log_Reseau_v15[[#This Row],[Cell_ID]],_26_03_2026_Registre_Maintenance_v1[ID_Antenne],_26_03_2026_Registre_Maintenance_v1[Equipementier],"pas trouvé")</f>
        <v>Huawei</v>
      </c>
      <c r="K1015" t="str">
        <f>_xlfn.XLOOKUP(_26_03_2026_Log_Reseau_v15[[#This Row],[province RDC]],_26_03_2026_Client_Churn_v1[Province_Client],_26_03_2026_Client_Churn_v1[ID_Client],"non trouvé")</f>
        <v>CLI-00996</v>
      </c>
      <c r="L1015">
        <f>_xlfn.XLOOKUP(_26_03_2026_Log_Reseau_v15[[#This Row],[province RDC]],_26_03_2026_Client_Churn_v1[Province_Client],_26_03_2026_Client_Churn_v1[Anciennete_Mois],"non trouvé")</f>
        <v>119</v>
      </c>
      <c r="M1015" t="str">
        <f>_xlfn.XLOOKUP(_26_03_2026_Log_Reseau_v15[[#This Row],[province RDC]],_26_03_2026_Client_Churn_v1[Province_Client],_26_03_2026_Client_Churn_v1[Type_Forfait],"non trouvé")</f>
        <v>Illimité 50Go</v>
      </c>
      <c r="N1015">
        <f>_xlfn.XLOOKUP(_26_03_2026_Log_Reseau_v15[[#This Row],[province RDC]],_26_03_2026_Client_Churn_v1[Province_Client],_26_03_2026_Client_Churn_v1[Duree_Cumulee_Panne_Min],"non trouvé")</f>
        <v>228</v>
      </c>
      <c r="O1015">
        <f>_xlfn.XLOOKUP(_26_03_2026_Log_Reseau_v15[[#This Row],[province RDC]],_26_03_2026_Client_Churn_v1[Province_Client],_26_03_2026_Client_Churn_v1[Facture_Mensuelle],"non trouvé")</f>
        <v>94.72</v>
      </c>
      <c r="P1015">
        <f>_xlfn.XLOOKUP(_26_03_2026_Log_Reseau_v15[[#This Row],[province RDC]],_26_03_2026_Client_Churn_v1[Province_Client],_26_03_2026_Client_Churn_v1[Plaintes_Service_Client],"non trouvé")</f>
        <v>3</v>
      </c>
    </row>
    <row r="1016" spans="1:16" hidden="1" x14ac:dyDescent="0.25">
      <c r="A1016" s="1">
        <v>45214</v>
      </c>
      <c r="B1016" s="2">
        <v>0.93125000000000002</v>
      </c>
      <c r="C1016" t="s">
        <v>1433</v>
      </c>
      <c r="D1016">
        <v>81</v>
      </c>
      <c r="E1016" t="s">
        <v>808</v>
      </c>
      <c r="F1016" t="str">
        <f>_xlfn.XLOOKUP(_26_03_2026_Log_Reseau_v15[[#This Row],[Cell_ID]],_26_03_2026_Registre_Maintenance_v1[ID_Antenne],_26_03_2026_Registre_Maintenance_v1[zone],"pas trouvé")</f>
        <v>pas trouvé</v>
      </c>
      <c r="G1016" t="str">
        <f>_xlfn.XLOOKUP(_26_03_2026_Log_Reseau_v15[[#This Row],[Cell_ID]],_26_03_2026_Registre_Maintenance_v1[ID_Antenne],_26_03_2026_Registre_Maintenance_v1[Latitude],"non trouvé")</f>
        <v>non trouvé</v>
      </c>
      <c r="H1016" t="str">
        <f>_xlfn.XLOOKUP(_26_03_2026_Log_Reseau_v15[[#This Row],[Cell_ID]],_26_03_2026_Registre_Maintenance_v1[ID_Antenne],_26_03_2026_Registre_Maintenance_v1[Longitude],"pas trouvé")</f>
        <v>pas trouvé</v>
      </c>
      <c r="I1016" t="str">
        <f>_xlfn.XLOOKUP(_26_03_2026_Log_Reseau_v15[[#This Row],[Cell_ID]],_26_03_2026_Registre_Maintenance_v1[ID_Antenne],_26_03_2026_Registre_Maintenance_v1[Technologie],"non trouvé")</f>
        <v>non trouvé</v>
      </c>
      <c r="J1016" t="str">
        <f>_xlfn.XLOOKUP(_26_03_2026_Log_Reseau_v15[[#This Row],[Cell_ID]],_26_03_2026_Registre_Maintenance_v1[ID_Antenne],_26_03_2026_Registre_Maintenance_v1[Equipementier],"pas trouvé")</f>
        <v>pas trouvé</v>
      </c>
      <c r="K1016" t="str">
        <f>_xlfn.XLOOKUP(_26_03_2026_Log_Reseau_v15[[#This Row],[province RDC]],_26_03_2026_Client_Churn_v1[Province_Client],_26_03_2026_Client_Churn_v1[ID_Client],"non trouvé")</f>
        <v>non trouvé</v>
      </c>
      <c r="L1016" t="str">
        <f>_xlfn.XLOOKUP(_26_03_2026_Log_Reseau_v15[[#This Row],[province RDC]],_26_03_2026_Client_Churn_v1[Province_Client],_26_03_2026_Client_Churn_v1[Anciennete_Mois],"non trouvé")</f>
        <v>non trouvé</v>
      </c>
      <c r="M1016" t="str">
        <f>_xlfn.XLOOKUP(_26_03_2026_Log_Reseau_v15[[#This Row],[province RDC]],_26_03_2026_Client_Churn_v1[Province_Client],_26_03_2026_Client_Churn_v1[Type_Forfait],"non trouvé")</f>
        <v>non trouvé</v>
      </c>
      <c r="N1016" t="str">
        <f>_xlfn.XLOOKUP(_26_03_2026_Log_Reseau_v15[[#This Row],[province RDC]],_26_03_2026_Client_Churn_v1[Province_Client],_26_03_2026_Client_Churn_v1[Duree_Cumulee_Panne_Min],"non trouvé")</f>
        <v>non trouvé</v>
      </c>
      <c r="O1016" t="str">
        <f>_xlfn.XLOOKUP(_26_03_2026_Log_Reseau_v15[[#This Row],[province RDC]],_26_03_2026_Client_Churn_v1[Province_Client],_26_03_2026_Client_Churn_v1[Facture_Mensuelle],"non trouvé")</f>
        <v>non trouvé</v>
      </c>
      <c r="P1016" t="str">
        <f>_xlfn.XLOOKUP(_26_03_2026_Log_Reseau_v15[[#This Row],[province RDC]],_26_03_2026_Client_Churn_v1[Province_Client],_26_03_2026_Client_Churn_v1[Plaintes_Service_Client],"non trouvé")</f>
        <v>non trouvé</v>
      </c>
    </row>
    <row r="1017" spans="1:16" hidden="1" x14ac:dyDescent="0.25">
      <c r="A1017" s="1">
        <v>45220</v>
      </c>
      <c r="B1017" s="2">
        <v>0.36805555555555558</v>
      </c>
      <c r="C1017" t="s">
        <v>1433</v>
      </c>
      <c r="D1017">
        <v>47</v>
      </c>
      <c r="E1017" t="s">
        <v>812</v>
      </c>
      <c r="F1017" t="str">
        <f>_xlfn.XLOOKUP(_26_03_2026_Log_Reseau_v15[[#This Row],[Cell_ID]],_26_03_2026_Registre_Maintenance_v1[ID_Antenne],_26_03_2026_Registre_Maintenance_v1[zone],"pas trouvé")</f>
        <v>pas trouvé</v>
      </c>
      <c r="G1017" t="str">
        <f>_xlfn.XLOOKUP(_26_03_2026_Log_Reseau_v15[[#This Row],[Cell_ID]],_26_03_2026_Registre_Maintenance_v1[ID_Antenne],_26_03_2026_Registre_Maintenance_v1[Latitude],"non trouvé")</f>
        <v>non trouvé</v>
      </c>
      <c r="H1017" t="str">
        <f>_xlfn.XLOOKUP(_26_03_2026_Log_Reseau_v15[[#This Row],[Cell_ID]],_26_03_2026_Registre_Maintenance_v1[ID_Antenne],_26_03_2026_Registre_Maintenance_v1[Longitude],"pas trouvé")</f>
        <v>pas trouvé</v>
      </c>
      <c r="I1017" t="str">
        <f>_xlfn.XLOOKUP(_26_03_2026_Log_Reseau_v15[[#This Row],[Cell_ID]],_26_03_2026_Registre_Maintenance_v1[ID_Antenne],_26_03_2026_Registre_Maintenance_v1[Technologie],"non trouvé")</f>
        <v>non trouvé</v>
      </c>
      <c r="J1017" t="str">
        <f>_xlfn.XLOOKUP(_26_03_2026_Log_Reseau_v15[[#This Row],[Cell_ID]],_26_03_2026_Registre_Maintenance_v1[ID_Antenne],_26_03_2026_Registre_Maintenance_v1[Equipementier],"pas trouvé")</f>
        <v>pas trouvé</v>
      </c>
      <c r="K1017" t="str">
        <f>_xlfn.XLOOKUP(_26_03_2026_Log_Reseau_v15[[#This Row],[province RDC]],_26_03_2026_Client_Churn_v1[Province_Client],_26_03_2026_Client_Churn_v1[ID_Client],"non trouvé")</f>
        <v>non trouvé</v>
      </c>
      <c r="L1017" t="str">
        <f>_xlfn.XLOOKUP(_26_03_2026_Log_Reseau_v15[[#This Row],[province RDC]],_26_03_2026_Client_Churn_v1[Province_Client],_26_03_2026_Client_Churn_v1[Anciennete_Mois],"non trouvé")</f>
        <v>non trouvé</v>
      </c>
      <c r="M1017" t="str">
        <f>_xlfn.XLOOKUP(_26_03_2026_Log_Reseau_v15[[#This Row],[province RDC]],_26_03_2026_Client_Churn_v1[Province_Client],_26_03_2026_Client_Churn_v1[Type_Forfait],"non trouvé")</f>
        <v>non trouvé</v>
      </c>
      <c r="N1017" t="str">
        <f>_xlfn.XLOOKUP(_26_03_2026_Log_Reseau_v15[[#This Row],[province RDC]],_26_03_2026_Client_Churn_v1[Province_Client],_26_03_2026_Client_Churn_v1[Duree_Cumulee_Panne_Min],"non trouvé")</f>
        <v>non trouvé</v>
      </c>
      <c r="O1017" t="str">
        <f>_xlfn.XLOOKUP(_26_03_2026_Log_Reseau_v15[[#This Row],[province RDC]],_26_03_2026_Client_Churn_v1[Province_Client],_26_03_2026_Client_Churn_v1[Facture_Mensuelle],"non trouvé")</f>
        <v>non trouvé</v>
      </c>
      <c r="P1017" t="str">
        <f>_xlfn.XLOOKUP(_26_03_2026_Log_Reseau_v15[[#This Row],[province RDC]],_26_03_2026_Client_Churn_v1[Province_Client],_26_03_2026_Client_Churn_v1[Plaintes_Service_Client],"non trouvé")</f>
        <v>non trouvé</v>
      </c>
    </row>
    <row r="1018" spans="1:16" hidden="1" x14ac:dyDescent="0.25">
      <c r="A1018" s="1">
        <v>45210</v>
      </c>
      <c r="B1018" s="2">
        <v>0.92152777777777772</v>
      </c>
      <c r="C1018" t="s">
        <v>1433</v>
      </c>
      <c r="D1018">
        <v>86</v>
      </c>
      <c r="E1018" t="s">
        <v>808</v>
      </c>
      <c r="F1018" t="str">
        <f>_xlfn.XLOOKUP(_26_03_2026_Log_Reseau_v15[[#This Row],[Cell_ID]],_26_03_2026_Registre_Maintenance_v1[ID_Antenne],_26_03_2026_Registre_Maintenance_v1[zone],"pas trouvé")</f>
        <v>pas trouvé</v>
      </c>
      <c r="G1018" t="str">
        <f>_xlfn.XLOOKUP(_26_03_2026_Log_Reseau_v15[[#This Row],[Cell_ID]],_26_03_2026_Registre_Maintenance_v1[ID_Antenne],_26_03_2026_Registre_Maintenance_v1[Latitude],"non trouvé")</f>
        <v>non trouvé</v>
      </c>
      <c r="H1018" t="str">
        <f>_xlfn.XLOOKUP(_26_03_2026_Log_Reseau_v15[[#This Row],[Cell_ID]],_26_03_2026_Registre_Maintenance_v1[ID_Antenne],_26_03_2026_Registre_Maintenance_v1[Longitude],"pas trouvé")</f>
        <v>pas trouvé</v>
      </c>
      <c r="I1018" t="str">
        <f>_xlfn.XLOOKUP(_26_03_2026_Log_Reseau_v15[[#This Row],[Cell_ID]],_26_03_2026_Registre_Maintenance_v1[ID_Antenne],_26_03_2026_Registre_Maintenance_v1[Technologie],"non trouvé")</f>
        <v>non trouvé</v>
      </c>
      <c r="J1018" t="str">
        <f>_xlfn.XLOOKUP(_26_03_2026_Log_Reseau_v15[[#This Row],[Cell_ID]],_26_03_2026_Registre_Maintenance_v1[ID_Antenne],_26_03_2026_Registre_Maintenance_v1[Equipementier],"pas trouvé")</f>
        <v>pas trouvé</v>
      </c>
      <c r="K1018" t="str">
        <f>_xlfn.XLOOKUP(_26_03_2026_Log_Reseau_v15[[#This Row],[province RDC]],_26_03_2026_Client_Churn_v1[Province_Client],_26_03_2026_Client_Churn_v1[ID_Client],"non trouvé")</f>
        <v>non trouvé</v>
      </c>
      <c r="L1018" t="str">
        <f>_xlfn.XLOOKUP(_26_03_2026_Log_Reseau_v15[[#This Row],[province RDC]],_26_03_2026_Client_Churn_v1[Province_Client],_26_03_2026_Client_Churn_v1[Anciennete_Mois],"non trouvé")</f>
        <v>non trouvé</v>
      </c>
      <c r="M1018" t="str">
        <f>_xlfn.XLOOKUP(_26_03_2026_Log_Reseau_v15[[#This Row],[province RDC]],_26_03_2026_Client_Churn_v1[Province_Client],_26_03_2026_Client_Churn_v1[Type_Forfait],"non trouvé")</f>
        <v>non trouvé</v>
      </c>
      <c r="N1018" t="str">
        <f>_xlfn.XLOOKUP(_26_03_2026_Log_Reseau_v15[[#This Row],[province RDC]],_26_03_2026_Client_Churn_v1[Province_Client],_26_03_2026_Client_Churn_v1[Duree_Cumulee_Panne_Min],"non trouvé")</f>
        <v>non trouvé</v>
      </c>
      <c r="O1018" t="str">
        <f>_xlfn.XLOOKUP(_26_03_2026_Log_Reseau_v15[[#This Row],[province RDC]],_26_03_2026_Client_Churn_v1[Province_Client],_26_03_2026_Client_Churn_v1[Facture_Mensuelle],"non trouvé")</f>
        <v>non trouvé</v>
      </c>
      <c r="P1018" t="str">
        <f>_xlfn.XLOOKUP(_26_03_2026_Log_Reseau_v15[[#This Row],[province RDC]],_26_03_2026_Client_Churn_v1[Province_Client],_26_03_2026_Client_Churn_v1[Plaintes_Service_Client],"non trouvé")</f>
        <v>non trouvé</v>
      </c>
    </row>
    <row r="1019" spans="1:16" x14ac:dyDescent="0.25">
      <c r="A1019" s="1">
        <v>45212</v>
      </c>
      <c r="B1019" s="2">
        <v>0.11527777777777778</v>
      </c>
      <c r="C1019" t="s">
        <v>1434</v>
      </c>
      <c r="D1019">
        <v>15</v>
      </c>
      <c r="E1019" t="s">
        <v>808</v>
      </c>
      <c r="F1019" t="str">
        <f>_xlfn.XLOOKUP(_26_03_2026_Log_Reseau_v15[[#This Row],[Cell_ID]],_26_03_2026_Registre_Maintenance_v1[ID_Antenne],_26_03_2026_Registre_Maintenance_v1[zone],"pas trouvé")</f>
        <v>Haut-Lomami</v>
      </c>
      <c r="G1019">
        <f>_xlfn.XLOOKUP(_26_03_2026_Log_Reseau_v15[[#This Row],[Cell_ID]],_26_03_2026_Registre_Maintenance_v1[ID_Antenne],_26_03_2026_Registre_Maintenance_v1[Latitude],"non trouvé")</f>
        <v>-7.1785899999999998</v>
      </c>
      <c r="H1019">
        <f>_xlfn.XLOOKUP(_26_03_2026_Log_Reseau_v15[[#This Row],[Cell_ID]],_26_03_2026_Registre_Maintenance_v1[ID_Antenne],_26_03_2026_Registre_Maintenance_v1[Longitude],"pas trouvé")</f>
        <v>24.4404</v>
      </c>
      <c r="I1019" t="str">
        <f>_xlfn.XLOOKUP(_26_03_2026_Log_Reseau_v15[[#This Row],[Cell_ID]],_26_03_2026_Registre_Maintenance_v1[ID_Antenne],_26_03_2026_Registre_Maintenance_v1[Technologie],"non trouvé")</f>
        <v>4G</v>
      </c>
      <c r="J1019" t="str">
        <f>_xlfn.XLOOKUP(_26_03_2026_Log_Reseau_v15[[#This Row],[Cell_ID]],_26_03_2026_Registre_Maintenance_v1[ID_Antenne],_26_03_2026_Registre_Maintenance_v1[Equipementier],"pas trouvé")</f>
        <v>Nokia</v>
      </c>
      <c r="K1019" t="str">
        <f>_xlfn.XLOOKUP(_26_03_2026_Log_Reseau_v15[[#This Row],[province RDC]],_26_03_2026_Client_Churn_v1[Province_Client],_26_03_2026_Client_Churn_v1[ID_Client],"non trouvé")</f>
        <v>CLI-01325</v>
      </c>
      <c r="L1019">
        <f>_xlfn.XLOOKUP(_26_03_2026_Log_Reseau_v15[[#This Row],[province RDC]],_26_03_2026_Client_Churn_v1[Province_Client],_26_03_2026_Client_Churn_v1[Anciennete_Mois],"non trouvé")</f>
        <v>44</v>
      </c>
      <c r="M1019" t="str">
        <f>_xlfn.XLOOKUP(_26_03_2026_Log_Reseau_v15[[#This Row],[province RDC]],_26_03_2026_Client_Churn_v1[Province_Client],_26_03_2026_Client_Churn_v1[Type_Forfait],"non trouvé")</f>
        <v>Bloqué 5Go</v>
      </c>
      <c r="N1019">
        <f>_xlfn.XLOOKUP(_26_03_2026_Log_Reseau_v15[[#This Row],[province RDC]],_26_03_2026_Client_Churn_v1[Province_Client],_26_03_2026_Client_Churn_v1[Duree_Cumulee_Panne_Min],"non trouvé")</f>
        <v>348</v>
      </c>
      <c r="O1019">
        <f>_xlfn.XLOOKUP(_26_03_2026_Log_Reseau_v15[[#This Row],[province RDC]],_26_03_2026_Client_Churn_v1[Province_Client],_26_03_2026_Client_Churn_v1[Facture_Mensuelle],"non trouvé")</f>
        <v>58.67</v>
      </c>
      <c r="P1019">
        <f>_xlfn.XLOOKUP(_26_03_2026_Log_Reseau_v15[[#This Row],[province RDC]],_26_03_2026_Client_Churn_v1[Province_Client],_26_03_2026_Client_Churn_v1[Plaintes_Service_Client],"non trouvé")</f>
        <v>0</v>
      </c>
    </row>
    <row r="1020" spans="1:16" x14ac:dyDescent="0.25">
      <c r="A1020" s="1">
        <v>45229</v>
      </c>
      <c r="B1020" s="2">
        <v>0.67013888888888884</v>
      </c>
      <c r="C1020" t="s">
        <v>1434</v>
      </c>
      <c r="D1020">
        <v>41</v>
      </c>
      <c r="E1020" t="s">
        <v>812</v>
      </c>
      <c r="F1020" t="str">
        <f>_xlfn.XLOOKUP(_26_03_2026_Log_Reseau_v15[[#This Row],[Cell_ID]],_26_03_2026_Registre_Maintenance_v1[ID_Antenne],_26_03_2026_Registre_Maintenance_v1[zone],"pas trouvé")</f>
        <v>Haut-Lomami</v>
      </c>
      <c r="G1020">
        <f>_xlfn.XLOOKUP(_26_03_2026_Log_Reseau_v15[[#This Row],[Cell_ID]],_26_03_2026_Registre_Maintenance_v1[ID_Antenne],_26_03_2026_Registre_Maintenance_v1[Latitude],"non trouvé")</f>
        <v>-7.1785899999999998</v>
      </c>
      <c r="H1020">
        <f>_xlfn.XLOOKUP(_26_03_2026_Log_Reseau_v15[[#This Row],[Cell_ID]],_26_03_2026_Registre_Maintenance_v1[ID_Antenne],_26_03_2026_Registre_Maintenance_v1[Longitude],"pas trouvé")</f>
        <v>24.4404</v>
      </c>
      <c r="I1020" t="str">
        <f>_xlfn.XLOOKUP(_26_03_2026_Log_Reseau_v15[[#This Row],[Cell_ID]],_26_03_2026_Registre_Maintenance_v1[ID_Antenne],_26_03_2026_Registre_Maintenance_v1[Technologie],"non trouvé")</f>
        <v>4G</v>
      </c>
      <c r="J1020" t="str">
        <f>_xlfn.XLOOKUP(_26_03_2026_Log_Reseau_v15[[#This Row],[Cell_ID]],_26_03_2026_Registre_Maintenance_v1[ID_Antenne],_26_03_2026_Registre_Maintenance_v1[Equipementier],"pas trouvé")</f>
        <v>Nokia</v>
      </c>
      <c r="K1020" t="str">
        <f>_xlfn.XLOOKUP(_26_03_2026_Log_Reseau_v15[[#This Row],[province RDC]],_26_03_2026_Client_Churn_v1[Province_Client],_26_03_2026_Client_Churn_v1[ID_Client],"non trouvé")</f>
        <v>CLI-01325</v>
      </c>
      <c r="L1020">
        <f>_xlfn.XLOOKUP(_26_03_2026_Log_Reseau_v15[[#This Row],[province RDC]],_26_03_2026_Client_Churn_v1[Province_Client],_26_03_2026_Client_Churn_v1[Anciennete_Mois],"non trouvé")</f>
        <v>44</v>
      </c>
      <c r="M1020" t="str">
        <f>_xlfn.XLOOKUP(_26_03_2026_Log_Reseau_v15[[#This Row],[province RDC]],_26_03_2026_Client_Churn_v1[Province_Client],_26_03_2026_Client_Churn_v1[Type_Forfait],"non trouvé")</f>
        <v>Bloqué 5Go</v>
      </c>
      <c r="N1020">
        <f>_xlfn.XLOOKUP(_26_03_2026_Log_Reseau_v15[[#This Row],[province RDC]],_26_03_2026_Client_Churn_v1[Province_Client],_26_03_2026_Client_Churn_v1[Duree_Cumulee_Panne_Min],"non trouvé")</f>
        <v>348</v>
      </c>
      <c r="O1020">
        <f>_xlfn.XLOOKUP(_26_03_2026_Log_Reseau_v15[[#This Row],[province RDC]],_26_03_2026_Client_Churn_v1[Province_Client],_26_03_2026_Client_Churn_v1[Facture_Mensuelle],"non trouvé")</f>
        <v>58.67</v>
      </c>
      <c r="P1020">
        <f>_xlfn.XLOOKUP(_26_03_2026_Log_Reseau_v15[[#This Row],[province RDC]],_26_03_2026_Client_Churn_v1[Province_Client],_26_03_2026_Client_Churn_v1[Plaintes_Service_Client],"non trouvé")</f>
        <v>0</v>
      </c>
    </row>
    <row r="1021" spans="1:16" x14ac:dyDescent="0.25">
      <c r="A1021" s="1">
        <v>45216</v>
      </c>
      <c r="B1021" s="2">
        <v>0.46388888888888891</v>
      </c>
      <c r="C1021" t="s">
        <v>1434</v>
      </c>
      <c r="D1021">
        <v>58</v>
      </c>
      <c r="E1021" t="s">
        <v>807</v>
      </c>
      <c r="F1021" t="str">
        <f>_xlfn.XLOOKUP(_26_03_2026_Log_Reseau_v15[[#This Row],[Cell_ID]],_26_03_2026_Registre_Maintenance_v1[ID_Antenne],_26_03_2026_Registre_Maintenance_v1[zone],"pas trouvé")</f>
        <v>Haut-Lomami</v>
      </c>
      <c r="G1021">
        <f>_xlfn.XLOOKUP(_26_03_2026_Log_Reseau_v15[[#This Row],[Cell_ID]],_26_03_2026_Registre_Maintenance_v1[ID_Antenne],_26_03_2026_Registre_Maintenance_v1[Latitude],"non trouvé")</f>
        <v>-7.1785899999999998</v>
      </c>
      <c r="H1021">
        <f>_xlfn.XLOOKUP(_26_03_2026_Log_Reseau_v15[[#This Row],[Cell_ID]],_26_03_2026_Registre_Maintenance_v1[ID_Antenne],_26_03_2026_Registre_Maintenance_v1[Longitude],"pas trouvé")</f>
        <v>24.4404</v>
      </c>
      <c r="I1021" t="str">
        <f>_xlfn.XLOOKUP(_26_03_2026_Log_Reseau_v15[[#This Row],[Cell_ID]],_26_03_2026_Registre_Maintenance_v1[ID_Antenne],_26_03_2026_Registre_Maintenance_v1[Technologie],"non trouvé")</f>
        <v>4G</v>
      </c>
      <c r="J1021" t="str">
        <f>_xlfn.XLOOKUP(_26_03_2026_Log_Reseau_v15[[#This Row],[Cell_ID]],_26_03_2026_Registre_Maintenance_v1[ID_Antenne],_26_03_2026_Registre_Maintenance_v1[Equipementier],"pas trouvé")</f>
        <v>Nokia</v>
      </c>
      <c r="K1021" t="str">
        <f>_xlfn.XLOOKUP(_26_03_2026_Log_Reseau_v15[[#This Row],[province RDC]],_26_03_2026_Client_Churn_v1[Province_Client],_26_03_2026_Client_Churn_v1[ID_Client],"non trouvé")</f>
        <v>CLI-01325</v>
      </c>
      <c r="L1021">
        <f>_xlfn.XLOOKUP(_26_03_2026_Log_Reseau_v15[[#This Row],[province RDC]],_26_03_2026_Client_Churn_v1[Province_Client],_26_03_2026_Client_Churn_v1[Anciennete_Mois],"non trouvé")</f>
        <v>44</v>
      </c>
      <c r="M1021" t="str">
        <f>_xlfn.XLOOKUP(_26_03_2026_Log_Reseau_v15[[#This Row],[province RDC]],_26_03_2026_Client_Churn_v1[Province_Client],_26_03_2026_Client_Churn_v1[Type_Forfait],"non trouvé")</f>
        <v>Bloqué 5Go</v>
      </c>
      <c r="N1021">
        <f>_xlfn.XLOOKUP(_26_03_2026_Log_Reseau_v15[[#This Row],[province RDC]],_26_03_2026_Client_Churn_v1[Province_Client],_26_03_2026_Client_Churn_v1[Duree_Cumulee_Panne_Min],"non trouvé")</f>
        <v>348</v>
      </c>
      <c r="O1021">
        <f>_xlfn.XLOOKUP(_26_03_2026_Log_Reseau_v15[[#This Row],[province RDC]],_26_03_2026_Client_Churn_v1[Province_Client],_26_03_2026_Client_Churn_v1[Facture_Mensuelle],"non trouvé")</f>
        <v>58.67</v>
      </c>
      <c r="P1021">
        <f>_xlfn.XLOOKUP(_26_03_2026_Log_Reseau_v15[[#This Row],[province RDC]],_26_03_2026_Client_Churn_v1[Province_Client],_26_03_2026_Client_Churn_v1[Plaintes_Service_Client],"non trouvé")</f>
        <v>0</v>
      </c>
    </row>
    <row r="1022" spans="1:16" hidden="1" x14ac:dyDescent="0.25">
      <c r="A1022" s="1">
        <v>45201</v>
      </c>
      <c r="B1022" s="2">
        <v>0.78055555555555556</v>
      </c>
      <c r="C1022" t="s">
        <v>1435</v>
      </c>
      <c r="D1022">
        <v>15</v>
      </c>
      <c r="E1022" t="s">
        <v>807</v>
      </c>
      <c r="F1022" t="str">
        <f>_xlfn.XLOOKUP(_26_03_2026_Log_Reseau_v15[[#This Row],[Cell_ID]],_26_03_2026_Registre_Maintenance_v1[ID_Antenne],_26_03_2026_Registre_Maintenance_v1[zone],"pas trouvé")</f>
        <v>pas trouvé</v>
      </c>
      <c r="G1022" t="str">
        <f>_xlfn.XLOOKUP(_26_03_2026_Log_Reseau_v15[[#This Row],[Cell_ID]],_26_03_2026_Registre_Maintenance_v1[ID_Antenne],_26_03_2026_Registre_Maintenance_v1[Latitude],"non trouvé")</f>
        <v>non trouvé</v>
      </c>
      <c r="H1022" t="str">
        <f>_xlfn.XLOOKUP(_26_03_2026_Log_Reseau_v15[[#This Row],[Cell_ID]],_26_03_2026_Registre_Maintenance_v1[ID_Antenne],_26_03_2026_Registre_Maintenance_v1[Longitude],"pas trouvé")</f>
        <v>pas trouvé</v>
      </c>
      <c r="I1022" t="str">
        <f>_xlfn.XLOOKUP(_26_03_2026_Log_Reseau_v15[[#This Row],[Cell_ID]],_26_03_2026_Registre_Maintenance_v1[ID_Antenne],_26_03_2026_Registre_Maintenance_v1[Technologie],"non trouvé")</f>
        <v>non trouvé</v>
      </c>
      <c r="J1022" t="str">
        <f>_xlfn.XLOOKUP(_26_03_2026_Log_Reseau_v15[[#This Row],[Cell_ID]],_26_03_2026_Registre_Maintenance_v1[ID_Antenne],_26_03_2026_Registre_Maintenance_v1[Equipementier],"pas trouvé")</f>
        <v>pas trouvé</v>
      </c>
      <c r="K1022" t="str">
        <f>_xlfn.XLOOKUP(_26_03_2026_Log_Reseau_v15[[#This Row],[province RDC]],_26_03_2026_Client_Churn_v1[Province_Client],_26_03_2026_Client_Churn_v1[ID_Client],"non trouvé")</f>
        <v>non trouvé</v>
      </c>
      <c r="L1022" t="str">
        <f>_xlfn.XLOOKUP(_26_03_2026_Log_Reseau_v15[[#This Row],[province RDC]],_26_03_2026_Client_Churn_v1[Province_Client],_26_03_2026_Client_Churn_v1[Anciennete_Mois],"non trouvé")</f>
        <v>non trouvé</v>
      </c>
      <c r="M1022" t="str">
        <f>_xlfn.XLOOKUP(_26_03_2026_Log_Reseau_v15[[#This Row],[province RDC]],_26_03_2026_Client_Churn_v1[Province_Client],_26_03_2026_Client_Churn_v1[Type_Forfait],"non trouvé")</f>
        <v>non trouvé</v>
      </c>
      <c r="N1022" t="str">
        <f>_xlfn.XLOOKUP(_26_03_2026_Log_Reseau_v15[[#This Row],[province RDC]],_26_03_2026_Client_Churn_v1[Province_Client],_26_03_2026_Client_Churn_v1[Duree_Cumulee_Panne_Min],"non trouvé")</f>
        <v>non trouvé</v>
      </c>
      <c r="O1022" t="str">
        <f>_xlfn.XLOOKUP(_26_03_2026_Log_Reseau_v15[[#This Row],[province RDC]],_26_03_2026_Client_Churn_v1[Province_Client],_26_03_2026_Client_Churn_v1[Facture_Mensuelle],"non trouvé")</f>
        <v>non trouvé</v>
      </c>
      <c r="P1022" t="str">
        <f>_xlfn.XLOOKUP(_26_03_2026_Log_Reseau_v15[[#This Row],[province RDC]],_26_03_2026_Client_Churn_v1[Province_Client],_26_03_2026_Client_Churn_v1[Plaintes_Service_Client],"non trouvé")</f>
        <v>non trouvé</v>
      </c>
    </row>
    <row r="1023" spans="1:16" x14ac:dyDescent="0.25">
      <c r="A1023" s="1">
        <v>45225</v>
      </c>
      <c r="B1023" s="2">
        <v>5.4166666666666669E-2</v>
      </c>
      <c r="C1023" t="s">
        <v>1436</v>
      </c>
      <c r="D1023">
        <v>38</v>
      </c>
      <c r="E1023" t="s">
        <v>812</v>
      </c>
      <c r="F1023" t="str">
        <f>_xlfn.XLOOKUP(_26_03_2026_Log_Reseau_v15[[#This Row],[Cell_ID]],_26_03_2026_Registre_Maintenance_v1[ID_Antenne],_26_03_2026_Registre_Maintenance_v1[zone],"pas trouvé")</f>
        <v>Lualaba</v>
      </c>
      <c r="G1023">
        <f>_xlfn.XLOOKUP(_26_03_2026_Log_Reseau_v15[[#This Row],[Cell_ID]],_26_03_2026_Registre_Maintenance_v1[ID_Antenne],_26_03_2026_Registre_Maintenance_v1[Latitude],"non trouvé")</f>
        <v>-4.2184999999999997</v>
      </c>
      <c r="H1023">
        <f>_xlfn.XLOOKUP(_26_03_2026_Log_Reseau_v15[[#This Row],[Cell_ID]],_26_03_2026_Registre_Maintenance_v1[ID_Antenne],_26_03_2026_Registre_Maintenance_v1[Longitude],"pas trouvé")</f>
        <v>23.077093999999999</v>
      </c>
      <c r="I1023" t="str">
        <f>_xlfn.XLOOKUP(_26_03_2026_Log_Reseau_v15[[#This Row],[Cell_ID]],_26_03_2026_Registre_Maintenance_v1[ID_Antenne],_26_03_2026_Registre_Maintenance_v1[Technologie],"non trouvé")</f>
        <v>4G</v>
      </c>
      <c r="J1023" t="str">
        <f>_xlfn.XLOOKUP(_26_03_2026_Log_Reseau_v15[[#This Row],[Cell_ID]],_26_03_2026_Registre_Maintenance_v1[ID_Antenne],_26_03_2026_Registre_Maintenance_v1[Equipementier],"pas trouvé")</f>
        <v>Ericsson</v>
      </c>
      <c r="K1023" t="str">
        <f>_xlfn.XLOOKUP(_26_03_2026_Log_Reseau_v15[[#This Row],[province RDC]],_26_03_2026_Client_Churn_v1[Province_Client],_26_03_2026_Client_Churn_v1[ID_Client],"non trouvé")</f>
        <v>CLI-01005</v>
      </c>
      <c r="L1023">
        <f>_xlfn.XLOOKUP(_26_03_2026_Log_Reseau_v15[[#This Row],[province RDC]],_26_03_2026_Client_Churn_v1[Province_Client],_26_03_2026_Client_Churn_v1[Anciennete_Mois],"non trouvé")</f>
        <v>80</v>
      </c>
      <c r="M1023" t="str">
        <f>_xlfn.XLOOKUP(_26_03_2026_Log_Reseau_v15[[#This Row],[province RDC]],_26_03_2026_Client_Churn_v1[Province_Client],_26_03_2026_Client_Churn_v1[Type_Forfait],"non trouvé")</f>
        <v>Illimité 50Go</v>
      </c>
      <c r="N1023">
        <f>_xlfn.XLOOKUP(_26_03_2026_Log_Reseau_v15[[#This Row],[province RDC]],_26_03_2026_Client_Churn_v1[Province_Client],_26_03_2026_Client_Churn_v1[Duree_Cumulee_Panne_Min],"non trouvé")</f>
        <v>155</v>
      </c>
      <c r="O1023">
        <f>_xlfn.XLOOKUP(_26_03_2026_Log_Reseau_v15[[#This Row],[province RDC]],_26_03_2026_Client_Churn_v1[Province_Client],_26_03_2026_Client_Churn_v1[Facture_Mensuelle],"non trouvé")</f>
        <v>28.96</v>
      </c>
      <c r="P1023">
        <f>_xlfn.XLOOKUP(_26_03_2026_Log_Reseau_v15[[#This Row],[province RDC]],_26_03_2026_Client_Churn_v1[Province_Client],_26_03_2026_Client_Churn_v1[Plaintes_Service_Client],"non trouvé")</f>
        <v>2</v>
      </c>
    </row>
    <row r="1024" spans="1:16" hidden="1" x14ac:dyDescent="0.25">
      <c r="A1024" s="1">
        <v>45209</v>
      </c>
      <c r="B1024" s="2">
        <v>0.94097222222222221</v>
      </c>
      <c r="C1024" t="s">
        <v>1437</v>
      </c>
      <c r="D1024">
        <v>30</v>
      </c>
      <c r="E1024" t="s">
        <v>812</v>
      </c>
      <c r="F1024" t="str">
        <f>_xlfn.XLOOKUP(_26_03_2026_Log_Reseau_v15[[#This Row],[Cell_ID]],_26_03_2026_Registre_Maintenance_v1[ID_Antenne],_26_03_2026_Registre_Maintenance_v1[zone],"pas trouvé")</f>
        <v>pas trouvé</v>
      </c>
      <c r="G1024" t="str">
        <f>_xlfn.XLOOKUP(_26_03_2026_Log_Reseau_v15[[#This Row],[Cell_ID]],_26_03_2026_Registre_Maintenance_v1[ID_Antenne],_26_03_2026_Registre_Maintenance_v1[Latitude],"non trouvé")</f>
        <v>non trouvé</v>
      </c>
      <c r="H1024" t="str">
        <f>_xlfn.XLOOKUP(_26_03_2026_Log_Reseau_v15[[#This Row],[Cell_ID]],_26_03_2026_Registre_Maintenance_v1[ID_Antenne],_26_03_2026_Registre_Maintenance_v1[Longitude],"pas trouvé")</f>
        <v>pas trouvé</v>
      </c>
      <c r="I1024" t="str">
        <f>_xlfn.XLOOKUP(_26_03_2026_Log_Reseau_v15[[#This Row],[Cell_ID]],_26_03_2026_Registre_Maintenance_v1[ID_Antenne],_26_03_2026_Registre_Maintenance_v1[Technologie],"non trouvé")</f>
        <v>non trouvé</v>
      </c>
      <c r="J1024" t="str">
        <f>_xlfn.XLOOKUP(_26_03_2026_Log_Reseau_v15[[#This Row],[Cell_ID]],_26_03_2026_Registre_Maintenance_v1[ID_Antenne],_26_03_2026_Registre_Maintenance_v1[Equipementier],"pas trouvé")</f>
        <v>pas trouvé</v>
      </c>
      <c r="K1024" t="str">
        <f>_xlfn.XLOOKUP(_26_03_2026_Log_Reseau_v15[[#This Row],[province RDC]],_26_03_2026_Client_Churn_v1[Province_Client],_26_03_2026_Client_Churn_v1[ID_Client],"non trouvé")</f>
        <v>non trouvé</v>
      </c>
      <c r="L1024" t="str">
        <f>_xlfn.XLOOKUP(_26_03_2026_Log_Reseau_v15[[#This Row],[province RDC]],_26_03_2026_Client_Churn_v1[Province_Client],_26_03_2026_Client_Churn_v1[Anciennete_Mois],"non trouvé")</f>
        <v>non trouvé</v>
      </c>
      <c r="M1024" t="str">
        <f>_xlfn.XLOOKUP(_26_03_2026_Log_Reseau_v15[[#This Row],[province RDC]],_26_03_2026_Client_Churn_v1[Province_Client],_26_03_2026_Client_Churn_v1[Type_Forfait],"non trouvé")</f>
        <v>non trouvé</v>
      </c>
      <c r="N1024" t="str">
        <f>_xlfn.XLOOKUP(_26_03_2026_Log_Reseau_v15[[#This Row],[province RDC]],_26_03_2026_Client_Churn_v1[Province_Client],_26_03_2026_Client_Churn_v1[Duree_Cumulee_Panne_Min],"non trouvé")</f>
        <v>non trouvé</v>
      </c>
      <c r="O1024" t="str">
        <f>_xlfn.XLOOKUP(_26_03_2026_Log_Reseau_v15[[#This Row],[province RDC]],_26_03_2026_Client_Churn_v1[Province_Client],_26_03_2026_Client_Churn_v1[Facture_Mensuelle],"non trouvé")</f>
        <v>non trouvé</v>
      </c>
      <c r="P1024" t="str">
        <f>_xlfn.XLOOKUP(_26_03_2026_Log_Reseau_v15[[#This Row],[province RDC]],_26_03_2026_Client_Churn_v1[Province_Client],_26_03_2026_Client_Churn_v1[Plaintes_Service_Client],"non trouvé")</f>
        <v>non trouvé</v>
      </c>
    </row>
    <row r="1025" spans="1:16" hidden="1" x14ac:dyDescent="0.25">
      <c r="A1025" s="1">
        <v>45203</v>
      </c>
      <c r="B1025" s="2">
        <v>0.88402777777777775</v>
      </c>
      <c r="C1025" t="s">
        <v>1437</v>
      </c>
      <c r="D1025">
        <v>116</v>
      </c>
      <c r="E1025" t="s">
        <v>808</v>
      </c>
      <c r="F1025" t="str">
        <f>_xlfn.XLOOKUP(_26_03_2026_Log_Reseau_v15[[#This Row],[Cell_ID]],_26_03_2026_Registre_Maintenance_v1[ID_Antenne],_26_03_2026_Registre_Maintenance_v1[zone],"pas trouvé")</f>
        <v>pas trouvé</v>
      </c>
      <c r="G1025" t="str">
        <f>_xlfn.XLOOKUP(_26_03_2026_Log_Reseau_v15[[#This Row],[Cell_ID]],_26_03_2026_Registre_Maintenance_v1[ID_Antenne],_26_03_2026_Registre_Maintenance_v1[Latitude],"non trouvé")</f>
        <v>non trouvé</v>
      </c>
      <c r="H1025" t="str">
        <f>_xlfn.XLOOKUP(_26_03_2026_Log_Reseau_v15[[#This Row],[Cell_ID]],_26_03_2026_Registre_Maintenance_v1[ID_Antenne],_26_03_2026_Registre_Maintenance_v1[Longitude],"pas trouvé")</f>
        <v>pas trouvé</v>
      </c>
      <c r="I1025" t="str">
        <f>_xlfn.XLOOKUP(_26_03_2026_Log_Reseau_v15[[#This Row],[Cell_ID]],_26_03_2026_Registre_Maintenance_v1[ID_Antenne],_26_03_2026_Registre_Maintenance_v1[Technologie],"non trouvé")</f>
        <v>non trouvé</v>
      </c>
      <c r="J1025" t="str">
        <f>_xlfn.XLOOKUP(_26_03_2026_Log_Reseau_v15[[#This Row],[Cell_ID]],_26_03_2026_Registre_Maintenance_v1[ID_Antenne],_26_03_2026_Registre_Maintenance_v1[Equipementier],"pas trouvé")</f>
        <v>pas trouvé</v>
      </c>
      <c r="K1025" t="str">
        <f>_xlfn.XLOOKUP(_26_03_2026_Log_Reseau_v15[[#This Row],[province RDC]],_26_03_2026_Client_Churn_v1[Province_Client],_26_03_2026_Client_Churn_v1[ID_Client],"non trouvé")</f>
        <v>non trouvé</v>
      </c>
      <c r="L1025" t="str">
        <f>_xlfn.XLOOKUP(_26_03_2026_Log_Reseau_v15[[#This Row],[province RDC]],_26_03_2026_Client_Churn_v1[Province_Client],_26_03_2026_Client_Churn_v1[Anciennete_Mois],"non trouvé")</f>
        <v>non trouvé</v>
      </c>
      <c r="M1025" t="str">
        <f>_xlfn.XLOOKUP(_26_03_2026_Log_Reseau_v15[[#This Row],[province RDC]],_26_03_2026_Client_Churn_v1[Province_Client],_26_03_2026_Client_Churn_v1[Type_Forfait],"non trouvé")</f>
        <v>non trouvé</v>
      </c>
      <c r="N1025" t="str">
        <f>_xlfn.XLOOKUP(_26_03_2026_Log_Reseau_v15[[#This Row],[province RDC]],_26_03_2026_Client_Churn_v1[Province_Client],_26_03_2026_Client_Churn_v1[Duree_Cumulee_Panne_Min],"non trouvé")</f>
        <v>non trouvé</v>
      </c>
      <c r="O1025" t="str">
        <f>_xlfn.XLOOKUP(_26_03_2026_Log_Reseau_v15[[#This Row],[province RDC]],_26_03_2026_Client_Churn_v1[Province_Client],_26_03_2026_Client_Churn_v1[Facture_Mensuelle],"non trouvé")</f>
        <v>non trouvé</v>
      </c>
      <c r="P1025" t="str">
        <f>_xlfn.XLOOKUP(_26_03_2026_Log_Reseau_v15[[#This Row],[province RDC]],_26_03_2026_Client_Churn_v1[Province_Client],_26_03_2026_Client_Churn_v1[Plaintes_Service_Client],"non trouvé")</f>
        <v>non trouvé</v>
      </c>
    </row>
    <row r="1026" spans="1:16" hidden="1" x14ac:dyDescent="0.25">
      <c r="A1026" s="1">
        <v>45208</v>
      </c>
      <c r="B1026" s="2">
        <v>0.52986111111111112</v>
      </c>
      <c r="C1026" t="s">
        <v>1438</v>
      </c>
      <c r="D1026">
        <v>72</v>
      </c>
      <c r="E1026" t="s">
        <v>812</v>
      </c>
      <c r="F1026" t="str">
        <f>_xlfn.XLOOKUP(_26_03_2026_Log_Reseau_v15[[#This Row],[Cell_ID]],_26_03_2026_Registre_Maintenance_v1[ID_Antenne],_26_03_2026_Registre_Maintenance_v1[zone],"pas trouvé")</f>
        <v>pas trouvé</v>
      </c>
      <c r="G1026" t="str">
        <f>_xlfn.XLOOKUP(_26_03_2026_Log_Reseau_v15[[#This Row],[Cell_ID]],_26_03_2026_Registre_Maintenance_v1[ID_Antenne],_26_03_2026_Registre_Maintenance_v1[Latitude],"non trouvé")</f>
        <v>non trouvé</v>
      </c>
      <c r="H1026" t="str">
        <f>_xlfn.XLOOKUP(_26_03_2026_Log_Reseau_v15[[#This Row],[Cell_ID]],_26_03_2026_Registre_Maintenance_v1[ID_Antenne],_26_03_2026_Registre_Maintenance_v1[Longitude],"pas trouvé")</f>
        <v>pas trouvé</v>
      </c>
      <c r="I1026" t="str">
        <f>_xlfn.XLOOKUP(_26_03_2026_Log_Reseau_v15[[#This Row],[Cell_ID]],_26_03_2026_Registre_Maintenance_v1[ID_Antenne],_26_03_2026_Registre_Maintenance_v1[Technologie],"non trouvé")</f>
        <v>non trouvé</v>
      </c>
      <c r="J1026" t="str">
        <f>_xlfn.XLOOKUP(_26_03_2026_Log_Reseau_v15[[#This Row],[Cell_ID]],_26_03_2026_Registre_Maintenance_v1[ID_Antenne],_26_03_2026_Registre_Maintenance_v1[Equipementier],"pas trouvé")</f>
        <v>pas trouvé</v>
      </c>
      <c r="K1026" t="str">
        <f>_xlfn.XLOOKUP(_26_03_2026_Log_Reseau_v15[[#This Row],[province RDC]],_26_03_2026_Client_Churn_v1[Province_Client],_26_03_2026_Client_Churn_v1[ID_Client],"non trouvé")</f>
        <v>non trouvé</v>
      </c>
      <c r="L1026" t="str">
        <f>_xlfn.XLOOKUP(_26_03_2026_Log_Reseau_v15[[#This Row],[province RDC]],_26_03_2026_Client_Churn_v1[Province_Client],_26_03_2026_Client_Churn_v1[Anciennete_Mois],"non trouvé")</f>
        <v>non trouvé</v>
      </c>
      <c r="M1026" t="str">
        <f>_xlfn.XLOOKUP(_26_03_2026_Log_Reseau_v15[[#This Row],[province RDC]],_26_03_2026_Client_Churn_v1[Province_Client],_26_03_2026_Client_Churn_v1[Type_Forfait],"non trouvé")</f>
        <v>non trouvé</v>
      </c>
      <c r="N1026" t="str">
        <f>_xlfn.XLOOKUP(_26_03_2026_Log_Reseau_v15[[#This Row],[province RDC]],_26_03_2026_Client_Churn_v1[Province_Client],_26_03_2026_Client_Churn_v1[Duree_Cumulee_Panne_Min],"non trouvé")</f>
        <v>non trouvé</v>
      </c>
      <c r="O1026" t="str">
        <f>_xlfn.XLOOKUP(_26_03_2026_Log_Reseau_v15[[#This Row],[province RDC]],_26_03_2026_Client_Churn_v1[Province_Client],_26_03_2026_Client_Churn_v1[Facture_Mensuelle],"non trouvé")</f>
        <v>non trouvé</v>
      </c>
      <c r="P1026" t="str">
        <f>_xlfn.XLOOKUP(_26_03_2026_Log_Reseau_v15[[#This Row],[province RDC]],_26_03_2026_Client_Churn_v1[Province_Client],_26_03_2026_Client_Churn_v1[Plaintes_Service_Client],"non trouvé")</f>
        <v>non trouvé</v>
      </c>
    </row>
    <row r="1027" spans="1:16" x14ac:dyDescent="0.25">
      <c r="A1027" s="1">
        <v>45230</v>
      </c>
      <c r="B1027" s="2">
        <v>0.63888888888888884</v>
      </c>
      <c r="C1027" t="s">
        <v>1439</v>
      </c>
      <c r="D1027">
        <v>77</v>
      </c>
      <c r="E1027" t="s">
        <v>808</v>
      </c>
      <c r="F1027" t="str">
        <f>_xlfn.XLOOKUP(_26_03_2026_Log_Reseau_v15[[#This Row],[Cell_ID]],_26_03_2026_Registre_Maintenance_v1[ID_Antenne],_26_03_2026_Registre_Maintenance_v1[zone],"pas trouvé")</f>
        <v>Kinshasa</v>
      </c>
      <c r="G1027">
        <f>_xlfn.XLOOKUP(_26_03_2026_Log_Reseau_v15[[#This Row],[Cell_ID]],_26_03_2026_Registre_Maintenance_v1[ID_Antenne],_26_03_2026_Registre_Maintenance_v1[Latitude],"non trouvé")</f>
        <v>-0.57104900000000003</v>
      </c>
      <c r="H1027">
        <f>_xlfn.XLOOKUP(_26_03_2026_Log_Reseau_v15[[#This Row],[Cell_ID]],_26_03_2026_Registre_Maintenance_v1[ID_Antenne],_26_03_2026_Registre_Maintenance_v1[Longitude],"pas trouvé")</f>
        <v>15.317663</v>
      </c>
      <c r="I1027" t="str">
        <f>_xlfn.XLOOKUP(_26_03_2026_Log_Reseau_v15[[#This Row],[Cell_ID]],_26_03_2026_Registre_Maintenance_v1[ID_Antenne],_26_03_2026_Registre_Maintenance_v1[Technologie],"non trouvé")</f>
        <v>5G</v>
      </c>
      <c r="J1027" t="str">
        <f>_xlfn.XLOOKUP(_26_03_2026_Log_Reseau_v15[[#This Row],[Cell_ID]],_26_03_2026_Registre_Maintenance_v1[ID_Antenne],_26_03_2026_Registre_Maintenance_v1[Equipementier],"pas trouvé")</f>
        <v>Nokia</v>
      </c>
      <c r="K1027" t="str">
        <f>_xlfn.XLOOKUP(_26_03_2026_Log_Reseau_v15[[#This Row],[province RDC]],_26_03_2026_Client_Churn_v1[Province_Client],_26_03_2026_Client_Churn_v1[ID_Client],"non trouvé")</f>
        <v>CLI-00611</v>
      </c>
      <c r="L1027">
        <f>_xlfn.XLOOKUP(_26_03_2026_Log_Reseau_v15[[#This Row],[province RDC]],_26_03_2026_Client_Churn_v1[Province_Client],_26_03_2026_Client_Churn_v1[Anciennete_Mois],"non trouvé")</f>
        <v>79</v>
      </c>
      <c r="M1027" t="str">
        <f>_xlfn.XLOOKUP(_26_03_2026_Log_Reseau_v15[[#This Row],[province RDC]],_26_03_2026_Client_Churn_v1[Province_Client],_26_03_2026_Client_Churn_v1[Type_Forfait],"non trouvé")</f>
        <v>Premium 5G 150Go</v>
      </c>
      <c r="N1027">
        <f>_xlfn.XLOOKUP(_26_03_2026_Log_Reseau_v15[[#This Row],[province RDC]],_26_03_2026_Client_Churn_v1[Province_Client],_26_03_2026_Client_Churn_v1[Duree_Cumulee_Panne_Min],"non trouvé")</f>
        <v>226</v>
      </c>
      <c r="O1027">
        <f>_xlfn.XLOOKUP(_26_03_2026_Log_Reseau_v15[[#This Row],[province RDC]],_26_03_2026_Client_Churn_v1[Province_Client],_26_03_2026_Client_Churn_v1[Facture_Mensuelle],"non trouvé")</f>
        <v>94.38</v>
      </c>
      <c r="P1027">
        <f>_xlfn.XLOOKUP(_26_03_2026_Log_Reseau_v15[[#This Row],[province RDC]],_26_03_2026_Client_Churn_v1[Province_Client],_26_03_2026_Client_Churn_v1[Plaintes_Service_Client],"non trouvé")</f>
        <v>3</v>
      </c>
    </row>
    <row r="1028" spans="1:16" x14ac:dyDescent="0.25">
      <c r="A1028" s="1">
        <v>45211</v>
      </c>
      <c r="B1028" s="2">
        <v>0.33750000000000002</v>
      </c>
      <c r="C1028" t="s">
        <v>1440</v>
      </c>
      <c r="D1028">
        <v>88</v>
      </c>
      <c r="E1028" t="s">
        <v>808</v>
      </c>
      <c r="F1028" t="str">
        <f>_xlfn.XLOOKUP(_26_03_2026_Log_Reseau_v15[[#This Row],[Cell_ID]],_26_03_2026_Registre_Maintenance_v1[ID_Antenne],_26_03_2026_Registre_Maintenance_v1[zone],"pas trouvé")</f>
        <v>Ituri</v>
      </c>
      <c r="G1028">
        <f>_xlfn.XLOOKUP(_26_03_2026_Log_Reseau_v15[[#This Row],[Cell_ID]],_26_03_2026_Registre_Maintenance_v1[ID_Antenne],_26_03_2026_Registre_Maintenance_v1[Latitude],"non trouvé")</f>
        <v>-12.364127999999999</v>
      </c>
      <c r="H1028">
        <f>_xlfn.XLOOKUP(_26_03_2026_Log_Reseau_v15[[#This Row],[Cell_ID]],_26_03_2026_Registre_Maintenance_v1[ID_Antenne],_26_03_2026_Registre_Maintenance_v1[Longitude],"pas trouvé")</f>
        <v>19.576150999999999</v>
      </c>
      <c r="I1028" t="str">
        <f>_xlfn.XLOOKUP(_26_03_2026_Log_Reseau_v15[[#This Row],[Cell_ID]],_26_03_2026_Registre_Maintenance_v1[ID_Antenne],_26_03_2026_Registre_Maintenance_v1[Technologie],"non trouvé")</f>
        <v>3G</v>
      </c>
      <c r="J1028" t="str">
        <f>_xlfn.XLOOKUP(_26_03_2026_Log_Reseau_v15[[#This Row],[Cell_ID]],_26_03_2026_Registre_Maintenance_v1[ID_Antenne],_26_03_2026_Registre_Maintenance_v1[Equipementier],"pas trouvé")</f>
        <v>Nokia</v>
      </c>
      <c r="K1028" t="str">
        <f>_xlfn.XLOOKUP(_26_03_2026_Log_Reseau_v15[[#This Row],[province RDC]],_26_03_2026_Client_Churn_v1[Province_Client],_26_03_2026_Client_Churn_v1[ID_Client],"non trouvé")</f>
        <v>CLI-01147</v>
      </c>
      <c r="L1028">
        <f>_xlfn.XLOOKUP(_26_03_2026_Log_Reseau_v15[[#This Row],[province RDC]],_26_03_2026_Client_Churn_v1[Province_Client],_26_03_2026_Client_Churn_v1[Anciennete_Mois],"non trouvé")</f>
        <v>29</v>
      </c>
      <c r="M1028" t="str">
        <f>_xlfn.XLOOKUP(_26_03_2026_Log_Reseau_v15[[#This Row],[province RDC]],_26_03_2026_Client_Churn_v1[Province_Client],_26_03_2026_Client_Churn_v1[Type_Forfait],"non trouvé")</f>
        <v>Premium 5G 150Go</v>
      </c>
      <c r="N1028">
        <f>_xlfn.XLOOKUP(_26_03_2026_Log_Reseau_v15[[#This Row],[province RDC]],_26_03_2026_Client_Churn_v1[Province_Client],_26_03_2026_Client_Churn_v1[Duree_Cumulee_Panne_Min],"non trouvé")</f>
        <v>214</v>
      </c>
      <c r="O1028">
        <f>_xlfn.XLOOKUP(_26_03_2026_Log_Reseau_v15[[#This Row],[province RDC]],_26_03_2026_Client_Churn_v1[Province_Client],_26_03_2026_Client_Churn_v1[Facture_Mensuelle],"non trouvé")</f>
        <v>74.7</v>
      </c>
      <c r="P1028">
        <f>_xlfn.XLOOKUP(_26_03_2026_Log_Reseau_v15[[#This Row],[province RDC]],_26_03_2026_Client_Churn_v1[Province_Client],_26_03_2026_Client_Churn_v1[Plaintes_Service_Client],"non trouvé")</f>
        <v>3</v>
      </c>
    </row>
    <row r="1029" spans="1:16" hidden="1" x14ac:dyDescent="0.25">
      <c r="A1029" s="1">
        <v>45205</v>
      </c>
      <c r="B1029" s="2">
        <v>0.10277777777777777</v>
      </c>
      <c r="C1029" t="s">
        <v>1441</v>
      </c>
      <c r="D1029">
        <v>84</v>
      </c>
      <c r="E1029" t="s">
        <v>812</v>
      </c>
      <c r="F1029" t="str">
        <f>_xlfn.XLOOKUP(_26_03_2026_Log_Reseau_v15[[#This Row],[Cell_ID]],_26_03_2026_Registre_Maintenance_v1[ID_Antenne],_26_03_2026_Registre_Maintenance_v1[zone],"pas trouvé")</f>
        <v>pas trouvé</v>
      </c>
      <c r="G1029" t="str">
        <f>_xlfn.XLOOKUP(_26_03_2026_Log_Reseau_v15[[#This Row],[Cell_ID]],_26_03_2026_Registre_Maintenance_v1[ID_Antenne],_26_03_2026_Registre_Maintenance_v1[Latitude],"non trouvé")</f>
        <v>non trouvé</v>
      </c>
      <c r="H1029" t="str">
        <f>_xlfn.XLOOKUP(_26_03_2026_Log_Reseau_v15[[#This Row],[Cell_ID]],_26_03_2026_Registre_Maintenance_v1[ID_Antenne],_26_03_2026_Registre_Maintenance_v1[Longitude],"pas trouvé")</f>
        <v>pas trouvé</v>
      </c>
      <c r="I1029" t="str">
        <f>_xlfn.XLOOKUP(_26_03_2026_Log_Reseau_v15[[#This Row],[Cell_ID]],_26_03_2026_Registre_Maintenance_v1[ID_Antenne],_26_03_2026_Registre_Maintenance_v1[Technologie],"non trouvé")</f>
        <v>non trouvé</v>
      </c>
      <c r="J1029" t="str">
        <f>_xlfn.XLOOKUP(_26_03_2026_Log_Reseau_v15[[#This Row],[Cell_ID]],_26_03_2026_Registre_Maintenance_v1[ID_Antenne],_26_03_2026_Registre_Maintenance_v1[Equipementier],"pas trouvé")</f>
        <v>pas trouvé</v>
      </c>
      <c r="K1029" t="str">
        <f>_xlfn.XLOOKUP(_26_03_2026_Log_Reseau_v15[[#This Row],[province RDC]],_26_03_2026_Client_Churn_v1[Province_Client],_26_03_2026_Client_Churn_v1[ID_Client],"non trouvé")</f>
        <v>non trouvé</v>
      </c>
      <c r="L1029" t="str">
        <f>_xlfn.XLOOKUP(_26_03_2026_Log_Reseau_v15[[#This Row],[province RDC]],_26_03_2026_Client_Churn_v1[Province_Client],_26_03_2026_Client_Churn_v1[Anciennete_Mois],"non trouvé")</f>
        <v>non trouvé</v>
      </c>
      <c r="M1029" t="str">
        <f>_xlfn.XLOOKUP(_26_03_2026_Log_Reseau_v15[[#This Row],[province RDC]],_26_03_2026_Client_Churn_v1[Province_Client],_26_03_2026_Client_Churn_v1[Type_Forfait],"non trouvé")</f>
        <v>non trouvé</v>
      </c>
      <c r="N1029" t="str">
        <f>_xlfn.XLOOKUP(_26_03_2026_Log_Reseau_v15[[#This Row],[province RDC]],_26_03_2026_Client_Churn_v1[Province_Client],_26_03_2026_Client_Churn_v1[Duree_Cumulee_Panne_Min],"non trouvé")</f>
        <v>non trouvé</v>
      </c>
      <c r="O1029" t="str">
        <f>_xlfn.XLOOKUP(_26_03_2026_Log_Reseau_v15[[#This Row],[province RDC]],_26_03_2026_Client_Churn_v1[Province_Client],_26_03_2026_Client_Churn_v1[Facture_Mensuelle],"non trouvé")</f>
        <v>non trouvé</v>
      </c>
      <c r="P1029" t="str">
        <f>_xlfn.XLOOKUP(_26_03_2026_Log_Reseau_v15[[#This Row],[province RDC]],_26_03_2026_Client_Churn_v1[Province_Client],_26_03_2026_Client_Churn_v1[Plaintes_Service_Client],"non trouvé")</f>
        <v>non trouvé</v>
      </c>
    </row>
    <row r="1030" spans="1:16" hidden="1" x14ac:dyDescent="0.25">
      <c r="A1030" s="1">
        <v>45219</v>
      </c>
      <c r="B1030" s="2">
        <v>0.99791666666666667</v>
      </c>
      <c r="C1030" t="s">
        <v>1442</v>
      </c>
      <c r="D1030">
        <v>102</v>
      </c>
      <c r="E1030" t="s">
        <v>808</v>
      </c>
      <c r="F1030" t="str">
        <f>_xlfn.XLOOKUP(_26_03_2026_Log_Reseau_v15[[#This Row],[Cell_ID]],_26_03_2026_Registre_Maintenance_v1[ID_Antenne],_26_03_2026_Registre_Maintenance_v1[zone],"pas trouvé")</f>
        <v>pas trouvé</v>
      </c>
      <c r="G1030" t="str">
        <f>_xlfn.XLOOKUP(_26_03_2026_Log_Reseau_v15[[#This Row],[Cell_ID]],_26_03_2026_Registre_Maintenance_v1[ID_Antenne],_26_03_2026_Registre_Maintenance_v1[Latitude],"non trouvé")</f>
        <v>non trouvé</v>
      </c>
      <c r="H1030" t="str">
        <f>_xlfn.XLOOKUP(_26_03_2026_Log_Reseau_v15[[#This Row],[Cell_ID]],_26_03_2026_Registre_Maintenance_v1[ID_Antenne],_26_03_2026_Registre_Maintenance_v1[Longitude],"pas trouvé")</f>
        <v>pas trouvé</v>
      </c>
      <c r="I1030" t="str">
        <f>_xlfn.XLOOKUP(_26_03_2026_Log_Reseau_v15[[#This Row],[Cell_ID]],_26_03_2026_Registre_Maintenance_v1[ID_Antenne],_26_03_2026_Registre_Maintenance_v1[Technologie],"non trouvé")</f>
        <v>non trouvé</v>
      </c>
      <c r="J1030" t="str">
        <f>_xlfn.XLOOKUP(_26_03_2026_Log_Reseau_v15[[#This Row],[Cell_ID]],_26_03_2026_Registre_Maintenance_v1[ID_Antenne],_26_03_2026_Registre_Maintenance_v1[Equipementier],"pas trouvé")</f>
        <v>pas trouvé</v>
      </c>
      <c r="K1030" t="str">
        <f>_xlfn.XLOOKUP(_26_03_2026_Log_Reseau_v15[[#This Row],[province RDC]],_26_03_2026_Client_Churn_v1[Province_Client],_26_03_2026_Client_Churn_v1[ID_Client],"non trouvé")</f>
        <v>non trouvé</v>
      </c>
      <c r="L1030" t="str">
        <f>_xlfn.XLOOKUP(_26_03_2026_Log_Reseau_v15[[#This Row],[province RDC]],_26_03_2026_Client_Churn_v1[Province_Client],_26_03_2026_Client_Churn_v1[Anciennete_Mois],"non trouvé")</f>
        <v>non trouvé</v>
      </c>
      <c r="M1030" t="str">
        <f>_xlfn.XLOOKUP(_26_03_2026_Log_Reseau_v15[[#This Row],[province RDC]],_26_03_2026_Client_Churn_v1[Province_Client],_26_03_2026_Client_Churn_v1[Type_Forfait],"non trouvé")</f>
        <v>non trouvé</v>
      </c>
      <c r="N1030" t="str">
        <f>_xlfn.XLOOKUP(_26_03_2026_Log_Reseau_v15[[#This Row],[province RDC]],_26_03_2026_Client_Churn_v1[Province_Client],_26_03_2026_Client_Churn_v1[Duree_Cumulee_Panne_Min],"non trouvé")</f>
        <v>non trouvé</v>
      </c>
      <c r="O1030" t="str">
        <f>_xlfn.XLOOKUP(_26_03_2026_Log_Reseau_v15[[#This Row],[province RDC]],_26_03_2026_Client_Churn_v1[Province_Client],_26_03_2026_Client_Churn_v1[Facture_Mensuelle],"non trouvé")</f>
        <v>non trouvé</v>
      </c>
      <c r="P1030" t="str">
        <f>_xlfn.XLOOKUP(_26_03_2026_Log_Reseau_v15[[#This Row],[province RDC]],_26_03_2026_Client_Churn_v1[Province_Client],_26_03_2026_Client_Churn_v1[Plaintes_Service_Client],"non trouvé")</f>
        <v>non trouvé</v>
      </c>
    </row>
    <row r="1031" spans="1:16" hidden="1" x14ac:dyDescent="0.25">
      <c r="A1031" s="1">
        <v>45201</v>
      </c>
      <c r="B1031" s="2">
        <v>0.67013888888888884</v>
      </c>
      <c r="C1031" t="s">
        <v>1442</v>
      </c>
      <c r="D1031">
        <v>22</v>
      </c>
      <c r="E1031" t="s">
        <v>812</v>
      </c>
      <c r="F1031" t="str">
        <f>_xlfn.XLOOKUP(_26_03_2026_Log_Reseau_v15[[#This Row],[Cell_ID]],_26_03_2026_Registre_Maintenance_v1[ID_Antenne],_26_03_2026_Registre_Maintenance_v1[zone],"pas trouvé")</f>
        <v>pas trouvé</v>
      </c>
      <c r="G1031" t="str">
        <f>_xlfn.XLOOKUP(_26_03_2026_Log_Reseau_v15[[#This Row],[Cell_ID]],_26_03_2026_Registre_Maintenance_v1[ID_Antenne],_26_03_2026_Registre_Maintenance_v1[Latitude],"non trouvé")</f>
        <v>non trouvé</v>
      </c>
      <c r="H1031" t="str">
        <f>_xlfn.XLOOKUP(_26_03_2026_Log_Reseau_v15[[#This Row],[Cell_ID]],_26_03_2026_Registre_Maintenance_v1[ID_Antenne],_26_03_2026_Registre_Maintenance_v1[Longitude],"pas trouvé")</f>
        <v>pas trouvé</v>
      </c>
      <c r="I1031" t="str">
        <f>_xlfn.XLOOKUP(_26_03_2026_Log_Reseau_v15[[#This Row],[Cell_ID]],_26_03_2026_Registre_Maintenance_v1[ID_Antenne],_26_03_2026_Registre_Maintenance_v1[Technologie],"non trouvé")</f>
        <v>non trouvé</v>
      </c>
      <c r="J1031" t="str">
        <f>_xlfn.XLOOKUP(_26_03_2026_Log_Reseau_v15[[#This Row],[Cell_ID]],_26_03_2026_Registre_Maintenance_v1[ID_Antenne],_26_03_2026_Registre_Maintenance_v1[Equipementier],"pas trouvé")</f>
        <v>pas trouvé</v>
      </c>
      <c r="K1031" t="str">
        <f>_xlfn.XLOOKUP(_26_03_2026_Log_Reseau_v15[[#This Row],[province RDC]],_26_03_2026_Client_Churn_v1[Province_Client],_26_03_2026_Client_Churn_v1[ID_Client],"non trouvé")</f>
        <v>non trouvé</v>
      </c>
      <c r="L1031" t="str">
        <f>_xlfn.XLOOKUP(_26_03_2026_Log_Reseau_v15[[#This Row],[province RDC]],_26_03_2026_Client_Churn_v1[Province_Client],_26_03_2026_Client_Churn_v1[Anciennete_Mois],"non trouvé")</f>
        <v>non trouvé</v>
      </c>
      <c r="M1031" t="str">
        <f>_xlfn.XLOOKUP(_26_03_2026_Log_Reseau_v15[[#This Row],[province RDC]],_26_03_2026_Client_Churn_v1[Province_Client],_26_03_2026_Client_Churn_v1[Type_Forfait],"non trouvé")</f>
        <v>non trouvé</v>
      </c>
      <c r="N1031" t="str">
        <f>_xlfn.XLOOKUP(_26_03_2026_Log_Reseau_v15[[#This Row],[province RDC]],_26_03_2026_Client_Churn_v1[Province_Client],_26_03_2026_Client_Churn_v1[Duree_Cumulee_Panne_Min],"non trouvé")</f>
        <v>non trouvé</v>
      </c>
      <c r="O1031" t="str">
        <f>_xlfn.XLOOKUP(_26_03_2026_Log_Reseau_v15[[#This Row],[province RDC]],_26_03_2026_Client_Churn_v1[Province_Client],_26_03_2026_Client_Churn_v1[Facture_Mensuelle],"non trouvé")</f>
        <v>non trouvé</v>
      </c>
      <c r="P1031" t="str">
        <f>_xlfn.XLOOKUP(_26_03_2026_Log_Reseau_v15[[#This Row],[province RDC]],_26_03_2026_Client_Churn_v1[Province_Client],_26_03_2026_Client_Churn_v1[Plaintes_Service_Client],"non trouvé")</f>
        <v>non trouvé</v>
      </c>
    </row>
    <row r="1032" spans="1:16" hidden="1" x14ac:dyDescent="0.25">
      <c r="A1032" s="1">
        <v>45225</v>
      </c>
      <c r="B1032" s="2">
        <v>0.17708333333333334</v>
      </c>
      <c r="C1032" t="s">
        <v>1443</v>
      </c>
      <c r="D1032">
        <v>36</v>
      </c>
      <c r="E1032" t="s">
        <v>812</v>
      </c>
      <c r="F1032" t="str">
        <f>_xlfn.XLOOKUP(_26_03_2026_Log_Reseau_v15[[#This Row],[Cell_ID]],_26_03_2026_Registre_Maintenance_v1[ID_Antenne],_26_03_2026_Registre_Maintenance_v1[zone],"pas trouvé")</f>
        <v>pas trouvé</v>
      </c>
      <c r="G1032" t="str">
        <f>_xlfn.XLOOKUP(_26_03_2026_Log_Reseau_v15[[#This Row],[Cell_ID]],_26_03_2026_Registre_Maintenance_v1[ID_Antenne],_26_03_2026_Registre_Maintenance_v1[Latitude],"non trouvé")</f>
        <v>non trouvé</v>
      </c>
      <c r="H1032" t="str">
        <f>_xlfn.XLOOKUP(_26_03_2026_Log_Reseau_v15[[#This Row],[Cell_ID]],_26_03_2026_Registre_Maintenance_v1[ID_Antenne],_26_03_2026_Registre_Maintenance_v1[Longitude],"pas trouvé")</f>
        <v>pas trouvé</v>
      </c>
      <c r="I1032" t="str">
        <f>_xlfn.XLOOKUP(_26_03_2026_Log_Reseau_v15[[#This Row],[Cell_ID]],_26_03_2026_Registre_Maintenance_v1[ID_Antenne],_26_03_2026_Registre_Maintenance_v1[Technologie],"non trouvé")</f>
        <v>non trouvé</v>
      </c>
      <c r="J1032" t="str">
        <f>_xlfn.XLOOKUP(_26_03_2026_Log_Reseau_v15[[#This Row],[Cell_ID]],_26_03_2026_Registre_Maintenance_v1[ID_Antenne],_26_03_2026_Registre_Maintenance_v1[Equipementier],"pas trouvé")</f>
        <v>pas trouvé</v>
      </c>
      <c r="K1032" t="str">
        <f>_xlfn.XLOOKUP(_26_03_2026_Log_Reseau_v15[[#This Row],[province RDC]],_26_03_2026_Client_Churn_v1[Province_Client],_26_03_2026_Client_Churn_v1[ID_Client],"non trouvé")</f>
        <v>non trouvé</v>
      </c>
      <c r="L1032" t="str">
        <f>_xlfn.XLOOKUP(_26_03_2026_Log_Reseau_v15[[#This Row],[province RDC]],_26_03_2026_Client_Churn_v1[Province_Client],_26_03_2026_Client_Churn_v1[Anciennete_Mois],"non trouvé")</f>
        <v>non trouvé</v>
      </c>
      <c r="M1032" t="str">
        <f>_xlfn.XLOOKUP(_26_03_2026_Log_Reseau_v15[[#This Row],[province RDC]],_26_03_2026_Client_Churn_v1[Province_Client],_26_03_2026_Client_Churn_v1[Type_Forfait],"non trouvé")</f>
        <v>non trouvé</v>
      </c>
      <c r="N1032" t="str">
        <f>_xlfn.XLOOKUP(_26_03_2026_Log_Reseau_v15[[#This Row],[province RDC]],_26_03_2026_Client_Churn_v1[Province_Client],_26_03_2026_Client_Churn_v1[Duree_Cumulee_Panne_Min],"non trouvé")</f>
        <v>non trouvé</v>
      </c>
      <c r="O1032" t="str">
        <f>_xlfn.XLOOKUP(_26_03_2026_Log_Reseau_v15[[#This Row],[province RDC]],_26_03_2026_Client_Churn_v1[Province_Client],_26_03_2026_Client_Churn_v1[Facture_Mensuelle],"non trouvé")</f>
        <v>non trouvé</v>
      </c>
      <c r="P1032" t="str">
        <f>_xlfn.XLOOKUP(_26_03_2026_Log_Reseau_v15[[#This Row],[province RDC]],_26_03_2026_Client_Churn_v1[Province_Client],_26_03_2026_Client_Churn_v1[Plaintes_Service_Client],"non trouvé")</f>
        <v>non trouvé</v>
      </c>
    </row>
    <row r="1033" spans="1:16" x14ac:dyDescent="0.25">
      <c r="A1033" s="1">
        <v>45215</v>
      </c>
      <c r="B1033" s="2">
        <v>0.67291666666666672</v>
      </c>
      <c r="C1033" t="s">
        <v>1444</v>
      </c>
      <c r="D1033">
        <v>117</v>
      </c>
      <c r="E1033" t="s">
        <v>812</v>
      </c>
      <c r="F1033" t="str">
        <f>_xlfn.XLOOKUP(_26_03_2026_Log_Reseau_v15[[#This Row],[Cell_ID]],_26_03_2026_Registre_Maintenance_v1[ID_Antenne],_26_03_2026_Registre_Maintenance_v1[zone],"pas trouvé")</f>
        <v>Nord-Kivu</v>
      </c>
      <c r="G1033">
        <f>_xlfn.XLOOKUP(_26_03_2026_Log_Reseau_v15[[#This Row],[Cell_ID]],_26_03_2026_Registre_Maintenance_v1[ID_Antenne],_26_03_2026_Registre_Maintenance_v1[Latitude],"non trouvé")</f>
        <v>-11.866133</v>
      </c>
      <c r="H1033">
        <f>_xlfn.XLOOKUP(_26_03_2026_Log_Reseau_v15[[#This Row],[Cell_ID]],_26_03_2026_Registre_Maintenance_v1[ID_Antenne],_26_03_2026_Registre_Maintenance_v1[Longitude],"pas trouvé")</f>
        <v>27.068932</v>
      </c>
      <c r="I1033" t="str">
        <f>_xlfn.XLOOKUP(_26_03_2026_Log_Reseau_v15[[#This Row],[Cell_ID]],_26_03_2026_Registre_Maintenance_v1[ID_Antenne],_26_03_2026_Registre_Maintenance_v1[Technologie],"non trouvé")</f>
        <v>3G</v>
      </c>
      <c r="J1033" t="str">
        <f>_xlfn.XLOOKUP(_26_03_2026_Log_Reseau_v15[[#This Row],[Cell_ID]],_26_03_2026_Registre_Maintenance_v1[ID_Antenne],_26_03_2026_Registre_Maintenance_v1[Equipementier],"pas trouvé")</f>
        <v>Huawei</v>
      </c>
      <c r="K1033" t="str">
        <f>_xlfn.XLOOKUP(_26_03_2026_Log_Reseau_v15[[#This Row],[province RDC]],_26_03_2026_Client_Churn_v1[Province_Client],_26_03_2026_Client_Churn_v1[ID_Client],"non trouvé")</f>
        <v>CLI-00837</v>
      </c>
      <c r="L1033">
        <f>_xlfn.XLOOKUP(_26_03_2026_Log_Reseau_v15[[#This Row],[province RDC]],_26_03_2026_Client_Churn_v1[Province_Client],_26_03_2026_Client_Churn_v1[Anciennete_Mois],"non trouvé")</f>
        <v>16</v>
      </c>
      <c r="M1033" t="str">
        <f>_xlfn.XLOOKUP(_26_03_2026_Log_Reseau_v15[[#This Row],[province RDC]],_26_03_2026_Client_Churn_v1[Province_Client],_26_03_2026_Client_Churn_v1[Type_Forfait],"non trouvé")</f>
        <v>Bloqué 5Go</v>
      </c>
      <c r="N1033">
        <f>_xlfn.XLOOKUP(_26_03_2026_Log_Reseau_v15[[#This Row],[province RDC]],_26_03_2026_Client_Churn_v1[Province_Client],_26_03_2026_Client_Churn_v1[Duree_Cumulee_Panne_Min],"non trouvé")</f>
        <v>390</v>
      </c>
      <c r="O1033">
        <f>_xlfn.XLOOKUP(_26_03_2026_Log_Reseau_v15[[#This Row],[province RDC]],_26_03_2026_Client_Churn_v1[Province_Client],_26_03_2026_Client_Churn_v1[Facture_Mensuelle],"non trouvé")</f>
        <v>98.17</v>
      </c>
      <c r="P1033">
        <f>_xlfn.XLOOKUP(_26_03_2026_Log_Reseau_v15[[#This Row],[province RDC]],_26_03_2026_Client_Churn_v1[Province_Client],_26_03_2026_Client_Churn_v1[Plaintes_Service_Client],"non trouvé")</f>
        <v>5</v>
      </c>
    </row>
    <row r="1034" spans="1:16" x14ac:dyDescent="0.25">
      <c r="A1034" s="1">
        <v>45207</v>
      </c>
      <c r="B1034" s="2">
        <v>0.98263888888888884</v>
      </c>
      <c r="C1034" t="s">
        <v>1444</v>
      </c>
      <c r="D1034">
        <v>25</v>
      </c>
      <c r="E1034" t="s">
        <v>812</v>
      </c>
      <c r="F1034" t="str">
        <f>_xlfn.XLOOKUP(_26_03_2026_Log_Reseau_v15[[#This Row],[Cell_ID]],_26_03_2026_Registre_Maintenance_v1[ID_Antenne],_26_03_2026_Registre_Maintenance_v1[zone],"pas trouvé")</f>
        <v>Nord-Kivu</v>
      </c>
      <c r="G1034">
        <f>_xlfn.XLOOKUP(_26_03_2026_Log_Reseau_v15[[#This Row],[Cell_ID]],_26_03_2026_Registre_Maintenance_v1[ID_Antenne],_26_03_2026_Registre_Maintenance_v1[Latitude],"non trouvé")</f>
        <v>-11.866133</v>
      </c>
      <c r="H1034">
        <f>_xlfn.XLOOKUP(_26_03_2026_Log_Reseau_v15[[#This Row],[Cell_ID]],_26_03_2026_Registre_Maintenance_v1[ID_Antenne],_26_03_2026_Registre_Maintenance_v1[Longitude],"pas trouvé")</f>
        <v>27.068932</v>
      </c>
      <c r="I1034" t="str">
        <f>_xlfn.XLOOKUP(_26_03_2026_Log_Reseau_v15[[#This Row],[Cell_ID]],_26_03_2026_Registre_Maintenance_v1[ID_Antenne],_26_03_2026_Registre_Maintenance_v1[Technologie],"non trouvé")</f>
        <v>3G</v>
      </c>
      <c r="J1034" t="str">
        <f>_xlfn.XLOOKUP(_26_03_2026_Log_Reseau_v15[[#This Row],[Cell_ID]],_26_03_2026_Registre_Maintenance_v1[ID_Antenne],_26_03_2026_Registre_Maintenance_v1[Equipementier],"pas trouvé")</f>
        <v>Huawei</v>
      </c>
      <c r="K1034" t="str">
        <f>_xlfn.XLOOKUP(_26_03_2026_Log_Reseau_v15[[#This Row],[province RDC]],_26_03_2026_Client_Churn_v1[Province_Client],_26_03_2026_Client_Churn_v1[ID_Client],"non trouvé")</f>
        <v>CLI-00837</v>
      </c>
      <c r="L1034">
        <f>_xlfn.XLOOKUP(_26_03_2026_Log_Reseau_v15[[#This Row],[province RDC]],_26_03_2026_Client_Churn_v1[Province_Client],_26_03_2026_Client_Churn_v1[Anciennete_Mois],"non trouvé")</f>
        <v>16</v>
      </c>
      <c r="M1034" t="str">
        <f>_xlfn.XLOOKUP(_26_03_2026_Log_Reseau_v15[[#This Row],[province RDC]],_26_03_2026_Client_Churn_v1[Province_Client],_26_03_2026_Client_Churn_v1[Type_Forfait],"non trouvé")</f>
        <v>Bloqué 5Go</v>
      </c>
      <c r="N1034">
        <f>_xlfn.XLOOKUP(_26_03_2026_Log_Reseau_v15[[#This Row],[province RDC]],_26_03_2026_Client_Churn_v1[Province_Client],_26_03_2026_Client_Churn_v1[Duree_Cumulee_Panne_Min],"non trouvé")</f>
        <v>390</v>
      </c>
      <c r="O1034">
        <f>_xlfn.XLOOKUP(_26_03_2026_Log_Reseau_v15[[#This Row],[province RDC]],_26_03_2026_Client_Churn_v1[Province_Client],_26_03_2026_Client_Churn_v1[Facture_Mensuelle],"non trouvé")</f>
        <v>98.17</v>
      </c>
      <c r="P1034">
        <f>_xlfn.XLOOKUP(_26_03_2026_Log_Reseau_v15[[#This Row],[province RDC]],_26_03_2026_Client_Churn_v1[Province_Client],_26_03_2026_Client_Churn_v1[Plaintes_Service_Client],"non trouvé")</f>
        <v>5</v>
      </c>
    </row>
    <row r="1035" spans="1:16" hidden="1" x14ac:dyDescent="0.25">
      <c r="A1035" s="1">
        <v>45201</v>
      </c>
      <c r="B1035" s="2">
        <v>0.35</v>
      </c>
      <c r="C1035" t="s">
        <v>1445</v>
      </c>
      <c r="D1035">
        <v>73</v>
      </c>
      <c r="E1035" t="s">
        <v>807</v>
      </c>
      <c r="F1035" t="str">
        <f>_xlfn.XLOOKUP(_26_03_2026_Log_Reseau_v15[[#This Row],[Cell_ID]],_26_03_2026_Registre_Maintenance_v1[ID_Antenne],_26_03_2026_Registre_Maintenance_v1[zone],"pas trouvé")</f>
        <v>pas trouvé</v>
      </c>
      <c r="G1035" t="str">
        <f>_xlfn.XLOOKUP(_26_03_2026_Log_Reseau_v15[[#This Row],[Cell_ID]],_26_03_2026_Registre_Maintenance_v1[ID_Antenne],_26_03_2026_Registre_Maintenance_v1[Latitude],"non trouvé")</f>
        <v>non trouvé</v>
      </c>
      <c r="H1035" t="str">
        <f>_xlfn.XLOOKUP(_26_03_2026_Log_Reseau_v15[[#This Row],[Cell_ID]],_26_03_2026_Registre_Maintenance_v1[ID_Antenne],_26_03_2026_Registre_Maintenance_v1[Longitude],"pas trouvé")</f>
        <v>pas trouvé</v>
      </c>
      <c r="I1035" t="str">
        <f>_xlfn.XLOOKUP(_26_03_2026_Log_Reseau_v15[[#This Row],[Cell_ID]],_26_03_2026_Registre_Maintenance_v1[ID_Antenne],_26_03_2026_Registre_Maintenance_v1[Technologie],"non trouvé")</f>
        <v>non trouvé</v>
      </c>
      <c r="J1035" t="str">
        <f>_xlfn.XLOOKUP(_26_03_2026_Log_Reseau_v15[[#This Row],[Cell_ID]],_26_03_2026_Registre_Maintenance_v1[ID_Antenne],_26_03_2026_Registre_Maintenance_v1[Equipementier],"pas trouvé")</f>
        <v>pas trouvé</v>
      </c>
      <c r="K1035" t="str">
        <f>_xlfn.XLOOKUP(_26_03_2026_Log_Reseau_v15[[#This Row],[province RDC]],_26_03_2026_Client_Churn_v1[Province_Client],_26_03_2026_Client_Churn_v1[ID_Client],"non trouvé")</f>
        <v>non trouvé</v>
      </c>
      <c r="L1035" t="str">
        <f>_xlfn.XLOOKUP(_26_03_2026_Log_Reseau_v15[[#This Row],[province RDC]],_26_03_2026_Client_Churn_v1[Province_Client],_26_03_2026_Client_Churn_v1[Anciennete_Mois],"non trouvé")</f>
        <v>non trouvé</v>
      </c>
      <c r="M1035" t="str">
        <f>_xlfn.XLOOKUP(_26_03_2026_Log_Reseau_v15[[#This Row],[province RDC]],_26_03_2026_Client_Churn_v1[Province_Client],_26_03_2026_Client_Churn_v1[Type_Forfait],"non trouvé")</f>
        <v>non trouvé</v>
      </c>
      <c r="N1035" t="str">
        <f>_xlfn.XLOOKUP(_26_03_2026_Log_Reseau_v15[[#This Row],[province RDC]],_26_03_2026_Client_Churn_v1[Province_Client],_26_03_2026_Client_Churn_v1[Duree_Cumulee_Panne_Min],"non trouvé")</f>
        <v>non trouvé</v>
      </c>
      <c r="O1035" t="str">
        <f>_xlfn.XLOOKUP(_26_03_2026_Log_Reseau_v15[[#This Row],[province RDC]],_26_03_2026_Client_Churn_v1[Province_Client],_26_03_2026_Client_Churn_v1[Facture_Mensuelle],"non trouvé")</f>
        <v>non trouvé</v>
      </c>
      <c r="P1035" t="str">
        <f>_xlfn.XLOOKUP(_26_03_2026_Log_Reseau_v15[[#This Row],[province RDC]],_26_03_2026_Client_Churn_v1[Province_Client],_26_03_2026_Client_Churn_v1[Plaintes_Service_Client],"non trouvé")</f>
        <v>non trouvé</v>
      </c>
    </row>
    <row r="1036" spans="1:16" hidden="1" x14ac:dyDescent="0.25">
      <c r="A1036" s="1">
        <v>45217</v>
      </c>
      <c r="B1036" s="2">
        <v>0.81874999999999998</v>
      </c>
      <c r="C1036" t="s">
        <v>1445</v>
      </c>
      <c r="D1036">
        <v>100</v>
      </c>
      <c r="E1036" t="s">
        <v>807</v>
      </c>
      <c r="F1036" t="str">
        <f>_xlfn.XLOOKUP(_26_03_2026_Log_Reseau_v15[[#This Row],[Cell_ID]],_26_03_2026_Registre_Maintenance_v1[ID_Antenne],_26_03_2026_Registre_Maintenance_v1[zone],"pas trouvé")</f>
        <v>pas trouvé</v>
      </c>
      <c r="G1036" t="str">
        <f>_xlfn.XLOOKUP(_26_03_2026_Log_Reseau_v15[[#This Row],[Cell_ID]],_26_03_2026_Registre_Maintenance_v1[ID_Antenne],_26_03_2026_Registre_Maintenance_v1[Latitude],"non trouvé")</f>
        <v>non trouvé</v>
      </c>
      <c r="H1036" t="str">
        <f>_xlfn.XLOOKUP(_26_03_2026_Log_Reseau_v15[[#This Row],[Cell_ID]],_26_03_2026_Registre_Maintenance_v1[ID_Antenne],_26_03_2026_Registre_Maintenance_v1[Longitude],"pas trouvé")</f>
        <v>pas trouvé</v>
      </c>
      <c r="I1036" t="str">
        <f>_xlfn.XLOOKUP(_26_03_2026_Log_Reseau_v15[[#This Row],[Cell_ID]],_26_03_2026_Registre_Maintenance_v1[ID_Antenne],_26_03_2026_Registre_Maintenance_v1[Technologie],"non trouvé")</f>
        <v>non trouvé</v>
      </c>
      <c r="J1036" t="str">
        <f>_xlfn.XLOOKUP(_26_03_2026_Log_Reseau_v15[[#This Row],[Cell_ID]],_26_03_2026_Registre_Maintenance_v1[ID_Antenne],_26_03_2026_Registre_Maintenance_v1[Equipementier],"pas trouvé")</f>
        <v>pas trouvé</v>
      </c>
      <c r="K1036" t="str">
        <f>_xlfn.XLOOKUP(_26_03_2026_Log_Reseau_v15[[#This Row],[province RDC]],_26_03_2026_Client_Churn_v1[Province_Client],_26_03_2026_Client_Churn_v1[ID_Client],"non trouvé")</f>
        <v>non trouvé</v>
      </c>
      <c r="L1036" t="str">
        <f>_xlfn.XLOOKUP(_26_03_2026_Log_Reseau_v15[[#This Row],[province RDC]],_26_03_2026_Client_Churn_v1[Province_Client],_26_03_2026_Client_Churn_v1[Anciennete_Mois],"non trouvé")</f>
        <v>non trouvé</v>
      </c>
      <c r="M1036" t="str">
        <f>_xlfn.XLOOKUP(_26_03_2026_Log_Reseau_v15[[#This Row],[province RDC]],_26_03_2026_Client_Churn_v1[Province_Client],_26_03_2026_Client_Churn_v1[Type_Forfait],"non trouvé")</f>
        <v>non trouvé</v>
      </c>
      <c r="N1036" t="str">
        <f>_xlfn.XLOOKUP(_26_03_2026_Log_Reseau_v15[[#This Row],[province RDC]],_26_03_2026_Client_Churn_v1[Province_Client],_26_03_2026_Client_Churn_v1[Duree_Cumulee_Panne_Min],"non trouvé")</f>
        <v>non trouvé</v>
      </c>
      <c r="O1036" t="str">
        <f>_xlfn.XLOOKUP(_26_03_2026_Log_Reseau_v15[[#This Row],[province RDC]],_26_03_2026_Client_Churn_v1[Province_Client],_26_03_2026_Client_Churn_v1[Facture_Mensuelle],"non trouvé")</f>
        <v>non trouvé</v>
      </c>
      <c r="P1036" t="str">
        <f>_xlfn.XLOOKUP(_26_03_2026_Log_Reseau_v15[[#This Row],[province RDC]],_26_03_2026_Client_Churn_v1[Province_Client],_26_03_2026_Client_Churn_v1[Plaintes_Service_Client],"non trouvé")</f>
        <v>non trouvé</v>
      </c>
    </row>
    <row r="1037" spans="1:16" hidden="1" x14ac:dyDescent="0.25">
      <c r="A1037" s="1">
        <v>45202</v>
      </c>
      <c r="B1037" s="2">
        <v>0.28958333333333336</v>
      </c>
      <c r="C1037" t="s">
        <v>1445</v>
      </c>
      <c r="D1037">
        <v>103</v>
      </c>
      <c r="E1037" t="s">
        <v>808</v>
      </c>
      <c r="F1037" t="str">
        <f>_xlfn.XLOOKUP(_26_03_2026_Log_Reseau_v15[[#This Row],[Cell_ID]],_26_03_2026_Registre_Maintenance_v1[ID_Antenne],_26_03_2026_Registre_Maintenance_v1[zone],"pas trouvé")</f>
        <v>pas trouvé</v>
      </c>
      <c r="G1037" t="str">
        <f>_xlfn.XLOOKUP(_26_03_2026_Log_Reseau_v15[[#This Row],[Cell_ID]],_26_03_2026_Registre_Maintenance_v1[ID_Antenne],_26_03_2026_Registre_Maintenance_v1[Latitude],"non trouvé")</f>
        <v>non trouvé</v>
      </c>
      <c r="H1037" t="str">
        <f>_xlfn.XLOOKUP(_26_03_2026_Log_Reseau_v15[[#This Row],[Cell_ID]],_26_03_2026_Registre_Maintenance_v1[ID_Antenne],_26_03_2026_Registre_Maintenance_v1[Longitude],"pas trouvé")</f>
        <v>pas trouvé</v>
      </c>
      <c r="I1037" t="str">
        <f>_xlfn.XLOOKUP(_26_03_2026_Log_Reseau_v15[[#This Row],[Cell_ID]],_26_03_2026_Registre_Maintenance_v1[ID_Antenne],_26_03_2026_Registre_Maintenance_v1[Technologie],"non trouvé")</f>
        <v>non trouvé</v>
      </c>
      <c r="J1037" t="str">
        <f>_xlfn.XLOOKUP(_26_03_2026_Log_Reseau_v15[[#This Row],[Cell_ID]],_26_03_2026_Registre_Maintenance_v1[ID_Antenne],_26_03_2026_Registre_Maintenance_v1[Equipementier],"pas trouvé")</f>
        <v>pas trouvé</v>
      </c>
      <c r="K1037" t="str">
        <f>_xlfn.XLOOKUP(_26_03_2026_Log_Reseau_v15[[#This Row],[province RDC]],_26_03_2026_Client_Churn_v1[Province_Client],_26_03_2026_Client_Churn_v1[ID_Client],"non trouvé")</f>
        <v>non trouvé</v>
      </c>
      <c r="L1037" t="str">
        <f>_xlfn.XLOOKUP(_26_03_2026_Log_Reseau_v15[[#This Row],[province RDC]],_26_03_2026_Client_Churn_v1[Province_Client],_26_03_2026_Client_Churn_v1[Anciennete_Mois],"non trouvé")</f>
        <v>non trouvé</v>
      </c>
      <c r="M1037" t="str">
        <f>_xlfn.XLOOKUP(_26_03_2026_Log_Reseau_v15[[#This Row],[province RDC]],_26_03_2026_Client_Churn_v1[Province_Client],_26_03_2026_Client_Churn_v1[Type_Forfait],"non trouvé")</f>
        <v>non trouvé</v>
      </c>
      <c r="N1037" t="str">
        <f>_xlfn.XLOOKUP(_26_03_2026_Log_Reseau_v15[[#This Row],[province RDC]],_26_03_2026_Client_Churn_v1[Province_Client],_26_03_2026_Client_Churn_v1[Duree_Cumulee_Panne_Min],"non trouvé")</f>
        <v>non trouvé</v>
      </c>
      <c r="O1037" t="str">
        <f>_xlfn.XLOOKUP(_26_03_2026_Log_Reseau_v15[[#This Row],[province RDC]],_26_03_2026_Client_Churn_v1[Province_Client],_26_03_2026_Client_Churn_v1[Facture_Mensuelle],"non trouvé")</f>
        <v>non trouvé</v>
      </c>
      <c r="P1037" t="str">
        <f>_xlfn.XLOOKUP(_26_03_2026_Log_Reseau_v15[[#This Row],[province RDC]],_26_03_2026_Client_Churn_v1[Province_Client],_26_03_2026_Client_Churn_v1[Plaintes_Service_Client],"non trouvé")</f>
        <v>non trouvé</v>
      </c>
    </row>
    <row r="1038" spans="1:16" hidden="1" x14ac:dyDescent="0.25">
      <c r="A1038" s="1">
        <v>45217</v>
      </c>
      <c r="B1038" s="2">
        <v>0.70138888888888884</v>
      </c>
      <c r="C1038" t="s">
        <v>1445</v>
      </c>
      <c r="D1038">
        <v>71</v>
      </c>
      <c r="E1038" t="s">
        <v>808</v>
      </c>
      <c r="F1038" t="str">
        <f>_xlfn.XLOOKUP(_26_03_2026_Log_Reseau_v15[[#This Row],[Cell_ID]],_26_03_2026_Registre_Maintenance_v1[ID_Antenne],_26_03_2026_Registre_Maintenance_v1[zone],"pas trouvé")</f>
        <v>pas trouvé</v>
      </c>
      <c r="G1038" t="str">
        <f>_xlfn.XLOOKUP(_26_03_2026_Log_Reseau_v15[[#This Row],[Cell_ID]],_26_03_2026_Registre_Maintenance_v1[ID_Antenne],_26_03_2026_Registre_Maintenance_v1[Latitude],"non trouvé")</f>
        <v>non trouvé</v>
      </c>
      <c r="H1038" t="str">
        <f>_xlfn.XLOOKUP(_26_03_2026_Log_Reseau_v15[[#This Row],[Cell_ID]],_26_03_2026_Registre_Maintenance_v1[ID_Antenne],_26_03_2026_Registre_Maintenance_v1[Longitude],"pas trouvé")</f>
        <v>pas trouvé</v>
      </c>
      <c r="I1038" t="str">
        <f>_xlfn.XLOOKUP(_26_03_2026_Log_Reseau_v15[[#This Row],[Cell_ID]],_26_03_2026_Registre_Maintenance_v1[ID_Antenne],_26_03_2026_Registre_Maintenance_v1[Technologie],"non trouvé")</f>
        <v>non trouvé</v>
      </c>
      <c r="J1038" t="str">
        <f>_xlfn.XLOOKUP(_26_03_2026_Log_Reseau_v15[[#This Row],[Cell_ID]],_26_03_2026_Registre_Maintenance_v1[ID_Antenne],_26_03_2026_Registre_Maintenance_v1[Equipementier],"pas trouvé")</f>
        <v>pas trouvé</v>
      </c>
      <c r="K1038" t="str">
        <f>_xlfn.XLOOKUP(_26_03_2026_Log_Reseau_v15[[#This Row],[province RDC]],_26_03_2026_Client_Churn_v1[Province_Client],_26_03_2026_Client_Churn_v1[ID_Client],"non trouvé")</f>
        <v>non trouvé</v>
      </c>
      <c r="L1038" t="str">
        <f>_xlfn.XLOOKUP(_26_03_2026_Log_Reseau_v15[[#This Row],[province RDC]],_26_03_2026_Client_Churn_v1[Province_Client],_26_03_2026_Client_Churn_v1[Anciennete_Mois],"non trouvé")</f>
        <v>non trouvé</v>
      </c>
      <c r="M1038" t="str">
        <f>_xlfn.XLOOKUP(_26_03_2026_Log_Reseau_v15[[#This Row],[province RDC]],_26_03_2026_Client_Churn_v1[Province_Client],_26_03_2026_Client_Churn_v1[Type_Forfait],"non trouvé")</f>
        <v>non trouvé</v>
      </c>
      <c r="N1038" t="str">
        <f>_xlfn.XLOOKUP(_26_03_2026_Log_Reseau_v15[[#This Row],[province RDC]],_26_03_2026_Client_Churn_v1[Province_Client],_26_03_2026_Client_Churn_v1[Duree_Cumulee_Panne_Min],"non trouvé")</f>
        <v>non trouvé</v>
      </c>
      <c r="O1038" t="str">
        <f>_xlfn.XLOOKUP(_26_03_2026_Log_Reseau_v15[[#This Row],[province RDC]],_26_03_2026_Client_Churn_v1[Province_Client],_26_03_2026_Client_Churn_v1[Facture_Mensuelle],"non trouvé")</f>
        <v>non trouvé</v>
      </c>
      <c r="P1038" t="str">
        <f>_xlfn.XLOOKUP(_26_03_2026_Log_Reseau_v15[[#This Row],[province RDC]],_26_03_2026_Client_Churn_v1[Province_Client],_26_03_2026_Client_Churn_v1[Plaintes_Service_Client],"non trouvé")</f>
        <v>non trouvé</v>
      </c>
    </row>
    <row r="1039" spans="1:16" x14ac:dyDescent="0.25">
      <c r="A1039" s="1">
        <v>45205</v>
      </c>
      <c r="B1039" s="2">
        <v>0.76875000000000004</v>
      </c>
      <c r="C1039" t="s">
        <v>1446</v>
      </c>
      <c r="D1039">
        <v>36</v>
      </c>
      <c r="E1039" t="s">
        <v>807</v>
      </c>
      <c r="F1039" t="str">
        <f>_xlfn.XLOOKUP(_26_03_2026_Log_Reseau_v15[[#This Row],[Cell_ID]],_26_03_2026_Registre_Maintenance_v1[ID_Antenne],_26_03_2026_Registre_Maintenance_v1[zone],"pas trouvé")</f>
        <v>Kongo-Central</v>
      </c>
      <c r="G1039">
        <f>_xlfn.XLOOKUP(_26_03_2026_Log_Reseau_v15[[#This Row],[Cell_ID]],_26_03_2026_Registre_Maintenance_v1[ID_Antenne],_26_03_2026_Registre_Maintenance_v1[Latitude],"non trouvé")</f>
        <v>-0.469945</v>
      </c>
      <c r="H1039">
        <f>_xlfn.XLOOKUP(_26_03_2026_Log_Reseau_v15[[#This Row],[Cell_ID]],_26_03_2026_Registre_Maintenance_v1[ID_Antenne],_26_03_2026_Registre_Maintenance_v1[Longitude],"pas trouvé")</f>
        <v>21.038527999999999</v>
      </c>
      <c r="I1039" t="str">
        <f>_xlfn.XLOOKUP(_26_03_2026_Log_Reseau_v15[[#This Row],[Cell_ID]],_26_03_2026_Registre_Maintenance_v1[ID_Antenne],_26_03_2026_Registre_Maintenance_v1[Technologie],"non trouvé")</f>
        <v>3G</v>
      </c>
      <c r="J1039" t="str">
        <f>_xlfn.XLOOKUP(_26_03_2026_Log_Reseau_v15[[#This Row],[Cell_ID]],_26_03_2026_Registre_Maintenance_v1[ID_Antenne],_26_03_2026_Registre_Maintenance_v1[Equipementier],"pas trouvé")</f>
        <v>Ericsson</v>
      </c>
      <c r="K1039" t="str">
        <f>_xlfn.XLOOKUP(_26_03_2026_Log_Reseau_v15[[#This Row],[province RDC]],_26_03_2026_Client_Churn_v1[Province_Client],_26_03_2026_Client_Churn_v1[ID_Client],"non trouvé")</f>
        <v>CLI-01233</v>
      </c>
      <c r="L1039">
        <f>_xlfn.XLOOKUP(_26_03_2026_Log_Reseau_v15[[#This Row],[province RDC]],_26_03_2026_Client_Churn_v1[Province_Client],_26_03_2026_Client_Churn_v1[Anciennete_Mois],"non trouvé")</f>
        <v>101</v>
      </c>
      <c r="M1039" t="str">
        <f>_xlfn.XLOOKUP(_26_03_2026_Log_Reseau_v15[[#This Row],[province RDC]],_26_03_2026_Client_Churn_v1[Province_Client],_26_03_2026_Client_Churn_v1[Type_Forfait],"non trouvé")</f>
        <v>Pro Monde</v>
      </c>
      <c r="N1039">
        <f>_xlfn.XLOOKUP(_26_03_2026_Log_Reseau_v15[[#This Row],[province RDC]],_26_03_2026_Client_Churn_v1[Province_Client],_26_03_2026_Client_Churn_v1[Duree_Cumulee_Panne_Min],"non trouvé")</f>
        <v>333</v>
      </c>
      <c r="O1039">
        <f>_xlfn.XLOOKUP(_26_03_2026_Log_Reseau_v15[[#This Row],[province RDC]],_26_03_2026_Client_Churn_v1[Province_Client],_26_03_2026_Client_Churn_v1[Facture_Mensuelle],"non trouvé")</f>
        <v>74.319999999999993</v>
      </c>
      <c r="P1039">
        <f>_xlfn.XLOOKUP(_26_03_2026_Log_Reseau_v15[[#This Row],[province RDC]],_26_03_2026_Client_Churn_v1[Province_Client],_26_03_2026_Client_Churn_v1[Plaintes_Service_Client],"non trouvé")</f>
        <v>1</v>
      </c>
    </row>
    <row r="1040" spans="1:16" hidden="1" x14ac:dyDescent="0.25">
      <c r="A1040" s="1">
        <v>45203</v>
      </c>
      <c r="B1040" s="2">
        <v>0.81041666666666667</v>
      </c>
      <c r="C1040" t="s">
        <v>1447</v>
      </c>
      <c r="D1040">
        <v>78</v>
      </c>
      <c r="E1040" t="s">
        <v>812</v>
      </c>
      <c r="F1040" t="str">
        <f>_xlfn.XLOOKUP(_26_03_2026_Log_Reseau_v15[[#This Row],[Cell_ID]],_26_03_2026_Registre_Maintenance_v1[ID_Antenne],_26_03_2026_Registre_Maintenance_v1[zone],"pas trouvé")</f>
        <v>pas trouvé</v>
      </c>
      <c r="G1040" t="str">
        <f>_xlfn.XLOOKUP(_26_03_2026_Log_Reseau_v15[[#This Row],[Cell_ID]],_26_03_2026_Registre_Maintenance_v1[ID_Antenne],_26_03_2026_Registre_Maintenance_v1[Latitude],"non trouvé")</f>
        <v>non trouvé</v>
      </c>
      <c r="H1040" t="str">
        <f>_xlfn.XLOOKUP(_26_03_2026_Log_Reseau_v15[[#This Row],[Cell_ID]],_26_03_2026_Registre_Maintenance_v1[ID_Antenne],_26_03_2026_Registre_Maintenance_v1[Longitude],"pas trouvé")</f>
        <v>pas trouvé</v>
      </c>
      <c r="I1040" t="str">
        <f>_xlfn.XLOOKUP(_26_03_2026_Log_Reseau_v15[[#This Row],[Cell_ID]],_26_03_2026_Registre_Maintenance_v1[ID_Antenne],_26_03_2026_Registre_Maintenance_v1[Technologie],"non trouvé")</f>
        <v>non trouvé</v>
      </c>
      <c r="J1040" t="str">
        <f>_xlfn.XLOOKUP(_26_03_2026_Log_Reseau_v15[[#This Row],[Cell_ID]],_26_03_2026_Registre_Maintenance_v1[ID_Antenne],_26_03_2026_Registre_Maintenance_v1[Equipementier],"pas trouvé")</f>
        <v>pas trouvé</v>
      </c>
      <c r="K1040" t="str">
        <f>_xlfn.XLOOKUP(_26_03_2026_Log_Reseau_v15[[#This Row],[province RDC]],_26_03_2026_Client_Churn_v1[Province_Client],_26_03_2026_Client_Churn_v1[ID_Client],"non trouvé")</f>
        <v>non trouvé</v>
      </c>
      <c r="L1040" t="str">
        <f>_xlfn.XLOOKUP(_26_03_2026_Log_Reseau_v15[[#This Row],[province RDC]],_26_03_2026_Client_Churn_v1[Province_Client],_26_03_2026_Client_Churn_v1[Anciennete_Mois],"non trouvé")</f>
        <v>non trouvé</v>
      </c>
      <c r="M1040" t="str">
        <f>_xlfn.XLOOKUP(_26_03_2026_Log_Reseau_v15[[#This Row],[province RDC]],_26_03_2026_Client_Churn_v1[Province_Client],_26_03_2026_Client_Churn_v1[Type_Forfait],"non trouvé")</f>
        <v>non trouvé</v>
      </c>
      <c r="N1040" t="str">
        <f>_xlfn.XLOOKUP(_26_03_2026_Log_Reseau_v15[[#This Row],[province RDC]],_26_03_2026_Client_Churn_v1[Province_Client],_26_03_2026_Client_Churn_v1[Duree_Cumulee_Panne_Min],"non trouvé")</f>
        <v>non trouvé</v>
      </c>
      <c r="O1040" t="str">
        <f>_xlfn.XLOOKUP(_26_03_2026_Log_Reseau_v15[[#This Row],[province RDC]],_26_03_2026_Client_Churn_v1[Province_Client],_26_03_2026_Client_Churn_v1[Facture_Mensuelle],"non trouvé")</f>
        <v>non trouvé</v>
      </c>
      <c r="P1040" t="str">
        <f>_xlfn.XLOOKUP(_26_03_2026_Log_Reseau_v15[[#This Row],[province RDC]],_26_03_2026_Client_Churn_v1[Province_Client],_26_03_2026_Client_Churn_v1[Plaintes_Service_Client],"non trouvé")</f>
        <v>non trouvé</v>
      </c>
    </row>
    <row r="1041" spans="1:16" hidden="1" x14ac:dyDescent="0.25">
      <c r="A1041" s="1">
        <v>45213</v>
      </c>
      <c r="B1041" s="2">
        <v>0.58472222222222225</v>
      </c>
      <c r="C1041" t="s">
        <v>1448</v>
      </c>
      <c r="D1041">
        <v>35</v>
      </c>
      <c r="E1041" t="s">
        <v>808</v>
      </c>
      <c r="F1041" t="str">
        <f>_xlfn.XLOOKUP(_26_03_2026_Log_Reseau_v15[[#This Row],[Cell_ID]],_26_03_2026_Registre_Maintenance_v1[ID_Antenne],_26_03_2026_Registre_Maintenance_v1[zone],"pas trouvé")</f>
        <v>pas trouvé</v>
      </c>
      <c r="G1041" t="str">
        <f>_xlfn.XLOOKUP(_26_03_2026_Log_Reseau_v15[[#This Row],[Cell_ID]],_26_03_2026_Registre_Maintenance_v1[ID_Antenne],_26_03_2026_Registre_Maintenance_v1[Latitude],"non trouvé")</f>
        <v>non trouvé</v>
      </c>
      <c r="H1041" t="str">
        <f>_xlfn.XLOOKUP(_26_03_2026_Log_Reseau_v15[[#This Row],[Cell_ID]],_26_03_2026_Registre_Maintenance_v1[ID_Antenne],_26_03_2026_Registre_Maintenance_v1[Longitude],"pas trouvé")</f>
        <v>pas trouvé</v>
      </c>
      <c r="I1041" t="str">
        <f>_xlfn.XLOOKUP(_26_03_2026_Log_Reseau_v15[[#This Row],[Cell_ID]],_26_03_2026_Registre_Maintenance_v1[ID_Antenne],_26_03_2026_Registre_Maintenance_v1[Technologie],"non trouvé")</f>
        <v>non trouvé</v>
      </c>
      <c r="J1041" t="str">
        <f>_xlfn.XLOOKUP(_26_03_2026_Log_Reseau_v15[[#This Row],[Cell_ID]],_26_03_2026_Registre_Maintenance_v1[ID_Antenne],_26_03_2026_Registre_Maintenance_v1[Equipementier],"pas trouvé")</f>
        <v>pas trouvé</v>
      </c>
      <c r="K1041" t="str">
        <f>_xlfn.XLOOKUP(_26_03_2026_Log_Reseau_v15[[#This Row],[province RDC]],_26_03_2026_Client_Churn_v1[Province_Client],_26_03_2026_Client_Churn_v1[ID_Client],"non trouvé")</f>
        <v>non trouvé</v>
      </c>
      <c r="L1041" t="str">
        <f>_xlfn.XLOOKUP(_26_03_2026_Log_Reseau_v15[[#This Row],[province RDC]],_26_03_2026_Client_Churn_v1[Province_Client],_26_03_2026_Client_Churn_v1[Anciennete_Mois],"non trouvé")</f>
        <v>non trouvé</v>
      </c>
      <c r="M1041" t="str">
        <f>_xlfn.XLOOKUP(_26_03_2026_Log_Reseau_v15[[#This Row],[province RDC]],_26_03_2026_Client_Churn_v1[Province_Client],_26_03_2026_Client_Churn_v1[Type_Forfait],"non trouvé")</f>
        <v>non trouvé</v>
      </c>
      <c r="N1041" t="str">
        <f>_xlfn.XLOOKUP(_26_03_2026_Log_Reseau_v15[[#This Row],[province RDC]],_26_03_2026_Client_Churn_v1[Province_Client],_26_03_2026_Client_Churn_v1[Duree_Cumulee_Panne_Min],"non trouvé")</f>
        <v>non trouvé</v>
      </c>
      <c r="O1041" t="str">
        <f>_xlfn.XLOOKUP(_26_03_2026_Log_Reseau_v15[[#This Row],[province RDC]],_26_03_2026_Client_Churn_v1[Province_Client],_26_03_2026_Client_Churn_v1[Facture_Mensuelle],"non trouvé")</f>
        <v>non trouvé</v>
      </c>
      <c r="P1041" t="str">
        <f>_xlfn.XLOOKUP(_26_03_2026_Log_Reseau_v15[[#This Row],[province RDC]],_26_03_2026_Client_Churn_v1[Province_Client],_26_03_2026_Client_Churn_v1[Plaintes_Service_Client],"non trouvé")</f>
        <v>non trouvé</v>
      </c>
    </row>
    <row r="1042" spans="1:16" x14ac:dyDescent="0.25">
      <c r="A1042" s="1">
        <v>45225</v>
      </c>
      <c r="B1042" s="2">
        <v>0.8881944444444444</v>
      </c>
      <c r="C1042" t="s">
        <v>1449</v>
      </c>
      <c r="D1042">
        <v>87</v>
      </c>
      <c r="E1042" t="s">
        <v>812</v>
      </c>
      <c r="F1042" t="str">
        <f>_xlfn.XLOOKUP(_26_03_2026_Log_Reseau_v15[[#This Row],[Cell_ID]],_26_03_2026_Registre_Maintenance_v1[ID_Antenne],_26_03_2026_Registre_Maintenance_v1[zone],"pas trouvé")</f>
        <v>Haut-Lomami</v>
      </c>
      <c r="G1042">
        <f>_xlfn.XLOOKUP(_26_03_2026_Log_Reseau_v15[[#This Row],[Cell_ID]],_26_03_2026_Registre_Maintenance_v1[ID_Antenne],_26_03_2026_Registre_Maintenance_v1[Latitude],"non trouvé")</f>
        <v>-5.8145569999999998</v>
      </c>
      <c r="H1042">
        <f>_xlfn.XLOOKUP(_26_03_2026_Log_Reseau_v15[[#This Row],[Cell_ID]],_26_03_2026_Registre_Maintenance_v1[ID_Antenne],_26_03_2026_Registre_Maintenance_v1[Longitude],"pas trouvé")</f>
        <v>21.942052</v>
      </c>
      <c r="I1042" t="str">
        <f>_xlfn.XLOOKUP(_26_03_2026_Log_Reseau_v15[[#This Row],[Cell_ID]],_26_03_2026_Registre_Maintenance_v1[ID_Antenne],_26_03_2026_Registre_Maintenance_v1[Technologie],"non trouvé")</f>
        <v>5G</v>
      </c>
      <c r="J1042" t="str">
        <f>_xlfn.XLOOKUP(_26_03_2026_Log_Reseau_v15[[#This Row],[Cell_ID]],_26_03_2026_Registre_Maintenance_v1[ID_Antenne],_26_03_2026_Registre_Maintenance_v1[Equipementier],"pas trouvé")</f>
        <v>Huawei</v>
      </c>
      <c r="K1042" t="str">
        <f>_xlfn.XLOOKUP(_26_03_2026_Log_Reseau_v15[[#This Row],[province RDC]],_26_03_2026_Client_Churn_v1[Province_Client],_26_03_2026_Client_Churn_v1[ID_Client],"non trouvé")</f>
        <v>CLI-01325</v>
      </c>
      <c r="L1042">
        <f>_xlfn.XLOOKUP(_26_03_2026_Log_Reseau_v15[[#This Row],[province RDC]],_26_03_2026_Client_Churn_v1[Province_Client],_26_03_2026_Client_Churn_v1[Anciennete_Mois],"non trouvé")</f>
        <v>44</v>
      </c>
      <c r="M1042" t="str">
        <f>_xlfn.XLOOKUP(_26_03_2026_Log_Reseau_v15[[#This Row],[province RDC]],_26_03_2026_Client_Churn_v1[Province_Client],_26_03_2026_Client_Churn_v1[Type_Forfait],"non trouvé")</f>
        <v>Bloqué 5Go</v>
      </c>
      <c r="N1042">
        <f>_xlfn.XLOOKUP(_26_03_2026_Log_Reseau_v15[[#This Row],[province RDC]],_26_03_2026_Client_Churn_v1[Province_Client],_26_03_2026_Client_Churn_v1[Duree_Cumulee_Panne_Min],"non trouvé")</f>
        <v>348</v>
      </c>
      <c r="O1042">
        <f>_xlfn.XLOOKUP(_26_03_2026_Log_Reseau_v15[[#This Row],[province RDC]],_26_03_2026_Client_Churn_v1[Province_Client],_26_03_2026_Client_Churn_v1[Facture_Mensuelle],"non trouvé")</f>
        <v>58.67</v>
      </c>
      <c r="P1042">
        <f>_xlfn.XLOOKUP(_26_03_2026_Log_Reseau_v15[[#This Row],[province RDC]],_26_03_2026_Client_Churn_v1[Province_Client],_26_03_2026_Client_Churn_v1[Plaintes_Service_Client],"non trouvé")</f>
        <v>0</v>
      </c>
    </row>
    <row r="1043" spans="1:16" hidden="1" x14ac:dyDescent="0.25">
      <c r="A1043" s="1">
        <v>45226</v>
      </c>
      <c r="B1043" s="2">
        <v>0.89513888888888893</v>
      </c>
      <c r="C1043" t="s">
        <v>1450</v>
      </c>
      <c r="D1043">
        <v>42</v>
      </c>
      <c r="E1043" t="s">
        <v>807</v>
      </c>
      <c r="F1043" t="str">
        <f>_xlfn.XLOOKUP(_26_03_2026_Log_Reseau_v15[[#This Row],[Cell_ID]],_26_03_2026_Registre_Maintenance_v1[ID_Antenne],_26_03_2026_Registre_Maintenance_v1[zone],"pas trouvé")</f>
        <v>pas trouvé</v>
      </c>
      <c r="G1043" t="str">
        <f>_xlfn.XLOOKUP(_26_03_2026_Log_Reseau_v15[[#This Row],[Cell_ID]],_26_03_2026_Registre_Maintenance_v1[ID_Antenne],_26_03_2026_Registre_Maintenance_v1[Latitude],"non trouvé")</f>
        <v>non trouvé</v>
      </c>
      <c r="H1043" t="str">
        <f>_xlfn.XLOOKUP(_26_03_2026_Log_Reseau_v15[[#This Row],[Cell_ID]],_26_03_2026_Registre_Maintenance_v1[ID_Antenne],_26_03_2026_Registre_Maintenance_v1[Longitude],"pas trouvé")</f>
        <v>pas trouvé</v>
      </c>
      <c r="I1043" t="str">
        <f>_xlfn.XLOOKUP(_26_03_2026_Log_Reseau_v15[[#This Row],[Cell_ID]],_26_03_2026_Registre_Maintenance_v1[ID_Antenne],_26_03_2026_Registre_Maintenance_v1[Technologie],"non trouvé")</f>
        <v>non trouvé</v>
      </c>
      <c r="J1043" t="str">
        <f>_xlfn.XLOOKUP(_26_03_2026_Log_Reseau_v15[[#This Row],[Cell_ID]],_26_03_2026_Registre_Maintenance_v1[ID_Antenne],_26_03_2026_Registre_Maintenance_v1[Equipementier],"pas trouvé")</f>
        <v>pas trouvé</v>
      </c>
      <c r="K1043" t="str">
        <f>_xlfn.XLOOKUP(_26_03_2026_Log_Reseau_v15[[#This Row],[province RDC]],_26_03_2026_Client_Churn_v1[Province_Client],_26_03_2026_Client_Churn_v1[ID_Client],"non trouvé")</f>
        <v>non trouvé</v>
      </c>
      <c r="L1043" t="str">
        <f>_xlfn.XLOOKUP(_26_03_2026_Log_Reseau_v15[[#This Row],[province RDC]],_26_03_2026_Client_Churn_v1[Province_Client],_26_03_2026_Client_Churn_v1[Anciennete_Mois],"non trouvé")</f>
        <v>non trouvé</v>
      </c>
      <c r="M1043" t="str">
        <f>_xlfn.XLOOKUP(_26_03_2026_Log_Reseau_v15[[#This Row],[province RDC]],_26_03_2026_Client_Churn_v1[Province_Client],_26_03_2026_Client_Churn_v1[Type_Forfait],"non trouvé")</f>
        <v>non trouvé</v>
      </c>
      <c r="N1043" t="str">
        <f>_xlfn.XLOOKUP(_26_03_2026_Log_Reseau_v15[[#This Row],[province RDC]],_26_03_2026_Client_Churn_v1[Province_Client],_26_03_2026_Client_Churn_v1[Duree_Cumulee_Panne_Min],"non trouvé")</f>
        <v>non trouvé</v>
      </c>
      <c r="O1043" t="str">
        <f>_xlfn.XLOOKUP(_26_03_2026_Log_Reseau_v15[[#This Row],[province RDC]],_26_03_2026_Client_Churn_v1[Province_Client],_26_03_2026_Client_Churn_v1[Facture_Mensuelle],"non trouvé")</f>
        <v>non trouvé</v>
      </c>
      <c r="P1043" t="str">
        <f>_xlfn.XLOOKUP(_26_03_2026_Log_Reseau_v15[[#This Row],[province RDC]],_26_03_2026_Client_Churn_v1[Province_Client],_26_03_2026_Client_Churn_v1[Plaintes_Service_Client],"non trouvé")</f>
        <v>non trouvé</v>
      </c>
    </row>
    <row r="1044" spans="1:16" hidden="1" x14ac:dyDescent="0.25">
      <c r="A1044" s="1">
        <v>45223</v>
      </c>
      <c r="B1044" s="2">
        <v>0.51388888888888884</v>
      </c>
      <c r="C1044" t="s">
        <v>1450</v>
      </c>
      <c r="D1044">
        <v>109</v>
      </c>
      <c r="E1044" t="s">
        <v>808</v>
      </c>
      <c r="F1044" t="str">
        <f>_xlfn.XLOOKUP(_26_03_2026_Log_Reseau_v15[[#This Row],[Cell_ID]],_26_03_2026_Registre_Maintenance_v1[ID_Antenne],_26_03_2026_Registre_Maintenance_v1[zone],"pas trouvé")</f>
        <v>pas trouvé</v>
      </c>
      <c r="G1044" t="str">
        <f>_xlfn.XLOOKUP(_26_03_2026_Log_Reseau_v15[[#This Row],[Cell_ID]],_26_03_2026_Registre_Maintenance_v1[ID_Antenne],_26_03_2026_Registre_Maintenance_v1[Latitude],"non trouvé")</f>
        <v>non trouvé</v>
      </c>
      <c r="H1044" t="str">
        <f>_xlfn.XLOOKUP(_26_03_2026_Log_Reseau_v15[[#This Row],[Cell_ID]],_26_03_2026_Registre_Maintenance_v1[ID_Antenne],_26_03_2026_Registre_Maintenance_v1[Longitude],"pas trouvé")</f>
        <v>pas trouvé</v>
      </c>
      <c r="I1044" t="str">
        <f>_xlfn.XLOOKUP(_26_03_2026_Log_Reseau_v15[[#This Row],[Cell_ID]],_26_03_2026_Registre_Maintenance_v1[ID_Antenne],_26_03_2026_Registre_Maintenance_v1[Technologie],"non trouvé")</f>
        <v>non trouvé</v>
      </c>
      <c r="J1044" t="str">
        <f>_xlfn.XLOOKUP(_26_03_2026_Log_Reseau_v15[[#This Row],[Cell_ID]],_26_03_2026_Registre_Maintenance_v1[ID_Antenne],_26_03_2026_Registre_Maintenance_v1[Equipementier],"pas trouvé")</f>
        <v>pas trouvé</v>
      </c>
      <c r="K1044" t="str">
        <f>_xlfn.XLOOKUP(_26_03_2026_Log_Reseau_v15[[#This Row],[province RDC]],_26_03_2026_Client_Churn_v1[Province_Client],_26_03_2026_Client_Churn_v1[ID_Client],"non trouvé")</f>
        <v>non trouvé</v>
      </c>
      <c r="L1044" t="str">
        <f>_xlfn.XLOOKUP(_26_03_2026_Log_Reseau_v15[[#This Row],[province RDC]],_26_03_2026_Client_Churn_v1[Province_Client],_26_03_2026_Client_Churn_v1[Anciennete_Mois],"non trouvé")</f>
        <v>non trouvé</v>
      </c>
      <c r="M1044" t="str">
        <f>_xlfn.XLOOKUP(_26_03_2026_Log_Reseau_v15[[#This Row],[province RDC]],_26_03_2026_Client_Churn_v1[Province_Client],_26_03_2026_Client_Churn_v1[Type_Forfait],"non trouvé")</f>
        <v>non trouvé</v>
      </c>
      <c r="N1044" t="str">
        <f>_xlfn.XLOOKUP(_26_03_2026_Log_Reseau_v15[[#This Row],[province RDC]],_26_03_2026_Client_Churn_v1[Province_Client],_26_03_2026_Client_Churn_v1[Duree_Cumulee_Panne_Min],"non trouvé")</f>
        <v>non trouvé</v>
      </c>
      <c r="O1044" t="str">
        <f>_xlfn.XLOOKUP(_26_03_2026_Log_Reseau_v15[[#This Row],[province RDC]],_26_03_2026_Client_Churn_v1[Province_Client],_26_03_2026_Client_Churn_v1[Facture_Mensuelle],"non trouvé")</f>
        <v>non trouvé</v>
      </c>
      <c r="P1044" t="str">
        <f>_xlfn.XLOOKUP(_26_03_2026_Log_Reseau_v15[[#This Row],[province RDC]],_26_03_2026_Client_Churn_v1[Province_Client],_26_03_2026_Client_Churn_v1[Plaintes_Service_Client],"non trouvé")</f>
        <v>non trouvé</v>
      </c>
    </row>
    <row r="1045" spans="1:16" hidden="1" x14ac:dyDescent="0.25">
      <c r="A1045" s="1">
        <v>45208</v>
      </c>
      <c r="B1045" s="2">
        <v>0.49444444444444446</v>
      </c>
      <c r="C1045" t="s">
        <v>1450</v>
      </c>
      <c r="D1045">
        <v>59</v>
      </c>
      <c r="E1045" t="s">
        <v>808</v>
      </c>
      <c r="F1045" t="str">
        <f>_xlfn.XLOOKUP(_26_03_2026_Log_Reseau_v15[[#This Row],[Cell_ID]],_26_03_2026_Registre_Maintenance_v1[ID_Antenne],_26_03_2026_Registre_Maintenance_v1[zone],"pas trouvé")</f>
        <v>pas trouvé</v>
      </c>
      <c r="G1045" t="str">
        <f>_xlfn.XLOOKUP(_26_03_2026_Log_Reseau_v15[[#This Row],[Cell_ID]],_26_03_2026_Registre_Maintenance_v1[ID_Antenne],_26_03_2026_Registre_Maintenance_v1[Latitude],"non trouvé")</f>
        <v>non trouvé</v>
      </c>
      <c r="H1045" t="str">
        <f>_xlfn.XLOOKUP(_26_03_2026_Log_Reseau_v15[[#This Row],[Cell_ID]],_26_03_2026_Registre_Maintenance_v1[ID_Antenne],_26_03_2026_Registre_Maintenance_v1[Longitude],"pas trouvé")</f>
        <v>pas trouvé</v>
      </c>
      <c r="I1045" t="str">
        <f>_xlfn.XLOOKUP(_26_03_2026_Log_Reseau_v15[[#This Row],[Cell_ID]],_26_03_2026_Registre_Maintenance_v1[ID_Antenne],_26_03_2026_Registre_Maintenance_v1[Technologie],"non trouvé")</f>
        <v>non trouvé</v>
      </c>
      <c r="J1045" t="str">
        <f>_xlfn.XLOOKUP(_26_03_2026_Log_Reseau_v15[[#This Row],[Cell_ID]],_26_03_2026_Registre_Maintenance_v1[ID_Antenne],_26_03_2026_Registre_Maintenance_v1[Equipementier],"pas trouvé")</f>
        <v>pas trouvé</v>
      </c>
      <c r="K1045" t="str">
        <f>_xlfn.XLOOKUP(_26_03_2026_Log_Reseau_v15[[#This Row],[province RDC]],_26_03_2026_Client_Churn_v1[Province_Client],_26_03_2026_Client_Churn_v1[ID_Client],"non trouvé")</f>
        <v>non trouvé</v>
      </c>
      <c r="L1045" t="str">
        <f>_xlfn.XLOOKUP(_26_03_2026_Log_Reseau_v15[[#This Row],[province RDC]],_26_03_2026_Client_Churn_v1[Province_Client],_26_03_2026_Client_Churn_v1[Anciennete_Mois],"non trouvé")</f>
        <v>non trouvé</v>
      </c>
      <c r="M1045" t="str">
        <f>_xlfn.XLOOKUP(_26_03_2026_Log_Reseau_v15[[#This Row],[province RDC]],_26_03_2026_Client_Churn_v1[Province_Client],_26_03_2026_Client_Churn_v1[Type_Forfait],"non trouvé")</f>
        <v>non trouvé</v>
      </c>
      <c r="N1045" t="str">
        <f>_xlfn.XLOOKUP(_26_03_2026_Log_Reseau_v15[[#This Row],[province RDC]],_26_03_2026_Client_Churn_v1[Province_Client],_26_03_2026_Client_Churn_v1[Duree_Cumulee_Panne_Min],"non trouvé")</f>
        <v>non trouvé</v>
      </c>
      <c r="O1045" t="str">
        <f>_xlfn.XLOOKUP(_26_03_2026_Log_Reseau_v15[[#This Row],[province RDC]],_26_03_2026_Client_Churn_v1[Province_Client],_26_03_2026_Client_Churn_v1[Facture_Mensuelle],"non trouvé")</f>
        <v>non trouvé</v>
      </c>
      <c r="P1045" t="str">
        <f>_xlfn.XLOOKUP(_26_03_2026_Log_Reseau_v15[[#This Row],[province RDC]],_26_03_2026_Client_Churn_v1[Province_Client],_26_03_2026_Client_Churn_v1[Plaintes_Service_Client],"non trouvé")</f>
        <v>non trouvé</v>
      </c>
    </row>
    <row r="1046" spans="1:16" hidden="1" x14ac:dyDescent="0.25">
      <c r="A1046" s="1">
        <v>45204</v>
      </c>
      <c r="B1046" s="2">
        <v>0.96250000000000002</v>
      </c>
      <c r="C1046" t="s">
        <v>1451</v>
      </c>
      <c r="D1046">
        <v>100</v>
      </c>
      <c r="E1046" t="s">
        <v>808</v>
      </c>
      <c r="F1046" t="str">
        <f>_xlfn.XLOOKUP(_26_03_2026_Log_Reseau_v15[[#This Row],[Cell_ID]],_26_03_2026_Registre_Maintenance_v1[ID_Antenne],_26_03_2026_Registre_Maintenance_v1[zone],"pas trouvé")</f>
        <v>pas trouvé</v>
      </c>
      <c r="G1046" t="str">
        <f>_xlfn.XLOOKUP(_26_03_2026_Log_Reseau_v15[[#This Row],[Cell_ID]],_26_03_2026_Registre_Maintenance_v1[ID_Antenne],_26_03_2026_Registre_Maintenance_v1[Latitude],"non trouvé")</f>
        <v>non trouvé</v>
      </c>
      <c r="H1046" t="str">
        <f>_xlfn.XLOOKUP(_26_03_2026_Log_Reseau_v15[[#This Row],[Cell_ID]],_26_03_2026_Registre_Maintenance_v1[ID_Antenne],_26_03_2026_Registre_Maintenance_v1[Longitude],"pas trouvé")</f>
        <v>pas trouvé</v>
      </c>
      <c r="I1046" t="str">
        <f>_xlfn.XLOOKUP(_26_03_2026_Log_Reseau_v15[[#This Row],[Cell_ID]],_26_03_2026_Registre_Maintenance_v1[ID_Antenne],_26_03_2026_Registre_Maintenance_v1[Technologie],"non trouvé")</f>
        <v>non trouvé</v>
      </c>
      <c r="J1046" t="str">
        <f>_xlfn.XLOOKUP(_26_03_2026_Log_Reseau_v15[[#This Row],[Cell_ID]],_26_03_2026_Registre_Maintenance_v1[ID_Antenne],_26_03_2026_Registre_Maintenance_v1[Equipementier],"pas trouvé")</f>
        <v>pas trouvé</v>
      </c>
      <c r="K1046" t="str">
        <f>_xlfn.XLOOKUP(_26_03_2026_Log_Reseau_v15[[#This Row],[province RDC]],_26_03_2026_Client_Churn_v1[Province_Client],_26_03_2026_Client_Churn_v1[ID_Client],"non trouvé")</f>
        <v>non trouvé</v>
      </c>
      <c r="L1046" t="str">
        <f>_xlfn.XLOOKUP(_26_03_2026_Log_Reseau_v15[[#This Row],[province RDC]],_26_03_2026_Client_Churn_v1[Province_Client],_26_03_2026_Client_Churn_v1[Anciennete_Mois],"non trouvé")</f>
        <v>non trouvé</v>
      </c>
      <c r="M1046" t="str">
        <f>_xlfn.XLOOKUP(_26_03_2026_Log_Reseau_v15[[#This Row],[province RDC]],_26_03_2026_Client_Churn_v1[Province_Client],_26_03_2026_Client_Churn_v1[Type_Forfait],"non trouvé")</f>
        <v>non trouvé</v>
      </c>
      <c r="N1046" t="str">
        <f>_xlfn.XLOOKUP(_26_03_2026_Log_Reseau_v15[[#This Row],[province RDC]],_26_03_2026_Client_Churn_v1[Province_Client],_26_03_2026_Client_Churn_v1[Duree_Cumulee_Panne_Min],"non trouvé")</f>
        <v>non trouvé</v>
      </c>
      <c r="O1046" t="str">
        <f>_xlfn.XLOOKUP(_26_03_2026_Log_Reseau_v15[[#This Row],[province RDC]],_26_03_2026_Client_Churn_v1[Province_Client],_26_03_2026_Client_Churn_v1[Facture_Mensuelle],"non trouvé")</f>
        <v>non trouvé</v>
      </c>
      <c r="P1046" t="str">
        <f>_xlfn.XLOOKUP(_26_03_2026_Log_Reseau_v15[[#This Row],[province RDC]],_26_03_2026_Client_Churn_v1[Province_Client],_26_03_2026_Client_Churn_v1[Plaintes_Service_Client],"non trouvé")</f>
        <v>non trouvé</v>
      </c>
    </row>
    <row r="1047" spans="1:16" hidden="1" x14ac:dyDescent="0.25">
      <c r="A1047" s="1">
        <v>45224</v>
      </c>
      <c r="B1047" s="2">
        <v>0.37847222222222221</v>
      </c>
      <c r="C1047" t="s">
        <v>1451</v>
      </c>
      <c r="D1047">
        <v>53</v>
      </c>
      <c r="E1047" t="s">
        <v>812</v>
      </c>
      <c r="F1047" t="str">
        <f>_xlfn.XLOOKUP(_26_03_2026_Log_Reseau_v15[[#This Row],[Cell_ID]],_26_03_2026_Registre_Maintenance_v1[ID_Antenne],_26_03_2026_Registre_Maintenance_v1[zone],"pas trouvé")</f>
        <v>pas trouvé</v>
      </c>
      <c r="G1047" t="str">
        <f>_xlfn.XLOOKUP(_26_03_2026_Log_Reseau_v15[[#This Row],[Cell_ID]],_26_03_2026_Registre_Maintenance_v1[ID_Antenne],_26_03_2026_Registre_Maintenance_v1[Latitude],"non trouvé")</f>
        <v>non trouvé</v>
      </c>
      <c r="H1047" t="str">
        <f>_xlfn.XLOOKUP(_26_03_2026_Log_Reseau_v15[[#This Row],[Cell_ID]],_26_03_2026_Registre_Maintenance_v1[ID_Antenne],_26_03_2026_Registre_Maintenance_v1[Longitude],"pas trouvé")</f>
        <v>pas trouvé</v>
      </c>
      <c r="I1047" t="str">
        <f>_xlfn.XLOOKUP(_26_03_2026_Log_Reseau_v15[[#This Row],[Cell_ID]],_26_03_2026_Registre_Maintenance_v1[ID_Antenne],_26_03_2026_Registre_Maintenance_v1[Technologie],"non trouvé")</f>
        <v>non trouvé</v>
      </c>
      <c r="J1047" t="str">
        <f>_xlfn.XLOOKUP(_26_03_2026_Log_Reseau_v15[[#This Row],[Cell_ID]],_26_03_2026_Registre_Maintenance_v1[ID_Antenne],_26_03_2026_Registre_Maintenance_v1[Equipementier],"pas trouvé")</f>
        <v>pas trouvé</v>
      </c>
      <c r="K1047" t="str">
        <f>_xlfn.XLOOKUP(_26_03_2026_Log_Reseau_v15[[#This Row],[province RDC]],_26_03_2026_Client_Churn_v1[Province_Client],_26_03_2026_Client_Churn_v1[ID_Client],"non trouvé")</f>
        <v>non trouvé</v>
      </c>
      <c r="L1047" t="str">
        <f>_xlfn.XLOOKUP(_26_03_2026_Log_Reseau_v15[[#This Row],[province RDC]],_26_03_2026_Client_Churn_v1[Province_Client],_26_03_2026_Client_Churn_v1[Anciennete_Mois],"non trouvé")</f>
        <v>non trouvé</v>
      </c>
      <c r="M1047" t="str">
        <f>_xlfn.XLOOKUP(_26_03_2026_Log_Reseau_v15[[#This Row],[province RDC]],_26_03_2026_Client_Churn_v1[Province_Client],_26_03_2026_Client_Churn_v1[Type_Forfait],"non trouvé")</f>
        <v>non trouvé</v>
      </c>
      <c r="N1047" t="str">
        <f>_xlfn.XLOOKUP(_26_03_2026_Log_Reseau_v15[[#This Row],[province RDC]],_26_03_2026_Client_Churn_v1[Province_Client],_26_03_2026_Client_Churn_v1[Duree_Cumulee_Panne_Min],"non trouvé")</f>
        <v>non trouvé</v>
      </c>
      <c r="O1047" t="str">
        <f>_xlfn.XLOOKUP(_26_03_2026_Log_Reseau_v15[[#This Row],[province RDC]],_26_03_2026_Client_Churn_v1[Province_Client],_26_03_2026_Client_Churn_v1[Facture_Mensuelle],"non trouvé")</f>
        <v>non trouvé</v>
      </c>
      <c r="P1047" t="str">
        <f>_xlfn.XLOOKUP(_26_03_2026_Log_Reseau_v15[[#This Row],[province RDC]],_26_03_2026_Client_Churn_v1[Province_Client],_26_03_2026_Client_Churn_v1[Plaintes_Service_Client],"non trouvé")</f>
        <v>non trouvé</v>
      </c>
    </row>
    <row r="1048" spans="1:16" hidden="1" x14ac:dyDescent="0.25">
      <c r="A1048" s="1">
        <v>45202</v>
      </c>
      <c r="B1048" s="2">
        <v>0.48749999999999999</v>
      </c>
      <c r="C1048" t="s">
        <v>1452</v>
      </c>
      <c r="D1048">
        <v>22</v>
      </c>
      <c r="E1048" t="s">
        <v>812</v>
      </c>
      <c r="F1048" t="str">
        <f>_xlfn.XLOOKUP(_26_03_2026_Log_Reseau_v15[[#This Row],[Cell_ID]],_26_03_2026_Registre_Maintenance_v1[ID_Antenne],_26_03_2026_Registre_Maintenance_v1[zone],"pas trouvé")</f>
        <v>pas trouvé</v>
      </c>
      <c r="G1048" t="str">
        <f>_xlfn.XLOOKUP(_26_03_2026_Log_Reseau_v15[[#This Row],[Cell_ID]],_26_03_2026_Registre_Maintenance_v1[ID_Antenne],_26_03_2026_Registre_Maintenance_v1[Latitude],"non trouvé")</f>
        <v>non trouvé</v>
      </c>
      <c r="H1048" t="str">
        <f>_xlfn.XLOOKUP(_26_03_2026_Log_Reseau_v15[[#This Row],[Cell_ID]],_26_03_2026_Registre_Maintenance_v1[ID_Antenne],_26_03_2026_Registre_Maintenance_v1[Longitude],"pas trouvé")</f>
        <v>pas trouvé</v>
      </c>
      <c r="I1048" t="str">
        <f>_xlfn.XLOOKUP(_26_03_2026_Log_Reseau_v15[[#This Row],[Cell_ID]],_26_03_2026_Registre_Maintenance_v1[ID_Antenne],_26_03_2026_Registre_Maintenance_v1[Technologie],"non trouvé")</f>
        <v>non trouvé</v>
      </c>
      <c r="J1048" t="str">
        <f>_xlfn.XLOOKUP(_26_03_2026_Log_Reseau_v15[[#This Row],[Cell_ID]],_26_03_2026_Registre_Maintenance_v1[ID_Antenne],_26_03_2026_Registre_Maintenance_v1[Equipementier],"pas trouvé")</f>
        <v>pas trouvé</v>
      </c>
      <c r="K1048" t="str">
        <f>_xlfn.XLOOKUP(_26_03_2026_Log_Reseau_v15[[#This Row],[province RDC]],_26_03_2026_Client_Churn_v1[Province_Client],_26_03_2026_Client_Churn_v1[ID_Client],"non trouvé")</f>
        <v>non trouvé</v>
      </c>
      <c r="L1048" t="str">
        <f>_xlfn.XLOOKUP(_26_03_2026_Log_Reseau_v15[[#This Row],[province RDC]],_26_03_2026_Client_Churn_v1[Province_Client],_26_03_2026_Client_Churn_v1[Anciennete_Mois],"non trouvé")</f>
        <v>non trouvé</v>
      </c>
      <c r="M1048" t="str">
        <f>_xlfn.XLOOKUP(_26_03_2026_Log_Reseau_v15[[#This Row],[province RDC]],_26_03_2026_Client_Churn_v1[Province_Client],_26_03_2026_Client_Churn_v1[Type_Forfait],"non trouvé")</f>
        <v>non trouvé</v>
      </c>
      <c r="N1048" t="str">
        <f>_xlfn.XLOOKUP(_26_03_2026_Log_Reseau_v15[[#This Row],[province RDC]],_26_03_2026_Client_Churn_v1[Province_Client],_26_03_2026_Client_Churn_v1[Duree_Cumulee_Panne_Min],"non trouvé")</f>
        <v>non trouvé</v>
      </c>
      <c r="O1048" t="str">
        <f>_xlfn.XLOOKUP(_26_03_2026_Log_Reseau_v15[[#This Row],[province RDC]],_26_03_2026_Client_Churn_v1[Province_Client],_26_03_2026_Client_Churn_v1[Facture_Mensuelle],"non trouvé")</f>
        <v>non trouvé</v>
      </c>
      <c r="P1048" t="str">
        <f>_xlfn.XLOOKUP(_26_03_2026_Log_Reseau_v15[[#This Row],[province RDC]],_26_03_2026_Client_Churn_v1[Province_Client],_26_03_2026_Client_Churn_v1[Plaintes_Service_Client],"non trouvé")</f>
        <v>non trouvé</v>
      </c>
    </row>
    <row r="1049" spans="1:16" hidden="1" x14ac:dyDescent="0.25">
      <c r="A1049" s="1">
        <v>45219</v>
      </c>
      <c r="B1049" s="2">
        <v>0.90763888888888888</v>
      </c>
      <c r="C1049" t="s">
        <v>1453</v>
      </c>
      <c r="D1049">
        <v>92</v>
      </c>
      <c r="E1049" t="s">
        <v>808</v>
      </c>
      <c r="F1049" t="str">
        <f>_xlfn.XLOOKUP(_26_03_2026_Log_Reseau_v15[[#This Row],[Cell_ID]],_26_03_2026_Registre_Maintenance_v1[ID_Antenne],_26_03_2026_Registre_Maintenance_v1[zone],"pas trouvé")</f>
        <v>pas trouvé</v>
      </c>
      <c r="G1049" t="str">
        <f>_xlfn.XLOOKUP(_26_03_2026_Log_Reseau_v15[[#This Row],[Cell_ID]],_26_03_2026_Registre_Maintenance_v1[ID_Antenne],_26_03_2026_Registre_Maintenance_v1[Latitude],"non trouvé")</f>
        <v>non trouvé</v>
      </c>
      <c r="H1049" t="str">
        <f>_xlfn.XLOOKUP(_26_03_2026_Log_Reseau_v15[[#This Row],[Cell_ID]],_26_03_2026_Registre_Maintenance_v1[ID_Antenne],_26_03_2026_Registre_Maintenance_v1[Longitude],"pas trouvé")</f>
        <v>pas trouvé</v>
      </c>
      <c r="I1049" t="str">
        <f>_xlfn.XLOOKUP(_26_03_2026_Log_Reseau_v15[[#This Row],[Cell_ID]],_26_03_2026_Registre_Maintenance_v1[ID_Antenne],_26_03_2026_Registre_Maintenance_v1[Technologie],"non trouvé")</f>
        <v>non trouvé</v>
      </c>
      <c r="J1049" t="str">
        <f>_xlfn.XLOOKUP(_26_03_2026_Log_Reseau_v15[[#This Row],[Cell_ID]],_26_03_2026_Registre_Maintenance_v1[ID_Antenne],_26_03_2026_Registre_Maintenance_v1[Equipementier],"pas trouvé")</f>
        <v>pas trouvé</v>
      </c>
      <c r="K1049" t="str">
        <f>_xlfn.XLOOKUP(_26_03_2026_Log_Reseau_v15[[#This Row],[province RDC]],_26_03_2026_Client_Churn_v1[Province_Client],_26_03_2026_Client_Churn_v1[ID_Client],"non trouvé")</f>
        <v>non trouvé</v>
      </c>
      <c r="L1049" t="str">
        <f>_xlfn.XLOOKUP(_26_03_2026_Log_Reseau_v15[[#This Row],[province RDC]],_26_03_2026_Client_Churn_v1[Province_Client],_26_03_2026_Client_Churn_v1[Anciennete_Mois],"non trouvé")</f>
        <v>non trouvé</v>
      </c>
      <c r="M1049" t="str">
        <f>_xlfn.XLOOKUP(_26_03_2026_Log_Reseau_v15[[#This Row],[province RDC]],_26_03_2026_Client_Churn_v1[Province_Client],_26_03_2026_Client_Churn_v1[Type_Forfait],"non trouvé")</f>
        <v>non trouvé</v>
      </c>
      <c r="N1049" t="str">
        <f>_xlfn.XLOOKUP(_26_03_2026_Log_Reseau_v15[[#This Row],[province RDC]],_26_03_2026_Client_Churn_v1[Province_Client],_26_03_2026_Client_Churn_v1[Duree_Cumulee_Panne_Min],"non trouvé")</f>
        <v>non trouvé</v>
      </c>
      <c r="O1049" t="str">
        <f>_xlfn.XLOOKUP(_26_03_2026_Log_Reseau_v15[[#This Row],[province RDC]],_26_03_2026_Client_Churn_v1[Province_Client],_26_03_2026_Client_Churn_v1[Facture_Mensuelle],"non trouvé")</f>
        <v>non trouvé</v>
      </c>
      <c r="P1049" t="str">
        <f>_xlfn.XLOOKUP(_26_03_2026_Log_Reseau_v15[[#This Row],[province RDC]],_26_03_2026_Client_Churn_v1[Province_Client],_26_03_2026_Client_Churn_v1[Plaintes_Service_Client],"non trouvé")</f>
        <v>non trouvé</v>
      </c>
    </row>
    <row r="1050" spans="1:16" hidden="1" x14ac:dyDescent="0.25">
      <c r="A1050" s="1">
        <v>45206</v>
      </c>
      <c r="B1050" s="2">
        <v>0.47222222222222221</v>
      </c>
      <c r="C1050" t="s">
        <v>1454</v>
      </c>
      <c r="D1050">
        <v>69</v>
      </c>
      <c r="E1050" t="s">
        <v>812</v>
      </c>
      <c r="F1050" t="str">
        <f>_xlfn.XLOOKUP(_26_03_2026_Log_Reseau_v15[[#This Row],[Cell_ID]],_26_03_2026_Registre_Maintenance_v1[ID_Antenne],_26_03_2026_Registre_Maintenance_v1[zone],"pas trouvé")</f>
        <v>pas trouvé</v>
      </c>
      <c r="G1050" t="str">
        <f>_xlfn.XLOOKUP(_26_03_2026_Log_Reseau_v15[[#This Row],[Cell_ID]],_26_03_2026_Registre_Maintenance_v1[ID_Antenne],_26_03_2026_Registre_Maintenance_v1[Latitude],"non trouvé")</f>
        <v>non trouvé</v>
      </c>
      <c r="H1050" t="str">
        <f>_xlfn.XLOOKUP(_26_03_2026_Log_Reseau_v15[[#This Row],[Cell_ID]],_26_03_2026_Registre_Maintenance_v1[ID_Antenne],_26_03_2026_Registre_Maintenance_v1[Longitude],"pas trouvé")</f>
        <v>pas trouvé</v>
      </c>
      <c r="I1050" t="str">
        <f>_xlfn.XLOOKUP(_26_03_2026_Log_Reseau_v15[[#This Row],[Cell_ID]],_26_03_2026_Registre_Maintenance_v1[ID_Antenne],_26_03_2026_Registre_Maintenance_v1[Technologie],"non trouvé")</f>
        <v>non trouvé</v>
      </c>
      <c r="J1050" t="str">
        <f>_xlfn.XLOOKUP(_26_03_2026_Log_Reseau_v15[[#This Row],[Cell_ID]],_26_03_2026_Registre_Maintenance_v1[ID_Antenne],_26_03_2026_Registre_Maintenance_v1[Equipementier],"pas trouvé")</f>
        <v>pas trouvé</v>
      </c>
      <c r="K1050" t="str">
        <f>_xlfn.XLOOKUP(_26_03_2026_Log_Reseau_v15[[#This Row],[province RDC]],_26_03_2026_Client_Churn_v1[Province_Client],_26_03_2026_Client_Churn_v1[ID_Client],"non trouvé")</f>
        <v>non trouvé</v>
      </c>
      <c r="L1050" t="str">
        <f>_xlfn.XLOOKUP(_26_03_2026_Log_Reseau_v15[[#This Row],[province RDC]],_26_03_2026_Client_Churn_v1[Province_Client],_26_03_2026_Client_Churn_v1[Anciennete_Mois],"non trouvé")</f>
        <v>non trouvé</v>
      </c>
      <c r="M1050" t="str">
        <f>_xlfn.XLOOKUP(_26_03_2026_Log_Reseau_v15[[#This Row],[province RDC]],_26_03_2026_Client_Churn_v1[Province_Client],_26_03_2026_Client_Churn_v1[Type_Forfait],"non trouvé")</f>
        <v>non trouvé</v>
      </c>
      <c r="N1050" t="str">
        <f>_xlfn.XLOOKUP(_26_03_2026_Log_Reseau_v15[[#This Row],[province RDC]],_26_03_2026_Client_Churn_v1[Province_Client],_26_03_2026_Client_Churn_v1[Duree_Cumulee_Panne_Min],"non trouvé")</f>
        <v>non trouvé</v>
      </c>
      <c r="O1050" t="str">
        <f>_xlfn.XLOOKUP(_26_03_2026_Log_Reseau_v15[[#This Row],[province RDC]],_26_03_2026_Client_Churn_v1[Province_Client],_26_03_2026_Client_Churn_v1[Facture_Mensuelle],"non trouvé")</f>
        <v>non trouvé</v>
      </c>
      <c r="P1050" t="str">
        <f>_xlfn.XLOOKUP(_26_03_2026_Log_Reseau_v15[[#This Row],[province RDC]],_26_03_2026_Client_Churn_v1[Province_Client],_26_03_2026_Client_Churn_v1[Plaintes_Service_Client],"non trouvé")</f>
        <v>non trouvé</v>
      </c>
    </row>
    <row r="1051" spans="1:16" x14ac:dyDescent="0.25">
      <c r="A1051" s="1">
        <v>45209</v>
      </c>
      <c r="B1051" s="2">
        <v>0.90763888888888888</v>
      </c>
      <c r="C1051" t="s">
        <v>1455</v>
      </c>
      <c r="D1051">
        <v>99</v>
      </c>
      <c r="E1051" t="s">
        <v>812</v>
      </c>
      <c r="F1051" t="str">
        <f>_xlfn.XLOOKUP(_26_03_2026_Log_Reseau_v15[[#This Row],[Cell_ID]],_26_03_2026_Registre_Maintenance_v1[ID_Antenne],_26_03_2026_Registre_Maintenance_v1[zone],"pas trouvé")</f>
        <v>Kasai</v>
      </c>
      <c r="G1051">
        <f>_xlfn.XLOOKUP(_26_03_2026_Log_Reseau_v15[[#This Row],[Cell_ID]],_26_03_2026_Registre_Maintenance_v1[ID_Antenne],_26_03_2026_Registre_Maintenance_v1[Latitude],"non trouvé")</f>
        <v>-7.6757720000000003</v>
      </c>
      <c r="H1051">
        <f>_xlfn.XLOOKUP(_26_03_2026_Log_Reseau_v15[[#This Row],[Cell_ID]],_26_03_2026_Registre_Maintenance_v1[ID_Antenne],_26_03_2026_Registre_Maintenance_v1[Longitude],"pas trouvé")</f>
        <v>30.222971000000001</v>
      </c>
      <c r="I1051" t="str">
        <f>_xlfn.XLOOKUP(_26_03_2026_Log_Reseau_v15[[#This Row],[Cell_ID]],_26_03_2026_Registre_Maintenance_v1[ID_Antenne],_26_03_2026_Registre_Maintenance_v1[Technologie],"non trouvé")</f>
        <v>5G</v>
      </c>
      <c r="J1051" t="str">
        <f>_xlfn.XLOOKUP(_26_03_2026_Log_Reseau_v15[[#This Row],[Cell_ID]],_26_03_2026_Registre_Maintenance_v1[ID_Antenne],_26_03_2026_Registre_Maintenance_v1[Equipementier],"pas trouvé")</f>
        <v>Ericsson</v>
      </c>
      <c r="K1051" t="str">
        <f>_xlfn.XLOOKUP(_26_03_2026_Log_Reseau_v15[[#This Row],[province RDC]],_26_03_2026_Client_Churn_v1[Province_Client],_26_03_2026_Client_Churn_v1[ID_Client],"non trouvé")</f>
        <v>CLI-00559</v>
      </c>
      <c r="L1051">
        <f>_xlfn.XLOOKUP(_26_03_2026_Log_Reseau_v15[[#This Row],[province RDC]],_26_03_2026_Client_Churn_v1[Province_Client],_26_03_2026_Client_Churn_v1[Anciennete_Mois],"non trouvé")</f>
        <v>99</v>
      </c>
      <c r="M1051" t="str">
        <f>_xlfn.XLOOKUP(_26_03_2026_Log_Reseau_v15[[#This Row],[province RDC]],_26_03_2026_Client_Churn_v1[Province_Client],_26_03_2026_Client_Churn_v1[Type_Forfait],"non trouvé")</f>
        <v>Bloqué 5Go</v>
      </c>
      <c r="N1051">
        <f>_xlfn.XLOOKUP(_26_03_2026_Log_Reseau_v15[[#This Row],[province RDC]],_26_03_2026_Client_Churn_v1[Province_Client],_26_03_2026_Client_Churn_v1[Duree_Cumulee_Panne_Min],"non trouvé")</f>
        <v>369</v>
      </c>
      <c r="O1051">
        <f>_xlfn.XLOOKUP(_26_03_2026_Log_Reseau_v15[[#This Row],[province RDC]],_26_03_2026_Client_Churn_v1[Province_Client],_26_03_2026_Client_Churn_v1[Facture_Mensuelle],"non trouvé")</f>
        <v>67.209999999999994</v>
      </c>
      <c r="P1051">
        <f>_xlfn.XLOOKUP(_26_03_2026_Log_Reseau_v15[[#This Row],[province RDC]],_26_03_2026_Client_Churn_v1[Province_Client],_26_03_2026_Client_Churn_v1[Plaintes_Service_Client],"non trouvé")</f>
        <v>3</v>
      </c>
    </row>
    <row r="1052" spans="1:16" x14ac:dyDescent="0.25">
      <c r="A1052" s="1">
        <v>45209</v>
      </c>
      <c r="B1052" s="2">
        <v>0.53125</v>
      </c>
      <c r="C1052" t="s">
        <v>1456</v>
      </c>
      <c r="D1052">
        <v>63</v>
      </c>
      <c r="E1052" t="s">
        <v>807</v>
      </c>
      <c r="F1052" t="str">
        <f>_xlfn.XLOOKUP(_26_03_2026_Log_Reseau_v15[[#This Row],[Cell_ID]],_26_03_2026_Registre_Maintenance_v1[ID_Antenne],_26_03_2026_Registre_Maintenance_v1[zone],"pas trouvé")</f>
        <v>Maniema</v>
      </c>
      <c r="G1052">
        <f>_xlfn.XLOOKUP(_26_03_2026_Log_Reseau_v15[[#This Row],[Cell_ID]],_26_03_2026_Registre_Maintenance_v1[ID_Antenne],_26_03_2026_Registre_Maintenance_v1[Latitude],"non trouvé")</f>
        <v>1.727095</v>
      </c>
      <c r="H1052">
        <f>_xlfn.XLOOKUP(_26_03_2026_Log_Reseau_v15[[#This Row],[Cell_ID]],_26_03_2026_Registre_Maintenance_v1[ID_Antenne],_26_03_2026_Registre_Maintenance_v1[Longitude],"pas trouvé")</f>
        <v>22.099651999999999</v>
      </c>
      <c r="I1052" t="str">
        <f>_xlfn.XLOOKUP(_26_03_2026_Log_Reseau_v15[[#This Row],[Cell_ID]],_26_03_2026_Registre_Maintenance_v1[ID_Antenne],_26_03_2026_Registre_Maintenance_v1[Technologie],"non trouvé")</f>
        <v>4G</v>
      </c>
      <c r="J1052" t="str">
        <f>_xlfn.XLOOKUP(_26_03_2026_Log_Reseau_v15[[#This Row],[Cell_ID]],_26_03_2026_Registre_Maintenance_v1[ID_Antenne],_26_03_2026_Registre_Maintenance_v1[Equipementier],"pas trouvé")</f>
        <v>Huawei</v>
      </c>
      <c r="K1052" t="str">
        <f>_xlfn.XLOOKUP(_26_03_2026_Log_Reseau_v15[[#This Row],[province RDC]],_26_03_2026_Client_Churn_v1[Province_Client],_26_03_2026_Client_Churn_v1[ID_Client],"non trouvé")</f>
        <v>CLI-00185</v>
      </c>
      <c r="L1052">
        <f>_xlfn.XLOOKUP(_26_03_2026_Log_Reseau_v15[[#This Row],[province RDC]],_26_03_2026_Client_Churn_v1[Province_Client],_26_03_2026_Client_Churn_v1[Anciennete_Mois],"non trouvé")</f>
        <v>81</v>
      </c>
      <c r="M1052" t="str">
        <f>_xlfn.XLOOKUP(_26_03_2026_Log_Reseau_v15[[#This Row],[province RDC]],_26_03_2026_Client_Churn_v1[Province_Client],_26_03_2026_Client_Churn_v1[Type_Forfait],"non trouvé")</f>
        <v>Pro Monde</v>
      </c>
      <c r="N1052">
        <f>_xlfn.XLOOKUP(_26_03_2026_Log_Reseau_v15[[#This Row],[province RDC]],_26_03_2026_Client_Churn_v1[Province_Client],_26_03_2026_Client_Churn_v1[Duree_Cumulee_Panne_Min],"non trouvé")</f>
        <v>154</v>
      </c>
      <c r="O1052">
        <f>_xlfn.XLOOKUP(_26_03_2026_Log_Reseau_v15[[#This Row],[province RDC]],_26_03_2026_Client_Churn_v1[Province_Client],_26_03_2026_Client_Churn_v1[Facture_Mensuelle],"non trouvé")</f>
        <v>19.47</v>
      </c>
      <c r="P1052">
        <f>_xlfn.XLOOKUP(_26_03_2026_Log_Reseau_v15[[#This Row],[province RDC]],_26_03_2026_Client_Churn_v1[Province_Client],_26_03_2026_Client_Churn_v1[Plaintes_Service_Client],"non trouvé")</f>
        <v>3</v>
      </c>
    </row>
    <row r="1053" spans="1:16" hidden="1" x14ac:dyDescent="0.25">
      <c r="A1053" s="1">
        <v>45225</v>
      </c>
      <c r="B1053" s="2">
        <v>0.21319444444444444</v>
      </c>
      <c r="C1053" t="s">
        <v>1457</v>
      </c>
      <c r="D1053">
        <v>35</v>
      </c>
      <c r="E1053" t="s">
        <v>812</v>
      </c>
      <c r="F1053" t="str">
        <f>_xlfn.XLOOKUP(_26_03_2026_Log_Reseau_v15[[#This Row],[Cell_ID]],_26_03_2026_Registre_Maintenance_v1[ID_Antenne],_26_03_2026_Registre_Maintenance_v1[zone],"pas trouvé")</f>
        <v>pas trouvé</v>
      </c>
      <c r="G1053" t="str">
        <f>_xlfn.XLOOKUP(_26_03_2026_Log_Reseau_v15[[#This Row],[Cell_ID]],_26_03_2026_Registre_Maintenance_v1[ID_Antenne],_26_03_2026_Registre_Maintenance_v1[Latitude],"non trouvé")</f>
        <v>non trouvé</v>
      </c>
      <c r="H1053" t="str">
        <f>_xlfn.XLOOKUP(_26_03_2026_Log_Reseau_v15[[#This Row],[Cell_ID]],_26_03_2026_Registre_Maintenance_v1[ID_Antenne],_26_03_2026_Registre_Maintenance_v1[Longitude],"pas trouvé")</f>
        <v>pas trouvé</v>
      </c>
      <c r="I1053" t="str">
        <f>_xlfn.XLOOKUP(_26_03_2026_Log_Reseau_v15[[#This Row],[Cell_ID]],_26_03_2026_Registre_Maintenance_v1[ID_Antenne],_26_03_2026_Registre_Maintenance_v1[Technologie],"non trouvé")</f>
        <v>non trouvé</v>
      </c>
      <c r="J1053" t="str">
        <f>_xlfn.XLOOKUP(_26_03_2026_Log_Reseau_v15[[#This Row],[Cell_ID]],_26_03_2026_Registre_Maintenance_v1[ID_Antenne],_26_03_2026_Registre_Maintenance_v1[Equipementier],"pas trouvé")</f>
        <v>pas trouvé</v>
      </c>
      <c r="K1053" t="str">
        <f>_xlfn.XLOOKUP(_26_03_2026_Log_Reseau_v15[[#This Row],[province RDC]],_26_03_2026_Client_Churn_v1[Province_Client],_26_03_2026_Client_Churn_v1[ID_Client],"non trouvé")</f>
        <v>non trouvé</v>
      </c>
      <c r="L1053" t="str">
        <f>_xlfn.XLOOKUP(_26_03_2026_Log_Reseau_v15[[#This Row],[province RDC]],_26_03_2026_Client_Churn_v1[Province_Client],_26_03_2026_Client_Churn_v1[Anciennete_Mois],"non trouvé")</f>
        <v>non trouvé</v>
      </c>
      <c r="M1053" t="str">
        <f>_xlfn.XLOOKUP(_26_03_2026_Log_Reseau_v15[[#This Row],[province RDC]],_26_03_2026_Client_Churn_v1[Province_Client],_26_03_2026_Client_Churn_v1[Type_Forfait],"non trouvé")</f>
        <v>non trouvé</v>
      </c>
      <c r="N1053" t="str">
        <f>_xlfn.XLOOKUP(_26_03_2026_Log_Reseau_v15[[#This Row],[province RDC]],_26_03_2026_Client_Churn_v1[Province_Client],_26_03_2026_Client_Churn_v1[Duree_Cumulee_Panne_Min],"non trouvé")</f>
        <v>non trouvé</v>
      </c>
      <c r="O1053" t="str">
        <f>_xlfn.XLOOKUP(_26_03_2026_Log_Reseau_v15[[#This Row],[province RDC]],_26_03_2026_Client_Churn_v1[Province_Client],_26_03_2026_Client_Churn_v1[Facture_Mensuelle],"non trouvé")</f>
        <v>non trouvé</v>
      </c>
      <c r="P1053" t="str">
        <f>_xlfn.XLOOKUP(_26_03_2026_Log_Reseau_v15[[#This Row],[province RDC]],_26_03_2026_Client_Churn_v1[Province_Client],_26_03_2026_Client_Churn_v1[Plaintes_Service_Client],"non trouvé")</f>
        <v>non trouvé</v>
      </c>
    </row>
    <row r="1054" spans="1:16" x14ac:dyDescent="0.25">
      <c r="A1054" s="1">
        <v>45216</v>
      </c>
      <c r="B1054" s="2">
        <v>0.27430555555555558</v>
      </c>
      <c r="C1054" t="s">
        <v>1458</v>
      </c>
      <c r="D1054">
        <v>30</v>
      </c>
      <c r="E1054" t="s">
        <v>808</v>
      </c>
      <c r="F1054" t="str">
        <f>_xlfn.XLOOKUP(_26_03_2026_Log_Reseau_v15[[#This Row],[Cell_ID]],_26_03_2026_Registre_Maintenance_v1[ID_Antenne],_26_03_2026_Registre_Maintenance_v1[zone],"pas trouvé")</f>
        <v>Equateur</v>
      </c>
      <c r="G1054">
        <f>_xlfn.XLOOKUP(_26_03_2026_Log_Reseau_v15[[#This Row],[Cell_ID]],_26_03_2026_Registre_Maintenance_v1[ID_Antenne],_26_03_2026_Registre_Maintenance_v1[Latitude],"non trouvé")</f>
        <v>-5.7200150000000001</v>
      </c>
      <c r="H1054">
        <f>_xlfn.XLOOKUP(_26_03_2026_Log_Reseau_v15[[#This Row],[Cell_ID]],_26_03_2026_Registre_Maintenance_v1[ID_Antenne],_26_03_2026_Registre_Maintenance_v1[Longitude],"pas trouvé")</f>
        <v>25.022109</v>
      </c>
      <c r="I1054" t="str">
        <f>_xlfn.XLOOKUP(_26_03_2026_Log_Reseau_v15[[#This Row],[Cell_ID]],_26_03_2026_Registre_Maintenance_v1[ID_Antenne],_26_03_2026_Registre_Maintenance_v1[Technologie],"non trouvé")</f>
        <v>5G</v>
      </c>
      <c r="J1054" t="str">
        <f>_xlfn.XLOOKUP(_26_03_2026_Log_Reseau_v15[[#This Row],[Cell_ID]],_26_03_2026_Registre_Maintenance_v1[ID_Antenne],_26_03_2026_Registre_Maintenance_v1[Equipementier],"pas trouvé")</f>
        <v>ZTE</v>
      </c>
      <c r="K1054" t="str">
        <f>_xlfn.XLOOKUP(_26_03_2026_Log_Reseau_v15[[#This Row],[province RDC]],_26_03_2026_Client_Churn_v1[Province_Client],_26_03_2026_Client_Churn_v1[ID_Client],"non trouvé")</f>
        <v>CLI-00643</v>
      </c>
      <c r="L1054">
        <f>_xlfn.XLOOKUP(_26_03_2026_Log_Reseau_v15[[#This Row],[province RDC]],_26_03_2026_Client_Churn_v1[Province_Client],_26_03_2026_Client_Churn_v1[Anciennete_Mois],"non trouvé")</f>
        <v>14</v>
      </c>
      <c r="M1054" t="str">
        <f>_xlfn.XLOOKUP(_26_03_2026_Log_Reseau_v15[[#This Row],[province RDC]],_26_03_2026_Client_Churn_v1[Province_Client],_26_03_2026_Client_Churn_v1[Type_Forfait],"non trouvé")</f>
        <v>Pro Monde</v>
      </c>
      <c r="N1054">
        <f>_xlfn.XLOOKUP(_26_03_2026_Log_Reseau_v15[[#This Row],[province RDC]],_26_03_2026_Client_Churn_v1[Province_Client],_26_03_2026_Client_Churn_v1[Duree_Cumulee_Panne_Min],"non trouvé")</f>
        <v>316</v>
      </c>
      <c r="O1054">
        <f>_xlfn.XLOOKUP(_26_03_2026_Log_Reseau_v15[[#This Row],[province RDC]],_26_03_2026_Client_Churn_v1[Province_Client],_26_03_2026_Client_Churn_v1[Facture_Mensuelle],"non trouvé")</f>
        <v>62.34</v>
      </c>
      <c r="P1054">
        <f>_xlfn.XLOOKUP(_26_03_2026_Log_Reseau_v15[[#This Row],[province RDC]],_26_03_2026_Client_Churn_v1[Province_Client],_26_03_2026_Client_Churn_v1[Plaintes_Service_Client],"non trouvé")</f>
        <v>4</v>
      </c>
    </row>
    <row r="1055" spans="1:16" x14ac:dyDescent="0.25">
      <c r="A1055" s="1">
        <v>45224</v>
      </c>
      <c r="B1055" s="2">
        <v>0.77500000000000002</v>
      </c>
      <c r="C1055" t="s">
        <v>1458</v>
      </c>
      <c r="D1055">
        <v>107</v>
      </c>
      <c r="E1055" t="s">
        <v>812</v>
      </c>
      <c r="F1055" t="str">
        <f>_xlfn.XLOOKUP(_26_03_2026_Log_Reseau_v15[[#This Row],[Cell_ID]],_26_03_2026_Registre_Maintenance_v1[ID_Antenne],_26_03_2026_Registre_Maintenance_v1[zone],"pas trouvé")</f>
        <v>Equateur</v>
      </c>
      <c r="G1055">
        <f>_xlfn.XLOOKUP(_26_03_2026_Log_Reseau_v15[[#This Row],[Cell_ID]],_26_03_2026_Registre_Maintenance_v1[ID_Antenne],_26_03_2026_Registre_Maintenance_v1[Latitude],"non trouvé")</f>
        <v>-5.7200150000000001</v>
      </c>
      <c r="H1055">
        <f>_xlfn.XLOOKUP(_26_03_2026_Log_Reseau_v15[[#This Row],[Cell_ID]],_26_03_2026_Registre_Maintenance_v1[ID_Antenne],_26_03_2026_Registre_Maintenance_v1[Longitude],"pas trouvé")</f>
        <v>25.022109</v>
      </c>
      <c r="I1055" t="str">
        <f>_xlfn.XLOOKUP(_26_03_2026_Log_Reseau_v15[[#This Row],[Cell_ID]],_26_03_2026_Registre_Maintenance_v1[ID_Antenne],_26_03_2026_Registre_Maintenance_v1[Technologie],"non trouvé")</f>
        <v>5G</v>
      </c>
      <c r="J1055" t="str">
        <f>_xlfn.XLOOKUP(_26_03_2026_Log_Reseau_v15[[#This Row],[Cell_ID]],_26_03_2026_Registre_Maintenance_v1[ID_Antenne],_26_03_2026_Registre_Maintenance_v1[Equipementier],"pas trouvé")</f>
        <v>ZTE</v>
      </c>
      <c r="K1055" t="str">
        <f>_xlfn.XLOOKUP(_26_03_2026_Log_Reseau_v15[[#This Row],[province RDC]],_26_03_2026_Client_Churn_v1[Province_Client],_26_03_2026_Client_Churn_v1[ID_Client],"non trouvé")</f>
        <v>CLI-00643</v>
      </c>
      <c r="L1055">
        <f>_xlfn.XLOOKUP(_26_03_2026_Log_Reseau_v15[[#This Row],[province RDC]],_26_03_2026_Client_Churn_v1[Province_Client],_26_03_2026_Client_Churn_v1[Anciennete_Mois],"non trouvé")</f>
        <v>14</v>
      </c>
      <c r="M1055" t="str">
        <f>_xlfn.XLOOKUP(_26_03_2026_Log_Reseau_v15[[#This Row],[province RDC]],_26_03_2026_Client_Churn_v1[Province_Client],_26_03_2026_Client_Churn_v1[Type_Forfait],"non trouvé")</f>
        <v>Pro Monde</v>
      </c>
      <c r="N1055">
        <f>_xlfn.XLOOKUP(_26_03_2026_Log_Reseau_v15[[#This Row],[province RDC]],_26_03_2026_Client_Churn_v1[Province_Client],_26_03_2026_Client_Churn_v1[Duree_Cumulee_Panne_Min],"non trouvé")</f>
        <v>316</v>
      </c>
      <c r="O1055">
        <f>_xlfn.XLOOKUP(_26_03_2026_Log_Reseau_v15[[#This Row],[province RDC]],_26_03_2026_Client_Churn_v1[Province_Client],_26_03_2026_Client_Churn_v1[Facture_Mensuelle],"non trouvé")</f>
        <v>62.34</v>
      </c>
      <c r="P1055">
        <f>_xlfn.XLOOKUP(_26_03_2026_Log_Reseau_v15[[#This Row],[province RDC]],_26_03_2026_Client_Churn_v1[Province_Client],_26_03_2026_Client_Churn_v1[Plaintes_Service_Client],"non trouvé")</f>
        <v>4</v>
      </c>
    </row>
    <row r="1056" spans="1:16" x14ac:dyDescent="0.25">
      <c r="A1056" s="1">
        <v>45230</v>
      </c>
      <c r="B1056" s="2">
        <v>0.50277777777777777</v>
      </c>
      <c r="C1056" t="s">
        <v>1458</v>
      </c>
      <c r="D1056">
        <v>99</v>
      </c>
      <c r="E1056" t="s">
        <v>807</v>
      </c>
      <c r="F1056" t="str">
        <f>_xlfn.XLOOKUP(_26_03_2026_Log_Reseau_v15[[#This Row],[Cell_ID]],_26_03_2026_Registre_Maintenance_v1[ID_Antenne],_26_03_2026_Registre_Maintenance_v1[zone],"pas trouvé")</f>
        <v>Equateur</v>
      </c>
      <c r="G1056">
        <f>_xlfn.XLOOKUP(_26_03_2026_Log_Reseau_v15[[#This Row],[Cell_ID]],_26_03_2026_Registre_Maintenance_v1[ID_Antenne],_26_03_2026_Registre_Maintenance_v1[Latitude],"non trouvé")</f>
        <v>-5.7200150000000001</v>
      </c>
      <c r="H1056">
        <f>_xlfn.XLOOKUP(_26_03_2026_Log_Reseau_v15[[#This Row],[Cell_ID]],_26_03_2026_Registre_Maintenance_v1[ID_Antenne],_26_03_2026_Registre_Maintenance_v1[Longitude],"pas trouvé")</f>
        <v>25.022109</v>
      </c>
      <c r="I1056" t="str">
        <f>_xlfn.XLOOKUP(_26_03_2026_Log_Reseau_v15[[#This Row],[Cell_ID]],_26_03_2026_Registre_Maintenance_v1[ID_Antenne],_26_03_2026_Registre_Maintenance_v1[Technologie],"non trouvé")</f>
        <v>5G</v>
      </c>
      <c r="J1056" t="str">
        <f>_xlfn.XLOOKUP(_26_03_2026_Log_Reseau_v15[[#This Row],[Cell_ID]],_26_03_2026_Registre_Maintenance_v1[ID_Antenne],_26_03_2026_Registre_Maintenance_v1[Equipementier],"pas trouvé")</f>
        <v>ZTE</v>
      </c>
      <c r="K1056" t="str">
        <f>_xlfn.XLOOKUP(_26_03_2026_Log_Reseau_v15[[#This Row],[province RDC]],_26_03_2026_Client_Churn_v1[Province_Client],_26_03_2026_Client_Churn_v1[ID_Client],"non trouvé")</f>
        <v>CLI-00643</v>
      </c>
      <c r="L1056">
        <f>_xlfn.XLOOKUP(_26_03_2026_Log_Reseau_v15[[#This Row],[province RDC]],_26_03_2026_Client_Churn_v1[Province_Client],_26_03_2026_Client_Churn_v1[Anciennete_Mois],"non trouvé")</f>
        <v>14</v>
      </c>
      <c r="M1056" t="str">
        <f>_xlfn.XLOOKUP(_26_03_2026_Log_Reseau_v15[[#This Row],[province RDC]],_26_03_2026_Client_Churn_v1[Province_Client],_26_03_2026_Client_Churn_v1[Type_Forfait],"non trouvé")</f>
        <v>Pro Monde</v>
      </c>
      <c r="N1056">
        <f>_xlfn.XLOOKUP(_26_03_2026_Log_Reseau_v15[[#This Row],[province RDC]],_26_03_2026_Client_Churn_v1[Province_Client],_26_03_2026_Client_Churn_v1[Duree_Cumulee_Panne_Min],"non trouvé")</f>
        <v>316</v>
      </c>
      <c r="O1056">
        <f>_xlfn.XLOOKUP(_26_03_2026_Log_Reseau_v15[[#This Row],[province RDC]],_26_03_2026_Client_Churn_v1[Province_Client],_26_03_2026_Client_Churn_v1[Facture_Mensuelle],"non trouvé")</f>
        <v>62.34</v>
      </c>
      <c r="P1056">
        <f>_xlfn.XLOOKUP(_26_03_2026_Log_Reseau_v15[[#This Row],[province RDC]],_26_03_2026_Client_Churn_v1[Province_Client],_26_03_2026_Client_Churn_v1[Plaintes_Service_Client],"non trouvé")</f>
        <v>4</v>
      </c>
    </row>
    <row r="1057" spans="1:16" x14ac:dyDescent="0.25">
      <c r="A1057" s="1">
        <v>45226</v>
      </c>
      <c r="B1057" s="2">
        <v>0.65972222222222221</v>
      </c>
      <c r="C1057" t="s">
        <v>1459</v>
      </c>
      <c r="D1057">
        <v>65</v>
      </c>
      <c r="E1057" t="s">
        <v>808</v>
      </c>
      <c r="F1057" t="str">
        <f>_xlfn.XLOOKUP(_26_03_2026_Log_Reseau_v15[[#This Row],[Cell_ID]],_26_03_2026_Registre_Maintenance_v1[ID_Antenne],_26_03_2026_Registre_Maintenance_v1[zone],"pas trouvé")</f>
        <v>Haut-Katanga</v>
      </c>
      <c r="G1057">
        <f>_xlfn.XLOOKUP(_26_03_2026_Log_Reseau_v15[[#This Row],[Cell_ID]],_26_03_2026_Registre_Maintenance_v1[ID_Antenne],_26_03_2026_Registre_Maintenance_v1[Latitude],"non trouvé")</f>
        <v>-11.594525000000001</v>
      </c>
      <c r="H1057">
        <f>_xlfn.XLOOKUP(_26_03_2026_Log_Reseau_v15[[#This Row],[Cell_ID]],_26_03_2026_Registre_Maintenance_v1[ID_Antenne],_26_03_2026_Registre_Maintenance_v1[Longitude],"pas trouvé")</f>
        <v>29.744895</v>
      </c>
      <c r="I1057" t="str">
        <f>_xlfn.XLOOKUP(_26_03_2026_Log_Reseau_v15[[#This Row],[Cell_ID]],_26_03_2026_Registre_Maintenance_v1[ID_Antenne],_26_03_2026_Registre_Maintenance_v1[Technologie],"non trouvé")</f>
        <v>3G</v>
      </c>
      <c r="J1057" t="str">
        <f>_xlfn.XLOOKUP(_26_03_2026_Log_Reseau_v15[[#This Row],[Cell_ID]],_26_03_2026_Registre_Maintenance_v1[ID_Antenne],_26_03_2026_Registre_Maintenance_v1[Equipementier],"pas trouvé")</f>
        <v>ZTE</v>
      </c>
      <c r="K1057" t="str">
        <f>_xlfn.XLOOKUP(_26_03_2026_Log_Reseau_v15[[#This Row],[province RDC]],_26_03_2026_Client_Churn_v1[Province_Client],_26_03_2026_Client_Churn_v1[ID_Client],"non trouvé")</f>
        <v>CLI-00076</v>
      </c>
      <c r="L1057">
        <f>_xlfn.XLOOKUP(_26_03_2026_Log_Reseau_v15[[#This Row],[province RDC]],_26_03_2026_Client_Churn_v1[Province_Client],_26_03_2026_Client_Churn_v1[Anciennete_Mois],"non trouvé")</f>
        <v>46</v>
      </c>
      <c r="M1057" t="str">
        <f>_xlfn.XLOOKUP(_26_03_2026_Log_Reseau_v15[[#This Row],[province RDC]],_26_03_2026_Client_Churn_v1[Province_Client],_26_03_2026_Client_Churn_v1[Type_Forfait],"non trouvé")</f>
        <v>Premium 5G 150Go</v>
      </c>
      <c r="N1057">
        <f>_xlfn.XLOOKUP(_26_03_2026_Log_Reseau_v15[[#This Row],[province RDC]],_26_03_2026_Client_Churn_v1[Province_Client],_26_03_2026_Client_Churn_v1[Duree_Cumulee_Panne_Min],"non trouvé")</f>
        <v>283</v>
      </c>
      <c r="O1057">
        <f>_xlfn.XLOOKUP(_26_03_2026_Log_Reseau_v15[[#This Row],[province RDC]],_26_03_2026_Client_Churn_v1[Province_Client],_26_03_2026_Client_Churn_v1[Facture_Mensuelle],"non trouvé")</f>
        <v>56.05</v>
      </c>
      <c r="P1057">
        <f>_xlfn.XLOOKUP(_26_03_2026_Log_Reseau_v15[[#This Row],[province RDC]],_26_03_2026_Client_Churn_v1[Province_Client],_26_03_2026_Client_Churn_v1[Plaintes_Service_Client],"non trouvé")</f>
        <v>1</v>
      </c>
    </row>
    <row r="1058" spans="1:16" x14ac:dyDescent="0.25">
      <c r="A1058" s="1">
        <v>45201</v>
      </c>
      <c r="B1058" s="2">
        <v>5.7638888888888892E-2</v>
      </c>
      <c r="C1058" t="s">
        <v>1459</v>
      </c>
      <c r="D1058">
        <v>103</v>
      </c>
      <c r="E1058" t="s">
        <v>807</v>
      </c>
      <c r="F1058" t="str">
        <f>_xlfn.XLOOKUP(_26_03_2026_Log_Reseau_v15[[#This Row],[Cell_ID]],_26_03_2026_Registre_Maintenance_v1[ID_Antenne],_26_03_2026_Registre_Maintenance_v1[zone],"pas trouvé")</f>
        <v>Haut-Katanga</v>
      </c>
      <c r="G1058">
        <f>_xlfn.XLOOKUP(_26_03_2026_Log_Reseau_v15[[#This Row],[Cell_ID]],_26_03_2026_Registre_Maintenance_v1[ID_Antenne],_26_03_2026_Registre_Maintenance_v1[Latitude],"non trouvé")</f>
        <v>-11.594525000000001</v>
      </c>
      <c r="H1058">
        <f>_xlfn.XLOOKUP(_26_03_2026_Log_Reseau_v15[[#This Row],[Cell_ID]],_26_03_2026_Registre_Maintenance_v1[ID_Antenne],_26_03_2026_Registre_Maintenance_v1[Longitude],"pas trouvé")</f>
        <v>29.744895</v>
      </c>
      <c r="I1058" t="str">
        <f>_xlfn.XLOOKUP(_26_03_2026_Log_Reseau_v15[[#This Row],[Cell_ID]],_26_03_2026_Registre_Maintenance_v1[ID_Antenne],_26_03_2026_Registre_Maintenance_v1[Technologie],"non trouvé")</f>
        <v>3G</v>
      </c>
      <c r="J1058" t="str">
        <f>_xlfn.XLOOKUP(_26_03_2026_Log_Reseau_v15[[#This Row],[Cell_ID]],_26_03_2026_Registre_Maintenance_v1[ID_Antenne],_26_03_2026_Registre_Maintenance_v1[Equipementier],"pas trouvé")</f>
        <v>ZTE</v>
      </c>
      <c r="K1058" t="str">
        <f>_xlfn.XLOOKUP(_26_03_2026_Log_Reseau_v15[[#This Row],[province RDC]],_26_03_2026_Client_Churn_v1[Province_Client],_26_03_2026_Client_Churn_v1[ID_Client],"non trouvé")</f>
        <v>CLI-00076</v>
      </c>
      <c r="L1058">
        <f>_xlfn.XLOOKUP(_26_03_2026_Log_Reseau_v15[[#This Row],[province RDC]],_26_03_2026_Client_Churn_v1[Province_Client],_26_03_2026_Client_Churn_v1[Anciennete_Mois],"non trouvé")</f>
        <v>46</v>
      </c>
      <c r="M1058" t="str">
        <f>_xlfn.XLOOKUP(_26_03_2026_Log_Reseau_v15[[#This Row],[province RDC]],_26_03_2026_Client_Churn_v1[Province_Client],_26_03_2026_Client_Churn_v1[Type_Forfait],"non trouvé")</f>
        <v>Premium 5G 150Go</v>
      </c>
      <c r="N1058">
        <f>_xlfn.XLOOKUP(_26_03_2026_Log_Reseau_v15[[#This Row],[province RDC]],_26_03_2026_Client_Churn_v1[Province_Client],_26_03_2026_Client_Churn_v1[Duree_Cumulee_Panne_Min],"non trouvé")</f>
        <v>283</v>
      </c>
      <c r="O1058">
        <f>_xlfn.XLOOKUP(_26_03_2026_Log_Reseau_v15[[#This Row],[province RDC]],_26_03_2026_Client_Churn_v1[Province_Client],_26_03_2026_Client_Churn_v1[Facture_Mensuelle],"non trouvé")</f>
        <v>56.05</v>
      </c>
      <c r="P1058">
        <f>_xlfn.XLOOKUP(_26_03_2026_Log_Reseau_v15[[#This Row],[province RDC]],_26_03_2026_Client_Churn_v1[Province_Client],_26_03_2026_Client_Churn_v1[Plaintes_Service_Client],"non trouvé")</f>
        <v>1</v>
      </c>
    </row>
    <row r="1059" spans="1:16" x14ac:dyDescent="0.25">
      <c r="A1059" s="1">
        <v>45201</v>
      </c>
      <c r="B1059" s="2">
        <v>0.86736111111111114</v>
      </c>
      <c r="C1059" t="s">
        <v>1460</v>
      </c>
      <c r="D1059">
        <v>18</v>
      </c>
      <c r="E1059" t="s">
        <v>807</v>
      </c>
      <c r="F1059" t="str">
        <f>_xlfn.XLOOKUP(_26_03_2026_Log_Reseau_v15[[#This Row],[Cell_ID]],_26_03_2026_Registre_Maintenance_v1[ID_Antenne],_26_03_2026_Registre_Maintenance_v1[zone],"pas trouvé")</f>
        <v>Kongo-Central</v>
      </c>
      <c r="G1059">
        <f>_xlfn.XLOOKUP(_26_03_2026_Log_Reseau_v15[[#This Row],[Cell_ID]],_26_03_2026_Registre_Maintenance_v1[ID_Antenne],_26_03_2026_Registre_Maintenance_v1[Latitude],"non trouvé")</f>
        <v>-12.112399999999999</v>
      </c>
      <c r="H1059">
        <f>_xlfn.XLOOKUP(_26_03_2026_Log_Reseau_v15[[#This Row],[Cell_ID]],_26_03_2026_Registre_Maintenance_v1[ID_Antenne],_26_03_2026_Registre_Maintenance_v1[Longitude],"pas trouvé")</f>
        <v>15.872226</v>
      </c>
      <c r="I1059" t="str">
        <f>_xlfn.XLOOKUP(_26_03_2026_Log_Reseau_v15[[#This Row],[Cell_ID]],_26_03_2026_Registre_Maintenance_v1[ID_Antenne],_26_03_2026_Registre_Maintenance_v1[Technologie],"non trouvé")</f>
        <v>4G</v>
      </c>
      <c r="J1059" t="str">
        <f>_xlfn.XLOOKUP(_26_03_2026_Log_Reseau_v15[[#This Row],[Cell_ID]],_26_03_2026_Registre_Maintenance_v1[ID_Antenne],_26_03_2026_Registre_Maintenance_v1[Equipementier],"pas trouvé")</f>
        <v>Nokia</v>
      </c>
      <c r="K1059" t="str">
        <f>_xlfn.XLOOKUP(_26_03_2026_Log_Reseau_v15[[#This Row],[province RDC]],_26_03_2026_Client_Churn_v1[Province_Client],_26_03_2026_Client_Churn_v1[ID_Client],"non trouvé")</f>
        <v>CLI-01233</v>
      </c>
      <c r="L1059">
        <f>_xlfn.XLOOKUP(_26_03_2026_Log_Reseau_v15[[#This Row],[province RDC]],_26_03_2026_Client_Churn_v1[Province_Client],_26_03_2026_Client_Churn_v1[Anciennete_Mois],"non trouvé")</f>
        <v>101</v>
      </c>
      <c r="M1059" t="str">
        <f>_xlfn.XLOOKUP(_26_03_2026_Log_Reseau_v15[[#This Row],[province RDC]],_26_03_2026_Client_Churn_v1[Province_Client],_26_03_2026_Client_Churn_v1[Type_Forfait],"non trouvé")</f>
        <v>Pro Monde</v>
      </c>
      <c r="N1059">
        <f>_xlfn.XLOOKUP(_26_03_2026_Log_Reseau_v15[[#This Row],[province RDC]],_26_03_2026_Client_Churn_v1[Province_Client],_26_03_2026_Client_Churn_v1[Duree_Cumulee_Panne_Min],"non trouvé")</f>
        <v>333</v>
      </c>
      <c r="O1059">
        <f>_xlfn.XLOOKUP(_26_03_2026_Log_Reseau_v15[[#This Row],[province RDC]],_26_03_2026_Client_Churn_v1[Province_Client],_26_03_2026_Client_Churn_v1[Facture_Mensuelle],"non trouvé")</f>
        <v>74.319999999999993</v>
      </c>
      <c r="P1059">
        <f>_xlfn.XLOOKUP(_26_03_2026_Log_Reseau_v15[[#This Row],[province RDC]],_26_03_2026_Client_Churn_v1[Province_Client],_26_03_2026_Client_Churn_v1[Plaintes_Service_Client],"non trouvé")</f>
        <v>1</v>
      </c>
    </row>
    <row r="1060" spans="1:16" x14ac:dyDescent="0.25">
      <c r="A1060" s="1">
        <v>45220</v>
      </c>
      <c r="B1060" s="2">
        <v>0.84791666666666665</v>
      </c>
      <c r="C1060" t="s">
        <v>1460</v>
      </c>
      <c r="D1060">
        <v>103</v>
      </c>
      <c r="E1060" t="s">
        <v>807</v>
      </c>
      <c r="F1060" t="str">
        <f>_xlfn.XLOOKUP(_26_03_2026_Log_Reseau_v15[[#This Row],[Cell_ID]],_26_03_2026_Registre_Maintenance_v1[ID_Antenne],_26_03_2026_Registre_Maintenance_v1[zone],"pas trouvé")</f>
        <v>Kongo-Central</v>
      </c>
      <c r="G1060">
        <f>_xlfn.XLOOKUP(_26_03_2026_Log_Reseau_v15[[#This Row],[Cell_ID]],_26_03_2026_Registre_Maintenance_v1[ID_Antenne],_26_03_2026_Registre_Maintenance_v1[Latitude],"non trouvé")</f>
        <v>-12.112399999999999</v>
      </c>
      <c r="H1060">
        <f>_xlfn.XLOOKUP(_26_03_2026_Log_Reseau_v15[[#This Row],[Cell_ID]],_26_03_2026_Registre_Maintenance_v1[ID_Antenne],_26_03_2026_Registre_Maintenance_v1[Longitude],"pas trouvé")</f>
        <v>15.872226</v>
      </c>
      <c r="I1060" t="str">
        <f>_xlfn.XLOOKUP(_26_03_2026_Log_Reseau_v15[[#This Row],[Cell_ID]],_26_03_2026_Registre_Maintenance_v1[ID_Antenne],_26_03_2026_Registre_Maintenance_v1[Technologie],"non trouvé")</f>
        <v>4G</v>
      </c>
      <c r="J1060" t="str">
        <f>_xlfn.XLOOKUP(_26_03_2026_Log_Reseau_v15[[#This Row],[Cell_ID]],_26_03_2026_Registre_Maintenance_v1[ID_Antenne],_26_03_2026_Registre_Maintenance_v1[Equipementier],"pas trouvé")</f>
        <v>Nokia</v>
      </c>
      <c r="K1060" t="str">
        <f>_xlfn.XLOOKUP(_26_03_2026_Log_Reseau_v15[[#This Row],[province RDC]],_26_03_2026_Client_Churn_v1[Province_Client],_26_03_2026_Client_Churn_v1[ID_Client],"non trouvé")</f>
        <v>CLI-01233</v>
      </c>
      <c r="L1060">
        <f>_xlfn.XLOOKUP(_26_03_2026_Log_Reseau_v15[[#This Row],[province RDC]],_26_03_2026_Client_Churn_v1[Province_Client],_26_03_2026_Client_Churn_v1[Anciennete_Mois],"non trouvé")</f>
        <v>101</v>
      </c>
      <c r="M1060" t="str">
        <f>_xlfn.XLOOKUP(_26_03_2026_Log_Reseau_v15[[#This Row],[province RDC]],_26_03_2026_Client_Churn_v1[Province_Client],_26_03_2026_Client_Churn_v1[Type_Forfait],"non trouvé")</f>
        <v>Pro Monde</v>
      </c>
      <c r="N1060">
        <f>_xlfn.XLOOKUP(_26_03_2026_Log_Reseau_v15[[#This Row],[province RDC]],_26_03_2026_Client_Churn_v1[Province_Client],_26_03_2026_Client_Churn_v1[Duree_Cumulee_Panne_Min],"non trouvé")</f>
        <v>333</v>
      </c>
      <c r="O1060">
        <f>_xlfn.XLOOKUP(_26_03_2026_Log_Reseau_v15[[#This Row],[province RDC]],_26_03_2026_Client_Churn_v1[Province_Client],_26_03_2026_Client_Churn_v1[Facture_Mensuelle],"non trouvé")</f>
        <v>74.319999999999993</v>
      </c>
      <c r="P1060">
        <f>_xlfn.XLOOKUP(_26_03_2026_Log_Reseau_v15[[#This Row],[province RDC]],_26_03_2026_Client_Churn_v1[Province_Client],_26_03_2026_Client_Churn_v1[Plaintes_Service_Client],"non trouvé")</f>
        <v>1</v>
      </c>
    </row>
    <row r="1061" spans="1:16" x14ac:dyDescent="0.25">
      <c r="A1061" s="1">
        <v>45207</v>
      </c>
      <c r="B1061" s="2">
        <v>0.14027777777777778</v>
      </c>
      <c r="C1061" t="s">
        <v>1460</v>
      </c>
      <c r="D1061">
        <v>46</v>
      </c>
      <c r="E1061" t="s">
        <v>808</v>
      </c>
      <c r="F1061" t="str">
        <f>_xlfn.XLOOKUP(_26_03_2026_Log_Reseau_v15[[#This Row],[Cell_ID]],_26_03_2026_Registre_Maintenance_v1[ID_Antenne],_26_03_2026_Registre_Maintenance_v1[zone],"pas trouvé")</f>
        <v>Kongo-Central</v>
      </c>
      <c r="G1061">
        <f>_xlfn.XLOOKUP(_26_03_2026_Log_Reseau_v15[[#This Row],[Cell_ID]],_26_03_2026_Registre_Maintenance_v1[ID_Antenne],_26_03_2026_Registre_Maintenance_v1[Latitude],"non trouvé")</f>
        <v>-12.112399999999999</v>
      </c>
      <c r="H1061">
        <f>_xlfn.XLOOKUP(_26_03_2026_Log_Reseau_v15[[#This Row],[Cell_ID]],_26_03_2026_Registre_Maintenance_v1[ID_Antenne],_26_03_2026_Registre_Maintenance_v1[Longitude],"pas trouvé")</f>
        <v>15.872226</v>
      </c>
      <c r="I1061" t="str">
        <f>_xlfn.XLOOKUP(_26_03_2026_Log_Reseau_v15[[#This Row],[Cell_ID]],_26_03_2026_Registre_Maintenance_v1[ID_Antenne],_26_03_2026_Registre_Maintenance_v1[Technologie],"non trouvé")</f>
        <v>4G</v>
      </c>
      <c r="J1061" t="str">
        <f>_xlfn.XLOOKUP(_26_03_2026_Log_Reseau_v15[[#This Row],[Cell_ID]],_26_03_2026_Registre_Maintenance_v1[ID_Antenne],_26_03_2026_Registre_Maintenance_v1[Equipementier],"pas trouvé")</f>
        <v>Nokia</v>
      </c>
      <c r="K1061" t="str">
        <f>_xlfn.XLOOKUP(_26_03_2026_Log_Reseau_v15[[#This Row],[province RDC]],_26_03_2026_Client_Churn_v1[Province_Client],_26_03_2026_Client_Churn_v1[ID_Client],"non trouvé")</f>
        <v>CLI-01233</v>
      </c>
      <c r="L1061">
        <f>_xlfn.XLOOKUP(_26_03_2026_Log_Reseau_v15[[#This Row],[province RDC]],_26_03_2026_Client_Churn_v1[Province_Client],_26_03_2026_Client_Churn_v1[Anciennete_Mois],"non trouvé")</f>
        <v>101</v>
      </c>
      <c r="M1061" t="str">
        <f>_xlfn.XLOOKUP(_26_03_2026_Log_Reseau_v15[[#This Row],[province RDC]],_26_03_2026_Client_Churn_v1[Province_Client],_26_03_2026_Client_Churn_v1[Type_Forfait],"non trouvé")</f>
        <v>Pro Monde</v>
      </c>
      <c r="N1061">
        <f>_xlfn.XLOOKUP(_26_03_2026_Log_Reseau_v15[[#This Row],[province RDC]],_26_03_2026_Client_Churn_v1[Province_Client],_26_03_2026_Client_Churn_v1[Duree_Cumulee_Panne_Min],"non trouvé")</f>
        <v>333</v>
      </c>
      <c r="O1061">
        <f>_xlfn.XLOOKUP(_26_03_2026_Log_Reseau_v15[[#This Row],[province RDC]],_26_03_2026_Client_Churn_v1[Province_Client],_26_03_2026_Client_Churn_v1[Facture_Mensuelle],"non trouvé")</f>
        <v>74.319999999999993</v>
      </c>
      <c r="P1061">
        <f>_xlfn.XLOOKUP(_26_03_2026_Log_Reseau_v15[[#This Row],[province RDC]],_26_03_2026_Client_Churn_v1[Province_Client],_26_03_2026_Client_Churn_v1[Plaintes_Service_Client],"non trouvé")</f>
        <v>1</v>
      </c>
    </row>
    <row r="1062" spans="1:16" x14ac:dyDescent="0.25">
      <c r="A1062" s="1">
        <v>45215</v>
      </c>
      <c r="B1062" s="2">
        <v>0.37291666666666667</v>
      </c>
      <c r="C1062" t="s">
        <v>1460</v>
      </c>
      <c r="D1062">
        <v>70</v>
      </c>
      <c r="E1062" t="s">
        <v>808</v>
      </c>
      <c r="F1062" t="str">
        <f>_xlfn.XLOOKUP(_26_03_2026_Log_Reseau_v15[[#This Row],[Cell_ID]],_26_03_2026_Registre_Maintenance_v1[ID_Antenne],_26_03_2026_Registre_Maintenance_v1[zone],"pas trouvé")</f>
        <v>Kongo-Central</v>
      </c>
      <c r="G1062">
        <f>_xlfn.XLOOKUP(_26_03_2026_Log_Reseau_v15[[#This Row],[Cell_ID]],_26_03_2026_Registre_Maintenance_v1[ID_Antenne],_26_03_2026_Registre_Maintenance_v1[Latitude],"non trouvé")</f>
        <v>-12.112399999999999</v>
      </c>
      <c r="H1062">
        <f>_xlfn.XLOOKUP(_26_03_2026_Log_Reseau_v15[[#This Row],[Cell_ID]],_26_03_2026_Registre_Maintenance_v1[ID_Antenne],_26_03_2026_Registre_Maintenance_v1[Longitude],"pas trouvé")</f>
        <v>15.872226</v>
      </c>
      <c r="I1062" t="str">
        <f>_xlfn.XLOOKUP(_26_03_2026_Log_Reseau_v15[[#This Row],[Cell_ID]],_26_03_2026_Registre_Maintenance_v1[ID_Antenne],_26_03_2026_Registre_Maintenance_v1[Technologie],"non trouvé")</f>
        <v>4G</v>
      </c>
      <c r="J1062" t="str">
        <f>_xlfn.XLOOKUP(_26_03_2026_Log_Reseau_v15[[#This Row],[Cell_ID]],_26_03_2026_Registre_Maintenance_v1[ID_Antenne],_26_03_2026_Registre_Maintenance_v1[Equipementier],"pas trouvé")</f>
        <v>Nokia</v>
      </c>
      <c r="K1062" t="str">
        <f>_xlfn.XLOOKUP(_26_03_2026_Log_Reseau_v15[[#This Row],[province RDC]],_26_03_2026_Client_Churn_v1[Province_Client],_26_03_2026_Client_Churn_v1[ID_Client],"non trouvé")</f>
        <v>CLI-01233</v>
      </c>
      <c r="L1062">
        <f>_xlfn.XLOOKUP(_26_03_2026_Log_Reseau_v15[[#This Row],[province RDC]],_26_03_2026_Client_Churn_v1[Province_Client],_26_03_2026_Client_Churn_v1[Anciennete_Mois],"non trouvé")</f>
        <v>101</v>
      </c>
      <c r="M1062" t="str">
        <f>_xlfn.XLOOKUP(_26_03_2026_Log_Reseau_v15[[#This Row],[province RDC]],_26_03_2026_Client_Churn_v1[Province_Client],_26_03_2026_Client_Churn_v1[Type_Forfait],"non trouvé")</f>
        <v>Pro Monde</v>
      </c>
      <c r="N1062">
        <f>_xlfn.XLOOKUP(_26_03_2026_Log_Reseau_v15[[#This Row],[province RDC]],_26_03_2026_Client_Churn_v1[Province_Client],_26_03_2026_Client_Churn_v1[Duree_Cumulee_Panne_Min],"non trouvé")</f>
        <v>333</v>
      </c>
      <c r="O1062">
        <f>_xlfn.XLOOKUP(_26_03_2026_Log_Reseau_v15[[#This Row],[province RDC]],_26_03_2026_Client_Churn_v1[Province_Client],_26_03_2026_Client_Churn_v1[Facture_Mensuelle],"non trouvé")</f>
        <v>74.319999999999993</v>
      </c>
      <c r="P1062">
        <f>_xlfn.XLOOKUP(_26_03_2026_Log_Reseau_v15[[#This Row],[province RDC]],_26_03_2026_Client_Churn_v1[Province_Client],_26_03_2026_Client_Churn_v1[Plaintes_Service_Client],"non trouvé")</f>
        <v>1</v>
      </c>
    </row>
    <row r="1063" spans="1:16" x14ac:dyDescent="0.25">
      <c r="A1063" s="1">
        <v>45209</v>
      </c>
      <c r="B1063" s="2">
        <v>0.8520833333333333</v>
      </c>
      <c r="C1063" t="s">
        <v>1461</v>
      </c>
      <c r="D1063">
        <v>91</v>
      </c>
      <c r="E1063" t="s">
        <v>812</v>
      </c>
      <c r="F1063" t="str">
        <f>_xlfn.XLOOKUP(_26_03_2026_Log_Reseau_v15[[#This Row],[Cell_ID]],_26_03_2026_Registre_Maintenance_v1[ID_Antenne],_26_03_2026_Registre_Maintenance_v1[zone],"pas trouvé")</f>
        <v>Kwango</v>
      </c>
      <c r="G1063">
        <f>_xlfn.XLOOKUP(_26_03_2026_Log_Reseau_v15[[#This Row],[Cell_ID]],_26_03_2026_Registre_Maintenance_v1[ID_Antenne],_26_03_2026_Registre_Maintenance_v1[Latitude],"non trouvé")</f>
        <v>-12.431227</v>
      </c>
      <c r="H1063">
        <f>_xlfn.XLOOKUP(_26_03_2026_Log_Reseau_v15[[#This Row],[Cell_ID]],_26_03_2026_Registre_Maintenance_v1[ID_Antenne],_26_03_2026_Registre_Maintenance_v1[Longitude],"pas trouvé")</f>
        <v>18.414290999999999</v>
      </c>
      <c r="I1063" t="str">
        <f>_xlfn.XLOOKUP(_26_03_2026_Log_Reseau_v15[[#This Row],[Cell_ID]],_26_03_2026_Registre_Maintenance_v1[ID_Antenne],_26_03_2026_Registre_Maintenance_v1[Technologie],"non trouvé")</f>
        <v>5G</v>
      </c>
      <c r="J1063" t="str">
        <f>_xlfn.XLOOKUP(_26_03_2026_Log_Reseau_v15[[#This Row],[Cell_ID]],_26_03_2026_Registre_Maintenance_v1[ID_Antenne],_26_03_2026_Registre_Maintenance_v1[Equipementier],"pas trouvé")</f>
        <v>Huawei</v>
      </c>
      <c r="K1063" t="str">
        <f>_xlfn.XLOOKUP(_26_03_2026_Log_Reseau_v15[[#This Row],[province RDC]],_26_03_2026_Client_Churn_v1[Province_Client],_26_03_2026_Client_Churn_v1[ID_Client],"non trouvé")</f>
        <v>CLI-00569</v>
      </c>
      <c r="L1063">
        <f>_xlfn.XLOOKUP(_26_03_2026_Log_Reseau_v15[[#This Row],[province RDC]],_26_03_2026_Client_Churn_v1[Province_Client],_26_03_2026_Client_Churn_v1[Anciennete_Mois],"non trouvé")</f>
        <v>110</v>
      </c>
      <c r="M1063" t="str">
        <f>_xlfn.XLOOKUP(_26_03_2026_Log_Reseau_v15[[#This Row],[province RDC]],_26_03_2026_Client_Churn_v1[Province_Client],_26_03_2026_Client_Churn_v1[Type_Forfait],"non trouvé")</f>
        <v>Pro Monde</v>
      </c>
      <c r="N1063">
        <f>_xlfn.XLOOKUP(_26_03_2026_Log_Reseau_v15[[#This Row],[province RDC]],_26_03_2026_Client_Churn_v1[Province_Client],_26_03_2026_Client_Churn_v1[Duree_Cumulee_Panne_Min],"non trouvé")</f>
        <v>423</v>
      </c>
      <c r="O1063">
        <f>_xlfn.XLOOKUP(_26_03_2026_Log_Reseau_v15[[#This Row],[province RDC]],_26_03_2026_Client_Churn_v1[Province_Client],_26_03_2026_Client_Churn_v1[Facture_Mensuelle],"non trouvé")</f>
        <v>37.35</v>
      </c>
      <c r="P1063">
        <f>_xlfn.XLOOKUP(_26_03_2026_Log_Reseau_v15[[#This Row],[province RDC]],_26_03_2026_Client_Churn_v1[Province_Client],_26_03_2026_Client_Churn_v1[Plaintes_Service_Client],"non trouvé")</f>
        <v>4</v>
      </c>
    </row>
    <row r="1064" spans="1:16" x14ac:dyDescent="0.25">
      <c r="A1064" s="1">
        <v>45205</v>
      </c>
      <c r="B1064" s="2">
        <v>0.34513888888888888</v>
      </c>
      <c r="C1064" t="s">
        <v>1462</v>
      </c>
      <c r="D1064">
        <v>109</v>
      </c>
      <c r="E1064" t="s">
        <v>808</v>
      </c>
      <c r="F1064" t="str">
        <f>_xlfn.XLOOKUP(_26_03_2026_Log_Reseau_v15[[#This Row],[Cell_ID]],_26_03_2026_Registre_Maintenance_v1[ID_Antenne],_26_03_2026_Registre_Maintenance_v1[zone],"pas trouvé")</f>
        <v>Lomami</v>
      </c>
      <c r="G1064">
        <f>_xlfn.XLOOKUP(_26_03_2026_Log_Reseau_v15[[#This Row],[Cell_ID]],_26_03_2026_Registre_Maintenance_v1[ID_Antenne],_26_03_2026_Registre_Maintenance_v1[Latitude],"non trouvé")</f>
        <v>-2.2681789999999999</v>
      </c>
      <c r="H1064">
        <f>_xlfn.XLOOKUP(_26_03_2026_Log_Reseau_v15[[#This Row],[Cell_ID]],_26_03_2026_Registre_Maintenance_v1[ID_Antenne],_26_03_2026_Registre_Maintenance_v1[Longitude],"pas trouvé")</f>
        <v>25.699068</v>
      </c>
      <c r="I1064" t="str">
        <f>_xlfn.XLOOKUP(_26_03_2026_Log_Reseau_v15[[#This Row],[Cell_ID]],_26_03_2026_Registre_Maintenance_v1[ID_Antenne],_26_03_2026_Registre_Maintenance_v1[Technologie],"non trouvé")</f>
        <v>3G</v>
      </c>
      <c r="J1064" t="str">
        <f>_xlfn.XLOOKUP(_26_03_2026_Log_Reseau_v15[[#This Row],[Cell_ID]],_26_03_2026_Registre_Maintenance_v1[ID_Antenne],_26_03_2026_Registre_Maintenance_v1[Equipementier],"pas trouvé")</f>
        <v>ZTE</v>
      </c>
      <c r="K1064" t="str">
        <f>_xlfn.XLOOKUP(_26_03_2026_Log_Reseau_v15[[#This Row],[province RDC]],_26_03_2026_Client_Churn_v1[Province_Client],_26_03_2026_Client_Churn_v1[ID_Client],"non trouvé")</f>
        <v>CLI-00131</v>
      </c>
      <c r="L1064">
        <f>_xlfn.XLOOKUP(_26_03_2026_Log_Reseau_v15[[#This Row],[province RDC]],_26_03_2026_Client_Churn_v1[Province_Client],_26_03_2026_Client_Churn_v1[Anciennete_Mois],"non trouvé")</f>
        <v>101</v>
      </c>
      <c r="M1064" t="str">
        <f>_xlfn.XLOOKUP(_26_03_2026_Log_Reseau_v15[[#This Row],[province RDC]],_26_03_2026_Client_Churn_v1[Province_Client],_26_03_2026_Client_Churn_v1[Type_Forfait],"non trouvé")</f>
        <v>Pro Monde</v>
      </c>
      <c r="N1064">
        <f>_xlfn.XLOOKUP(_26_03_2026_Log_Reseau_v15[[#This Row],[province RDC]],_26_03_2026_Client_Churn_v1[Province_Client],_26_03_2026_Client_Churn_v1[Duree_Cumulee_Panne_Min],"non trouvé")</f>
        <v>176</v>
      </c>
      <c r="O1064">
        <f>_xlfn.XLOOKUP(_26_03_2026_Log_Reseau_v15[[#This Row],[province RDC]],_26_03_2026_Client_Churn_v1[Province_Client],_26_03_2026_Client_Churn_v1[Facture_Mensuelle],"non trouvé")</f>
        <v>86</v>
      </c>
      <c r="P1064">
        <f>_xlfn.XLOOKUP(_26_03_2026_Log_Reseau_v15[[#This Row],[province RDC]],_26_03_2026_Client_Churn_v1[Province_Client],_26_03_2026_Client_Churn_v1[Plaintes_Service_Client],"non trouvé")</f>
        <v>3</v>
      </c>
    </row>
    <row r="1065" spans="1:16" x14ac:dyDescent="0.25">
      <c r="A1065" s="1">
        <v>45226</v>
      </c>
      <c r="B1065" s="2">
        <v>0.10069444444444445</v>
      </c>
      <c r="C1065" t="s">
        <v>1462</v>
      </c>
      <c r="D1065">
        <v>110</v>
      </c>
      <c r="E1065" t="s">
        <v>808</v>
      </c>
      <c r="F1065" t="str">
        <f>_xlfn.XLOOKUP(_26_03_2026_Log_Reseau_v15[[#This Row],[Cell_ID]],_26_03_2026_Registre_Maintenance_v1[ID_Antenne],_26_03_2026_Registre_Maintenance_v1[zone],"pas trouvé")</f>
        <v>Lomami</v>
      </c>
      <c r="G1065">
        <f>_xlfn.XLOOKUP(_26_03_2026_Log_Reseau_v15[[#This Row],[Cell_ID]],_26_03_2026_Registre_Maintenance_v1[ID_Antenne],_26_03_2026_Registre_Maintenance_v1[Latitude],"non trouvé")</f>
        <v>-2.2681789999999999</v>
      </c>
      <c r="H1065">
        <f>_xlfn.XLOOKUP(_26_03_2026_Log_Reseau_v15[[#This Row],[Cell_ID]],_26_03_2026_Registre_Maintenance_v1[ID_Antenne],_26_03_2026_Registre_Maintenance_v1[Longitude],"pas trouvé")</f>
        <v>25.699068</v>
      </c>
      <c r="I1065" t="str">
        <f>_xlfn.XLOOKUP(_26_03_2026_Log_Reseau_v15[[#This Row],[Cell_ID]],_26_03_2026_Registre_Maintenance_v1[ID_Antenne],_26_03_2026_Registre_Maintenance_v1[Technologie],"non trouvé")</f>
        <v>3G</v>
      </c>
      <c r="J1065" t="str">
        <f>_xlfn.XLOOKUP(_26_03_2026_Log_Reseau_v15[[#This Row],[Cell_ID]],_26_03_2026_Registre_Maintenance_v1[ID_Antenne],_26_03_2026_Registre_Maintenance_v1[Equipementier],"pas trouvé")</f>
        <v>ZTE</v>
      </c>
      <c r="K1065" t="str">
        <f>_xlfn.XLOOKUP(_26_03_2026_Log_Reseau_v15[[#This Row],[province RDC]],_26_03_2026_Client_Churn_v1[Province_Client],_26_03_2026_Client_Churn_v1[ID_Client],"non trouvé")</f>
        <v>CLI-00131</v>
      </c>
      <c r="L1065">
        <f>_xlfn.XLOOKUP(_26_03_2026_Log_Reseau_v15[[#This Row],[province RDC]],_26_03_2026_Client_Churn_v1[Province_Client],_26_03_2026_Client_Churn_v1[Anciennete_Mois],"non trouvé")</f>
        <v>101</v>
      </c>
      <c r="M1065" t="str">
        <f>_xlfn.XLOOKUP(_26_03_2026_Log_Reseau_v15[[#This Row],[province RDC]],_26_03_2026_Client_Churn_v1[Province_Client],_26_03_2026_Client_Churn_v1[Type_Forfait],"non trouvé")</f>
        <v>Pro Monde</v>
      </c>
      <c r="N1065">
        <f>_xlfn.XLOOKUP(_26_03_2026_Log_Reseau_v15[[#This Row],[province RDC]],_26_03_2026_Client_Churn_v1[Province_Client],_26_03_2026_Client_Churn_v1[Duree_Cumulee_Panne_Min],"non trouvé")</f>
        <v>176</v>
      </c>
      <c r="O1065">
        <f>_xlfn.XLOOKUP(_26_03_2026_Log_Reseau_v15[[#This Row],[province RDC]],_26_03_2026_Client_Churn_v1[Province_Client],_26_03_2026_Client_Churn_v1[Facture_Mensuelle],"non trouvé")</f>
        <v>86</v>
      </c>
      <c r="P1065">
        <f>_xlfn.XLOOKUP(_26_03_2026_Log_Reseau_v15[[#This Row],[province RDC]],_26_03_2026_Client_Churn_v1[Province_Client],_26_03_2026_Client_Churn_v1[Plaintes_Service_Client],"non trouvé")</f>
        <v>3</v>
      </c>
    </row>
    <row r="1066" spans="1:16" x14ac:dyDescent="0.25">
      <c r="A1066" s="1">
        <v>45222</v>
      </c>
      <c r="B1066" s="2">
        <v>0.90277777777777779</v>
      </c>
      <c r="C1066" t="s">
        <v>1463</v>
      </c>
      <c r="D1066">
        <v>31</v>
      </c>
      <c r="E1066" t="s">
        <v>812</v>
      </c>
      <c r="F1066" t="str">
        <f>_xlfn.XLOOKUP(_26_03_2026_Log_Reseau_v15[[#This Row],[Cell_ID]],_26_03_2026_Registre_Maintenance_v1[ID_Antenne],_26_03_2026_Registre_Maintenance_v1[zone],"pas trouvé")</f>
        <v>Sankuru</v>
      </c>
      <c r="G1066">
        <f>_xlfn.XLOOKUP(_26_03_2026_Log_Reseau_v15[[#This Row],[Cell_ID]],_26_03_2026_Registre_Maintenance_v1[ID_Antenne],_26_03_2026_Registre_Maintenance_v1[Latitude],"non trouvé")</f>
        <v>-7.5969509999999998</v>
      </c>
      <c r="H1066">
        <f>_xlfn.XLOOKUP(_26_03_2026_Log_Reseau_v15[[#This Row],[Cell_ID]],_26_03_2026_Registre_Maintenance_v1[ID_Antenne],_26_03_2026_Registre_Maintenance_v1[Longitude],"pas trouvé")</f>
        <v>22.153986</v>
      </c>
      <c r="I1066" t="str">
        <f>_xlfn.XLOOKUP(_26_03_2026_Log_Reseau_v15[[#This Row],[Cell_ID]],_26_03_2026_Registre_Maintenance_v1[ID_Antenne],_26_03_2026_Registre_Maintenance_v1[Technologie],"non trouvé")</f>
        <v>3G</v>
      </c>
      <c r="J1066" t="str">
        <f>_xlfn.XLOOKUP(_26_03_2026_Log_Reseau_v15[[#This Row],[Cell_ID]],_26_03_2026_Registre_Maintenance_v1[ID_Antenne],_26_03_2026_Registre_Maintenance_v1[Equipementier],"pas trouvé")</f>
        <v>Ericsson</v>
      </c>
      <c r="K1066" t="str">
        <f>_xlfn.XLOOKUP(_26_03_2026_Log_Reseau_v15[[#This Row],[province RDC]],_26_03_2026_Client_Churn_v1[Province_Client],_26_03_2026_Client_Churn_v1[ID_Client],"non trouvé")</f>
        <v>CLI-00530</v>
      </c>
      <c r="L1066">
        <f>_xlfn.XLOOKUP(_26_03_2026_Log_Reseau_v15[[#This Row],[province RDC]],_26_03_2026_Client_Churn_v1[Province_Client],_26_03_2026_Client_Churn_v1[Anciennete_Mois],"non trouvé")</f>
        <v>35</v>
      </c>
      <c r="M1066" t="str">
        <f>_xlfn.XLOOKUP(_26_03_2026_Log_Reseau_v15[[#This Row],[province RDC]],_26_03_2026_Client_Churn_v1[Province_Client],_26_03_2026_Client_Churn_v1[Type_Forfait],"non trouvé")</f>
        <v>Pro Monde</v>
      </c>
      <c r="N1066">
        <f>_xlfn.XLOOKUP(_26_03_2026_Log_Reseau_v15[[#This Row],[province RDC]],_26_03_2026_Client_Churn_v1[Province_Client],_26_03_2026_Client_Churn_v1[Duree_Cumulee_Panne_Min],"non trouvé")</f>
        <v>465</v>
      </c>
      <c r="O1066">
        <f>_xlfn.XLOOKUP(_26_03_2026_Log_Reseau_v15[[#This Row],[province RDC]],_26_03_2026_Client_Churn_v1[Province_Client],_26_03_2026_Client_Churn_v1[Facture_Mensuelle],"non trouvé")</f>
        <v>58.59</v>
      </c>
      <c r="P1066">
        <f>_xlfn.XLOOKUP(_26_03_2026_Log_Reseau_v15[[#This Row],[province RDC]],_26_03_2026_Client_Churn_v1[Province_Client],_26_03_2026_Client_Churn_v1[Plaintes_Service_Client],"non trouvé")</f>
        <v>5</v>
      </c>
    </row>
    <row r="1067" spans="1:16" x14ac:dyDescent="0.25">
      <c r="A1067" s="1">
        <v>45213</v>
      </c>
      <c r="B1067" s="2">
        <v>0.77986111111111112</v>
      </c>
      <c r="C1067" t="s">
        <v>1463</v>
      </c>
      <c r="D1067">
        <v>120</v>
      </c>
      <c r="E1067" t="s">
        <v>807</v>
      </c>
      <c r="F1067" t="str">
        <f>_xlfn.XLOOKUP(_26_03_2026_Log_Reseau_v15[[#This Row],[Cell_ID]],_26_03_2026_Registre_Maintenance_v1[ID_Antenne],_26_03_2026_Registre_Maintenance_v1[zone],"pas trouvé")</f>
        <v>Sankuru</v>
      </c>
      <c r="G1067">
        <f>_xlfn.XLOOKUP(_26_03_2026_Log_Reseau_v15[[#This Row],[Cell_ID]],_26_03_2026_Registre_Maintenance_v1[ID_Antenne],_26_03_2026_Registre_Maintenance_v1[Latitude],"non trouvé")</f>
        <v>-7.5969509999999998</v>
      </c>
      <c r="H1067">
        <f>_xlfn.XLOOKUP(_26_03_2026_Log_Reseau_v15[[#This Row],[Cell_ID]],_26_03_2026_Registre_Maintenance_v1[ID_Antenne],_26_03_2026_Registre_Maintenance_v1[Longitude],"pas trouvé")</f>
        <v>22.153986</v>
      </c>
      <c r="I1067" t="str">
        <f>_xlfn.XLOOKUP(_26_03_2026_Log_Reseau_v15[[#This Row],[Cell_ID]],_26_03_2026_Registre_Maintenance_v1[ID_Antenne],_26_03_2026_Registre_Maintenance_v1[Technologie],"non trouvé")</f>
        <v>3G</v>
      </c>
      <c r="J1067" t="str">
        <f>_xlfn.XLOOKUP(_26_03_2026_Log_Reseau_v15[[#This Row],[Cell_ID]],_26_03_2026_Registre_Maintenance_v1[ID_Antenne],_26_03_2026_Registre_Maintenance_v1[Equipementier],"pas trouvé")</f>
        <v>Ericsson</v>
      </c>
      <c r="K1067" t="str">
        <f>_xlfn.XLOOKUP(_26_03_2026_Log_Reseau_v15[[#This Row],[province RDC]],_26_03_2026_Client_Churn_v1[Province_Client],_26_03_2026_Client_Churn_v1[ID_Client],"non trouvé")</f>
        <v>CLI-00530</v>
      </c>
      <c r="L1067">
        <f>_xlfn.XLOOKUP(_26_03_2026_Log_Reseau_v15[[#This Row],[province RDC]],_26_03_2026_Client_Churn_v1[Province_Client],_26_03_2026_Client_Churn_v1[Anciennete_Mois],"non trouvé")</f>
        <v>35</v>
      </c>
      <c r="M1067" t="str">
        <f>_xlfn.XLOOKUP(_26_03_2026_Log_Reseau_v15[[#This Row],[province RDC]],_26_03_2026_Client_Churn_v1[Province_Client],_26_03_2026_Client_Churn_v1[Type_Forfait],"non trouvé")</f>
        <v>Pro Monde</v>
      </c>
      <c r="N1067">
        <f>_xlfn.XLOOKUP(_26_03_2026_Log_Reseau_v15[[#This Row],[province RDC]],_26_03_2026_Client_Churn_v1[Province_Client],_26_03_2026_Client_Churn_v1[Duree_Cumulee_Panne_Min],"non trouvé")</f>
        <v>465</v>
      </c>
      <c r="O1067">
        <f>_xlfn.XLOOKUP(_26_03_2026_Log_Reseau_v15[[#This Row],[province RDC]],_26_03_2026_Client_Churn_v1[Province_Client],_26_03_2026_Client_Churn_v1[Facture_Mensuelle],"non trouvé")</f>
        <v>58.59</v>
      </c>
      <c r="P1067">
        <f>_xlfn.XLOOKUP(_26_03_2026_Log_Reseau_v15[[#This Row],[province RDC]],_26_03_2026_Client_Churn_v1[Province_Client],_26_03_2026_Client_Churn_v1[Plaintes_Service_Client],"non trouvé")</f>
        <v>5</v>
      </c>
    </row>
    <row r="1068" spans="1:16" hidden="1" x14ac:dyDescent="0.25">
      <c r="A1068" s="1">
        <v>45216</v>
      </c>
      <c r="B1068" s="2">
        <v>0.79236111111111107</v>
      </c>
      <c r="C1068" t="s">
        <v>1464</v>
      </c>
      <c r="D1068">
        <v>56</v>
      </c>
      <c r="E1068" t="s">
        <v>807</v>
      </c>
      <c r="F1068" t="str">
        <f>_xlfn.XLOOKUP(_26_03_2026_Log_Reseau_v15[[#This Row],[Cell_ID]],_26_03_2026_Registre_Maintenance_v1[ID_Antenne],_26_03_2026_Registre_Maintenance_v1[zone],"pas trouvé")</f>
        <v>pas trouvé</v>
      </c>
      <c r="G1068" t="str">
        <f>_xlfn.XLOOKUP(_26_03_2026_Log_Reseau_v15[[#This Row],[Cell_ID]],_26_03_2026_Registre_Maintenance_v1[ID_Antenne],_26_03_2026_Registre_Maintenance_v1[Latitude],"non trouvé")</f>
        <v>non trouvé</v>
      </c>
      <c r="H1068" t="str">
        <f>_xlfn.XLOOKUP(_26_03_2026_Log_Reseau_v15[[#This Row],[Cell_ID]],_26_03_2026_Registre_Maintenance_v1[ID_Antenne],_26_03_2026_Registre_Maintenance_v1[Longitude],"pas trouvé")</f>
        <v>pas trouvé</v>
      </c>
      <c r="I1068" t="str">
        <f>_xlfn.XLOOKUP(_26_03_2026_Log_Reseau_v15[[#This Row],[Cell_ID]],_26_03_2026_Registre_Maintenance_v1[ID_Antenne],_26_03_2026_Registre_Maintenance_v1[Technologie],"non trouvé")</f>
        <v>non trouvé</v>
      </c>
      <c r="J1068" t="str">
        <f>_xlfn.XLOOKUP(_26_03_2026_Log_Reseau_v15[[#This Row],[Cell_ID]],_26_03_2026_Registre_Maintenance_v1[ID_Antenne],_26_03_2026_Registre_Maintenance_v1[Equipementier],"pas trouvé")</f>
        <v>pas trouvé</v>
      </c>
      <c r="K1068" t="str">
        <f>_xlfn.XLOOKUP(_26_03_2026_Log_Reseau_v15[[#This Row],[province RDC]],_26_03_2026_Client_Churn_v1[Province_Client],_26_03_2026_Client_Churn_v1[ID_Client],"non trouvé")</f>
        <v>non trouvé</v>
      </c>
      <c r="L1068" t="str">
        <f>_xlfn.XLOOKUP(_26_03_2026_Log_Reseau_v15[[#This Row],[province RDC]],_26_03_2026_Client_Churn_v1[Province_Client],_26_03_2026_Client_Churn_v1[Anciennete_Mois],"non trouvé")</f>
        <v>non trouvé</v>
      </c>
      <c r="M1068" t="str">
        <f>_xlfn.XLOOKUP(_26_03_2026_Log_Reseau_v15[[#This Row],[province RDC]],_26_03_2026_Client_Churn_v1[Province_Client],_26_03_2026_Client_Churn_v1[Type_Forfait],"non trouvé")</f>
        <v>non trouvé</v>
      </c>
      <c r="N1068" t="str">
        <f>_xlfn.XLOOKUP(_26_03_2026_Log_Reseau_v15[[#This Row],[province RDC]],_26_03_2026_Client_Churn_v1[Province_Client],_26_03_2026_Client_Churn_v1[Duree_Cumulee_Panne_Min],"non trouvé")</f>
        <v>non trouvé</v>
      </c>
      <c r="O1068" t="str">
        <f>_xlfn.XLOOKUP(_26_03_2026_Log_Reseau_v15[[#This Row],[province RDC]],_26_03_2026_Client_Churn_v1[Province_Client],_26_03_2026_Client_Churn_v1[Facture_Mensuelle],"non trouvé")</f>
        <v>non trouvé</v>
      </c>
      <c r="P1068" t="str">
        <f>_xlfn.XLOOKUP(_26_03_2026_Log_Reseau_v15[[#This Row],[province RDC]],_26_03_2026_Client_Churn_v1[Province_Client],_26_03_2026_Client_Churn_v1[Plaintes_Service_Client],"non trouvé")</f>
        <v>non trouvé</v>
      </c>
    </row>
    <row r="1069" spans="1:16" hidden="1" x14ac:dyDescent="0.25">
      <c r="A1069" s="1">
        <v>45203</v>
      </c>
      <c r="B1069" s="2">
        <v>3.125E-2</v>
      </c>
      <c r="C1069" t="s">
        <v>1464</v>
      </c>
      <c r="D1069">
        <v>36</v>
      </c>
      <c r="E1069" t="s">
        <v>812</v>
      </c>
      <c r="F1069" t="str">
        <f>_xlfn.XLOOKUP(_26_03_2026_Log_Reseau_v15[[#This Row],[Cell_ID]],_26_03_2026_Registre_Maintenance_v1[ID_Antenne],_26_03_2026_Registre_Maintenance_v1[zone],"pas trouvé")</f>
        <v>pas trouvé</v>
      </c>
      <c r="G1069" t="str">
        <f>_xlfn.XLOOKUP(_26_03_2026_Log_Reseau_v15[[#This Row],[Cell_ID]],_26_03_2026_Registre_Maintenance_v1[ID_Antenne],_26_03_2026_Registre_Maintenance_v1[Latitude],"non trouvé")</f>
        <v>non trouvé</v>
      </c>
      <c r="H1069" t="str">
        <f>_xlfn.XLOOKUP(_26_03_2026_Log_Reseau_v15[[#This Row],[Cell_ID]],_26_03_2026_Registre_Maintenance_v1[ID_Antenne],_26_03_2026_Registre_Maintenance_v1[Longitude],"pas trouvé")</f>
        <v>pas trouvé</v>
      </c>
      <c r="I1069" t="str">
        <f>_xlfn.XLOOKUP(_26_03_2026_Log_Reseau_v15[[#This Row],[Cell_ID]],_26_03_2026_Registre_Maintenance_v1[ID_Antenne],_26_03_2026_Registre_Maintenance_v1[Technologie],"non trouvé")</f>
        <v>non trouvé</v>
      </c>
      <c r="J1069" t="str">
        <f>_xlfn.XLOOKUP(_26_03_2026_Log_Reseau_v15[[#This Row],[Cell_ID]],_26_03_2026_Registre_Maintenance_v1[ID_Antenne],_26_03_2026_Registre_Maintenance_v1[Equipementier],"pas trouvé")</f>
        <v>pas trouvé</v>
      </c>
      <c r="K1069" t="str">
        <f>_xlfn.XLOOKUP(_26_03_2026_Log_Reseau_v15[[#This Row],[province RDC]],_26_03_2026_Client_Churn_v1[Province_Client],_26_03_2026_Client_Churn_v1[ID_Client],"non trouvé")</f>
        <v>non trouvé</v>
      </c>
      <c r="L1069" t="str">
        <f>_xlfn.XLOOKUP(_26_03_2026_Log_Reseau_v15[[#This Row],[province RDC]],_26_03_2026_Client_Churn_v1[Province_Client],_26_03_2026_Client_Churn_v1[Anciennete_Mois],"non trouvé")</f>
        <v>non trouvé</v>
      </c>
      <c r="M1069" t="str">
        <f>_xlfn.XLOOKUP(_26_03_2026_Log_Reseau_v15[[#This Row],[province RDC]],_26_03_2026_Client_Churn_v1[Province_Client],_26_03_2026_Client_Churn_v1[Type_Forfait],"non trouvé")</f>
        <v>non trouvé</v>
      </c>
      <c r="N1069" t="str">
        <f>_xlfn.XLOOKUP(_26_03_2026_Log_Reseau_v15[[#This Row],[province RDC]],_26_03_2026_Client_Churn_v1[Province_Client],_26_03_2026_Client_Churn_v1[Duree_Cumulee_Panne_Min],"non trouvé")</f>
        <v>non trouvé</v>
      </c>
      <c r="O1069" t="str">
        <f>_xlfn.XLOOKUP(_26_03_2026_Log_Reseau_v15[[#This Row],[province RDC]],_26_03_2026_Client_Churn_v1[Province_Client],_26_03_2026_Client_Churn_v1[Facture_Mensuelle],"non trouvé")</f>
        <v>non trouvé</v>
      </c>
      <c r="P1069" t="str">
        <f>_xlfn.XLOOKUP(_26_03_2026_Log_Reseau_v15[[#This Row],[province RDC]],_26_03_2026_Client_Churn_v1[Province_Client],_26_03_2026_Client_Churn_v1[Plaintes_Service_Client],"non trouvé")</f>
        <v>non trouvé</v>
      </c>
    </row>
    <row r="1070" spans="1:16" x14ac:dyDescent="0.25">
      <c r="A1070" s="1">
        <v>45216</v>
      </c>
      <c r="B1070" s="2">
        <v>0.72986111111111107</v>
      </c>
      <c r="C1070" t="s">
        <v>1465</v>
      </c>
      <c r="D1070">
        <v>109</v>
      </c>
      <c r="E1070" t="s">
        <v>812</v>
      </c>
      <c r="F1070" t="str">
        <f>_xlfn.XLOOKUP(_26_03_2026_Log_Reseau_v15[[#This Row],[Cell_ID]],_26_03_2026_Registre_Maintenance_v1[ID_Antenne],_26_03_2026_Registre_Maintenance_v1[zone],"pas trouvé")</f>
        <v>Kasai-Oriental</v>
      </c>
      <c r="G1070">
        <f>_xlfn.XLOOKUP(_26_03_2026_Log_Reseau_v15[[#This Row],[Cell_ID]],_26_03_2026_Registre_Maintenance_v1[ID_Antenne],_26_03_2026_Registre_Maintenance_v1[Latitude],"non trouvé")</f>
        <v>0.639208</v>
      </c>
      <c r="H1070">
        <f>_xlfn.XLOOKUP(_26_03_2026_Log_Reseau_v15[[#This Row],[Cell_ID]],_26_03_2026_Registre_Maintenance_v1[ID_Antenne],_26_03_2026_Registre_Maintenance_v1[Longitude],"pas trouvé")</f>
        <v>20.701739</v>
      </c>
      <c r="I1070" t="str">
        <f>_xlfn.XLOOKUP(_26_03_2026_Log_Reseau_v15[[#This Row],[Cell_ID]],_26_03_2026_Registre_Maintenance_v1[ID_Antenne],_26_03_2026_Registre_Maintenance_v1[Technologie],"non trouvé")</f>
        <v>4G</v>
      </c>
      <c r="J1070" t="str">
        <f>_xlfn.XLOOKUP(_26_03_2026_Log_Reseau_v15[[#This Row],[Cell_ID]],_26_03_2026_Registre_Maintenance_v1[ID_Antenne],_26_03_2026_Registre_Maintenance_v1[Equipementier],"pas trouvé")</f>
        <v>Huawei</v>
      </c>
      <c r="K1070" t="str">
        <f>_xlfn.XLOOKUP(_26_03_2026_Log_Reseau_v15[[#This Row],[province RDC]],_26_03_2026_Client_Churn_v1[Province_Client],_26_03_2026_Client_Churn_v1[ID_Client],"non trouvé")</f>
        <v>CLI-01837</v>
      </c>
      <c r="L1070">
        <f>_xlfn.XLOOKUP(_26_03_2026_Log_Reseau_v15[[#This Row],[province RDC]],_26_03_2026_Client_Churn_v1[Province_Client],_26_03_2026_Client_Churn_v1[Anciennete_Mois],"non trouvé")</f>
        <v>97</v>
      </c>
      <c r="M1070" t="str">
        <f>_xlfn.XLOOKUP(_26_03_2026_Log_Reseau_v15[[#This Row],[province RDC]],_26_03_2026_Client_Churn_v1[Province_Client],_26_03_2026_Client_Churn_v1[Type_Forfait],"non trouvé")</f>
        <v>Pro Monde</v>
      </c>
      <c r="N1070">
        <f>_xlfn.XLOOKUP(_26_03_2026_Log_Reseau_v15[[#This Row],[province RDC]],_26_03_2026_Client_Churn_v1[Province_Client],_26_03_2026_Client_Churn_v1[Duree_Cumulee_Panne_Min],"non trouvé")</f>
        <v>319</v>
      </c>
      <c r="O1070">
        <f>_xlfn.XLOOKUP(_26_03_2026_Log_Reseau_v15[[#This Row],[province RDC]],_26_03_2026_Client_Churn_v1[Province_Client],_26_03_2026_Client_Churn_v1[Facture_Mensuelle],"non trouvé")</f>
        <v>31.25</v>
      </c>
      <c r="P1070">
        <f>_xlfn.XLOOKUP(_26_03_2026_Log_Reseau_v15[[#This Row],[province RDC]],_26_03_2026_Client_Churn_v1[Province_Client],_26_03_2026_Client_Churn_v1[Plaintes_Service_Client],"non trouvé")</f>
        <v>1</v>
      </c>
    </row>
    <row r="1071" spans="1:16" hidden="1" x14ac:dyDescent="0.25">
      <c r="A1071" s="1">
        <v>45224</v>
      </c>
      <c r="B1071" s="2">
        <v>0.16458333333333333</v>
      </c>
      <c r="C1071" t="s">
        <v>1466</v>
      </c>
      <c r="D1071">
        <v>57</v>
      </c>
      <c r="E1071" t="s">
        <v>808</v>
      </c>
      <c r="F1071" t="str">
        <f>_xlfn.XLOOKUP(_26_03_2026_Log_Reseau_v15[[#This Row],[Cell_ID]],_26_03_2026_Registre_Maintenance_v1[ID_Antenne],_26_03_2026_Registre_Maintenance_v1[zone],"pas trouvé")</f>
        <v>pas trouvé</v>
      </c>
      <c r="G1071" t="str">
        <f>_xlfn.XLOOKUP(_26_03_2026_Log_Reseau_v15[[#This Row],[Cell_ID]],_26_03_2026_Registre_Maintenance_v1[ID_Antenne],_26_03_2026_Registre_Maintenance_v1[Latitude],"non trouvé")</f>
        <v>non trouvé</v>
      </c>
      <c r="H1071" t="str">
        <f>_xlfn.XLOOKUP(_26_03_2026_Log_Reseau_v15[[#This Row],[Cell_ID]],_26_03_2026_Registre_Maintenance_v1[ID_Antenne],_26_03_2026_Registre_Maintenance_v1[Longitude],"pas trouvé")</f>
        <v>pas trouvé</v>
      </c>
      <c r="I1071" t="str">
        <f>_xlfn.XLOOKUP(_26_03_2026_Log_Reseau_v15[[#This Row],[Cell_ID]],_26_03_2026_Registre_Maintenance_v1[ID_Antenne],_26_03_2026_Registre_Maintenance_v1[Technologie],"non trouvé")</f>
        <v>non trouvé</v>
      </c>
      <c r="J1071" t="str">
        <f>_xlfn.XLOOKUP(_26_03_2026_Log_Reseau_v15[[#This Row],[Cell_ID]],_26_03_2026_Registre_Maintenance_v1[ID_Antenne],_26_03_2026_Registre_Maintenance_v1[Equipementier],"pas trouvé")</f>
        <v>pas trouvé</v>
      </c>
      <c r="K1071" t="str">
        <f>_xlfn.XLOOKUP(_26_03_2026_Log_Reseau_v15[[#This Row],[province RDC]],_26_03_2026_Client_Churn_v1[Province_Client],_26_03_2026_Client_Churn_v1[ID_Client],"non trouvé")</f>
        <v>non trouvé</v>
      </c>
      <c r="L1071" t="str">
        <f>_xlfn.XLOOKUP(_26_03_2026_Log_Reseau_v15[[#This Row],[province RDC]],_26_03_2026_Client_Churn_v1[Province_Client],_26_03_2026_Client_Churn_v1[Anciennete_Mois],"non trouvé")</f>
        <v>non trouvé</v>
      </c>
      <c r="M1071" t="str">
        <f>_xlfn.XLOOKUP(_26_03_2026_Log_Reseau_v15[[#This Row],[province RDC]],_26_03_2026_Client_Churn_v1[Province_Client],_26_03_2026_Client_Churn_v1[Type_Forfait],"non trouvé")</f>
        <v>non trouvé</v>
      </c>
      <c r="N1071" t="str">
        <f>_xlfn.XLOOKUP(_26_03_2026_Log_Reseau_v15[[#This Row],[province RDC]],_26_03_2026_Client_Churn_v1[Province_Client],_26_03_2026_Client_Churn_v1[Duree_Cumulee_Panne_Min],"non trouvé")</f>
        <v>non trouvé</v>
      </c>
      <c r="O1071" t="str">
        <f>_xlfn.XLOOKUP(_26_03_2026_Log_Reseau_v15[[#This Row],[province RDC]],_26_03_2026_Client_Churn_v1[Province_Client],_26_03_2026_Client_Churn_v1[Facture_Mensuelle],"non trouvé")</f>
        <v>non trouvé</v>
      </c>
      <c r="P1071" t="str">
        <f>_xlfn.XLOOKUP(_26_03_2026_Log_Reseau_v15[[#This Row],[province RDC]],_26_03_2026_Client_Churn_v1[Province_Client],_26_03_2026_Client_Churn_v1[Plaintes_Service_Client],"non trouvé")</f>
        <v>non trouvé</v>
      </c>
    </row>
    <row r="1072" spans="1:16" hidden="1" x14ac:dyDescent="0.25">
      <c r="A1072" s="1">
        <v>45228</v>
      </c>
      <c r="B1072" s="2">
        <v>0.72083333333333333</v>
      </c>
      <c r="C1072" t="s">
        <v>1467</v>
      </c>
      <c r="D1072">
        <v>101</v>
      </c>
      <c r="E1072" t="s">
        <v>808</v>
      </c>
      <c r="F1072" t="str">
        <f>_xlfn.XLOOKUP(_26_03_2026_Log_Reseau_v15[[#This Row],[Cell_ID]],_26_03_2026_Registre_Maintenance_v1[ID_Antenne],_26_03_2026_Registre_Maintenance_v1[zone],"pas trouvé")</f>
        <v>pas trouvé</v>
      </c>
      <c r="G1072" t="str">
        <f>_xlfn.XLOOKUP(_26_03_2026_Log_Reseau_v15[[#This Row],[Cell_ID]],_26_03_2026_Registre_Maintenance_v1[ID_Antenne],_26_03_2026_Registre_Maintenance_v1[Latitude],"non trouvé")</f>
        <v>non trouvé</v>
      </c>
      <c r="H1072" t="str">
        <f>_xlfn.XLOOKUP(_26_03_2026_Log_Reseau_v15[[#This Row],[Cell_ID]],_26_03_2026_Registre_Maintenance_v1[ID_Antenne],_26_03_2026_Registre_Maintenance_v1[Longitude],"pas trouvé")</f>
        <v>pas trouvé</v>
      </c>
      <c r="I1072" t="str">
        <f>_xlfn.XLOOKUP(_26_03_2026_Log_Reseau_v15[[#This Row],[Cell_ID]],_26_03_2026_Registre_Maintenance_v1[ID_Antenne],_26_03_2026_Registre_Maintenance_v1[Technologie],"non trouvé")</f>
        <v>non trouvé</v>
      </c>
      <c r="J1072" t="str">
        <f>_xlfn.XLOOKUP(_26_03_2026_Log_Reseau_v15[[#This Row],[Cell_ID]],_26_03_2026_Registre_Maintenance_v1[ID_Antenne],_26_03_2026_Registre_Maintenance_v1[Equipementier],"pas trouvé")</f>
        <v>pas trouvé</v>
      </c>
      <c r="K1072" t="str">
        <f>_xlfn.XLOOKUP(_26_03_2026_Log_Reseau_v15[[#This Row],[province RDC]],_26_03_2026_Client_Churn_v1[Province_Client],_26_03_2026_Client_Churn_v1[ID_Client],"non trouvé")</f>
        <v>non trouvé</v>
      </c>
      <c r="L1072" t="str">
        <f>_xlfn.XLOOKUP(_26_03_2026_Log_Reseau_v15[[#This Row],[province RDC]],_26_03_2026_Client_Churn_v1[Province_Client],_26_03_2026_Client_Churn_v1[Anciennete_Mois],"non trouvé")</f>
        <v>non trouvé</v>
      </c>
      <c r="M1072" t="str">
        <f>_xlfn.XLOOKUP(_26_03_2026_Log_Reseau_v15[[#This Row],[province RDC]],_26_03_2026_Client_Churn_v1[Province_Client],_26_03_2026_Client_Churn_v1[Type_Forfait],"non trouvé")</f>
        <v>non trouvé</v>
      </c>
      <c r="N1072" t="str">
        <f>_xlfn.XLOOKUP(_26_03_2026_Log_Reseau_v15[[#This Row],[province RDC]],_26_03_2026_Client_Churn_v1[Province_Client],_26_03_2026_Client_Churn_v1[Duree_Cumulee_Panne_Min],"non trouvé")</f>
        <v>non trouvé</v>
      </c>
      <c r="O1072" t="str">
        <f>_xlfn.XLOOKUP(_26_03_2026_Log_Reseau_v15[[#This Row],[province RDC]],_26_03_2026_Client_Churn_v1[Province_Client],_26_03_2026_Client_Churn_v1[Facture_Mensuelle],"non trouvé")</f>
        <v>non trouvé</v>
      </c>
      <c r="P1072" t="str">
        <f>_xlfn.XLOOKUP(_26_03_2026_Log_Reseau_v15[[#This Row],[province RDC]],_26_03_2026_Client_Churn_v1[Province_Client],_26_03_2026_Client_Churn_v1[Plaintes_Service_Client],"non trouvé")</f>
        <v>non trouvé</v>
      </c>
    </row>
    <row r="1073" spans="1:16" hidden="1" x14ac:dyDescent="0.25">
      <c r="A1073" s="1">
        <v>45229</v>
      </c>
      <c r="B1073" s="2">
        <v>0.75138888888888888</v>
      </c>
      <c r="C1073" t="s">
        <v>1468</v>
      </c>
      <c r="D1073">
        <v>70</v>
      </c>
      <c r="E1073" t="s">
        <v>807</v>
      </c>
      <c r="F1073" t="str">
        <f>_xlfn.XLOOKUP(_26_03_2026_Log_Reseau_v15[[#This Row],[Cell_ID]],_26_03_2026_Registre_Maintenance_v1[ID_Antenne],_26_03_2026_Registre_Maintenance_v1[zone],"pas trouvé")</f>
        <v>pas trouvé</v>
      </c>
      <c r="G1073" t="str">
        <f>_xlfn.XLOOKUP(_26_03_2026_Log_Reseau_v15[[#This Row],[Cell_ID]],_26_03_2026_Registre_Maintenance_v1[ID_Antenne],_26_03_2026_Registre_Maintenance_v1[Latitude],"non trouvé")</f>
        <v>non trouvé</v>
      </c>
      <c r="H1073" t="str">
        <f>_xlfn.XLOOKUP(_26_03_2026_Log_Reseau_v15[[#This Row],[Cell_ID]],_26_03_2026_Registre_Maintenance_v1[ID_Antenne],_26_03_2026_Registre_Maintenance_v1[Longitude],"pas trouvé")</f>
        <v>pas trouvé</v>
      </c>
      <c r="I1073" t="str">
        <f>_xlfn.XLOOKUP(_26_03_2026_Log_Reseau_v15[[#This Row],[Cell_ID]],_26_03_2026_Registre_Maintenance_v1[ID_Antenne],_26_03_2026_Registre_Maintenance_v1[Technologie],"non trouvé")</f>
        <v>non trouvé</v>
      </c>
      <c r="J1073" t="str">
        <f>_xlfn.XLOOKUP(_26_03_2026_Log_Reseau_v15[[#This Row],[Cell_ID]],_26_03_2026_Registre_Maintenance_v1[ID_Antenne],_26_03_2026_Registre_Maintenance_v1[Equipementier],"pas trouvé")</f>
        <v>pas trouvé</v>
      </c>
      <c r="K1073" t="str">
        <f>_xlfn.XLOOKUP(_26_03_2026_Log_Reseau_v15[[#This Row],[province RDC]],_26_03_2026_Client_Churn_v1[Province_Client],_26_03_2026_Client_Churn_v1[ID_Client],"non trouvé")</f>
        <v>non trouvé</v>
      </c>
      <c r="L1073" t="str">
        <f>_xlfn.XLOOKUP(_26_03_2026_Log_Reseau_v15[[#This Row],[province RDC]],_26_03_2026_Client_Churn_v1[Province_Client],_26_03_2026_Client_Churn_v1[Anciennete_Mois],"non trouvé")</f>
        <v>non trouvé</v>
      </c>
      <c r="M1073" t="str">
        <f>_xlfn.XLOOKUP(_26_03_2026_Log_Reseau_v15[[#This Row],[province RDC]],_26_03_2026_Client_Churn_v1[Province_Client],_26_03_2026_Client_Churn_v1[Type_Forfait],"non trouvé")</f>
        <v>non trouvé</v>
      </c>
      <c r="N1073" t="str">
        <f>_xlfn.XLOOKUP(_26_03_2026_Log_Reseau_v15[[#This Row],[province RDC]],_26_03_2026_Client_Churn_v1[Province_Client],_26_03_2026_Client_Churn_v1[Duree_Cumulee_Panne_Min],"non trouvé")</f>
        <v>non trouvé</v>
      </c>
      <c r="O1073" t="str">
        <f>_xlfn.XLOOKUP(_26_03_2026_Log_Reseau_v15[[#This Row],[province RDC]],_26_03_2026_Client_Churn_v1[Province_Client],_26_03_2026_Client_Churn_v1[Facture_Mensuelle],"non trouvé")</f>
        <v>non trouvé</v>
      </c>
      <c r="P1073" t="str">
        <f>_xlfn.XLOOKUP(_26_03_2026_Log_Reseau_v15[[#This Row],[province RDC]],_26_03_2026_Client_Churn_v1[Province_Client],_26_03_2026_Client_Churn_v1[Plaintes_Service_Client],"non trouvé")</f>
        <v>non trouvé</v>
      </c>
    </row>
    <row r="1074" spans="1:16" x14ac:dyDescent="0.25">
      <c r="A1074" s="1">
        <v>45201</v>
      </c>
      <c r="B1074" s="2">
        <v>0.17222222222222222</v>
      </c>
      <c r="C1074" t="s">
        <v>1469</v>
      </c>
      <c r="D1074">
        <v>33</v>
      </c>
      <c r="E1074" t="s">
        <v>812</v>
      </c>
      <c r="F1074" t="str">
        <f>_xlfn.XLOOKUP(_26_03_2026_Log_Reseau_v15[[#This Row],[Cell_ID]],_26_03_2026_Registre_Maintenance_v1[ID_Antenne],_26_03_2026_Registre_Maintenance_v1[zone],"pas trouvé")</f>
        <v>Nord-Ubangi</v>
      </c>
      <c r="G1074">
        <f>_xlfn.XLOOKUP(_26_03_2026_Log_Reseau_v15[[#This Row],[Cell_ID]],_26_03_2026_Registre_Maintenance_v1[ID_Antenne],_26_03_2026_Registre_Maintenance_v1[Latitude],"non trouvé")</f>
        <v>-7.9987219999999999</v>
      </c>
      <c r="H1074">
        <f>_xlfn.XLOOKUP(_26_03_2026_Log_Reseau_v15[[#This Row],[Cell_ID]],_26_03_2026_Registre_Maintenance_v1[ID_Antenne],_26_03_2026_Registre_Maintenance_v1[Longitude],"pas trouvé")</f>
        <v>12.779335</v>
      </c>
      <c r="I1074" t="str">
        <f>_xlfn.XLOOKUP(_26_03_2026_Log_Reseau_v15[[#This Row],[Cell_ID]],_26_03_2026_Registre_Maintenance_v1[ID_Antenne],_26_03_2026_Registre_Maintenance_v1[Technologie],"non trouvé")</f>
        <v>5G</v>
      </c>
      <c r="J1074" t="str">
        <f>_xlfn.XLOOKUP(_26_03_2026_Log_Reseau_v15[[#This Row],[Cell_ID]],_26_03_2026_Registre_Maintenance_v1[ID_Antenne],_26_03_2026_Registre_Maintenance_v1[Equipementier],"pas trouvé")</f>
        <v>Nokia</v>
      </c>
      <c r="K1074" t="str">
        <f>_xlfn.XLOOKUP(_26_03_2026_Log_Reseau_v15[[#This Row],[province RDC]],_26_03_2026_Client_Churn_v1[Province_Client],_26_03_2026_Client_Churn_v1[ID_Client],"non trouvé")</f>
        <v>CLI-01170</v>
      </c>
      <c r="L1074">
        <f>_xlfn.XLOOKUP(_26_03_2026_Log_Reseau_v15[[#This Row],[province RDC]],_26_03_2026_Client_Churn_v1[Province_Client],_26_03_2026_Client_Churn_v1[Anciennete_Mois],"non trouvé")</f>
        <v>98</v>
      </c>
      <c r="M1074" t="str">
        <f>_xlfn.XLOOKUP(_26_03_2026_Log_Reseau_v15[[#This Row],[province RDC]],_26_03_2026_Client_Churn_v1[Province_Client],_26_03_2026_Client_Churn_v1[Type_Forfait],"non trouvé")</f>
        <v>Pro Monde</v>
      </c>
      <c r="N1074">
        <f>_xlfn.XLOOKUP(_26_03_2026_Log_Reseau_v15[[#This Row],[province RDC]],_26_03_2026_Client_Churn_v1[Province_Client],_26_03_2026_Client_Churn_v1[Duree_Cumulee_Panne_Min],"non trouvé")</f>
        <v>482</v>
      </c>
      <c r="O1074">
        <f>_xlfn.XLOOKUP(_26_03_2026_Log_Reseau_v15[[#This Row],[province RDC]],_26_03_2026_Client_Churn_v1[Province_Client],_26_03_2026_Client_Churn_v1[Facture_Mensuelle],"non trouvé")</f>
        <v>55.04</v>
      </c>
      <c r="P1074">
        <f>_xlfn.XLOOKUP(_26_03_2026_Log_Reseau_v15[[#This Row],[province RDC]],_26_03_2026_Client_Churn_v1[Province_Client],_26_03_2026_Client_Churn_v1[Plaintes_Service_Client],"non trouvé")</f>
        <v>5</v>
      </c>
    </row>
    <row r="1075" spans="1:16" x14ac:dyDescent="0.25">
      <c r="A1075" s="1">
        <v>45228</v>
      </c>
      <c r="B1075" s="2">
        <v>0.65138888888888891</v>
      </c>
      <c r="C1075" t="s">
        <v>1470</v>
      </c>
      <c r="D1075">
        <v>119</v>
      </c>
      <c r="E1075" t="s">
        <v>807</v>
      </c>
      <c r="F1075" t="str">
        <f>_xlfn.XLOOKUP(_26_03_2026_Log_Reseau_v15[[#This Row],[Cell_ID]],_26_03_2026_Registre_Maintenance_v1[ID_Antenne],_26_03_2026_Registre_Maintenance_v1[zone],"pas trouvé")</f>
        <v>Sud-Kivu</v>
      </c>
      <c r="G1075">
        <f>_xlfn.XLOOKUP(_26_03_2026_Log_Reseau_v15[[#This Row],[Cell_ID]],_26_03_2026_Registre_Maintenance_v1[ID_Antenne],_26_03_2026_Registre_Maintenance_v1[Latitude],"non trouvé")</f>
        <v>2.453036</v>
      </c>
      <c r="H1075">
        <f>_xlfn.XLOOKUP(_26_03_2026_Log_Reseau_v15[[#This Row],[Cell_ID]],_26_03_2026_Registre_Maintenance_v1[ID_Antenne],_26_03_2026_Registre_Maintenance_v1[Longitude],"pas trouvé")</f>
        <v>20.555484</v>
      </c>
      <c r="I1075" t="str">
        <f>_xlfn.XLOOKUP(_26_03_2026_Log_Reseau_v15[[#This Row],[Cell_ID]],_26_03_2026_Registre_Maintenance_v1[ID_Antenne],_26_03_2026_Registre_Maintenance_v1[Technologie],"non trouvé")</f>
        <v>5G</v>
      </c>
      <c r="J1075" t="str">
        <f>_xlfn.XLOOKUP(_26_03_2026_Log_Reseau_v15[[#This Row],[Cell_ID]],_26_03_2026_Registre_Maintenance_v1[ID_Antenne],_26_03_2026_Registre_Maintenance_v1[Equipementier],"pas trouvé")</f>
        <v>Ericsson</v>
      </c>
      <c r="K1075" t="str">
        <f>_xlfn.XLOOKUP(_26_03_2026_Log_Reseau_v15[[#This Row],[province RDC]],_26_03_2026_Client_Churn_v1[Province_Client],_26_03_2026_Client_Churn_v1[ID_Client],"non trouvé")</f>
        <v>CLI-01855</v>
      </c>
      <c r="L1075">
        <f>_xlfn.XLOOKUP(_26_03_2026_Log_Reseau_v15[[#This Row],[province RDC]],_26_03_2026_Client_Churn_v1[Province_Client],_26_03_2026_Client_Churn_v1[Anciennete_Mois],"non trouvé")</f>
        <v>101</v>
      </c>
      <c r="M1075" t="str">
        <f>_xlfn.XLOOKUP(_26_03_2026_Log_Reseau_v15[[#This Row],[province RDC]],_26_03_2026_Client_Churn_v1[Province_Client],_26_03_2026_Client_Churn_v1[Type_Forfait],"non trouvé")</f>
        <v>Illimité 50Go</v>
      </c>
      <c r="N1075">
        <f>_xlfn.XLOOKUP(_26_03_2026_Log_Reseau_v15[[#This Row],[province RDC]],_26_03_2026_Client_Churn_v1[Province_Client],_26_03_2026_Client_Churn_v1[Duree_Cumulee_Panne_Min],"non trouvé")</f>
        <v>358</v>
      </c>
      <c r="O1075">
        <f>_xlfn.XLOOKUP(_26_03_2026_Log_Reseau_v15[[#This Row],[province RDC]],_26_03_2026_Client_Churn_v1[Province_Client],_26_03_2026_Client_Churn_v1[Facture_Mensuelle],"non trouvé")</f>
        <v>29.24</v>
      </c>
      <c r="P1075">
        <f>_xlfn.XLOOKUP(_26_03_2026_Log_Reseau_v15[[#This Row],[province RDC]],_26_03_2026_Client_Churn_v1[Province_Client],_26_03_2026_Client_Churn_v1[Plaintes_Service_Client],"non trouvé")</f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C315-4C4D-450B-86E7-B8AB8590B268}">
  <dimension ref="A1:H749"/>
  <sheetViews>
    <sheetView workbookViewId="0">
      <selection activeCell="D6" sqref="D6"/>
    </sheetView>
  </sheetViews>
  <sheetFormatPr defaultRowHeight="15" x14ac:dyDescent="0.25"/>
  <cols>
    <col min="1" max="1" width="27.7109375" bestFit="1" customWidth="1"/>
    <col min="2" max="2" width="11" bestFit="1" customWidth="1"/>
    <col min="3" max="3" width="16.85546875" bestFit="1" customWidth="1"/>
    <col min="4" max="4" width="18.28515625" bestFit="1" customWidth="1"/>
    <col min="5" max="5" width="17.85546875" bestFit="1" customWidth="1"/>
    <col min="6" max="6" width="28.140625" bestFit="1" customWidth="1"/>
    <col min="7" max="7" width="20" bestFit="1" customWidth="1"/>
    <col min="8" max="8" width="23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29</v>
      </c>
      <c r="E2" t="s">
        <v>11</v>
      </c>
      <c r="F2">
        <v>214</v>
      </c>
      <c r="G2">
        <v>74.7</v>
      </c>
      <c r="H2">
        <v>3</v>
      </c>
    </row>
    <row r="3" spans="1:8" x14ac:dyDescent="0.25">
      <c r="A3" t="s">
        <v>8</v>
      </c>
      <c r="B3" t="s">
        <v>12</v>
      </c>
      <c r="C3" t="s">
        <v>13</v>
      </c>
      <c r="D3">
        <v>63</v>
      </c>
      <c r="E3" t="s">
        <v>14</v>
      </c>
      <c r="F3">
        <v>205</v>
      </c>
      <c r="G3">
        <v>89.19</v>
      </c>
      <c r="H3">
        <v>0</v>
      </c>
    </row>
    <row r="4" spans="1:8" x14ac:dyDescent="0.25">
      <c r="A4" t="s">
        <v>8</v>
      </c>
      <c r="B4" t="s">
        <v>15</v>
      </c>
      <c r="C4" t="s">
        <v>16</v>
      </c>
      <c r="D4">
        <v>34</v>
      </c>
      <c r="E4" t="s">
        <v>14</v>
      </c>
      <c r="F4">
        <v>453</v>
      </c>
      <c r="G4">
        <v>56.84</v>
      </c>
      <c r="H4">
        <v>0</v>
      </c>
    </row>
    <row r="5" spans="1:8" x14ac:dyDescent="0.25">
      <c r="A5" t="s">
        <v>8</v>
      </c>
      <c r="B5" t="s">
        <v>17</v>
      </c>
      <c r="C5" t="s">
        <v>18</v>
      </c>
      <c r="D5">
        <v>44</v>
      </c>
      <c r="E5" t="s">
        <v>19</v>
      </c>
      <c r="F5">
        <v>348</v>
      </c>
      <c r="G5">
        <v>58.67</v>
      </c>
      <c r="H5">
        <v>0</v>
      </c>
    </row>
    <row r="6" spans="1:8" x14ac:dyDescent="0.25">
      <c r="A6" t="s">
        <v>8</v>
      </c>
      <c r="B6" t="s">
        <v>20</v>
      </c>
      <c r="C6" t="s">
        <v>21</v>
      </c>
      <c r="D6">
        <v>101</v>
      </c>
      <c r="E6" t="s">
        <v>22</v>
      </c>
      <c r="F6">
        <v>358</v>
      </c>
      <c r="G6">
        <v>29.24</v>
      </c>
      <c r="H6">
        <v>3</v>
      </c>
    </row>
    <row r="7" spans="1:8" x14ac:dyDescent="0.25">
      <c r="A7" t="s">
        <v>8</v>
      </c>
      <c r="B7" t="s">
        <v>23</v>
      </c>
      <c r="C7" t="s">
        <v>24</v>
      </c>
      <c r="D7">
        <v>46</v>
      </c>
      <c r="E7" t="s">
        <v>11</v>
      </c>
      <c r="F7">
        <v>283</v>
      </c>
      <c r="G7">
        <v>56.05</v>
      </c>
      <c r="H7">
        <v>1</v>
      </c>
    </row>
    <row r="8" spans="1:8" x14ac:dyDescent="0.25">
      <c r="A8" t="s">
        <v>8</v>
      </c>
      <c r="B8" t="s">
        <v>25</v>
      </c>
      <c r="C8" t="s">
        <v>26</v>
      </c>
      <c r="D8">
        <v>99</v>
      </c>
      <c r="E8" t="s">
        <v>11</v>
      </c>
      <c r="F8">
        <v>447</v>
      </c>
      <c r="G8">
        <v>38.1</v>
      </c>
      <c r="H8">
        <v>3</v>
      </c>
    </row>
    <row r="9" spans="1:8" x14ac:dyDescent="0.25">
      <c r="A9" t="s">
        <v>8</v>
      </c>
      <c r="B9" t="s">
        <v>27</v>
      </c>
      <c r="C9" t="s">
        <v>24</v>
      </c>
      <c r="D9">
        <v>6</v>
      </c>
      <c r="E9" t="s">
        <v>22</v>
      </c>
      <c r="F9">
        <v>155</v>
      </c>
      <c r="G9">
        <v>40.659999999999997</v>
      </c>
      <c r="H9">
        <v>1</v>
      </c>
    </row>
    <row r="10" spans="1:8" x14ac:dyDescent="0.25">
      <c r="A10" t="s">
        <v>8</v>
      </c>
      <c r="B10" t="s">
        <v>28</v>
      </c>
      <c r="C10" t="s">
        <v>29</v>
      </c>
      <c r="D10">
        <v>99</v>
      </c>
      <c r="E10" t="s">
        <v>19</v>
      </c>
      <c r="F10">
        <v>369</v>
      </c>
      <c r="G10">
        <v>67.209999999999994</v>
      </c>
      <c r="H10">
        <v>3</v>
      </c>
    </row>
    <row r="11" spans="1:8" x14ac:dyDescent="0.25">
      <c r="A11" t="s">
        <v>8</v>
      </c>
      <c r="B11" t="s">
        <v>30</v>
      </c>
      <c r="C11" t="s">
        <v>31</v>
      </c>
      <c r="D11">
        <v>113</v>
      </c>
      <c r="E11" t="s">
        <v>22</v>
      </c>
      <c r="F11">
        <v>380</v>
      </c>
      <c r="G11">
        <v>12.11</v>
      </c>
      <c r="H11">
        <v>0</v>
      </c>
    </row>
    <row r="12" spans="1:8" x14ac:dyDescent="0.25">
      <c r="A12" t="s">
        <v>8</v>
      </c>
      <c r="B12" t="s">
        <v>32</v>
      </c>
      <c r="C12" t="s">
        <v>33</v>
      </c>
      <c r="D12">
        <v>72</v>
      </c>
      <c r="E12" t="s">
        <v>14</v>
      </c>
      <c r="F12">
        <v>160</v>
      </c>
      <c r="G12">
        <v>90.13</v>
      </c>
      <c r="H12">
        <v>2</v>
      </c>
    </row>
    <row r="13" spans="1:8" x14ac:dyDescent="0.25">
      <c r="A13" t="s">
        <v>8</v>
      </c>
      <c r="B13" t="s">
        <v>34</v>
      </c>
      <c r="C13" t="s">
        <v>35</v>
      </c>
      <c r="D13">
        <v>35</v>
      </c>
      <c r="E13" t="s">
        <v>14</v>
      </c>
      <c r="F13">
        <v>465</v>
      </c>
      <c r="G13">
        <v>58.59</v>
      </c>
      <c r="H13">
        <v>5</v>
      </c>
    </row>
    <row r="14" spans="1:8" x14ac:dyDescent="0.25">
      <c r="A14" t="s">
        <v>8</v>
      </c>
      <c r="B14" t="s">
        <v>36</v>
      </c>
      <c r="C14" t="s">
        <v>37</v>
      </c>
      <c r="D14">
        <v>115</v>
      </c>
      <c r="E14" t="s">
        <v>19</v>
      </c>
      <c r="F14">
        <v>176</v>
      </c>
      <c r="G14">
        <v>33.28</v>
      </c>
      <c r="H14">
        <v>4</v>
      </c>
    </row>
    <row r="15" spans="1:8" x14ac:dyDescent="0.25">
      <c r="A15" t="s">
        <v>8</v>
      </c>
      <c r="B15" t="s">
        <v>38</v>
      </c>
      <c r="C15" t="s">
        <v>18</v>
      </c>
      <c r="D15">
        <v>20</v>
      </c>
      <c r="E15" t="s">
        <v>22</v>
      </c>
      <c r="F15">
        <v>4</v>
      </c>
      <c r="G15">
        <v>84.9</v>
      </c>
      <c r="H15">
        <v>3</v>
      </c>
    </row>
    <row r="16" spans="1:8" x14ac:dyDescent="0.25">
      <c r="A16" t="s">
        <v>8</v>
      </c>
      <c r="B16" t="s">
        <v>39</v>
      </c>
      <c r="C16" t="s">
        <v>40</v>
      </c>
      <c r="D16">
        <v>110</v>
      </c>
      <c r="E16" t="s">
        <v>14</v>
      </c>
      <c r="F16">
        <v>423</v>
      </c>
      <c r="G16">
        <v>37.35</v>
      </c>
      <c r="H16">
        <v>4</v>
      </c>
    </row>
    <row r="17" spans="1:8" x14ac:dyDescent="0.25">
      <c r="A17" t="s">
        <v>8</v>
      </c>
      <c r="B17" t="s">
        <v>41</v>
      </c>
      <c r="C17" t="s">
        <v>13</v>
      </c>
      <c r="D17">
        <v>89</v>
      </c>
      <c r="E17" t="s">
        <v>11</v>
      </c>
      <c r="F17">
        <v>143</v>
      </c>
      <c r="G17">
        <v>48.05</v>
      </c>
      <c r="H17">
        <v>4</v>
      </c>
    </row>
    <row r="18" spans="1:8" x14ac:dyDescent="0.25">
      <c r="A18" t="s">
        <v>8</v>
      </c>
      <c r="B18" t="s">
        <v>42</v>
      </c>
      <c r="C18" t="s">
        <v>26</v>
      </c>
      <c r="D18">
        <v>112</v>
      </c>
      <c r="E18" t="s">
        <v>11</v>
      </c>
      <c r="F18">
        <v>460</v>
      </c>
      <c r="G18">
        <v>55.47</v>
      </c>
      <c r="H18">
        <v>4</v>
      </c>
    </row>
    <row r="19" spans="1:8" x14ac:dyDescent="0.25">
      <c r="A19" t="s">
        <v>8</v>
      </c>
      <c r="B19" t="s">
        <v>43</v>
      </c>
      <c r="C19" t="s">
        <v>44</v>
      </c>
      <c r="D19">
        <v>66</v>
      </c>
      <c r="E19" t="s">
        <v>22</v>
      </c>
      <c r="F19">
        <v>270</v>
      </c>
      <c r="G19">
        <v>75.88</v>
      </c>
      <c r="H19">
        <v>3</v>
      </c>
    </row>
    <row r="20" spans="1:8" x14ac:dyDescent="0.25">
      <c r="A20" t="s">
        <v>8</v>
      </c>
      <c r="B20" t="s">
        <v>45</v>
      </c>
      <c r="C20" t="s">
        <v>29</v>
      </c>
      <c r="D20">
        <v>78</v>
      </c>
      <c r="E20" t="s">
        <v>19</v>
      </c>
      <c r="F20">
        <v>312</v>
      </c>
      <c r="G20">
        <v>85.74</v>
      </c>
      <c r="H20">
        <v>2</v>
      </c>
    </row>
    <row r="21" spans="1:8" x14ac:dyDescent="0.25">
      <c r="A21" t="s">
        <v>8</v>
      </c>
      <c r="B21" t="s">
        <v>46</v>
      </c>
      <c r="C21" t="s">
        <v>33</v>
      </c>
      <c r="D21">
        <v>86</v>
      </c>
      <c r="E21" t="s">
        <v>11</v>
      </c>
      <c r="F21">
        <v>471</v>
      </c>
      <c r="G21">
        <v>33.380000000000003</v>
      </c>
      <c r="H21">
        <v>4</v>
      </c>
    </row>
    <row r="22" spans="1:8" x14ac:dyDescent="0.25">
      <c r="A22" t="s">
        <v>8</v>
      </c>
      <c r="B22" t="s">
        <v>47</v>
      </c>
      <c r="C22" t="s">
        <v>29</v>
      </c>
      <c r="D22">
        <v>14</v>
      </c>
      <c r="E22" t="s">
        <v>11</v>
      </c>
      <c r="F22">
        <v>75</v>
      </c>
      <c r="G22">
        <v>55.67</v>
      </c>
      <c r="H22">
        <v>3</v>
      </c>
    </row>
    <row r="23" spans="1:8" x14ac:dyDescent="0.25">
      <c r="A23" t="s">
        <v>8</v>
      </c>
      <c r="B23" t="s">
        <v>48</v>
      </c>
      <c r="C23" t="s">
        <v>31</v>
      </c>
      <c r="D23">
        <v>91</v>
      </c>
      <c r="E23" t="s">
        <v>14</v>
      </c>
      <c r="F23">
        <v>358</v>
      </c>
      <c r="G23">
        <v>21.14</v>
      </c>
      <c r="H23">
        <v>5</v>
      </c>
    </row>
    <row r="24" spans="1:8" x14ac:dyDescent="0.25">
      <c r="A24" t="s">
        <v>8</v>
      </c>
      <c r="B24" t="s">
        <v>49</v>
      </c>
      <c r="C24" t="s">
        <v>26</v>
      </c>
      <c r="D24">
        <v>7</v>
      </c>
      <c r="E24" t="s">
        <v>11</v>
      </c>
      <c r="F24">
        <v>206</v>
      </c>
      <c r="G24">
        <v>78.09</v>
      </c>
      <c r="H24">
        <v>3</v>
      </c>
    </row>
    <row r="25" spans="1:8" x14ac:dyDescent="0.25">
      <c r="A25" t="s">
        <v>8</v>
      </c>
      <c r="B25" t="s">
        <v>50</v>
      </c>
      <c r="C25" t="s">
        <v>51</v>
      </c>
      <c r="D25">
        <v>119</v>
      </c>
      <c r="E25" t="s">
        <v>22</v>
      </c>
      <c r="F25">
        <v>228</v>
      </c>
      <c r="G25">
        <v>94.72</v>
      </c>
      <c r="H25">
        <v>3</v>
      </c>
    </row>
    <row r="26" spans="1:8" x14ac:dyDescent="0.25">
      <c r="A26" t="s">
        <v>8</v>
      </c>
      <c r="B26" t="s">
        <v>52</v>
      </c>
      <c r="C26" t="s">
        <v>24</v>
      </c>
      <c r="D26">
        <v>57</v>
      </c>
      <c r="E26" t="s">
        <v>22</v>
      </c>
      <c r="F26">
        <v>329</v>
      </c>
      <c r="G26">
        <v>50.39</v>
      </c>
      <c r="H26">
        <v>5</v>
      </c>
    </row>
    <row r="27" spans="1:8" x14ac:dyDescent="0.25">
      <c r="A27" t="s">
        <v>8</v>
      </c>
      <c r="B27" t="s">
        <v>53</v>
      </c>
      <c r="C27" t="s">
        <v>10</v>
      </c>
      <c r="D27">
        <v>103</v>
      </c>
      <c r="E27" t="s">
        <v>14</v>
      </c>
      <c r="F27">
        <v>105</v>
      </c>
      <c r="G27">
        <v>61.52</v>
      </c>
      <c r="H27">
        <v>3</v>
      </c>
    </row>
    <row r="28" spans="1:8" x14ac:dyDescent="0.25">
      <c r="A28" t="s">
        <v>8</v>
      </c>
      <c r="B28" t="s">
        <v>54</v>
      </c>
      <c r="C28" t="s">
        <v>26</v>
      </c>
      <c r="D28">
        <v>59</v>
      </c>
      <c r="E28" t="s">
        <v>22</v>
      </c>
      <c r="F28">
        <v>454</v>
      </c>
      <c r="G28">
        <v>10.47</v>
      </c>
      <c r="H28">
        <v>5</v>
      </c>
    </row>
    <row r="29" spans="1:8" x14ac:dyDescent="0.25">
      <c r="A29" t="s">
        <v>8</v>
      </c>
      <c r="B29" t="s">
        <v>55</v>
      </c>
      <c r="C29" t="s">
        <v>35</v>
      </c>
      <c r="D29">
        <v>108</v>
      </c>
      <c r="E29" t="s">
        <v>22</v>
      </c>
      <c r="F29">
        <v>278</v>
      </c>
      <c r="G29">
        <v>40.51</v>
      </c>
      <c r="H29">
        <v>3</v>
      </c>
    </row>
    <row r="30" spans="1:8" x14ac:dyDescent="0.25">
      <c r="A30" t="s">
        <v>8</v>
      </c>
      <c r="B30" t="s">
        <v>56</v>
      </c>
      <c r="C30" t="s">
        <v>57</v>
      </c>
      <c r="D30">
        <v>97</v>
      </c>
      <c r="E30" t="s">
        <v>14</v>
      </c>
      <c r="F30">
        <v>319</v>
      </c>
      <c r="G30">
        <v>31.25</v>
      </c>
      <c r="H30">
        <v>1</v>
      </c>
    </row>
    <row r="31" spans="1:8" x14ac:dyDescent="0.25">
      <c r="A31" t="s">
        <v>8</v>
      </c>
      <c r="B31" t="s">
        <v>58</v>
      </c>
      <c r="C31" t="s">
        <v>33</v>
      </c>
      <c r="D31">
        <v>15</v>
      </c>
      <c r="E31" t="s">
        <v>14</v>
      </c>
      <c r="F31">
        <v>403</v>
      </c>
      <c r="G31">
        <v>77.12</v>
      </c>
      <c r="H31">
        <v>1</v>
      </c>
    </row>
    <row r="32" spans="1:8" x14ac:dyDescent="0.25">
      <c r="A32" t="s">
        <v>8</v>
      </c>
      <c r="B32" t="s">
        <v>59</v>
      </c>
      <c r="C32" t="s">
        <v>60</v>
      </c>
      <c r="D32">
        <v>14</v>
      </c>
      <c r="E32" t="s">
        <v>14</v>
      </c>
      <c r="F32">
        <v>316</v>
      </c>
      <c r="G32">
        <v>62.34</v>
      </c>
      <c r="H32">
        <v>4</v>
      </c>
    </row>
    <row r="33" spans="1:8" x14ac:dyDescent="0.25">
      <c r="A33" t="s">
        <v>8</v>
      </c>
      <c r="B33" t="s">
        <v>61</v>
      </c>
      <c r="C33" t="s">
        <v>62</v>
      </c>
      <c r="D33">
        <v>101</v>
      </c>
      <c r="E33" t="s">
        <v>14</v>
      </c>
      <c r="F33">
        <v>333</v>
      </c>
      <c r="G33">
        <v>74.319999999999993</v>
      </c>
      <c r="H33">
        <v>1</v>
      </c>
    </row>
    <row r="34" spans="1:8" x14ac:dyDescent="0.25">
      <c r="A34" t="s">
        <v>8</v>
      </c>
      <c r="B34" t="s">
        <v>63</v>
      </c>
      <c r="C34" t="s">
        <v>64</v>
      </c>
      <c r="D34">
        <v>79</v>
      </c>
      <c r="E34" t="s">
        <v>11</v>
      </c>
      <c r="F34">
        <v>226</v>
      </c>
      <c r="G34">
        <v>94.38</v>
      </c>
      <c r="H34">
        <v>3</v>
      </c>
    </row>
    <row r="35" spans="1:8" x14ac:dyDescent="0.25">
      <c r="A35" t="s">
        <v>8</v>
      </c>
      <c r="B35" t="s">
        <v>65</v>
      </c>
      <c r="C35" t="s">
        <v>21</v>
      </c>
      <c r="D35">
        <v>79</v>
      </c>
      <c r="E35" t="s">
        <v>19</v>
      </c>
      <c r="F35">
        <v>357</v>
      </c>
      <c r="G35">
        <v>69.900000000000006</v>
      </c>
      <c r="H35">
        <v>5</v>
      </c>
    </row>
    <row r="36" spans="1:8" x14ac:dyDescent="0.25">
      <c r="A36" t="s">
        <v>8</v>
      </c>
      <c r="B36" t="s">
        <v>66</v>
      </c>
      <c r="C36" t="s">
        <v>67</v>
      </c>
      <c r="D36">
        <v>101</v>
      </c>
      <c r="E36" t="s">
        <v>14</v>
      </c>
      <c r="F36">
        <v>176</v>
      </c>
      <c r="G36">
        <v>86</v>
      </c>
      <c r="H36">
        <v>3</v>
      </c>
    </row>
    <row r="37" spans="1:8" x14ac:dyDescent="0.25">
      <c r="A37" t="s">
        <v>8</v>
      </c>
      <c r="B37" t="s">
        <v>68</v>
      </c>
      <c r="C37" t="s">
        <v>21</v>
      </c>
      <c r="D37">
        <v>110</v>
      </c>
      <c r="E37" t="s">
        <v>22</v>
      </c>
      <c r="F37">
        <v>454</v>
      </c>
      <c r="G37">
        <v>31.05</v>
      </c>
      <c r="H37">
        <v>1</v>
      </c>
    </row>
    <row r="38" spans="1:8" x14ac:dyDescent="0.25">
      <c r="A38" t="s">
        <v>8</v>
      </c>
      <c r="B38" t="s">
        <v>69</v>
      </c>
      <c r="C38" t="s">
        <v>13</v>
      </c>
      <c r="D38">
        <v>14</v>
      </c>
      <c r="E38" t="s">
        <v>19</v>
      </c>
      <c r="F38">
        <v>415</v>
      </c>
      <c r="G38">
        <v>36.93</v>
      </c>
      <c r="H38">
        <v>5</v>
      </c>
    </row>
    <row r="39" spans="1:8" x14ac:dyDescent="0.25">
      <c r="A39" t="s">
        <v>8</v>
      </c>
      <c r="B39" t="s">
        <v>70</v>
      </c>
      <c r="C39" t="s">
        <v>29</v>
      </c>
      <c r="D39">
        <v>106</v>
      </c>
      <c r="E39" t="s">
        <v>19</v>
      </c>
      <c r="F39">
        <v>400</v>
      </c>
      <c r="G39">
        <v>70.02</v>
      </c>
      <c r="H39">
        <v>4</v>
      </c>
    </row>
    <row r="40" spans="1:8" x14ac:dyDescent="0.25">
      <c r="A40" t="s">
        <v>8</v>
      </c>
      <c r="B40" t="s">
        <v>71</v>
      </c>
      <c r="C40" t="s">
        <v>29</v>
      </c>
      <c r="D40">
        <v>72</v>
      </c>
      <c r="E40" t="s">
        <v>19</v>
      </c>
      <c r="F40">
        <v>332</v>
      </c>
      <c r="G40">
        <v>83.36</v>
      </c>
      <c r="H40">
        <v>4</v>
      </c>
    </row>
    <row r="41" spans="1:8" x14ac:dyDescent="0.25">
      <c r="A41" t="s">
        <v>8</v>
      </c>
      <c r="B41" t="s">
        <v>72</v>
      </c>
      <c r="C41" t="s">
        <v>73</v>
      </c>
      <c r="D41">
        <v>6</v>
      </c>
      <c r="E41" t="s">
        <v>11</v>
      </c>
      <c r="F41">
        <v>207</v>
      </c>
      <c r="G41">
        <v>61.55</v>
      </c>
      <c r="H41">
        <v>0</v>
      </c>
    </row>
    <row r="42" spans="1:8" x14ac:dyDescent="0.25">
      <c r="A42" t="s">
        <v>8</v>
      </c>
      <c r="B42" t="s">
        <v>74</v>
      </c>
      <c r="C42" t="s">
        <v>62</v>
      </c>
      <c r="D42">
        <v>65</v>
      </c>
      <c r="E42" t="s">
        <v>11</v>
      </c>
      <c r="F42">
        <v>397</v>
      </c>
      <c r="G42">
        <v>22.6</v>
      </c>
      <c r="H42">
        <v>5</v>
      </c>
    </row>
    <row r="43" spans="1:8" x14ac:dyDescent="0.25">
      <c r="A43" t="s">
        <v>8</v>
      </c>
      <c r="B43" t="s">
        <v>75</v>
      </c>
      <c r="C43" t="s">
        <v>24</v>
      </c>
      <c r="D43">
        <v>14</v>
      </c>
      <c r="E43" t="s">
        <v>14</v>
      </c>
      <c r="F43">
        <v>101</v>
      </c>
      <c r="G43">
        <v>43.99</v>
      </c>
      <c r="H43">
        <v>1</v>
      </c>
    </row>
    <row r="44" spans="1:8" x14ac:dyDescent="0.25">
      <c r="A44" t="s">
        <v>8</v>
      </c>
      <c r="B44" t="s">
        <v>76</v>
      </c>
      <c r="C44" t="s">
        <v>40</v>
      </c>
      <c r="D44">
        <v>22</v>
      </c>
      <c r="E44" t="s">
        <v>22</v>
      </c>
      <c r="F44">
        <v>451</v>
      </c>
      <c r="G44">
        <v>76.38</v>
      </c>
      <c r="H44">
        <v>3</v>
      </c>
    </row>
    <row r="45" spans="1:8" x14ac:dyDescent="0.25">
      <c r="A45" t="s">
        <v>8</v>
      </c>
      <c r="B45" t="s">
        <v>77</v>
      </c>
      <c r="C45" t="s">
        <v>78</v>
      </c>
      <c r="D45">
        <v>81</v>
      </c>
      <c r="E45" t="s">
        <v>14</v>
      </c>
      <c r="F45">
        <v>154</v>
      </c>
      <c r="G45">
        <v>19.47</v>
      </c>
      <c r="H45">
        <v>3</v>
      </c>
    </row>
    <row r="46" spans="1:8" x14ac:dyDescent="0.25">
      <c r="A46" t="s">
        <v>8</v>
      </c>
      <c r="B46" t="s">
        <v>79</v>
      </c>
      <c r="C46" t="s">
        <v>10</v>
      </c>
      <c r="D46">
        <v>16</v>
      </c>
      <c r="E46" t="s">
        <v>19</v>
      </c>
      <c r="F46">
        <v>43</v>
      </c>
      <c r="G46">
        <v>56.48</v>
      </c>
      <c r="H46">
        <v>0</v>
      </c>
    </row>
    <row r="47" spans="1:8" x14ac:dyDescent="0.25">
      <c r="A47" t="s">
        <v>8</v>
      </c>
      <c r="B47" t="s">
        <v>80</v>
      </c>
      <c r="C47" t="s">
        <v>51</v>
      </c>
      <c r="D47">
        <v>112</v>
      </c>
      <c r="E47" t="s">
        <v>14</v>
      </c>
      <c r="F47">
        <v>18</v>
      </c>
      <c r="G47">
        <v>27.33</v>
      </c>
      <c r="H47">
        <v>5</v>
      </c>
    </row>
    <row r="48" spans="1:8" x14ac:dyDescent="0.25">
      <c r="A48" t="s">
        <v>8</v>
      </c>
      <c r="B48" t="s">
        <v>81</v>
      </c>
      <c r="C48" t="s">
        <v>31</v>
      </c>
      <c r="D48">
        <v>27</v>
      </c>
      <c r="E48" t="s">
        <v>19</v>
      </c>
      <c r="F48">
        <v>275</v>
      </c>
      <c r="G48">
        <v>80.069999999999993</v>
      </c>
      <c r="H48">
        <v>1</v>
      </c>
    </row>
    <row r="49" spans="1:8" x14ac:dyDescent="0.25">
      <c r="A49" t="s">
        <v>8</v>
      </c>
      <c r="B49" t="s">
        <v>82</v>
      </c>
      <c r="C49" t="s">
        <v>57</v>
      </c>
      <c r="D49">
        <v>117</v>
      </c>
      <c r="E49" t="s">
        <v>22</v>
      </c>
      <c r="F49">
        <v>171</v>
      </c>
      <c r="G49">
        <v>50.89</v>
      </c>
      <c r="H49">
        <v>4</v>
      </c>
    </row>
    <row r="50" spans="1:8" x14ac:dyDescent="0.25">
      <c r="A50" t="s">
        <v>8</v>
      </c>
      <c r="B50" t="s">
        <v>83</v>
      </c>
      <c r="C50" t="s">
        <v>51</v>
      </c>
      <c r="D50">
        <v>47</v>
      </c>
      <c r="E50" t="s">
        <v>19</v>
      </c>
      <c r="F50">
        <v>199</v>
      </c>
      <c r="G50">
        <v>23.19</v>
      </c>
      <c r="H50">
        <v>2</v>
      </c>
    </row>
    <row r="51" spans="1:8" x14ac:dyDescent="0.25">
      <c r="A51" t="s">
        <v>8</v>
      </c>
      <c r="B51" t="s">
        <v>84</v>
      </c>
      <c r="C51" t="s">
        <v>60</v>
      </c>
      <c r="D51">
        <v>21</v>
      </c>
      <c r="E51" t="s">
        <v>11</v>
      </c>
      <c r="F51">
        <v>371</v>
      </c>
      <c r="G51">
        <v>48.31</v>
      </c>
      <c r="H51">
        <v>0</v>
      </c>
    </row>
    <row r="52" spans="1:8" x14ac:dyDescent="0.25">
      <c r="A52" t="s">
        <v>85</v>
      </c>
      <c r="B52" t="s">
        <v>86</v>
      </c>
      <c r="C52" t="s">
        <v>51</v>
      </c>
      <c r="D52">
        <v>82</v>
      </c>
      <c r="E52" t="s">
        <v>19</v>
      </c>
      <c r="F52">
        <v>132</v>
      </c>
      <c r="G52">
        <v>50.14</v>
      </c>
      <c r="H52">
        <v>5</v>
      </c>
    </row>
    <row r="53" spans="1:8" x14ac:dyDescent="0.25">
      <c r="A53" t="s">
        <v>85</v>
      </c>
      <c r="B53" t="s">
        <v>87</v>
      </c>
      <c r="C53" t="s">
        <v>21</v>
      </c>
      <c r="D53">
        <v>59</v>
      </c>
      <c r="E53" t="s">
        <v>22</v>
      </c>
      <c r="F53">
        <v>192</v>
      </c>
      <c r="G53">
        <v>86.17</v>
      </c>
      <c r="H53">
        <v>1</v>
      </c>
    </row>
    <row r="54" spans="1:8" x14ac:dyDescent="0.25">
      <c r="A54" t="s">
        <v>85</v>
      </c>
      <c r="B54" t="s">
        <v>88</v>
      </c>
      <c r="C54" t="s">
        <v>89</v>
      </c>
      <c r="D54">
        <v>98</v>
      </c>
      <c r="E54" t="s">
        <v>14</v>
      </c>
      <c r="F54">
        <v>482</v>
      </c>
      <c r="G54">
        <v>55.04</v>
      </c>
      <c r="H54">
        <v>5</v>
      </c>
    </row>
    <row r="55" spans="1:8" x14ac:dyDescent="0.25">
      <c r="A55" t="s">
        <v>85</v>
      </c>
      <c r="B55" t="s">
        <v>90</v>
      </c>
      <c r="C55" t="s">
        <v>35</v>
      </c>
      <c r="D55">
        <v>58</v>
      </c>
      <c r="E55" t="s">
        <v>19</v>
      </c>
      <c r="F55">
        <v>423</v>
      </c>
      <c r="G55">
        <v>80.459999999999994</v>
      </c>
      <c r="H55">
        <v>0</v>
      </c>
    </row>
    <row r="56" spans="1:8" x14ac:dyDescent="0.25">
      <c r="A56" t="s">
        <v>85</v>
      </c>
      <c r="B56" t="s">
        <v>91</v>
      </c>
      <c r="C56" t="s">
        <v>62</v>
      </c>
      <c r="D56">
        <v>86</v>
      </c>
      <c r="E56" t="s">
        <v>19</v>
      </c>
      <c r="F56">
        <v>460</v>
      </c>
      <c r="G56">
        <v>22.81</v>
      </c>
      <c r="H56">
        <v>4</v>
      </c>
    </row>
    <row r="57" spans="1:8" x14ac:dyDescent="0.25">
      <c r="A57" t="s">
        <v>85</v>
      </c>
      <c r="B57" t="s">
        <v>92</v>
      </c>
      <c r="C57" t="s">
        <v>73</v>
      </c>
      <c r="D57">
        <v>58</v>
      </c>
      <c r="E57" t="s">
        <v>22</v>
      </c>
      <c r="F57">
        <v>61</v>
      </c>
      <c r="G57">
        <v>58.64</v>
      </c>
      <c r="H57">
        <v>3</v>
      </c>
    </row>
    <row r="58" spans="1:8" x14ac:dyDescent="0.25">
      <c r="A58" t="s">
        <v>85</v>
      </c>
      <c r="B58" t="s">
        <v>93</v>
      </c>
      <c r="C58" t="s">
        <v>44</v>
      </c>
      <c r="D58">
        <v>20</v>
      </c>
      <c r="E58" t="s">
        <v>19</v>
      </c>
      <c r="F58">
        <v>26</v>
      </c>
      <c r="G58">
        <v>25.14</v>
      </c>
      <c r="H58">
        <v>0</v>
      </c>
    </row>
    <row r="59" spans="1:8" x14ac:dyDescent="0.25">
      <c r="A59" t="s">
        <v>85</v>
      </c>
      <c r="B59" t="s">
        <v>94</v>
      </c>
      <c r="C59" t="s">
        <v>51</v>
      </c>
      <c r="D59">
        <v>111</v>
      </c>
      <c r="E59" t="s">
        <v>11</v>
      </c>
      <c r="F59">
        <v>103</v>
      </c>
      <c r="G59">
        <v>32.06</v>
      </c>
      <c r="H59">
        <v>0</v>
      </c>
    </row>
    <row r="60" spans="1:8" x14ac:dyDescent="0.25">
      <c r="A60" t="s">
        <v>85</v>
      </c>
      <c r="B60" t="s">
        <v>95</v>
      </c>
      <c r="C60" t="s">
        <v>21</v>
      </c>
      <c r="D60">
        <v>94</v>
      </c>
      <c r="E60" t="s">
        <v>22</v>
      </c>
      <c r="F60">
        <v>122</v>
      </c>
      <c r="G60">
        <v>95.74</v>
      </c>
      <c r="H60">
        <v>5</v>
      </c>
    </row>
    <row r="61" spans="1:8" x14ac:dyDescent="0.25">
      <c r="A61" t="s">
        <v>85</v>
      </c>
      <c r="B61" t="s">
        <v>96</v>
      </c>
      <c r="C61" t="s">
        <v>35</v>
      </c>
      <c r="D61">
        <v>42</v>
      </c>
      <c r="E61" t="s">
        <v>22</v>
      </c>
      <c r="F61">
        <v>385</v>
      </c>
      <c r="G61">
        <v>96.52</v>
      </c>
      <c r="H61">
        <v>1</v>
      </c>
    </row>
    <row r="62" spans="1:8" x14ac:dyDescent="0.25">
      <c r="A62" t="s">
        <v>85</v>
      </c>
      <c r="B62" t="s">
        <v>97</v>
      </c>
      <c r="C62" t="s">
        <v>21</v>
      </c>
      <c r="D62">
        <v>12</v>
      </c>
      <c r="E62" t="s">
        <v>14</v>
      </c>
      <c r="F62">
        <v>305</v>
      </c>
      <c r="G62">
        <v>59.96</v>
      </c>
      <c r="H62">
        <v>3</v>
      </c>
    </row>
    <row r="63" spans="1:8" x14ac:dyDescent="0.25">
      <c r="A63" t="s">
        <v>85</v>
      </c>
      <c r="B63" t="s">
        <v>98</v>
      </c>
      <c r="C63" t="s">
        <v>35</v>
      </c>
      <c r="D63">
        <v>103</v>
      </c>
      <c r="E63" t="s">
        <v>19</v>
      </c>
      <c r="F63">
        <v>300</v>
      </c>
      <c r="G63">
        <v>13.76</v>
      </c>
      <c r="H63">
        <v>4</v>
      </c>
    </row>
    <row r="64" spans="1:8" x14ac:dyDescent="0.25">
      <c r="A64" t="s">
        <v>85</v>
      </c>
      <c r="B64" t="s">
        <v>99</v>
      </c>
      <c r="C64" t="s">
        <v>35</v>
      </c>
      <c r="D64">
        <v>80</v>
      </c>
      <c r="E64" t="s">
        <v>11</v>
      </c>
      <c r="F64">
        <v>121</v>
      </c>
      <c r="G64">
        <v>83.14</v>
      </c>
      <c r="H64">
        <v>5</v>
      </c>
    </row>
    <row r="65" spans="1:8" x14ac:dyDescent="0.25">
      <c r="A65" t="s">
        <v>85</v>
      </c>
      <c r="B65" t="s">
        <v>100</v>
      </c>
      <c r="C65" t="s">
        <v>26</v>
      </c>
      <c r="D65">
        <v>86</v>
      </c>
      <c r="E65" t="s">
        <v>14</v>
      </c>
      <c r="F65">
        <v>252</v>
      </c>
      <c r="G65">
        <v>96.5</v>
      </c>
      <c r="H65">
        <v>5</v>
      </c>
    </row>
    <row r="66" spans="1:8" x14ac:dyDescent="0.25">
      <c r="A66" t="s">
        <v>85</v>
      </c>
      <c r="B66" t="s">
        <v>101</v>
      </c>
      <c r="C66" t="s">
        <v>64</v>
      </c>
      <c r="D66">
        <v>80</v>
      </c>
      <c r="E66" t="s">
        <v>19</v>
      </c>
      <c r="F66">
        <v>260</v>
      </c>
      <c r="G66">
        <v>65.87</v>
      </c>
      <c r="H66">
        <v>3</v>
      </c>
    </row>
    <row r="67" spans="1:8" x14ac:dyDescent="0.25">
      <c r="A67" t="s">
        <v>85</v>
      </c>
      <c r="B67" t="s">
        <v>102</v>
      </c>
      <c r="C67" t="s">
        <v>24</v>
      </c>
      <c r="D67">
        <v>53</v>
      </c>
      <c r="E67" t="s">
        <v>14</v>
      </c>
      <c r="F67">
        <v>385</v>
      </c>
      <c r="G67">
        <v>68.78</v>
      </c>
      <c r="H67">
        <v>3</v>
      </c>
    </row>
    <row r="68" spans="1:8" x14ac:dyDescent="0.25">
      <c r="A68" t="s">
        <v>85</v>
      </c>
      <c r="B68" t="s">
        <v>103</v>
      </c>
      <c r="C68" t="s">
        <v>44</v>
      </c>
      <c r="D68">
        <v>50</v>
      </c>
      <c r="E68" t="s">
        <v>19</v>
      </c>
      <c r="F68">
        <v>258</v>
      </c>
      <c r="G68">
        <v>25.06</v>
      </c>
      <c r="H68">
        <v>4</v>
      </c>
    </row>
    <row r="69" spans="1:8" x14ac:dyDescent="0.25">
      <c r="A69" t="s">
        <v>85</v>
      </c>
      <c r="B69" t="s">
        <v>104</v>
      </c>
      <c r="C69" t="s">
        <v>44</v>
      </c>
      <c r="D69">
        <v>30</v>
      </c>
      <c r="E69" t="s">
        <v>11</v>
      </c>
      <c r="F69">
        <v>197</v>
      </c>
      <c r="G69">
        <v>15.42</v>
      </c>
      <c r="H69">
        <v>0</v>
      </c>
    </row>
    <row r="70" spans="1:8" x14ac:dyDescent="0.25">
      <c r="A70" t="s">
        <v>85</v>
      </c>
      <c r="B70" t="s">
        <v>105</v>
      </c>
      <c r="C70" t="s">
        <v>24</v>
      </c>
      <c r="D70">
        <v>116</v>
      </c>
      <c r="E70" t="s">
        <v>14</v>
      </c>
      <c r="F70">
        <v>486</v>
      </c>
      <c r="G70">
        <v>92.96</v>
      </c>
      <c r="H70">
        <v>5</v>
      </c>
    </row>
    <row r="71" spans="1:8" x14ac:dyDescent="0.25">
      <c r="A71" t="s">
        <v>85</v>
      </c>
      <c r="B71" t="s">
        <v>106</v>
      </c>
      <c r="C71" t="s">
        <v>89</v>
      </c>
      <c r="D71">
        <v>51</v>
      </c>
      <c r="E71" t="s">
        <v>22</v>
      </c>
      <c r="F71">
        <v>58</v>
      </c>
      <c r="G71">
        <v>34.6</v>
      </c>
      <c r="H71">
        <v>5</v>
      </c>
    </row>
    <row r="72" spans="1:8" x14ac:dyDescent="0.25">
      <c r="A72" t="s">
        <v>85</v>
      </c>
      <c r="B72" t="s">
        <v>107</v>
      </c>
      <c r="C72" t="s">
        <v>10</v>
      </c>
      <c r="D72">
        <v>44</v>
      </c>
      <c r="E72" t="s">
        <v>14</v>
      </c>
      <c r="F72">
        <v>137</v>
      </c>
      <c r="G72">
        <v>32.58</v>
      </c>
      <c r="H72">
        <v>0</v>
      </c>
    </row>
    <row r="73" spans="1:8" x14ac:dyDescent="0.25">
      <c r="A73" t="s">
        <v>85</v>
      </c>
      <c r="B73" t="s">
        <v>108</v>
      </c>
      <c r="C73" t="s">
        <v>62</v>
      </c>
      <c r="D73">
        <v>70</v>
      </c>
      <c r="E73" t="s">
        <v>19</v>
      </c>
      <c r="F73">
        <v>31</v>
      </c>
      <c r="G73">
        <v>71.2</v>
      </c>
      <c r="H73">
        <v>4</v>
      </c>
    </row>
    <row r="74" spans="1:8" x14ac:dyDescent="0.25">
      <c r="A74" t="s">
        <v>85</v>
      </c>
      <c r="B74" t="s">
        <v>109</v>
      </c>
      <c r="C74" t="s">
        <v>35</v>
      </c>
      <c r="D74">
        <v>6</v>
      </c>
      <c r="E74" t="s">
        <v>11</v>
      </c>
      <c r="F74">
        <v>162</v>
      </c>
      <c r="G74">
        <v>99.93</v>
      </c>
      <c r="H74">
        <v>0</v>
      </c>
    </row>
    <row r="75" spans="1:8" x14ac:dyDescent="0.25">
      <c r="A75" t="s">
        <v>85</v>
      </c>
      <c r="B75" t="s">
        <v>110</v>
      </c>
      <c r="C75" t="s">
        <v>35</v>
      </c>
      <c r="D75">
        <v>86</v>
      </c>
      <c r="E75" t="s">
        <v>14</v>
      </c>
      <c r="F75">
        <v>237</v>
      </c>
      <c r="G75">
        <v>85.82</v>
      </c>
      <c r="H75">
        <v>5</v>
      </c>
    </row>
    <row r="76" spans="1:8" x14ac:dyDescent="0.25">
      <c r="A76" t="s">
        <v>85</v>
      </c>
      <c r="B76" t="s">
        <v>111</v>
      </c>
      <c r="C76" t="s">
        <v>33</v>
      </c>
      <c r="D76">
        <v>114</v>
      </c>
      <c r="E76" t="s">
        <v>11</v>
      </c>
      <c r="F76">
        <v>283</v>
      </c>
      <c r="G76">
        <v>29.15</v>
      </c>
      <c r="H76">
        <v>3</v>
      </c>
    </row>
    <row r="77" spans="1:8" x14ac:dyDescent="0.25">
      <c r="A77" t="s">
        <v>85</v>
      </c>
      <c r="B77" t="s">
        <v>112</v>
      </c>
      <c r="C77" t="s">
        <v>29</v>
      </c>
      <c r="D77">
        <v>57</v>
      </c>
      <c r="E77" t="s">
        <v>19</v>
      </c>
      <c r="F77">
        <v>208</v>
      </c>
      <c r="G77">
        <v>85.66</v>
      </c>
      <c r="H77">
        <v>5</v>
      </c>
    </row>
    <row r="78" spans="1:8" x14ac:dyDescent="0.25">
      <c r="A78" t="s">
        <v>85</v>
      </c>
      <c r="B78" t="s">
        <v>113</v>
      </c>
      <c r="C78" t="s">
        <v>18</v>
      </c>
      <c r="D78">
        <v>95</v>
      </c>
      <c r="E78" t="s">
        <v>19</v>
      </c>
      <c r="F78">
        <v>33</v>
      </c>
      <c r="G78">
        <v>35.32</v>
      </c>
      <c r="H78">
        <v>0</v>
      </c>
    </row>
    <row r="79" spans="1:8" x14ac:dyDescent="0.25">
      <c r="A79" t="s">
        <v>85</v>
      </c>
      <c r="B79" t="s">
        <v>114</v>
      </c>
      <c r="C79" t="s">
        <v>26</v>
      </c>
      <c r="D79">
        <v>36</v>
      </c>
      <c r="E79" t="s">
        <v>19</v>
      </c>
      <c r="F79">
        <v>247</v>
      </c>
      <c r="G79">
        <v>24.53</v>
      </c>
      <c r="H79">
        <v>2</v>
      </c>
    </row>
    <row r="80" spans="1:8" x14ac:dyDescent="0.25">
      <c r="A80" t="s">
        <v>85</v>
      </c>
      <c r="B80" t="s">
        <v>115</v>
      </c>
      <c r="C80" t="s">
        <v>64</v>
      </c>
      <c r="D80">
        <v>83</v>
      </c>
      <c r="E80" t="s">
        <v>22</v>
      </c>
      <c r="F80">
        <v>14</v>
      </c>
      <c r="G80">
        <v>58.07</v>
      </c>
      <c r="H80">
        <v>3</v>
      </c>
    </row>
    <row r="81" spans="1:8" x14ac:dyDescent="0.25">
      <c r="A81" t="s">
        <v>85</v>
      </c>
      <c r="B81" t="s">
        <v>116</v>
      </c>
      <c r="C81" t="s">
        <v>51</v>
      </c>
      <c r="D81">
        <v>12</v>
      </c>
      <c r="E81" t="s">
        <v>11</v>
      </c>
      <c r="F81">
        <v>208</v>
      </c>
      <c r="G81">
        <v>16.29</v>
      </c>
      <c r="H81">
        <v>4</v>
      </c>
    </row>
    <row r="82" spans="1:8" x14ac:dyDescent="0.25">
      <c r="A82" t="s">
        <v>85</v>
      </c>
      <c r="B82" t="s">
        <v>117</v>
      </c>
      <c r="C82" t="s">
        <v>60</v>
      </c>
      <c r="D82">
        <v>111</v>
      </c>
      <c r="E82" t="s">
        <v>22</v>
      </c>
      <c r="F82">
        <v>324</v>
      </c>
      <c r="G82">
        <v>18.07</v>
      </c>
      <c r="H82">
        <v>2</v>
      </c>
    </row>
    <row r="83" spans="1:8" x14ac:dyDescent="0.25">
      <c r="A83" t="s">
        <v>85</v>
      </c>
      <c r="B83" t="s">
        <v>118</v>
      </c>
      <c r="C83" t="s">
        <v>21</v>
      </c>
      <c r="D83">
        <v>22</v>
      </c>
      <c r="E83" t="s">
        <v>22</v>
      </c>
      <c r="F83">
        <v>119</v>
      </c>
      <c r="G83">
        <v>72.86</v>
      </c>
      <c r="H83">
        <v>3</v>
      </c>
    </row>
    <row r="84" spans="1:8" x14ac:dyDescent="0.25">
      <c r="A84" t="s">
        <v>85</v>
      </c>
      <c r="B84" t="s">
        <v>119</v>
      </c>
      <c r="C84" t="s">
        <v>40</v>
      </c>
      <c r="D84">
        <v>91</v>
      </c>
      <c r="E84" t="s">
        <v>11</v>
      </c>
      <c r="F84">
        <v>467</v>
      </c>
      <c r="G84">
        <v>84.74</v>
      </c>
      <c r="H84">
        <v>1</v>
      </c>
    </row>
    <row r="85" spans="1:8" x14ac:dyDescent="0.25">
      <c r="A85" t="s">
        <v>85</v>
      </c>
      <c r="B85" t="s">
        <v>120</v>
      </c>
      <c r="C85" t="s">
        <v>62</v>
      </c>
      <c r="D85">
        <v>4</v>
      </c>
      <c r="E85" t="s">
        <v>19</v>
      </c>
      <c r="F85">
        <v>453</v>
      </c>
      <c r="G85">
        <v>75.260000000000005</v>
      </c>
      <c r="H85">
        <v>5</v>
      </c>
    </row>
    <row r="86" spans="1:8" x14ac:dyDescent="0.25">
      <c r="A86" t="s">
        <v>85</v>
      </c>
      <c r="B86" t="s">
        <v>121</v>
      </c>
      <c r="C86" t="s">
        <v>10</v>
      </c>
      <c r="D86">
        <v>74</v>
      </c>
      <c r="E86" t="s">
        <v>22</v>
      </c>
      <c r="F86">
        <v>9</v>
      </c>
      <c r="G86">
        <v>99.89</v>
      </c>
      <c r="H86">
        <v>0</v>
      </c>
    </row>
    <row r="87" spans="1:8" x14ac:dyDescent="0.25">
      <c r="A87" t="s">
        <v>85</v>
      </c>
      <c r="B87" t="s">
        <v>122</v>
      </c>
      <c r="C87" t="s">
        <v>26</v>
      </c>
      <c r="D87">
        <v>81</v>
      </c>
      <c r="E87" t="s">
        <v>11</v>
      </c>
      <c r="F87">
        <v>137</v>
      </c>
      <c r="G87">
        <v>89.05</v>
      </c>
      <c r="H87">
        <v>0</v>
      </c>
    </row>
    <row r="88" spans="1:8" x14ac:dyDescent="0.25">
      <c r="A88" t="s">
        <v>85</v>
      </c>
      <c r="B88" t="s">
        <v>123</v>
      </c>
      <c r="C88" t="s">
        <v>89</v>
      </c>
      <c r="D88">
        <v>102</v>
      </c>
      <c r="E88" t="s">
        <v>14</v>
      </c>
      <c r="F88">
        <v>283</v>
      </c>
      <c r="G88">
        <v>28.98</v>
      </c>
      <c r="H88">
        <v>3</v>
      </c>
    </row>
    <row r="89" spans="1:8" x14ac:dyDescent="0.25">
      <c r="A89" t="s">
        <v>85</v>
      </c>
      <c r="B89" t="s">
        <v>124</v>
      </c>
      <c r="C89" t="s">
        <v>35</v>
      </c>
      <c r="D89">
        <v>99</v>
      </c>
      <c r="E89" t="s">
        <v>22</v>
      </c>
      <c r="F89">
        <v>493</v>
      </c>
      <c r="G89">
        <v>55.43</v>
      </c>
      <c r="H89">
        <v>2</v>
      </c>
    </row>
    <row r="90" spans="1:8" x14ac:dyDescent="0.25">
      <c r="A90" t="s">
        <v>85</v>
      </c>
      <c r="B90" t="s">
        <v>125</v>
      </c>
      <c r="C90" t="s">
        <v>89</v>
      </c>
      <c r="D90">
        <v>91</v>
      </c>
      <c r="E90" t="s">
        <v>19</v>
      </c>
      <c r="F90">
        <v>300</v>
      </c>
      <c r="G90">
        <v>82.19</v>
      </c>
      <c r="H90">
        <v>1</v>
      </c>
    </row>
    <row r="91" spans="1:8" x14ac:dyDescent="0.25">
      <c r="A91" t="s">
        <v>85</v>
      </c>
      <c r="B91" t="s">
        <v>126</v>
      </c>
      <c r="C91" t="s">
        <v>127</v>
      </c>
      <c r="D91">
        <v>40</v>
      </c>
      <c r="E91" t="s">
        <v>11</v>
      </c>
      <c r="F91">
        <v>345</v>
      </c>
      <c r="G91">
        <v>89.55</v>
      </c>
      <c r="H91">
        <v>3</v>
      </c>
    </row>
    <row r="92" spans="1:8" x14ac:dyDescent="0.25">
      <c r="A92" t="s">
        <v>85</v>
      </c>
      <c r="B92" t="s">
        <v>128</v>
      </c>
      <c r="C92" t="s">
        <v>78</v>
      </c>
      <c r="D92">
        <v>72</v>
      </c>
      <c r="E92" t="s">
        <v>22</v>
      </c>
      <c r="F92">
        <v>51</v>
      </c>
      <c r="G92">
        <v>95.09</v>
      </c>
      <c r="H92">
        <v>0</v>
      </c>
    </row>
    <row r="93" spans="1:8" x14ac:dyDescent="0.25">
      <c r="A93" t="s">
        <v>85</v>
      </c>
      <c r="B93" t="s">
        <v>129</v>
      </c>
      <c r="C93" t="s">
        <v>24</v>
      </c>
      <c r="D93">
        <v>83</v>
      </c>
      <c r="E93" t="s">
        <v>19</v>
      </c>
      <c r="F93">
        <v>126</v>
      </c>
      <c r="G93">
        <v>67.17</v>
      </c>
      <c r="H93">
        <v>1</v>
      </c>
    </row>
    <row r="94" spans="1:8" x14ac:dyDescent="0.25">
      <c r="A94" t="s">
        <v>85</v>
      </c>
      <c r="B94" t="s">
        <v>130</v>
      </c>
      <c r="C94" t="s">
        <v>131</v>
      </c>
      <c r="D94">
        <v>16</v>
      </c>
      <c r="E94" t="s">
        <v>19</v>
      </c>
      <c r="F94">
        <v>390</v>
      </c>
      <c r="G94">
        <v>98.17</v>
      </c>
      <c r="H94">
        <v>5</v>
      </c>
    </row>
    <row r="95" spans="1:8" x14ac:dyDescent="0.25">
      <c r="A95" t="s">
        <v>85</v>
      </c>
      <c r="B95" t="s">
        <v>132</v>
      </c>
      <c r="C95" t="s">
        <v>26</v>
      </c>
      <c r="D95">
        <v>83</v>
      </c>
      <c r="E95" t="s">
        <v>11</v>
      </c>
      <c r="F95">
        <v>284</v>
      </c>
      <c r="G95">
        <v>73.7</v>
      </c>
      <c r="H95">
        <v>0</v>
      </c>
    </row>
    <row r="96" spans="1:8" x14ac:dyDescent="0.25">
      <c r="A96" t="s">
        <v>85</v>
      </c>
      <c r="B96" t="s">
        <v>133</v>
      </c>
      <c r="C96" t="s">
        <v>18</v>
      </c>
      <c r="D96">
        <v>72</v>
      </c>
      <c r="E96" t="s">
        <v>14</v>
      </c>
      <c r="F96">
        <v>333</v>
      </c>
      <c r="G96">
        <v>34.57</v>
      </c>
      <c r="H96">
        <v>2</v>
      </c>
    </row>
    <row r="97" spans="1:8" x14ac:dyDescent="0.25">
      <c r="A97" t="s">
        <v>85</v>
      </c>
      <c r="B97" t="s">
        <v>134</v>
      </c>
      <c r="C97" t="s">
        <v>31</v>
      </c>
      <c r="D97">
        <v>11</v>
      </c>
      <c r="E97" t="s">
        <v>19</v>
      </c>
      <c r="F97">
        <v>402</v>
      </c>
      <c r="G97">
        <v>69.599999999999994</v>
      </c>
      <c r="H97">
        <v>5</v>
      </c>
    </row>
    <row r="98" spans="1:8" x14ac:dyDescent="0.25">
      <c r="A98" t="s">
        <v>85</v>
      </c>
      <c r="B98" t="s">
        <v>135</v>
      </c>
      <c r="C98" t="s">
        <v>44</v>
      </c>
      <c r="D98">
        <v>25</v>
      </c>
      <c r="E98" t="s">
        <v>11</v>
      </c>
      <c r="F98">
        <v>64</v>
      </c>
      <c r="G98">
        <v>38.950000000000003</v>
      </c>
      <c r="H98">
        <v>5</v>
      </c>
    </row>
    <row r="99" spans="1:8" x14ac:dyDescent="0.25">
      <c r="A99" t="s">
        <v>85</v>
      </c>
      <c r="B99" t="s">
        <v>136</v>
      </c>
      <c r="C99" t="s">
        <v>137</v>
      </c>
      <c r="D99">
        <v>80</v>
      </c>
      <c r="E99" t="s">
        <v>22</v>
      </c>
      <c r="F99">
        <v>155</v>
      </c>
      <c r="G99">
        <v>28.96</v>
      </c>
      <c r="H99">
        <v>2</v>
      </c>
    </row>
    <row r="100" spans="1:8" x14ac:dyDescent="0.25">
      <c r="A100" t="s">
        <v>85</v>
      </c>
      <c r="B100" t="s">
        <v>138</v>
      </c>
      <c r="C100" t="s">
        <v>44</v>
      </c>
      <c r="D100">
        <v>70</v>
      </c>
      <c r="E100" t="s">
        <v>14</v>
      </c>
      <c r="F100">
        <v>290</v>
      </c>
      <c r="G100">
        <v>96.31</v>
      </c>
      <c r="H100">
        <v>1</v>
      </c>
    </row>
    <row r="101" spans="1:8" x14ac:dyDescent="0.25">
      <c r="A101" t="s">
        <v>85</v>
      </c>
      <c r="B101" t="s">
        <v>139</v>
      </c>
      <c r="C101" t="s">
        <v>73</v>
      </c>
      <c r="D101">
        <v>74</v>
      </c>
      <c r="E101" t="s">
        <v>11</v>
      </c>
      <c r="F101">
        <v>208</v>
      </c>
      <c r="G101">
        <v>39.56</v>
      </c>
      <c r="H101">
        <v>0</v>
      </c>
    </row>
    <row r="102" spans="1:8" x14ac:dyDescent="0.25">
      <c r="A102" t="s">
        <v>140</v>
      </c>
      <c r="B102" t="s">
        <v>141</v>
      </c>
      <c r="C102" t="s">
        <v>24</v>
      </c>
      <c r="D102">
        <v>87</v>
      </c>
      <c r="E102" t="s">
        <v>14</v>
      </c>
      <c r="F102">
        <v>442</v>
      </c>
      <c r="G102">
        <v>22.39</v>
      </c>
      <c r="H102">
        <v>3</v>
      </c>
    </row>
    <row r="103" spans="1:8" x14ac:dyDescent="0.25">
      <c r="A103" t="s">
        <v>140</v>
      </c>
      <c r="B103" t="s">
        <v>142</v>
      </c>
      <c r="C103" t="s">
        <v>37</v>
      </c>
      <c r="D103">
        <v>69</v>
      </c>
      <c r="E103" t="s">
        <v>19</v>
      </c>
      <c r="F103">
        <v>306</v>
      </c>
      <c r="G103">
        <v>13.97</v>
      </c>
      <c r="H103">
        <v>1</v>
      </c>
    </row>
    <row r="104" spans="1:8" x14ac:dyDescent="0.25">
      <c r="A104" t="s">
        <v>140</v>
      </c>
      <c r="B104" t="s">
        <v>143</v>
      </c>
      <c r="C104" t="s">
        <v>57</v>
      </c>
      <c r="D104">
        <v>79</v>
      </c>
      <c r="E104" t="s">
        <v>22</v>
      </c>
      <c r="F104">
        <v>403</v>
      </c>
      <c r="G104">
        <v>21.49</v>
      </c>
      <c r="H104">
        <v>0</v>
      </c>
    </row>
    <row r="105" spans="1:8" x14ac:dyDescent="0.25">
      <c r="A105" t="s">
        <v>140</v>
      </c>
      <c r="B105" t="s">
        <v>144</v>
      </c>
      <c r="C105" t="s">
        <v>57</v>
      </c>
      <c r="D105">
        <v>33</v>
      </c>
      <c r="E105" t="s">
        <v>22</v>
      </c>
      <c r="F105">
        <v>337</v>
      </c>
      <c r="G105">
        <v>62.61</v>
      </c>
      <c r="H105">
        <v>2</v>
      </c>
    </row>
    <row r="106" spans="1:8" x14ac:dyDescent="0.25">
      <c r="A106" t="s">
        <v>140</v>
      </c>
      <c r="B106" t="s">
        <v>145</v>
      </c>
      <c r="C106" t="s">
        <v>26</v>
      </c>
      <c r="D106">
        <v>88</v>
      </c>
      <c r="E106" t="s">
        <v>22</v>
      </c>
      <c r="F106">
        <v>319</v>
      </c>
      <c r="G106">
        <v>56.18</v>
      </c>
      <c r="H106">
        <v>0</v>
      </c>
    </row>
    <row r="107" spans="1:8" x14ac:dyDescent="0.25">
      <c r="A107" t="s">
        <v>140</v>
      </c>
      <c r="B107" t="s">
        <v>146</v>
      </c>
      <c r="C107" t="s">
        <v>21</v>
      </c>
      <c r="D107">
        <v>72</v>
      </c>
      <c r="E107" t="s">
        <v>11</v>
      </c>
      <c r="F107">
        <v>5</v>
      </c>
      <c r="G107">
        <v>68.650000000000006</v>
      </c>
      <c r="H107">
        <v>0</v>
      </c>
    </row>
    <row r="108" spans="1:8" x14ac:dyDescent="0.25">
      <c r="A108" t="s">
        <v>140</v>
      </c>
      <c r="B108" t="s">
        <v>147</v>
      </c>
      <c r="C108" t="s">
        <v>62</v>
      </c>
      <c r="D108">
        <v>114</v>
      </c>
      <c r="E108" t="s">
        <v>11</v>
      </c>
      <c r="F108">
        <v>232</v>
      </c>
      <c r="G108">
        <v>42.2</v>
      </c>
      <c r="H108">
        <v>2</v>
      </c>
    </row>
    <row r="109" spans="1:8" x14ac:dyDescent="0.25">
      <c r="A109" t="s">
        <v>140</v>
      </c>
      <c r="B109" t="s">
        <v>148</v>
      </c>
      <c r="C109" t="s">
        <v>67</v>
      </c>
      <c r="D109">
        <v>59</v>
      </c>
      <c r="E109" t="s">
        <v>19</v>
      </c>
      <c r="F109">
        <v>196</v>
      </c>
      <c r="G109">
        <v>62.53</v>
      </c>
      <c r="H109">
        <v>0</v>
      </c>
    </row>
    <row r="110" spans="1:8" x14ac:dyDescent="0.25">
      <c r="A110" t="s">
        <v>140</v>
      </c>
      <c r="B110" t="s">
        <v>149</v>
      </c>
      <c r="C110" t="s">
        <v>26</v>
      </c>
      <c r="D110">
        <v>1</v>
      </c>
      <c r="E110" t="s">
        <v>19</v>
      </c>
      <c r="F110">
        <v>237</v>
      </c>
      <c r="G110">
        <v>58.7</v>
      </c>
      <c r="H110">
        <v>4</v>
      </c>
    </row>
    <row r="111" spans="1:8" x14ac:dyDescent="0.25">
      <c r="A111" t="s">
        <v>140</v>
      </c>
      <c r="B111" t="s">
        <v>150</v>
      </c>
      <c r="C111" t="s">
        <v>37</v>
      </c>
      <c r="D111">
        <v>55</v>
      </c>
      <c r="E111" t="s">
        <v>19</v>
      </c>
      <c r="F111">
        <v>407</v>
      </c>
      <c r="G111">
        <v>23.11</v>
      </c>
      <c r="H111">
        <v>0</v>
      </c>
    </row>
    <row r="112" spans="1:8" x14ac:dyDescent="0.25">
      <c r="A112" t="s">
        <v>140</v>
      </c>
      <c r="B112" t="s">
        <v>151</v>
      </c>
      <c r="C112" t="s">
        <v>37</v>
      </c>
      <c r="D112">
        <v>83</v>
      </c>
      <c r="E112" t="s">
        <v>14</v>
      </c>
      <c r="F112">
        <v>219</v>
      </c>
      <c r="G112">
        <v>52.26</v>
      </c>
      <c r="H112">
        <v>1</v>
      </c>
    </row>
    <row r="113" spans="1:8" x14ac:dyDescent="0.25">
      <c r="A113" t="s">
        <v>140</v>
      </c>
      <c r="B113" t="s">
        <v>152</v>
      </c>
      <c r="C113" t="s">
        <v>31</v>
      </c>
      <c r="D113">
        <v>87</v>
      </c>
      <c r="E113" t="s">
        <v>14</v>
      </c>
      <c r="F113">
        <v>450</v>
      </c>
      <c r="G113">
        <v>64.3</v>
      </c>
      <c r="H113">
        <v>2</v>
      </c>
    </row>
    <row r="114" spans="1:8" x14ac:dyDescent="0.25">
      <c r="A114" t="s">
        <v>140</v>
      </c>
      <c r="B114" t="s">
        <v>153</v>
      </c>
      <c r="C114" t="s">
        <v>33</v>
      </c>
      <c r="D114">
        <v>84</v>
      </c>
      <c r="E114" t="s">
        <v>19</v>
      </c>
      <c r="F114">
        <v>317</v>
      </c>
      <c r="G114">
        <v>36.200000000000003</v>
      </c>
      <c r="H114">
        <v>3</v>
      </c>
    </row>
    <row r="115" spans="1:8" x14ac:dyDescent="0.25">
      <c r="A115" t="s">
        <v>140</v>
      </c>
      <c r="B115" t="s">
        <v>154</v>
      </c>
      <c r="C115" t="s">
        <v>64</v>
      </c>
      <c r="D115">
        <v>7</v>
      </c>
      <c r="E115" t="s">
        <v>11</v>
      </c>
      <c r="F115">
        <v>317</v>
      </c>
      <c r="G115">
        <v>97.32</v>
      </c>
      <c r="H115">
        <v>1</v>
      </c>
    </row>
    <row r="116" spans="1:8" x14ac:dyDescent="0.25">
      <c r="A116" t="s">
        <v>140</v>
      </c>
      <c r="B116" t="s">
        <v>155</v>
      </c>
      <c r="C116" t="s">
        <v>33</v>
      </c>
      <c r="D116">
        <v>110</v>
      </c>
      <c r="E116" t="s">
        <v>11</v>
      </c>
      <c r="F116">
        <v>51</v>
      </c>
      <c r="G116">
        <v>56.59</v>
      </c>
      <c r="H116">
        <v>5</v>
      </c>
    </row>
    <row r="117" spans="1:8" x14ac:dyDescent="0.25">
      <c r="A117" t="s">
        <v>140</v>
      </c>
      <c r="B117" t="s">
        <v>156</v>
      </c>
      <c r="C117" t="s">
        <v>16</v>
      </c>
      <c r="D117">
        <v>42</v>
      </c>
      <c r="E117" t="s">
        <v>22</v>
      </c>
      <c r="F117">
        <v>173</v>
      </c>
      <c r="G117">
        <v>69.19</v>
      </c>
      <c r="H117">
        <v>4</v>
      </c>
    </row>
    <row r="118" spans="1:8" x14ac:dyDescent="0.25">
      <c r="A118" t="s">
        <v>140</v>
      </c>
      <c r="B118" t="s">
        <v>157</v>
      </c>
      <c r="C118" t="s">
        <v>131</v>
      </c>
      <c r="D118">
        <v>56</v>
      </c>
      <c r="E118" t="s">
        <v>19</v>
      </c>
      <c r="F118">
        <v>333</v>
      </c>
      <c r="G118">
        <v>23.01</v>
      </c>
      <c r="H118">
        <v>2</v>
      </c>
    </row>
    <row r="119" spans="1:8" x14ac:dyDescent="0.25">
      <c r="A119" t="s">
        <v>140</v>
      </c>
      <c r="B119" t="s">
        <v>158</v>
      </c>
      <c r="C119" t="s">
        <v>51</v>
      </c>
      <c r="D119">
        <v>109</v>
      </c>
      <c r="E119" t="s">
        <v>14</v>
      </c>
      <c r="F119">
        <v>480</v>
      </c>
      <c r="G119">
        <v>31.36</v>
      </c>
      <c r="H119">
        <v>0</v>
      </c>
    </row>
    <row r="120" spans="1:8" x14ac:dyDescent="0.25">
      <c r="A120" t="s">
        <v>140</v>
      </c>
      <c r="B120" t="s">
        <v>159</v>
      </c>
      <c r="C120" t="s">
        <v>67</v>
      </c>
      <c r="D120">
        <v>53</v>
      </c>
      <c r="E120" t="s">
        <v>22</v>
      </c>
      <c r="F120">
        <v>345</v>
      </c>
      <c r="G120">
        <v>83.73</v>
      </c>
      <c r="H120">
        <v>0</v>
      </c>
    </row>
    <row r="121" spans="1:8" x14ac:dyDescent="0.25">
      <c r="A121" t="s">
        <v>140</v>
      </c>
      <c r="B121" t="s">
        <v>160</v>
      </c>
      <c r="C121" t="s">
        <v>89</v>
      </c>
      <c r="D121">
        <v>36</v>
      </c>
      <c r="E121" t="s">
        <v>11</v>
      </c>
      <c r="F121">
        <v>400</v>
      </c>
      <c r="G121">
        <v>60.35</v>
      </c>
      <c r="H121">
        <v>1</v>
      </c>
    </row>
    <row r="122" spans="1:8" x14ac:dyDescent="0.25">
      <c r="A122" t="s">
        <v>140</v>
      </c>
      <c r="B122" t="s">
        <v>161</v>
      </c>
      <c r="C122" t="s">
        <v>73</v>
      </c>
      <c r="D122">
        <v>16</v>
      </c>
      <c r="E122" t="s">
        <v>19</v>
      </c>
      <c r="F122">
        <v>13</v>
      </c>
      <c r="G122">
        <v>14.91</v>
      </c>
      <c r="H122">
        <v>1</v>
      </c>
    </row>
    <row r="123" spans="1:8" x14ac:dyDescent="0.25">
      <c r="A123" t="s">
        <v>140</v>
      </c>
      <c r="B123" t="s">
        <v>162</v>
      </c>
      <c r="C123" t="s">
        <v>26</v>
      </c>
      <c r="D123">
        <v>88</v>
      </c>
      <c r="E123" t="s">
        <v>11</v>
      </c>
      <c r="F123">
        <v>232</v>
      </c>
      <c r="G123">
        <v>40.94</v>
      </c>
      <c r="H123">
        <v>2</v>
      </c>
    </row>
    <row r="124" spans="1:8" x14ac:dyDescent="0.25">
      <c r="A124" t="s">
        <v>140</v>
      </c>
      <c r="B124" t="s">
        <v>163</v>
      </c>
      <c r="C124" t="s">
        <v>29</v>
      </c>
      <c r="D124">
        <v>67</v>
      </c>
      <c r="E124" t="s">
        <v>22</v>
      </c>
      <c r="F124">
        <v>264</v>
      </c>
      <c r="G124">
        <v>97.89</v>
      </c>
      <c r="H124">
        <v>1</v>
      </c>
    </row>
    <row r="125" spans="1:8" x14ac:dyDescent="0.25">
      <c r="A125" t="s">
        <v>140</v>
      </c>
      <c r="B125" t="s">
        <v>164</v>
      </c>
      <c r="C125" t="s">
        <v>60</v>
      </c>
      <c r="D125">
        <v>60</v>
      </c>
      <c r="E125" t="s">
        <v>19</v>
      </c>
      <c r="F125">
        <v>168</v>
      </c>
      <c r="G125">
        <v>67.650000000000006</v>
      </c>
      <c r="H125">
        <v>1</v>
      </c>
    </row>
    <row r="126" spans="1:8" x14ac:dyDescent="0.25">
      <c r="A126" t="s">
        <v>140</v>
      </c>
      <c r="B126" t="s">
        <v>165</v>
      </c>
      <c r="C126" t="s">
        <v>33</v>
      </c>
      <c r="D126">
        <v>64</v>
      </c>
      <c r="E126" t="s">
        <v>14</v>
      </c>
      <c r="F126">
        <v>300</v>
      </c>
      <c r="G126">
        <v>28.11</v>
      </c>
      <c r="H126">
        <v>2</v>
      </c>
    </row>
    <row r="127" spans="1:8" x14ac:dyDescent="0.25">
      <c r="A127" t="s">
        <v>140</v>
      </c>
      <c r="B127" t="s">
        <v>166</v>
      </c>
      <c r="C127" t="s">
        <v>13</v>
      </c>
      <c r="D127">
        <v>47</v>
      </c>
      <c r="E127" t="s">
        <v>19</v>
      </c>
      <c r="F127">
        <v>98</v>
      </c>
      <c r="G127">
        <v>16.16</v>
      </c>
      <c r="H127">
        <v>5</v>
      </c>
    </row>
    <row r="128" spans="1:8" x14ac:dyDescent="0.25">
      <c r="A128" t="s">
        <v>140</v>
      </c>
      <c r="B128" t="s">
        <v>167</v>
      </c>
      <c r="C128" t="s">
        <v>18</v>
      </c>
      <c r="D128">
        <v>67</v>
      </c>
      <c r="E128" t="s">
        <v>14</v>
      </c>
      <c r="F128">
        <v>55</v>
      </c>
      <c r="G128">
        <v>27.04</v>
      </c>
      <c r="H128">
        <v>1</v>
      </c>
    </row>
    <row r="129" spans="1:8" x14ac:dyDescent="0.25">
      <c r="A129" t="s">
        <v>140</v>
      </c>
      <c r="B129" t="s">
        <v>168</v>
      </c>
      <c r="C129" t="s">
        <v>89</v>
      </c>
      <c r="D129">
        <v>98</v>
      </c>
      <c r="E129" t="s">
        <v>19</v>
      </c>
      <c r="F129">
        <v>52</v>
      </c>
      <c r="G129">
        <v>52.82</v>
      </c>
      <c r="H129">
        <v>2</v>
      </c>
    </row>
    <row r="130" spans="1:8" x14ac:dyDescent="0.25">
      <c r="A130" t="s">
        <v>140</v>
      </c>
      <c r="B130" t="s">
        <v>169</v>
      </c>
      <c r="C130" t="s">
        <v>13</v>
      </c>
      <c r="D130">
        <v>6</v>
      </c>
      <c r="E130" t="s">
        <v>19</v>
      </c>
      <c r="F130">
        <v>6</v>
      </c>
      <c r="G130">
        <v>72.27</v>
      </c>
      <c r="H130">
        <v>4</v>
      </c>
    </row>
    <row r="131" spans="1:8" x14ac:dyDescent="0.25">
      <c r="A131" t="s">
        <v>140</v>
      </c>
      <c r="B131" t="s">
        <v>170</v>
      </c>
      <c r="C131" t="s">
        <v>13</v>
      </c>
      <c r="D131">
        <v>114</v>
      </c>
      <c r="E131" t="s">
        <v>19</v>
      </c>
      <c r="F131">
        <v>304</v>
      </c>
      <c r="G131">
        <v>52.07</v>
      </c>
      <c r="H131">
        <v>1</v>
      </c>
    </row>
    <row r="132" spans="1:8" x14ac:dyDescent="0.25">
      <c r="A132" t="s">
        <v>140</v>
      </c>
      <c r="B132" t="s">
        <v>171</v>
      </c>
      <c r="C132" t="s">
        <v>31</v>
      </c>
      <c r="D132">
        <v>93</v>
      </c>
      <c r="E132" t="s">
        <v>19</v>
      </c>
      <c r="F132">
        <v>365</v>
      </c>
      <c r="G132">
        <v>72.319999999999993</v>
      </c>
      <c r="H132">
        <v>1</v>
      </c>
    </row>
    <row r="133" spans="1:8" x14ac:dyDescent="0.25">
      <c r="A133" t="s">
        <v>140</v>
      </c>
      <c r="B133" t="s">
        <v>172</v>
      </c>
      <c r="C133" t="s">
        <v>89</v>
      </c>
      <c r="D133">
        <v>29</v>
      </c>
      <c r="E133" t="s">
        <v>14</v>
      </c>
      <c r="F133">
        <v>34</v>
      </c>
      <c r="G133">
        <v>86.68</v>
      </c>
      <c r="H133">
        <v>1</v>
      </c>
    </row>
    <row r="134" spans="1:8" x14ac:dyDescent="0.25">
      <c r="A134" t="s">
        <v>140</v>
      </c>
      <c r="B134" t="s">
        <v>173</v>
      </c>
      <c r="C134" t="s">
        <v>29</v>
      </c>
      <c r="D134">
        <v>7</v>
      </c>
      <c r="E134" t="s">
        <v>11</v>
      </c>
      <c r="F134">
        <v>303</v>
      </c>
      <c r="G134">
        <v>60.95</v>
      </c>
      <c r="H134">
        <v>0</v>
      </c>
    </row>
    <row r="135" spans="1:8" x14ac:dyDescent="0.25">
      <c r="A135" t="s">
        <v>140</v>
      </c>
      <c r="B135" t="s">
        <v>174</v>
      </c>
      <c r="C135" t="s">
        <v>89</v>
      </c>
      <c r="D135">
        <v>118</v>
      </c>
      <c r="E135" t="s">
        <v>22</v>
      </c>
      <c r="F135">
        <v>430</v>
      </c>
      <c r="G135">
        <v>36.97</v>
      </c>
      <c r="H135">
        <v>2</v>
      </c>
    </row>
    <row r="136" spans="1:8" x14ac:dyDescent="0.25">
      <c r="A136" t="s">
        <v>140</v>
      </c>
      <c r="B136" t="s">
        <v>175</v>
      </c>
      <c r="C136" t="s">
        <v>44</v>
      </c>
      <c r="D136">
        <v>54</v>
      </c>
      <c r="E136" t="s">
        <v>19</v>
      </c>
      <c r="F136">
        <v>99</v>
      </c>
      <c r="G136">
        <v>39.58</v>
      </c>
      <c r="H136">
        <v>0</v>
      </c>
    </row>
    <row r="137" spans="1:8" x14ac:dyDescent="0.25">
      <c r="A137" t="s">
        <v>140</v>
      </c>
      <c r="B137" t="s">
        <v>176</v>
      </c>
      <c r="C137" t="s">
        <v>18</v>
      </c>
      <c r="D137">
        <v>69</v>
      </c>
      <c r="E137" t="s">
        <v>14</v>
      </c>
      <c r="F137">
        <v>463</v>
      </c>
      <c r="G137">
        <v>19.440000000000001</v>
      </c>
      <c r="H137">
        <v>0</v>
      </c>
    </row>
    <row r="138" spans="1:8" x14ac:dyDescent="0.25">
      <c r="A138" t="s">
        <v>140</v>
      </c>
      <c r="B138" t="s">
        <v>177</v>
      </c>
      <c r="C138" t="s">
        <v>40</v>
      </c>
      <c r="D138">
        <v>58</v>
      </c>
      <c r="E138" t="s">
        <v>19</v>
      </c>
      <c r="F138">
        <v>293</v>
      </c>
      <c r="G138">
        <v>88.85</v>
      </c>
      <c r="H138">
        <v>5</v>
      </c>
    </row>
    <row r="139" spans="1:8" x14ac:dyDescent="0.25">
      <c r="A139" t="s">
        <v>140</v>
      </c>
      <c r="B139" t="s">
        <v>178</v>
      </c>
      <c r="C139" t="s">
        <v>44</v>
      </c>
      <c r="D139">
        <v>41</v>
      </c>
      <c r="E139" t="s">
        <v>11</v>
      </c>
      <c r="F139">
        <v>64</v>
      </c>
      <c r="G139">
        <v>91.95</v>
      </c>
      <c r="H139">
        <v>1</v>
      </c>
    </row>
    <row r="140" spans="1:8" x14ac:dyDescent="0.25">
      <c r="A140" t="s">
        <v>140</v>
      </c>
      <c r="B140" t="s">
        <v>179</v>
      </c>
      <c r="C140" t="s">
        <v>67</v>
      </c>
      <c r="D140">
        <v>1</v>
      </c>
      <c r="E140" t="s">
        <v>14</v>
      </c>
      <c r="F140">
        <v>326</v>
      </c>
      <c r="G140">
        <v>54.63</v>
      </c>
      <c r="H140">
        <v>3</v>
      </c>
    </row>
    <row r="141" spans="1:8" x14ac:dyDescent="0.25">
      <c r="A141" t="s">
        <v>140</v>
      </c>
      <c r="B141" t="s">
        <v>180</v>
      </c>
      <c r="C141" t="s">
        <v>89</v>
      </c>
      <c r="D141">
        <v>51</v>
      </c>
      <c r="E141" t="s">
        <v>19</v>
      </c>
      <c r="F141">
        <v>260</v>
      </c>
      <c r="G141">
        <v>92.8</v>
      </c>
      <c r="H141">
        <v>5</v>
      </c>
    </row>
    <row r="142" spans="1:8" x14ac:dyDescent="0.25">
      <c r="A142" t="s">
        <v>140</v>
      </c>
      <c r="B142" t="s">
        <v>181</v>
      </c>
      <c r="C142" t="s">
        <v>57</v>
      </c>
      <c r="D142">
        <v>25</v>
      </c>
      <c r="E142" t="s">
        <v>19</v>
      </c>
      <c r="F142">
        <v>131</v>
      </c>
      <c r="G142">
        <v>67.489999999999995</v>
      </c>
      <c r="H142">
        <v>0</v>
      </c>
    </row>
    <row r="143" spans="1:8" x14ac:dyDescent="0.25">
      <c r="A143" t="s">
        <v>140</v>
      </c>
      <c r="B143" t="s">
        <v>182</v>
      </c>
      <c r="C143" t="s">
        <v>73</v>
      </c>
      <c r="D143">
        <v>43</v>
      </c>
      <c r="E143" t="s">
        <v>19</v>
      </c>
      <c r="F143">
        <v>181</v>
      </c>
      <c r="G143">
        <v>72.39</v>
      </c>
      <c r="H143">
        <v>2</v>
      </c>
    </row>
    <row r="144" spans="1:8" x14ac:dyDescent="0.25">
      <c r="A144" t="s">
        <v>140</v>
      </c>
      <c r="B144" t="s">
        <v>183</v>
      </c>
      <c r="C144" t="s">
        <v>18</v>
      </c>
      <c r="D144">
        <v>11</v>
      </c>
      <c r="E144" t="s">
        <v>19</v>
      </c>
      <c r="F144">
        <v>215</v>
      </c>
      <c r="G144">
        <v>51.99</v>
      </c>
      <c r="H144">
        <v>1</v>
      </c>
    </row>
    <row r="145" spans="1:8" x14ac:dyDescent="0.25">
      <c r="A145" t="s">
        <v>140</v>
      </c>
      <c r="B145" t="s">
        <v>184</v>
      </c>
      <c r="C145" t="s">
        <v>24</v>
      </c>
      <c r="D145">
        <v>113</v>
      </c>
      <c r="E145" t="s">
        <v>11</v>
      </c>
      <c r="F145">
        <v>246</v>
      </c>
      <c r="G145">
        <v>29.18</v>
      </c>
      <c r="H145">
        <v>2</v>
      </c>
    </row>
    <row r="146" spans="1:8" x14ac:dyDescent="0.25">
      <c r="A146" t="s">
        <v>140</v>
      </c>
      <c r="B146" t="s">
        <v>185</v>
      </c>
      <c r="C146" t="s">
        <v>67</v>
      </c>
      <c r="D146">
        <v>74</v>
      </c>
      <c r="E146" t="s">
        <v>14</v>
      </c>
      <c r="F146">
        <v>371</v>
      </c>
      <c r="G146">
        <v>53.27</v>
      </c>
      <c r="H146">
        <v>3</v>
      </c>
    </row>
    <row r="147" spans="1:8" x14ac:dyDescent="0.25">
      <c r="A147" t="s">
        <v>140</v>
      </c>
      <c r="B147" t="s">
        <v>186</v>
      </c>
      <c r="C147" t="s">
        <v>33</v>
      </c>
      <c r="D147">
        <v>104</v>
      </c>
      <c r="E147" t="s">
        <v>14</v>
      </c>
      <c r="F147">
        <v>317</v>
      </c>
      <c r="G147">
        <v>79.150000000000006</v>
      </c>
      <c r="H147">
        <v>1</v>
      </c>
    </row>
    <row r="148" spans="1:8" x14ac:dyDescent="0.25">
      <c r="A148" t="s">
        <v>140</v>
      </c>
      <c r="B148" t="s">
        <v>187</v>
      </c>
      <c r="C148" t="s">
        <v>13</v>
      </c>
      <c r="D148">
        <v>4</v>
      </c>
      <c r="E148" t="s">
        <v>19</v>
      </c>
      <c r="F148">
        <v>227</v>
      </c>
      <c r="G148">
        <v>83.32</v>
      </c>
      <c r="H148">
        <v>2</v>
      </c>
    </row>
    <row r="149" spans="1:8" x14ac:dyDescent="0.25">
      <c r="A149" t="s">
        <v>140</v>
      </c>
      <c r="B149" t="s">
        <v>188</v>
      </c>
      <c r="C149" t="s">
        <v>64</v>
      </c>
      <c r="D149">
        <v>95</v>
      </c>
      <c r="E149" t="s">
        <v>14</v>
      </c>
      <c r="F149">
        <v>95</v>
      </c>
      <c r="G149">
        <v>82.65</v>
      </c>
      <c r="H149">
        <v>2</v>
      </c>
    </row>
    <row r="150" spans="1:8" x14ac:dyDescent="0.25">
      <c r="A150" t="s">
        <v>140</v>
      </c>
      <c r="B150" t="s">
        <v>189</v>
      </c>
      <c r="C150" t="s">
        <v>37</v>
      </c>
      <c r="D150">
        <v>29</v>
      </c>
      <c r="E150" t="s">
        <v>22</v>
      </c>
      <c r="F150">
        <v>124</v>
      </c>
      <c r="G150">
        <v>43.83</v>
      </c>
      <c r="H150">
        <v>5</v>
      </c>
    </row>
    <row r="151" spans="1:8" x14ac:dyDescent="0.25">
      <c r="A151" t="s">
        <v>190</v>
      </c>
      <c r="B151" t="s">
        <v>191</v>
      </c>
      <c r="C151" t="s">
        <v>31</v>
      </c>
      <c r="D151">
        <v>97</v>
      </c>
      <c r="E151" t="s">
        <v>19</v>
      </c>
      <c r="F151">
        <v>484</v>
      </c>
      <c r="G151">
        <v>61.98</v>
      </c>
      <c r="H151">
        <v>1</v>
      </c>
    </row>
    <row r="152" spans="1:8" x14ac:dyDescent="0.25">
      <c r="A152" t="s">
        <v>190</v>
      </c>
      <c r="B152" t="s">
        <v>192</v>
      </c>
      <c r="C152" t="s">
        <v>10</v>
      </c>
      <c r="D152">
        <v>113</v>
      </c>
      <c r="E152" t="s">
        <v>11</v>
      </c>
      <c r="F152">
        <v>207</v>
      </c>
      <c r="G152">
        <v>21.55</v>
      </c>
      <c r="H152">
        <v>0</v>
      </c>
    </row>
    <row r="153" spans="1:8" x14ac:dyDescent="0.25">
      <c r="A153" t="s">
        <v>190</v>
      </c>
      <c r="B153" t="s">
        <v>193</v>
      </c>
      <c r="C153" t="s">
        <v>37</v>
      </c>
      <c r="D153">
        <v>83</v>
      </c>
      <c r="E153" t="s">
        <v>14</v>
      </c>
      <c r="F153">
        <v>420</v>
      </c>
      <c r="G153">
        <v>94.9</v>
      </c>
      <c r="H153">
        <v>1</v>
      </c>
    </row>
    <row r="154" spans="1:8" x14ac:dyDescent="0.25">
      <c r="A154" t="s">
        <v>190</v>
      </c>
      <c r="B154" t="s">
        <v>194</v>
      </c>
      <c r="C154" t="s">
        <v>40</v>
      </c>
      <c r="D154">
        <v>97</v>
      </c>
      <c r="E154" t="s">
        <v>11</v>
      </c>
      <c r="F154">
        <v>296</v>
      </c>
      <c r="G154">
        <v>10.87</v>
      </c>
      <c r="H154">
        <v>4</v>
      </c>
    </row>
    <row r="155" spans="1:8" x14ac:dyDescent="0.25">
      <c r="A155" t="s">
        <v>190</v>
      </c>
      <c r="B155" t="s">
        <v>195</v>
      </c>
      <c r="C155" t="s">
        <v>51</v>
      </c>
      <c r="D155">
        <v>66</v>
      </c>
      <c r="E155" t="s">
        <v>22</v>
      </c>
      <c r="F155">
        <v>387</v>
      </c>
      <c r="G155">
        <v>82.94</v>
      </c>
      <c r="H155">
        <v>3</v>
      </c>
    </row>
    <row r="156" spans="1:8" x14ac:dyDescent="0.25">
      <c r="A156" t="s">
        <v>190</v>
      </c>
      <c r="B156" t="s">
        <v>196</v>
      </c>
      <c r="C156" t="s">
        <v>44</v>
      </c>
      <c r="D156">
        <v>48</v>
      </c>
      <c r="E156" t="s">
        <v>19</v>
      </c>
      <c r="F156">
        <v>335</v>
      </c>
      <c r="G156">
        <v>85.09</v>
      </c>
      <c r="H156">
        <v>3</v>
      </c>
    </row>
    <row r="157" spans="1:8" x14ac:dyDescent="0.25">
      <c r="A157" t="s">
        <v>190</v>
      </c>
      <c r="B157" t="s">
        <v>197</v>
      </c>
      <c r="C157" t="s">
        <v>44</v>
      </c>
      <c r="D157">
        <v>64</v>
      </c>
      <c r="E157" t="s">
        <v>14</v>
      </c>
      <c r="F157">
        <v>6</v>
      </c>
      <c r="G157">
        <v>40.58</v>
      </c>
      <c r="H157">
        <v>5</v>
      </c>
    </row>
    <row r="158" spans="1:8" x14ac:dyDescent="0.25">
      <c r="A158" t="s">
        <v>190</v>
      </c>
      <c r="B158" t="s">
        <v>198</v>
      </c>
      <c r="C158" t="s">
        <v>24</v>
      </c>
      <c r="D158">
        <v>67</v>
      </c>
      <c r="E158" t="s">
        <v>11</v>
      </c>
      <c r="F158">
        <v>241</v>
      </c>
      <c r="G158">
        <v>47.72</v>
      </c>
      <c r="H158">
        <v>0</v>
      </c>
    </row>
    <row r="159" spans="1:8" x14ac:dyDescent="0.25">
      <c r="A159" t="s">
        <v>190</v>
      </c>
      <c r="B159" t="s">
        <v>199</v>
      </c>
      <c r="C159" t="s">
        <v>33</v>
      </c>
      <c r="D159">
        <v>60</v>
      </c>
      <c r="E159" t="s">
        <v>14</v>
      </c>
      <c r="F159">
        <v>334</v>
      </c>
      <c r="G159">
        <v>71.72</v>
      </c>
      <c r="H159">
        <v>3</v>
      </c>
    </row>
    <row r="160" spans="1:8" x14ac:dyDescent="0.25">
      <c r="A160" t="s">
        <v>190</v>
      </c>
      <c r="B160" t="s">
        <v>200</v>
      </c>
      <c r="C160" t="s">
        <v>33</v>
      </c>
      <c r="D160">
        <v>23</v>
      </c>
      <c r="E160" t="s">
        <v>14</v>
      </c>
      <c r="F160">
        <v>262</v>
      </c>
      <c r="G160">
        <v>46.3</v>
      </c>
      <c r="H160">
        <v>1</v>
      </c>
    </row>
    <row r="161" spans="1:8" x14ac:dyDescent="0.25">
      <c r="A161" t="s">
        <v>190</v>
      </c>
      <c r="B161" t="s">
        <v>201</v>
      </c>
      <c r="C161" t="s">
        <v>60</v>
      </c>
      <c r="D161">
        <v>42</v>
      </c>
      <c r="E161" t="s">
        <v>14</v>
      </c>
      <c r="F161">
        <v>389</v>
      </c>
      <c r="G161">
        <v>80.08</v>
      </c>
      <c r="H161">
        <v>1</v>
      </c>
    </row>
    <row r="162" spans="1:8" x14ac:dyDescent="0.25">
      <c r="A162" t="s">
        <v>190</v>
      </c>
      <c r="B162" t="s">
        <v>202</v>
      </c>
      <c r="C162" t="s">
        <v>131</v>
      </c>
      <c r="D162">
        <v>92</v>
      </c>
      <c r="E162" t="s">
        <v>14</v>
      </c>
      <c r="F162">
        <v>487</v>
      </c>
      <c r="G162">
        <v>58.38</v>
      </c>
      <c r="H162">
        <v>1</v>
      </c>
    </row>
    <row r="163" spans="1:8" x14ac:dyDescent="0.25">
      <c r="A163" t="s">
        <v>190</v>
      </c>
      <c r="B163" t="s">
        <v>203</v>
      </c>
      <c r="C163" t="s">
        <v>37</v>
      </c>
      <c r="D163">
        <v>48</v>
      </c>
      <c r="E163" t="s">
        <v>14</v>
      </c>
      <c r="F163">
        <v>76</v>
      </c>
      <c r="G163">
        <v>39.35</v>
      </c>
      <c r="H163">
        <v>2</v>
      </c>
    </row>
    <row r="164" spans="1:8" x14ac:dyDescent="0.25">
      <c r="A164" t="s">
        <v>190</v>
      </c>
      <c r="B164" t="s">
        <v>204</v>
      </c>
      <c r="C164" t="s">
        <v>21</v>
      </c>
      <c r="D164">
        <v>68</v>
      </c>
      <c r="E164" t="s">
        <v>11</v>
      </c>
      <c r="F164">
        <v>443</v>
      </c>
      <c r="G164">
        <v>12.09</v>
      </c>
      <c r="H164">
        <v>3</v>
      </c>
    </row>
    <row r="165" spans="1:8" x14ac:dyDescent="0.25">
      <c r="A165" t="s">
        <v>190</v>
      </c>
      <c r="B165" t="s">
        <v>205</v>
      </c>
      <c r="C165" t="s">
        <v>78</v>
      </c>
      <c r="D165">
        <v>89</v>
      </c>
      <c r="E165" t="s">
        <v>14</v>
      </c>
      <c r="F165">
        <v>203</v>
      </c>
      <c r="G165">
        <v>80.680000000000007</v>
      </c>
      <c r="H165">
        <v>5</v>
      </c>
    </row>
    <row r="166" spans="1:8" x14ac:dyDescent="0.25">
      <c r="A166" t="s">
        <v>190</v>
      </c>
      <c r="B166" t="s">
        <v>206</v>
      </c>
      <c r="C166" t="s">
        <v>31</v>
      </c>
      <c r="D166">
        <v>62</v>
      </c>
      <c r="E166" t="s">
        <v>11</v>
      </c>
      <c r="F166">
        <v>116</v>
      </c>
      <c r="G166">
        <v>92.99</v>
      </c>
      <c r="H166">
        <v>5</v>
      </c>
    </row>
    <row r="167" spans="1:8" x14ac:dyDescent="0.25">
      <c r="A167" t="s">
        <v>190</v>
      </c>
      <c r="B167" t="s">
        <v>207</v>
      </c>
      <c r="C167" t="s">
        <v>10</v>
      </c>
      <c r="D167">
        <v>92</v>
      </c>
      <c r="E167" t="s">
        <v>11</v>
      </c>
      <c r="F167">
        <v>116</v>
      </c>
      <c r="G167">
        <v>23.83</v>
      </c>
      <c r="H167">
        <v>3</v>
      </c>
    </row>
    <row r="168" spans="1:8" x14ac:dyDescent="0.25">
      <c r="A168" t="s">
        <v>190</v>
      </c>
      <c r="B168" t="s">
        <v>208</v>
      </c>
      <c r="C168" t="s">
        <v>16</v>
      </c>
      <c r="D168">
        <v>64</v>
      </c>
      <c r="E168" t="s">
        <v>14</v>
      </c>
      <c r="F168">
        <v>370</v>
      </c>
      <c r="G168">
        <v>95.74</v>
      </c>
      <c r="H168">
        <v>1</v>
      </c>
    </row>
    <row r="169" spans="1:8" x14ac:dyDescent="0.25">
      <c r="A169" t="s">
        <v>190</v>
      </c>
      <c r="B169" t="s">
        <v>209</v>
      </c>
      <c r="C169" t="s">
        <v>57</v>
      </c>
      <c r="D169">
        <v>61</v>
      </c>
      <c r="E169" t="s">
        <v>19</v>
      </c>
      <c r="F169">
        <v>383</v>
      </c>
      <c r="G169">
        <v>39.72</v>
      </c>
      <c r="H169">
        <v>4</v>
      </c>
    </row>
    <row r="170" spans="1:8" x14ac:dyDescent="0.25">
      <c r="A170" t="s">
        <v>190</v>
      </c>
      <c r="B170" t="s">
        <v>210</v>
      </c>
      <c r="C170" t="s">
        <v>62</v>
      </c>
      <c r="D170">
        <v>35</v>
      </c>
      <c r="E170" t="s">
        <v>22</v>
      </c>
      <c r="F170">
        <v>107</v>
      </c>
      <c r="G170">
        <v>66.69</v>
      </c>
      <c r="H170">
        <v>4</v>
      </c>
    </row>
    <row r="171" spans="1:8" x14ac:dyDescent="0.25">
      <c r="A171" t="s">
        <v>190</v>
      </c>
      <c r="B171" t="s">
        <v>211</v>
      </c>
      <c r="C171" t="s">
        <v>137</v>
      </c>
      <c r="D171">
        <v>75</v>
      </c>
      <c r="E171" t="s">
        <v>14</v>
      </c>
      <c r="F171">
        <v>242</v>
      </c>
      <c r="G171">
        <v>64.27</v>
      </c>
      <c r="H171">
        <v>2</v>
      </c>
    </row>
    <row r="172" spans="1:8" x14ac:dyDescent="0.25">
      <c r="A172" t="s">
        <v>190</v>
      </c>
      <c r="B172" t="s">
        <v>212</v>
      </c>
      <c r="C172" t="s">
        <v>31</v>
      </c>
      <c r="D172">
        <v>52</v>
      </c>
      <c r="E172" t="s">
        <v>22</v>
      </c>
      <c r="F172">
        <v>119</v>
      </c>
      <c r="G172">
        <v>64.709999999999994</v>
      </c>
      <c r="H172">
        <v>4</v>
      </c>
    </row>
    <row r="173" spans="1:8" x14ac:dyDescent="0.25">
      <c r="A173" t="s">
        <v>190</v>
      </c>
      <c r="B173" t="s">
        <v>213</v>
      </c>
      <c r="C173" t="s">
        <v>89</v>
      </c>
      <c r="D173">
        <v>82</v>
      </c>
      <c r="E173" t="s">
        <v>11</v>
      </c>
      <c r="F173">
        <v>264</v>
      </c>
      <c r="G173">
        <v>88.03</v>
      </c>
      <c r="H173">
        <v>1</v>
      </c>
    </row>
    <row r="174" spans="1:8" x14ac:dyDescent="0.25">
      <c r="A174" t="s">
        <v>190</v>
      </c>
      <c r="B174" t="s">
        <v>214</v>
      </c>
      <c r="C174" t="s">
        <v>33</v>
      </c>
      <c r="D174">
        <v>118</v>
      </c>
      <c r="E174" t="s">
        <v>19</v>
      </c>
      <c r="F174">
        <v>300</v>
      </c>
      <c r="G174">
        <v>98.22</v>
      </c>
      <c r="H174">
        <v>4</v>
      </c>
    </row>
    <row r="175" spans="1:8" x14ac:dyDescent="0.25">
      <c r="A175" t="s">
        <v>190</v>
      </c>
      <c r="B175" t="s">
        <v>215</v>
      </c>
      <c r="C175" t="s">
        <v>60</v>
      </c>
      <c r="D175">
        <v>102</v>
      </c>
      <c r="E175" t="s">
        <v>11</v>
      </c>
      <c r="F175">
        <v>402</v>
      </c>
      <c r="G175">
        <v>28.38</v>
      </c>
      <c r="H175">
        <v>5</v>
      </c>
    </row>
    <row r="176" spans="1:8" x14ac:dyDescent="0.25">
      <c r="A176" t="s">
        <v>190</v>
      </c>
      <c r="B176" t="s">
        <v>216</v>
      </c>
      <c r="C176" t="s">
        <v>35</v>
      </c>
      <c r="D176">
        <v>75</v>
      </c>
      <c r="E176" t="s">
        <v>19</v>
      </c>
      <c r="F176">
        <v>282</v>
      </c>
      <c r="G176">
        <v>45.16</v>
      </c>
      <c r="H176">
        <v>5</v>
      </c>
    </row>
    <row r="177" spans="1:8" x14ac:dyDescent="0.25">
      <c r="A177" t="s">
        <v>190</v>
      </c>
      <c r="B177" t="s">
        <v>217</v>
      </c>
      <c r="C177" t="s">
        <v>24</v>
      </c>
      <c r="D177">
        <v>84</v>
      </c>
      <c r="E177" t="s">
        <v>11</v>
      </c>
      <c r="F177">
        <v>387</v>
      </c>
      <c r="G177">
        <v>58.1</v>
      </c>
      <c r="H177">
        <v>3</v>
      </c>
    </row>
    <row r="178" spans="1:8" x14ac:dyDescent="0.25">
      <c r="A178" t="s">
        <v>190</v>
      </c>
      <c r="B178" t="s">
        <v>218</v>
      </c>
      <c r="C178" t="s">
        <v>44</v>
      </c>
      <c r="D178">
        <v>5</v>
      </c>
      <c r="E178" t="s">
        <v>19</v>
      </c>
      <c r="F178">
        <v>239</v>
      </c>
      <c r="G178">
        <v>26.95</v>
      </c>
      <c r="H178">
        <v>2</v>
      </c>
    </row>
    <row r="179" spans="1:8" x14ac:dyDescent="0.25">
      <c r="A179" t="s">
        <v>190</v>
      </c>
      <c r="B179" t="s">
        <v>219</v>
      </c>
      <c r="C179" t="s">
        <v>78</v>
      </c>
      <c r="D179">
        <v>27</v>
      </c>
      <c r="E179" t="s">
        <v>11</v>
      </c>
      <c r="F179">
        <v>369</v>
      </c>
      <c r="G179">
        <v>19.78</v>
      </c>
      <c r="H179">
        <v>1</v>
      </c>
    </row>
    <row r="180" spans="1:8" x14ac:dyDescent="0.25">
      <c r="A180" t="s">
        <v>190</v>
      </c>
      <c r="B180" t="s">
        <v>220</v>
      </c>
      <c r="C180" t="s">
        <v>57</v>
      </c>
      <c r="D180">
        <v>29</v>
      </c>
      <c r="E180" t="s">
        <v>22</v>
      </c>
      <c r="F180">
        <v>416</v>
      </c>
      <c r="G180">
        <v>61.26</v>
      </c>
      <c r="H180">
        <v>0</v>
      </c>
    </row>
    <row r="181" spans="1:8" x14ac:dyDescent="0.25">
      <c r="A181" t="s">
        <v>190</v>
      </c>
      <c r="B181" t="s">
        <v>221</v>
      </c>
      <c r="C181" t="s">
        <v>62</v>
      </c>
      <c r="D181">
        <v>115</v>
      </c>
      <c r="E181" t="s">
        <v>19</v>
      </c>
      <c r="F181">
        <v>236</v>
      </c>
      <c r="G181">
        <v>50.64</v>
      </c>
      <c r="H181">
        <v>1</v>
      </c>
    </row>
    <row r="182" spans="1:8" x14ac:dyDescent="0.25">
      <c r="A182" t="s">
        <v>190</v>
      </c>
      <c r="B182" t="s">
        <v>222</v>
      </c>
      <c r="C182" t="s">
        <v>16</v>
      </c>
      <c r="D182">
        <v>26</v>
      </c>
      <c r="E182" t="s">
        <v>19</v>
      </c>
      <c r="F182">
        <v>174</v>
      </c>
      <c r="G182">
        <v>90.53</v>
      </c>
      <c r="H182">
        <v>3</v>
      </c>
    </row>
    <row r="183" spans="1:8" x14ac:dyDescent="0.25">
      <c r="A183" t="s">
        <v>190</v>
      </c>
      <c r="B183" t="s">
        <v>223</v>
      </c>
      <c r="C183" t="s">
        <v>24</v>
      </c>
      <c r="D183">
        <v>58</v>
      </c>
      <c r="E183" t="s">
        <v>19</v>
      </c>
      <c r="F183">
        <v>405</v>
      </c>
      <c r="G183">
        <v>18.39</v>
      </c>
      <c r="H183">
        <v>0</v>
      </c>
    </row>
    <row r="184" spans="1:8" x14ac:dyDescent="0.25">
      <c r="A184" t="s">
        <v>190</v>
      </c>
      <c r="B184" t="s">
        <v>224</v>
      </c>
      <c r="C184" t="s">
        <v>67</v>
      </c>
      <c r="D184">
        <v>111</v>
      </c>
      <c r="E184" t="s">
        <v>11</v>
      </c>
      <c r="F184">
        <v>43</v>
      </c>
      <c r="G184">
        <v>19.39</v>
      </c>
      <c r="H184">
        <v>3</v>
      </c>
    </row>
    <row r="185" spans="1:8" x14ac:dyDescent="0.25">
      <c r="A185" t="s">
        <v>190</v>
      </c>
      <c r="B185" t="s">
        <v>225</v>
      </c>
      <c r="C185" t="s">
        <v>44</v>
      </c>
      <c r="D185">
        <v>31</v>
      </c>
      <c r="E185" t="s">
        <v>19</v>
      </c>
      <c r="F185">
        <v>160</v>
      </c>
      <c r="G185">
        <v>59.76</v>
      </c>
      <c r="H185">
        <v>4</v>
      </c>
    </row>
    <row r="186" spans="1:8" x14ac:dyDescent="0.25">
      <c r="A186" t="s">
        <v>190</v>
      </c>
      <c r="B186" t="s">
        <v>226</v>
      </c>
      <c r="C186" t="s">
        <v>73</v>
      </c>
      <c r="D186">
        <v>51</v>
      </c>
      <c r="E186" t="s">
        <v>22</v>
      </c>
      <c r="F186">
        <v>433</v>
      </c>
      <c r="G186">
        <v>12.89</v>
      </c>
      <c r="H186">
        <v>1</v>
      </c>
    </row>
    <row r="187" spans="1:8" x14ac:dyDescent="0.25">
      <c r="A187" t="s">
        <v>190</v>
      </c>
      <c r="B187" t="s">
        <v>227</v>
      </c>
      <c r="C187" t="s">
        <v>89</v>
      </c>
      <c r="D187">
        <v>28</v>
      </c>
      <c r="E187" t="s">
        <v>11</v>
      </c>
      <c r="F187">
        <v>96</v>
      </c>
      <c r="G187">
        <v>72.010000000000005</v>
      </c>
      <c r="H187">
        <v>4</v>
      </c>
    </row>
    <row r="188" spans="1:8" x14ac:dyDescent="0.25">
      <c r="A188" t="s">
        <v>190</v>
      </c>
      <c r="B188" t="s">
        <v>228</v>
      </c>
      <c r="C188" t="s">
        <v>26</v>
      </c>
      <c r="D188">
        <v>40</v>
      </c>
      <c r="E188" t="s">
        <v>22</v>
      </c>
      <c r="F188">
        <v>219</v>
      </c>
      <c r="G188">
        <v>53.98</v>
      </c>
      <c r="H188">
        <v>2</v>
      </c>
    </row>
    <row r="189" spans="1:8" x14ac:dyDescent="0.25">
      <c r="A189" t="s">
        <v>190</v>
      </c>
      <c r="B189" t="s">
        <v>229</v>
      </c>
      <c r="C189" t="s">
        <v>33</v>
      </c>
      <c r="D189">
        <v>55</v>
      </c>
      <c r="E189" t="s">
        <v>11</v>
      </c>
      <c r="F189">
        <v>394</v>
      </c>
      <c r="G189">
        <v>26.8</v>
      </c>
      <c r="H189">
        <v>4</v>
      </c>
    </row>
    <row r="190" spans="1:8" x14ac:dyDescent="0.25">
      <c r="A190" t="s">
        <v>190</v>
      </c>
      <c r="B190" t="s">
        <v>230</v>
      </c>
      <c r="C190" t="s">
        <v>18</v>
      </c>
      <c r="D190">
        <v>114</v>
      </c>
      <c r="E190" t="s">
        <v>11</v>
      </c>
      <c r="F190">
        <v>482</v>
      </c>
      <c r="G190">
        <v>16.25</v>
      </c>
      <c r="H190">
        <v>3</v>
      </c>
    </row>
    <row r="191" spans="1:8" x14ac:dyDescent="0.25">
      <c r="A191" t="s">
        <v>190</v>
      </c>
      <c r="B191" t="s">
        <v>231</v>
      </c>
      <c r="C191" t="s">
        <v>40</v>
      </c>
      <c r="D191">
        <v>49</v>
      </c>
      <c r="E191" t="s">
        <v>11</v>
      </c>
      <c r="F191">
        <v>357</v>
      </c>
      <c r="G191">
        <v>96.67</v>
      </c>
      <c r="H191">
        <v>3</v>
      </c>
    </row>
    <row r="192" spans="1:8" x14ac:dyDescent="0.25">
      <c r="A192" t="s">
        <v>190</v>
      </c>
      <c r="B192" t="s">
        <v>232</v>
      </c>
      <c r="C192" t="s">
        <v>24</v>
      </c>
      <c r="D192">
        <v>74</v>
      </c>
      <c r="E192" t="s">
        <v>11</v>
      </c>
      <c r="F192">
        <v>213</v>
      </c>
      <c r="G192">
        <v>35.54</v>
      </c>
      <c r="H192">
        <v>3</v>
      </c>
    </row>
    <row r="193" spans="1:8" x14ac:dyDescent="0.25">
      <c r="A193" t="s">
        <v>190</v>
      </c>
      <c r="B193" t="s">
        <v>233</v>
      </c>
      <c r="C193" t="s">
        <v>26</v>
      </c>
      <c r="D193">
        <v>21</v>
      </c>
      <c r="E193" t="s">
        <v>22</v>
      </c>
      <c r="F193">
        <v>107</v>
      </c>
      <c r="G193">
        <v>30.97</v>
      </c>
      <c r="H193">
        <v>4</v>
      </c>
    </row>
    <row r="194" spans="1:8" x14ac:dyDescent="0.25">
      <c r="A194" t="s">
        <v>190</v>
      </c>
      <c r="B194" t="s">
        <v>234</v>
      </c>
      <c r="C194" t="s">
        <v>24</v>
      </c>
      <c r="D194">
        <v>120</v>
      </c>
      <c r="E194" t="s">
        <v>22</v>
      </c>
      <c r="F194">
        <v>224</v>
      </c>
      <c r="G194">
        <v>69.36</v>
      </c>
      <c r="H194">
        <v>0</v>
      </c>
    </row>
    <row r="195" spans="1:8" x14ac:dyDescent="0.25">
      <c r="A195" t="s">
        <v>190</v>
      </c>
      <c r="B195" t="s">
        <v>235</v>
      </c>
      <c r="C195" t="s">
        <v>13</v>
      </c>
      <c r="D195">
        <v>108</v>
      </c>
      <c r="E195" t="s">
        <v>11</v>
      </c>
      <c r="F195">
        <v>230</v>
      </c>
      <c r="G195">
        <v>16.3</v>
      </c>
      <c r="H195">
        <v>5</v>
      </c>
    </row>
    <row r="196" spans="1:8" x14ac:dyDescent="0.25">
      <c r="A196" t="s">
        <v>190</v>
      </c>
      <c r="B196" t="s">
        <v>236</v>
      </c>
      <c r="C196" t="s">
        <v>31</v>
      </c>
      <c r="D196">
        <v>48</v>
      </c>
      <c r="E196" t="s">
        <v>19</v>
      </c>
      <c r="F196">
        <v>436</v>
      </c>
      <c r="G196">
        <v>15.17</v>
      </c>
      <c r="H196">
        <v>0</v>
      </c>
    </row>
    <row r="197" spans="1:8" x14ac:dyDescent="0.25">
      <c r="A197" t="s">
        <v>190</v>
      </c>
      <c r="B197" t="s">
        <v>237</v>
      </c>
      <c r="C197" t="s">
        <v>40</v>
      </c>
      <c r="D197">
        <v>33</v>
      </c>
      <c r="E197" t="s">
        <v>11</v>
      </c>
      <c r="F197">
        <v>285</v>
      </c>
      <c r="G197">
        <v>56.67</v>
      </c>
      <c r="H197">
        <v>2</v>
      </c>
    </row>
    <row r="198" spans="1:8" x14ac:dyDescent="0.25">
      <c r="A198" t="s">
        <v>190</v>
      </c>
      <c r="B198" t="s">
        <v>238</v>
      </c>
      <c r="C198" t="s">
        <v>29</v>
      </c>
      <c r="D198">
        <v>71</v>
      </c>
      <c r="E198" t="s">
        <v>11</v>
      </c>
      <c r="F198">
        <v>15</v>
      </c>
      <c r="G198">
        <v>25.46</v>
      </c>
      <c r="H198">
        <v>5</v>
      </c>
    </row>
    <row r="199" spans="1:8" x14ac:dyDescent="0.25">
      <c r="A199" t="s">
        <v>190</v>
      </c>
      <c r="B199" t="s">
        <v>239</v>
      </c>
      <c r="C199" t="s">
        <v>73</v>
      </c>
      <c r="D199">
        <v>11</v>
      </c>
      <c r="E199" t="s">
        <v>11</v>
      </c>
      <c r="F199">
        <v>191</v>
      </c>
      <c r="G199">
        <v>87.37</v>
      </c>
      <c r="H199">
        <v>3</v>
      </c>
    </row>
    <row r="200" spans="1:8" x14ac:dyDescent="0.25">
      <c r="A200" t="s">
        <v>190</v>
      </c>
      <c r="B200" t="s">
        <v>240</v>
      </c>
      <c r="C200" t="s">
        <v>131</v>
      </c>
      <c r="D200">
        <v>18</v>
      </c>
      <c r="E200" t="s">
        <v>14</v>
      </c>
      <c r="F200">
        <v>71</v>
      </c>
      <c r="G200">
        <v>46.98</v>
      </c>
      <c r="H200">
        <v>2</v>
      </c>
    </row>
    <row r="201" spans="1:8" x14ac:dyDescent="0.25">
      <c r="A201" t="s">
        <v>241</v>
      </c>
      <c r="B201" t="s">
        <v>242</v>
      </c>
      <c r="C201" t="s">
        <v>35</v>
      </c>
      <c r="D201">
        <v>27</v>
      </c>
      <c r="E201" t="s">
        <v>11</v>
      </c>
      <c r="F201">
        <v>61</v>
      </c>
      <c r="G201">
        <v>97.51</v>
      </c>
      <c r="H201">
        <v>5</v>
      </c>
    </row>
    <row r="202" spans="1:8" x14ac:dyDescent="0.25">
      <c r="A202" t="s">
        <v>241</v>
      </c>
      <c r="B202" t="s">
        <v>243</v>
      </c>
      <c r="C202" t="s">
        <v>131</v>
      </c>
      <c r="D202">
        <v>65</v>
      </c>
      <c r="E202" t="s">
        <v>19</v>
      </c>
      <c r="F202">
        <v>118</v>
      </c>
      <c r="G202">
        <v>72.430000000000007</v>
      </c>
      <c r="H202">
        <v>1</v>
      </c>
    </row>
    <row r="203" spans="1:8" x14ac:dyDescent="0.25">
      <c r="A203" t="s">
        <v>241</v>
      </c>
      <c r="B203" t="s">
        <v>244</v>
      </c>
      <c r="C203" t="s">
        <v>31</v>
      </c>
      <c r="D203">
        <v>6</v>
      </c>
      <c r="E203" t="s">
        <v>14</v>
      </c>
      <c r="F203">
        <v>109</v>
      </c>
      <c r="G203">
        <v>39.880000000000003</v>
      </c>
      <c r="H203">
        <v>4</v>
      </c>
    </row>
    <row r="204" spans="1:8" x14ac:dyDescent="0.25">
      <c r="A204" t="s">
        <v>241</v>
      </c>
      <c r="B204" t="s">
        <v>245</v>
      </c>
      <c r="C204" t="s">
        <v>24</v>
      </c>
      <c r="D204">
        <v>60</v>
      </c>
      <c r="E204" t="s">
        <v>22</v>
      </c>
      <c r="F204">
        <v>54</v>
      </c>
      <c r="G204">
        <v>67.180000000000007</v>
      </c>
      <c r="H204">
        <v>3</v>
      </c>
    </row>
    <row r="205" spans="1:8" x14ac:dyDescent="0.25">
      <c r="A205" t="s">
        <v>241</v>
      </c>
      <c r="B205" t="s">
        <v>246</v>
      </c>
      <c r="C205" t="s">
        <v>29</v>
      </c>
      <c r="D205">
        <v>4</v>
      </c>
      <c r="E205" t="s">
        <v>19</v>
      </c>
      <c r="F205">
        <v>182</v>
      </c>
      <c r="G205">
        <v>89.56</v>
      </c>
      <c r="H205">
        <v>4</v>
      </c>
    </row>
    <row r="206" spans="1:8" x14ac:dyDescent="0.25">
      <c r="A206" t="s">
        <v>241</v>
      </c>
      <c r="B206" t="s">
        <v>247</v>
      </c>
      <c r="C206" t="s">
        <v>10</v>
      </c>
      <c r="D206">
        <v>10</v>
      </c>
      <c r="E206" t="s">
        <v>19</v>
      </c>
      <c r="F206">
        <v>165</v>
      </c>
      <c r="G206">
        <v>38.619999999999997</v>
      </c>
      <c r="H206">
        <v>2</v>
      </c>
    </row>
    <row r="207" spans="1:8" x14ac:dyDescent="0.25">
      <c r="A207" t="s">
        <v>241</v>
      </c>
      <c r="B207" t="s">
        <v>248</v>
      </c>
      <c r="C207" t="s">
        <v>57</v>
      </c>
      <c r="D207">
        <v>82</v>
      </c>
      <c r="E207" t="s">
        <v>11</v>
      </c>
      <c r="F207">
        <v>88</v>
      </c>
      <c r="G207">
        <v>86.64</v>
      </c>
      <c r="H207">
        <v>1</v>
      </c>
    </row>
    <row r="208" spans="1:8" x14ac:dyDescent="0.25">
      <c r="A208" t="s">
        <v>241</v>
      </c>
      <c r="B208" t="s">
        <v>249</v>
      </c>
      <c r="C208" t="s">
        <v>29</v>
      </c>
      <c r="D208">
        <v>89</v>
      </c>
      <c r="E208" t="s">
        <v>22</v>
      </c>
      <c r="F208">
        <v>7</v>
      </c>
      <c r="G208">
        <v>53.39</v>
      </c>
      <c r="H208">
        <v>3</v>
      </c>
    </row>
    <row r="209" spans="1:8" x14ac:dyDescent="0.25">
      <c r="A209" t="s">
        <v>241</v>
      </c>
      <c r="B209" t="s">
        <v>250</v>
      </c>
      <c r="C209" t="s">
        <v>31</v>
      </c>
      <c r="D209">
        <v>87</v>
      </c>
      <c r="E209" t="s">
        <v>14</v>
      </c>
      <c r="F209">
        <v>205</v>
      </c>
      <c r="G209">
        <v>40.159999999999997</v>
      </c>
      <c r="H209">
        <v>5</v>
      </c>
    </row>
    <row r="210" spans="1:8" x14ac:dyDescent="0.25">
      <c r="A210" t="s">
        <v>241</v>
      </c>
      <c r="B210" t="s">
        <v>251</v>
      </c>
      <c r="C210" t="s">
        <v>18</v>
      </c>
      <c r="D210">
        <v>96</v>
      </c>
      <c r="E210" t="s">
        <v>11</v>
      </c>
      <c r="F210">
        <v>334</v>
      </c>
      <c r="G210">
        <v>64.77</v>
      </c>
      <c r="H210">
        <v>0</v>
      </c>
    </row>
    <row r="211" spans="1:8" x14ac:dyDescent="0.25">
      <c r="A211" t="s">
        <v>241</v>
      </c>
      <c r="B211" t="s">
        <v>252</v>
      </c>
      <c r="C211" t="s">
        <v>10</v>
      </c>
      <c r="D211">
        <v>60</v>
      </c>
      <c r="E211" t="s">
        <v>22</v>
      </c>
      <c r="F211">
        <v>161</v>
      </c>
      <c r="G211">
        <v>62.65</v>
      </c>
      <c r="H211">
        <v>0</v>
      </c>
    </row>
    <row r="212" spans="1:8" x14ac:dyDescent="0.25">
      <c r="A212" t="s">
        <v>241</v>
      </c>
      <c r="B212" t="s">
        <v>253</v>
      </c>
      <c r="C212" t="s">
        <v>127</v>
      </c>
      <c r="D212">
        <v>49</v>
      </c>
      <c r="E212" t="s">
        <v>22</v>
      </c>
      <c r="F212">
        <v>6</v>
      </c>
      <c r="G212">
        <v>44.41</v>
      </c>
      <c r="H212">
        <v>3</v>
      </c>
    </row>
    <row r="213" spans="1:8" x14ac:dyDescent="0.25">
      <c r="A213" t="s">
        <v>241</v>
      </c>
      <c r="B213" t="s">
        <v>254</v>
      </c>
      <c r="C213" t="s">
        <v>131</v>
      </c>
      <c r="D213">
        <v>44</v>
      </c>
      <c r="E213" t="s">
        <v>19</v>
      </c>
      <c r="F213">
        <v>199</v>
      </c>
      <c r="G213">
        <v>67.650000000000006</v>
      </c>
      <c r="H213">
        <v>0</v>
      </c>
    </row>
    <row r="214" spans="1:8" x14ac:dyDescent="0.25">
      <c r="A214" t="s">
        <v>241</v>
      </c>
      <c r="B214" t="s">
        <v>255</v>
      </c>
      <c r="C214" t="s">
        <v>13</v>
      </c>
      <c r="D214">
        <v>96</v>
      </c>
      <c r="E214" t="s">
        <v>22</v>
      </c>
      <c r="F214">
        <v>108</v>
      </c>
      <c r="G214">
        <v>30.92</v>
      </c>
      <c r="H214">
        <v>1</v>
      </c>
    </row>
    <row r="215" spans="1:8" x14ac:dyDescent="0.25">
      <c r="A215" t="s">
        <v>241</v>
      </c>
      <c r="B215" t="s">
        <v>256</v>
      </c>
      <c r="C215" t="s">
        <v>29</v>
      </c>
      <c r="D215">
        <v>52</v>
      </c>
      <c r="E215" t="s">
        <v>14</v>
      </c>
      <c r="F215">
        <v>234</v>
      </c>
      <c r="G215">
        <v>62.87</v>
      </c>
      <c r="H215">
        <v>0</v>
      </c>
    </row>
    <row r="216" spans="1:8" x14ac:dyDescent="0.25">
      <c r="A216" t="s">
        <v>241</v>
      </c>
      <c r="B216" t="s">
        <v>257</v>
      </c>
      <c r="C216" t="s">
        <v>37</v>
      </c>
      <c r="D216">
        <v>110</v>
      </c>
      <c r="E216" t="s">
        <v>19</v>
      </c>
      <c r="F216">
        <v>112</v>
      </c>
      <c r="G216">
        <v>98.95</v>
      </c>
      <c r="H216">
        <v>5</v>
      </c>
    </row>
    <row r="217" spans="1:8" x14ac:dyDescent="0.25">
      <c r="A217" t="s">
        <v>241</v>
      </c>
      <c r="B217" t="s">
        <v>258</v>
      </c>
      <c r="C217" t="s">
        <v>89</v>
      </c>
      <c r="D217">
        <v>25</v>
      </c>
      <c r="E217" t="s">
        <v>19</v>
      </c>
      <c r="F217">
        <v>33</v>
      </c>
      <c r="G217">
        <v>30.93</v>
      </c>
      <c r="H217">
        <v>1</v>
      </c>
    </row>
    <row r="218" spans="1:8" x14ac:dyDescent="0.25">
      <c r="A218" t="s">
        <v>241</v>
      </c>
      <c r="B218" t="s">
        <v>259</v>
      </c>
      <c r="C218" t="s">
        <v>51</v>
      </c>
      <c r="D218">
        <v>51</v>
      </c>
      <c r="E218" t="s">
        <v>14</v>
      </c>
      <c r="F218">
        <v>336</v>
      </c>
      <c r="G218">
        <v>65.47</v>
      </c>
      <c r="H218">
        <v>1</v>
      </c>
    </row>
    <row r="219" spans="1:8" x14ac:dyDescent="0.25">
      <c r="A219" t="s">
        <v>241</v>
      </c>
      <c r="B219" t="s">
        <v>260</v>
      </c>
      <c r="C219" t="s">
        <v>131</v>
      </c>
      <c r="D219">
        <v>5</v>
      </c>
      <c r="E219" t="s">
        <v>11</v>
      </c>
      <c r="F219">
        <v>417</v>
      </c>
      <c r="G219">
        <v>90.71</v>
      </c>
      <c r="H219">
        <v>1</v>
      </c>
    </row>
    <row r="220" spans="1:8" x14ac:dyDescent="0.25">
      <c r="A220" t="s">
        <v>241</v>
      </c>
      <c r="B220" t="s">
        <v>261</v>
      </c>
      <c r="C220" t="s">
        <v>37</v>
      </c>
      <c r="D220">
        <v>2</v>
      </c>
      <c r="E220" t="s">
        <v>14</v>
      </c>
      <c r="F220">
        <v>142</v>
      </c>
      <c r="G220">
        <v>37.799999999999997</v>
      </c>
      <c r="H220">
        <v>0</v>
      </c>
    </row>
    <row r="221" spans="1:8" x14ac:dyDescent="0.25">
      <c r="A221" t="s">
        <v>241</v>
      </c>
      <c r="B221" t="s">
        <v>262</v>
      </c>
      <c r="C221" t="s">
        <v>62</v>
      </c>
      <c r="D221">
        <v>33</v>
      </c>
      <c r="E221" t="s">
        <v>19</v>
      </c>
      <c r="F221">
        <v>332</v>
      </c>
      <c r="G221">
        <v>76.41</v>
      </c>
      <c r="H221">
        <v>1</v>
      </c>
    </row>
    <row r="222" spans="1:8" x14ac:dyDescent="0.25">
      <c r="A222" t="s">
        <v>241</v>
      </c>
      <c r="B222" t="s">
        <v>263</v>
      </c>
      <c r="C222" t="s">
        <v>57</v>
      </c>
      <c r="D222">
        <v>15</v>
      </c>
      <c r="E222" t="s">
        <v>19</v>
      </c>
      <c r="F222">
        <v>319</v>
      </c>
      <c r="G222">
        <v>78.150000000000006</v>
      </c>
      <c r="H222">
        <v>4</v>
      </c>
    </row>
    <row r="223" spans="1:8" x14ac:dyDescent="0.25">
      <c r="A223" t="s">
        <v>241</v>
      </c>
      <c r="B223" t="s">
        <v>264</v>
      </c>
      <c r="C223" t="s">
        <v>29</v>
      </c>
      <c r="D223">
        <v>91</v>
      </c>
      <c r="E223" t="s">
        <v>19</v>
      </c>
      <c r="F223">
        <v>188</v>
      </c>
      <c r="G223">
        <v>65.78</v>
      </c>
      <c r="H223">
        <v>4</v>
      </c>
    </row>
    <row r="224" spans="1:8" x14ac:dyDescent="0.25">
      <c r="A224" t="s">
        <v>241</v>
      </c>
      <c r="B224" t="s">
        <v>265</v>
      </c>
      <c r="C224" t="s">
        <v>67</v>
      </c>
      <c r="D224">
        <v>118</v>
      </c>
      <c r="E224" t="s">
        <v>14</v>
      </c>
      <c r="F224">
        <v>22</v>
      </c>
      <c r="G224">
        <v>15.39</v>
      </c>
      <c r="H224">
        <v>1</v>
      </c>
    </row>
    <row r="225" spans="1:8" x14ac:dyDescent="0.25">
      <c r="A225" t="s">
        <v>241</v>
      </c>
      <c r="B225" t="s">
        <v>266</v>
      </c>
      <c r="C225" t="s">
        <v>16</v>
      </c>
      <c r="D225">
        <v>18</v>
      </c>
      <c r="E225" t="s">
        <v>22</v>
      </c>
      <c r="F225">
        <v>34</v>
      </c>
      <c r="G225">
        <v>43.71</v>
      </c>
      <c r="H225">
        <v>1</v>
      </c>
    </row>
    <row r="226" spans="1:8" x14ac:dyDescent="0.25">
      <c r="A226" t="s">
        <v>241</v>
      </c>
      <c r="B226" t="s">
        <v>267</v>
      </c>
      <c r="C226" t="s">
        <v>60</v>
      </c>
      <c r="D226">
        <v>42</v>
      </c>
      <c r="E226" t="s">
        <v>22</v>
      </c>
      <c r="F226">
        <v>453</v>
      </c>
      <c r="G226">
        <v>36.700000000000003</v>
      </c>
      <c r="H226">
        <v>4</v>
      </c>
    </row>
    <row r="227" spans="1:8" x14ac:dyDescent="0.25">
      <c r="A227" t="s">
        <v>241</v>
      </c>
      <c r="B227" t="s">
        <v>268</v>
      </c>
      <c r="C227" t="s">
        <v>35</v>
      </c>
      <c r="D227">
        <v>86</v>
      </c>
      <c r="E227" t="s">
        <v>11</v>
      </c>
      <c r="F227">
        <v>111</v>
      </c>
      <c r="G227">
        <v>23.65</v>
      </c>
      <c r="H227">
        <v>0</v>
      </c>
    </row>
    <row r="228" spans="1:8" x14ac:dyDescent="0.25">
      <c r="A228" t="s">
        <v>241</v>
      </c>
      <c r="B228" t="s">
        <v>269</v>
      </c>
      <c r="C228" t="s">
        <v>13</v>
      </c>
      <c r="D228">
        <v>96</v>
      </c>
      <c r="E228" t="s">
        <v>22</v>
      </c>
      <c r="F228">
        <v>210</v>
      </c>
      <c r="G228">
        <v>28.39</v>
      </c>
      <c r="H228">
        <v>3</v>
      </c>
    </row>
    <row r="229" spans="1:8" x14ac:dyDescent="0.25">
      <c r="A229" t="s">
        <v>241</v>
      </c>
      <c r="B229" t="s">
        <v>270</v>
      </c>
      <c r="C229" t="s">
        <v>40</v>
      </c>
      <c r="D229">
        <v>60</v>
      </c>
      <c r="E229" t="s">
        <v>22</v>
      </c>
      <c r="F229">
        <v>154</v>
      </c>
      <c r="G229">
        <v>13.41</v>
      </c>
      <c r="H229">
        <v>5</v>
      </c>
    </row>
    <row r="230" spans="1:8" x14ac:dyDescent="0.25">
      <c r="A230" t="s">
        <v>241</v>
      </c>
      <c r="B230" t="s">
        <v>271</v>
      </c>
      <c r="C230" t="s">
        <v>37</v>
      </c>
      <c r="D230">
        <v>63</v>
      </c>
      <c r="E230" t="s">
        <v>19</v>
      </c>
      <c r="F230">
        <v>392</v>
      </c>
      <c r="G230">
        <v>93.11</v>
      </c>
      <c r="H230">
        <v>3</v>
      </c>
    </row>
    <row r="231" spans="1:8" x14ac:dyDescent="0.25">
      <c r="A231" t="s">
        <v>241</v>
      </c>
      <c r="B231" t="s">
        <v>272</v>
      </c>
      <c r="C231" t="s">
        <v>18</v>
      </c>
      <c r="D231">
        <v>60</v>
      </c>
      <c r="E231" t="s">
        <v>19</v>
      </c>
      <c r="F231">
        <v>306</v>
      </c>
      <c r="G231">
        <v>63.83</v>
      </c>
      <c r="H231">
        <v>2</v>
      </c>
    </row>
    <row r="232" spans="1:8" x14ac:dyDescent="0.25">
      <c r="A232" t="s">
        <v>241</v>
      </c>
      <c r="B232" t="s">
        <v>273</v>
      </c>
      <c r="C232" t="s">
        <v>18</v>
      </c>
      <c r="D232">
        <v>9</v>
      </c>
      <c r="E232" t="s">
        <v>14</v>
      </c>
      <c r="F232">
        <v>255</v>
      </c>
      <c r="G232">
        <v>95.13</v>
      </c>
      <c r="H232">
        <v>1</v>
      </c>
    </row>
    <row r="233" spans="1:8" x14ac:dyDescent="0.25">
      <c r="A233" t="s">
        <v>241</v>
      </c>
      <c r="B233" t="s">
        <v>274</v>
      </c>
      <c r="C233" t="s">
        <v>33</v>
      </c>
      <c r="D233">
        <v>11</v>
      </c>
      <c r="E233" t="s">
        <v>19</v>
      </c>
      <c r="F233">
        <v>52</v>
      </c>
      <c r="G233">
        <v>76.53</v>
      </c>
      <c r="H233">
        <v>5</v>
      </c>
    </row>
    <row r="234" spans="1:8" x14ac:dyDescent="0.25">
      <c r="A234" t="s">
        <v>241</v>
      </c>
      <c r="B234" t="s">
        <v>275</v>
      </c>
      <c r="C234" t="s">
        <v>26</v>
      </c>
      <c r="D234">
        <v>71</v>
      </c>
      <c r="E234" t="s">
        <v>19</v>
      </c>
      <c r="F234">
        <v>364</v>
      </c>
      <c r="G234">
        <v>39.58</v>
      </c>
      <c r="H234">
        <v>1</v>
      </c>
    </row>
    <row r="235" spans="1:8" x14ac:dyDescent="0.25">
      <c r="A235" t="s">
        <v>241</v>
      </c>
      <c r="B235" t="s">
        <v>276</v>
      </c>
      <c r="C235" t="s">
        <v>10</v>
      </c>
      <c r="D235">
        <v>85</v>
      </c>
      <c r="E235" t="s">
        <v>11</v>
      </c>
      <c r="F235">
        <v>274</v>
      </c>
      <c r="G235">
        <v>35.03</v>
      </c>
      <c r="H235">
        <v>1</v>
      </c>
    </row>
    <row r="236" spans="1:8" x14ac:dyDescent="0.25">
      <c r="A236" t="s">
        <v>241</v>
      </c>
      <c r="B236" t="s">
        <v>277</v>
      </c>
      <c r="C236" t="s">
        <v>137</v>
      </c>
      <c r="D236">
        <v>32</v>
      </c>
      <c r="E236" t="s">
        <v>22</v>
      </c>
      <c r="F236">
        <v>405</v>
      </c>
      <c r="G236">
        <v>67.92</v>
      </c>
      <c r="H236">
        <v>3</v>
      </c>
    </row>
    <row r="237" spans="1:8" x14ac:dyDescent="0.25">
      <c r="A237" t="s">
        <v>241</v>
      </c>
      <c r="B237" t="s">
        <v>278</v>
      </c>
      <c r="C237" t="s">
        <v>60</v>
      </c>
      <c r="D237">
        <v>92</v>
      </c>
      <c r="E237" t="s">
        <v>19</v>
      </c>
      <c r="F237">
        <v>472</v>
      </c>
      <c r="G237">
        <v>78.44</v>
      </c>
      <c r="H237">
        <v>1</v>
      </c>
    </row>
    <row r="238" spans="1:8" x14ac:dyDescent="0.25">
      <c r="A238" t="s">
        <v>241</v>
      </c>
      <c r="B238" t="s">
        <v>279</v>
      </c>
      <c r="C238" t="s">
        <v>51</v>
      </c>
      <c r="D238">
        <v>57</v>
      </c>
      <c r="E238" t="s">
        <v>22</v>
      </c>
      <c r="F238">
        <v>435</v>
      </c>
      <c r="G238">
        <v>56.88</v>
      </c>
      <c r="H238">
        <v>4</v>
      </c>
    </row>
    <row r="239" spans="1:8" x14ac:dyDescent="0.25">
      <c r="A239" t="s">
        <v>241</v>
      </c>
      <c r="B239" t="s">
        <v>280</v>
      </c>
      <c r="C239" t="s">
        <v>21</v>
      </c>
      <c r="D239">
        <v>18</v>
      </c>
      <c r="E239" t="s">
        <v>19</v>
      </c>
      <c r="F239">
        <v>291</v>
      </c>
      <c r="G239">
        <v>97.98</v>
      </c>
      <c r="H239">
        <v>1</v>
      </c>
    </row>
    <row r="240" spans="1:8" x14ac:dyDescent="0.25">
      <c r="A240" t="s">
        <v>241</v>
      </c>
      <c r="B240" t="s">
        <v>281</v>
      </c>
      <c r="C240" t="s">
        <v>40</v>
      </c>
      <c r="D240">
        <v>61</v>
      </c>
      <c r="E240" t="s">
        <v>22</v>
      </c>
      <c r="F240">
        <v>87</v>
      </c>
      <c r="G240">
        <v>68.319999999999993</v>
      </c>
      <c r="H240">
        <v>2</v>
      </c>
    </row>
    <row r="241" spans="1:8" x14ac:dyDescent="0.25">
      <c r="A241" t="s">
        <v>241</v>
      </c>
      <c r="B241" t="s">
        <v>282</v>
      </c>
      <c r="C241" t="s">
        <v>137</v>
      </c>
      <c r="D241">
        <v>106</v>
      </c>
      <c r="E241" t="s">
        <v>22</v>
      </c>
      <c r="F241">
        <v>128</v>
      </c>
      <c r="G241">
        <v>35.96</v>
      </c>
      <c r="H241">
        <v>2</v>
      </c>
    </row>
    <row r="242" spans="1:8" x14ac:dyDescent="0.25">
      <c r="A242" t="s">
        <v>241</v>
      </c>
      <c r="B242" t="s">
        <v>283</v>
      </c>
      <c r="C242" t="s">
        <v>51</v>
      </c>
      <c r="D242">
        <v>36</v>
      </c>
      <c r="E242" t="s">
        <v>19</v>
      </c>
      <c r="F242">
        <v>491</v>
      </c>
      <c r="G242">
        <v>12.13</v>
      </c>
      <c r="H242">
        <v>4</v>
      </c>
    </row>
    <row r="243" spans="1:8" x14ac:dyDescent="0.25">
      <c r="A243" t="s">
        <v>241</v>
      </c>
      <c r="B243" t="s">
        <v>284</v>
      </c>
      <c r="C243" t="s">
        <v>73</v>
      </c>
      <c r="D243">
        <v>108</v>
      </c>
      <c r="E243" t="s">
        <v>14</v>
      </c>
      <c r="F243">
        <v>48</v>
      </c>
      <c r="G243">
        <v>86.22</v>
      </c>
      <c r="H243">
        <v>3</v>
      </c>
    </row>
    <row r="244" spans="1:8" x14ac:dyDescent="0.25">
      <c r="A244" t="s">
        <v>241</v>
      </c>
      <c r="B244" t="s">
        <v>285</v>
      </c>
      <c r="C244" t="s">
        <v>137</v>
      </c>
      <c r="D244">
        <v>21</v>
      </c>
      <c r="E244" t="s">
        <v>19</v>
      </c>
      <c r="F244">
        <v>307</v>
      </c>
      <c r="G244">
        <v>39.81</v>
      </c>
      <c r="H244">
        <v>5</v>
      </c>
    </row>
    <row r="245" spans="1:8" x14ac:dyDescent="0.25">
      <c r="A245" t="s">
        <v>241</v>
      </c>
      <c r="B245" t="s">
        <v>286</v>
      </c>
      <c r="C245" t="s">
        <v>137</v>
      </c>
      <c r="D245">
        <v>22</v>
      </c>
      <c r="E245" t="s">
        <v>11</v>
      </c>
      <c r="F245">
        <v>166</v>
      </c>
      <c r="G245">
        <v>31.8</v>
      </c>
      <c r="H245">
        <v>1</v>
      </c>
    </row>
    <row r="246" spans="1:8" x14ac:dyDescent="0.25">
      <c r="A246" t="s">
        <v>241</v>
      </c>
      <c r="B246" t="s">
        <v>287</v>
      </c>
      <c r="C246" t="s">
        <v>78</v>
      </c>
      <c r="D246">
        <v>108</v>
      </c>
      <c r="E246" t="s">
        <v>11</v>
      </c>
      <c r="F246">
        <v>323</v>
      </c>
      <c r="G246">
        <v>58.54</v>
      </c>
      <c r="H246">
        <v>2</v>
      </c>
    </row>
    <row r="247" spans="1:8" x14ac:dyDescent="0.25">
      <c r="A247" t="s">
        <v>241</v>
      </c>
      <c r="B247" t="s">
        <v>288</v>
      </c>
      <c r="C247" t="s">
        <v>10</v>
      </c>
      <c r="D247">
        <v>3</v>
      </c>
      <c r="E247" t="s">
        <v>22</v>
      </c>
      <c r="F247">
        <v>356</v>
      </c>
      <c r="G247">
        <v>91.6</v>
      </c>
      <c r="H247">
        <v>3</v>
      </c>
    </row>
    <row r="248" spans="1:8" x14ac:dyDescent="0.25">
      <c r="A248" t="s">
        <v>241</v>
      </c>
      <c r="B248" t="s">
        <v>289</v>
      </c>
      <c r="C248" t="s">
        <v>127</v>
      </c>
      <c r="D248">
        <v>78</v>
      </c>
      <c r="E248" t="s">
        <v>22</v>
      </c>
      <c r="F248">
        <v>198</v>
      </c>
      <c r="G248">
        <v>69.849999999999994</v>
      </c>
      <c r="H248">
        <v>0</v>
      </c>
    </row>
    <row r="249" spans="1:8" x14ac:dyDescent="0.25">
      <c r="A249" t="s">
        <v>241</v>
      </c>
      <c r="B249" t="s">
        <v>290</v>
      </c>
      <c r="C249" t="s">
        <v>29</v>
      </c>
      <c r="D249">
        <v>13</v>
      </c>
      <c r="E249" t="s">
        <v>14</v>
      </c>
      <c r="F249">
        <v>347</v>
      </c>
      <c r="G249">
        <v>32.35</v>
      </c>
      <c r="H249">
        <v>2</v>
      </c>
    </row>
    <row r="250" spans="1:8" x14ac:dyDescent="0.25">
      <c r="A250" t="s">
        <v>241</v>
      </c>
      <c r="B250" t="s">
        <v>291</v>
      </c>
      <c r="C250" t="s">
        <v>67</v>
      </c>
      <c r="D250">
        <v>23</v>
      </c>
      <c r="E250" t="s">
        <v>14</v>
      </c>
      <c r="F250">
        <v>473</v>
      </c>
      <c r="G250">
        <v>71.86</v>
      </c>
      <c r="H250">
        <v>3</v>
      </c>
    </row>
    <row r="251" spans="1:8" x14ac:dyDescent="0.25">
      <c r="A251" t="s">
        <v>292</v>
      </c>
      <c r="B251" t="s">
        <v>293</v>
      </c>
      <c r="C251" t="s">
        <v>10</v>
      </c>
      <c r="D251">
        <v>96</v>
      </c>
      <c r="E251" t="s">
        <v>22</v>
      </c>
      <c r="F251">
        <v>290</v>
      </c>
      <c r="G251">
        <v>29</v>
      </c>
      <c r="H251">
        <v>3</v>
      </c>
    </row>
    <row r="252" spans="1:8" x14ac:dyDescent="0.25">
      <c r="A252" t="s">
        <v>292</v>
      </c>
      <c r="B252" t="s">
        <v>294</v>
      </c>
      <c r="C252" t="s">
        <v>73</v>
      </c>
      <c r="D252">
        <v>48</v>
      </c>
      <c r="E252" t="s">
        <v>11</v>
      </c>
      <c r="F252">
        <v>416</v>
      </c>
      <c r="G252">
        <v>81.260000000000005</v>
      </c>
      <c r="H252">
        <v>5</v>
      </c>
    </row>
    <row r="253" spans="1:8" x14ac:dyDescent="0.25">
      <c r="A253" t="s">
        <v>292</v>
      </c>
      <c r="B253" t="s">
        <v>295</v>
      </c>
      <c r="C253" t="s">
        <v>31</v>
      </c>
      <c r="D253">
        <v>50</v>
      </c>
      <c r="E253" t="s">
        <v>14</v>
      </c>
      <c r="F253">
        <v>108</v>
      </c>
      <c r="G253">
        <v>43.81</v>
      </c>
      <c r="H253">
        <v>5</v>
      </c>
    </row>
    <row r="254" spans="1:8" x14ac:dyDescent="0.25">
      <c r="A254" t="s">
        <v>292</v>
      </c>
      <c r="B254" t="s">
        <v>296</v>
      </c>
      <c r="C254" t="s">
        <v>18</v>
      </c>
      <c r="D254">
        <v>63</v>
      </c>
      <c r="E254" t="s">
        <v>22</v>
      </c>
      <c r="F254">
        <v>95</v>
      </c>
      <c r="G254">
        <v>56.81</v>
      </c>
      <c r="H254">
        <v>0</v>
      </c>
    </row>
    <row r="255" spans="1:8" x14ac:dyDescent="0.25">
      <c r="A255" t="s">
        <v>292</v>
      </c>
      <c r="B255" t="s">
        <v>297</v>
      </c>
      <c r="C255" t="s">
        <v>10</v>
      </c>
      <c r="D255">
        <v>40</v>
      </c>
      <c r="E255" t="s">
        <v>11</v>
      </c>
      <c r="F255">
        <v>102</v>
      </c>
      <c r="G255">
        <v>96.59</v>
      </c>
      <c r="H255">
        <v>5</v>
      </c>
    </row>
    <row r="256" spans="1:8" x14ac:dyDescent="0.25">
      <c r="A256" t="s">
        <v>292</v>
      </c>
      <c r="B256" t="s">
        <v>298</v>
      </c>
      <c r="C256" t="s">
        <v>137</v>
      </c>
      <c r="D256">
        <v>83</v>
      </c>
      <c r="E256" t="s">
        <v>22</v>
      </c>
      <c r="F256">
        <v>30</v>
      </c>
      <c r="G256">
        <v>33.93</v>
      </c>
      <c r="H256">
        <v>3</v>
      </c>
    </row>
    <row r="257" spans="1:8" x14ac:dyDescent="0.25">
      <c r="A257" t="s">
        <v>292</v>
      </c>
      <c r="B257" t="s">
        <v>299</v>
      </c>
      <c r="C257" t="s">
        <v>44</v>
      </c>
      <c r="D257">
        <v>76</v>
      </c>
      <c r="E257" t="s">
        <v>22</v>
      </c>
      <c r="F257">
        <v>383</v>
      </c>
      <c r="G257">
        <v>53.73</v>
      </c>
      <c r="H257">
        <v>2</v>
      </c>
    </row>
    <row r="258" spans="1:8" x14ac:dyDescent="0.25">
      <c r="A258" t="s">
        <v>292</v>
      </c>
      <c r="B258" t="s">
        <v>300</v>
      </c>
      <c r="C258" t="s">
        <v>24</v>
      </c>
      <c r="D258">
        <v>10</v>
      </c>
      <c r="E258" t="s">
        <v>19</v>
      </c>
      <c r="F258">
        <v>93</v>
      </c>
      <c r="G258">
        <v>78.12</v>
      </c>
      <c r="H258">
        <v>4</v>
      </c>
    </row>
    <row r="259" spans="1:8" x14ac:dyDescent="0.25">
      <c r="A259" t="s">
        <v>292</v>
      </c>
      <c r="B259" t="s">
        <v>301</v>
      </c>
      <c r="C259" t="s">
        <v>64</v>
      </c>
      <c r="D259">
        <v>114</v>
      </c>
      <c r="E259" t="s">
        <v>19</v>
      </c>
      <c r="F259">
        <v>388</v>
      </c>
      <c r="G259">
        <v>40.29</v>
      </c>
      <c r="H259">
        <v>5</v>
      </c>
    </row>
    <row r="260" spans="1:8" x14ac:dyDescent="0.25">
      <c r="A260" t="s">
        <v>292</v>
      </c>
      <c r="B260" t="s">
        <v>302</v>
      </c>
      <c r="C260" t="s">
        <v>137</v>
      </c>
      <c r="D260">
        <v>5</v>
      </c>
      <c r="E260" t="s">
        <v>14</v>
      </c>
      <c r="F260">
        <v>98</v>
      </c>
      <c r="G260">
        <v>71.37</v>
      </c>
      <c r="H260">
        <v>1</v>
      </c>
    </row>
    <row r="261" spans="1:8" x14ac:dyDescent="0.25">
      <c r="A261" t="s">
        <v>292</v>
      </c>
      <c r="B261" t="s">
        <v>303</v>
      </c>
      <c r="C261" t="s">
        <v>131</v>
      </c>
      <c r="D261">
        <v>118</v>
      </c>
      <c r="E261" t="s">
        <v>14</v>
      </c>
      <c r="F261">
        <v>132</v>
      </c>
      <c r="G261">
        <v>40.880000000000003</v>
      </c>
      <c r="H261">
        <v>4</v>
      </c>
    </row>
    <row r="262" spans="1:8" x14ac:dyDescent="0.25">
      <c r="A262" t="s">
        <v>292</v>
      </c>
      <c r="B262" t="s">
        <v>304</v>
      </c>
      <c r="C262" t="s">
        <v>10</v>
      </c>
      <c r="D262">
        <v>16</v>
      </c>
      <c r="E262" t="s">
        <v>19</v>
      </c>
      <c r="F262">
        <v>461</v>
      </c>
      <c r="G262">
        <v>38.369999999999997</v>
      </c>
      <c r="H262">
        <v>4</v>
      </c>
    </row>
    <row r="263" spans="1:8" x14ac:dyDescent="0.25">
      <c r="A263" t="s">
        <v>292</v>
      </c>
      <c r="B263" t="s">
        <v>305</v>
      </c>
      <c r="C263" t="s">
        <v>40</v>
      </c>
      <c r="D263">
        <v>50</v>
      </c>
      <c r="E263" t="s">
        <v>22</v>
      </c>
      <c r="F263">
        <v>446</v>
      </c>
      <c r="G263">
        <v>31.56</v>
      </c>
      <c r="H263">
        <v>5</v>
      </c>
    </row>
    <row r="264" spans="1:8" x14ac:dyDescent="0.25">
      <c r="A264" t="s">
        <v>292</v>
      </c>
      <c r="B264" t="s">
        <v>306</v>
      </c>
      <c r="C264" t="s">
        <v>137</v>
      </c>
      <c r="D264">
        <v>120</v>
      </c>
      <c r="E264" t="s">
        <v>14</v>
      </c>
      <c r="F264">
        <v>209</v>
      </c>
      <c r="G264">
        <v>42.51</v>
      </c>
      <c r="H264">
        <v>4</v>
      </c>
    </row>
    <row r="265" spans="1:8" x14ac:dyDescent="0.25">
      <c r="A265" t="s">
        <v>292</v>
      </c>
      <c r="B265" t="s">
        <v>307</v>
      </c>
      <c r="C265" t="s">
        <v>35</v>
      </c>
      <c r="D265">
        <v>73</v>
      </c>
      <c r="E265" t="s">
        <v>22</v>
      </c>
      <c r="F265">
        <v>225</v>
      </c>
      <c r="G265">
        <v>45.86</v>
      </c>
      <c r="H265">
        <v>0</v>
      </c>
    </row>
    <row r="266" spans="1:8" x14ac:dyDescent="0.25">
      <c r="A266" t="s">
        <v>292</v>
      </c>
      <c r="B266" t="s">
        <v>308</v>
      </c>
      <c r="C266" t="s">
        <v>31</v>
      </c>
      <c r="D266">
        <v>21</v>
      </c>
      <c r="E266" t="s">
        <v>14</v>
      </c>
      <c r="F266">
        <v>320</v>
      </c>
      <c r="G266">
        <v>64.97</v>
      </c>
      <c r="H266">
        <v>1</v>
      </c>
    </row>
    <row r="267" spans="1:8" x14ac:dyDescent="0.25">
      <c r="A267" t="s">
        <v>292</v>
      </c>
      <c r="B267" t="s">
        <v>309</v>
      </c>
      <c r="C267" t="s">
        <v>60</v>
      </c>
      <c r="D267">
        <v>25</v>
      </c>
      <c r="E267" t="s">
        <v>11</v>
      </c>
      <c r="F267">
        <v>467</v>
      </c>
      <c r="G267">
        <v>97.78</v>
      </c>
      <c r="H267">
        <v>3</v>
      </c>
    </row>
    <row r="268" spans="1:8" x14ac:dyDescent="0.25">
      <c r="A268" t="s">
        <v>292</v>
      </c>
      <c r="B268" t="s">
        <v>310</v>
      </c>
      <c r="C268" t="s">
        <v>44</v>
      </c>
      <c r="D268">
        <v>98</v>
      </c>
      <c r="E268" t="s">
        <v>11</v>
      </c>
      <c r="F268">
        <v>319</v>
      </c>
      <c r="G268">
        <v>88.58</v>
      </c>
      <c r="H268">
        <v>0</v>
      </c>
    </row>
    <row r="269" spans="1:8" x14ac:dyDescent="0.25">
      <c r="A269" t="s">
        <v>292</v>
      </c>
      <c r="B269" t="s">
        <v>311</v>
      </c>
      <c r="C269" t="s">
        <v>60</v>
      </c>
      <c r="D269">
        <v>56</v>
      </c>
      <c r="E269" t="s">
        <v>14</v>
      </c>
      <c r="F269">
        <v>55</v>
      </c>
      <c r="G269">
        <v>82.56</v>
      </c>
      <c r="H269">
        <v>2</v>
      </c>
    </row>
    <row r="270" spans="1:8" x14ac:dyDescent="0.25">
      <c r="A270" t="s">
        <v>292</v>
      </c>
      <c r="B270" t="s">
        <v>312</v>
      </c>
      <c r="C270" t="s">
        <v>18</v>
      </c>
      <c r="D270">
        <v>33</v>
      </c>
      <c r="E270" t="s">
        <v>11</v>
      </c>
      <c r="F270">
        <v>444</v>
      </c>
      <c r="G270">
        <v>10.28</v>
      </c>
      <c r="H270">
        <v>5</v>
      </c>
    </row>
    <row r="271" spans="1:8" x14ac:dyDescent="0.25">
      <c r="A271" t="s">
        <v>292</v>
      </c>
      <c r="B271" t="s">
        <v>313</v>
      </c>
      <c r="C271" t="s">
        <v>29</v>
      </c>
      <c r="D271">
        <v>99</v>
      </c>
      <c r="E271" t="s">
        <v>14</v>
      </c>
      <c r="F271">
        <v>325</v>
      </c>
      <c r="G271">
        <v>88.35</v>
      </c>
      <c r="H271">
        <v>4</v>
      </c>
    </row>
    <row r="272" spans="1:8" x14ac:dyDescent="0.25">
      <c r="A272" t="s">
        <v>292</v>
      </c>
      <c r="B272" t="s">
        <v>314</v>
      </c>
      <c r="C272" t="s">
        <v>67</v>
      </c>
      <c r="D272">
        <v>117</v>
      </c>
      <c r="E272" t="s">
        <v>19</v>
      </c>
      <c r="F272">
        <v>85</v>
      </c>
      <c r="G272">
        <v>46.16</v>
      </c>
      <c r="H272">
        <v>3</v>
      </c>
    </row>
    <row r="273" spans="1:8" x14ac:dyDescent="0.25">
      <c r="A273" t="s">
        <v>292</v>
      </c>
      <c r="B273" t="s">
        <v>315</v>
      </c>
      <c r="C273" t="s">
        <v>131</v>
      </c>
      <c r="D273">
        <v>97</v>
      </c>
      <c r="E273" t="s">
        <v>19</v>
      </c>
      <c r="F273">
        <v>40</v>
      </c>
      <c r="G273">
        <v>85.19</v>
      </c>
      <c r="H273">
        <v>1</v>
      </c>
    </row>
    <row r="274" spans="1:8" x14ac:dyDescent="0.25">
      <c r="A274" t="s">
        <v>292</v>
      </c>
      <c r="B274" t="s">
        <v>316</v>
      </c>
      <c r="C274" t="s">
        <v>127</v>
      </c>
      <c r="D274">
        <v>93</v>
      </c>
      <c r="E274" t="s">
        <v>11</v>
      </c>
      <c r="F274">
        <v>150</v>
      </c>
      <c r="G274">
        <v>93.25</v>
      </c>
      <c r="H274">
        <v>3</v>
      </c>
    </row>
    <row r="275" spans="1:8" x14ac:dyDescent="0.25">
      <c r="A275" t="s">
        <v>292</v>
      </c>
      <c r="B275" t="s">
        <v>317</v>
      </c>
      <c r="C275" t="s">
        <v>35</v>
      </c>
      <c r="D275">
        <v>45</v>
      </c>
      <c r="E275" t="s">
        <v>22</v>
      </c>
      <c r="F275">
        <v>43</v>
      </c>
      <c r="G275">
        <v>12.31</v>
      </c>
      <c r="H275">
        <v>0</v>
      </c>
    </row>
    <row r="276" spans="1:8" x14ac:dyDescent="0.25">
      <c r="A276" t="s">
        <v>292</v>
      </c>
      <c r="B276" t="s">
        <v>318</v>
      </c>
      <c r="C276" t="s">
        <v>127</v>
      </c>
      <c r="D276">
        <v>66</v>
      </c>
      <c r="E276" t="s">
        <v>11</v>
      </c>
      <c r="F276">
        <v>193</v>
      </c>
      <c r="G276">
        <v>21.06</v>
      </c>
      <c r="H276">
        <v>3</v>
      </c>
    </row>
    <row r="277" spans="1:8" x14ac:dyDescent="0.25">
      <c r="A277" t="s">
        <v>292</v>
      </c>
      <c r="B277" t="s">
        <v>319</v>
      </c>
      <c r="C277" t="s">
        <v>35</v>
      </c>
      <c r="D277">
        <v>91</v>
      </c>
      <c r="E277" t="s">
        <v>22</v>
      </c>
      <c r="F277">
        <v>63</v>
      </c>
      <c r="G277">
        <v>57.76</v>
      </c>
      <c r="H277">
        <v>5</v>
      </c>
    </row>
    <row r="278" spans="1:8" x14ac:dyDescent="0.25">
      <c r="A278" t="s">
        <v>292</v>
      </c>
      <c r="B278" t="s">
        <v>320</v>
      </c>
      <c r="C278" t="s">
        <v>131</v>
      </c>
      <c r="D278">
        <v>63</v>
      </c>
      <c r="E278" t="s">
        <v>14</v>
      </c>
      <c r="F278">
        <v>141</v>
      </c>
      <c r="G278">
        <v>95.6</v>
      </c>
      <c r="H278">
        <v>4</v>
      </c>
    </row>
    <row r="279" spans="1:8" x14ac:dyDescent="0.25">
      <c r="A279" t="s">
        <v>292</v>
      </c>
      <c r="B279" t="s">
        <v>321</v>
      </c>
      <c r="C279" t="s">
        <v>60</v>
      </c>
      <c r="D279">
        <v>82</v>
      </c>
      <c r="E279" t="s">
        <v>11</v>
      </c>
      <c r="F279">
        <v>32</v>
      </c>
      <c r="G279">
        <v>77.63</v>
      </c>
      <c r="H279">
        <v>1</v>
      </c>
    </row>
    <row r="280" spans="1:8" x14ac:dyDescent="0.25">
      <c r="A280" t="s">
        <v>292</v>
      </c>
      <c r="B280" t="s">
        <v>322</v>
      </c>
      <c r="C280" t="s">
        <v>31</v>
      </c>
      <c r="D280">
        <v>89</v>
      </c>
      <c r="E280" t="s">
        <v>19</v>
      </c>
      <c r="F280">
        <v>175</v>
      </c>
      <c r="G280">
        <v>32.369999999999997</v>
      </c>
      <c r="H280">
        <v>1</v>
      </c>
    </row>
    <row r="281" spans="1:8" x14ac:dyDescent="0.25">
      <c r="A281" t="s">
        <v>292</v>
      </c>
      <c r="B281" t="s">
        <v>323</v>
      </c>
      <c r="C281" t="s">
        <v>26</v>
      </c>
      <c r="D281">
        <v>48</v>
      </c>
      <c r="E281" t="s">
        <v>22</v>
      </c>
      <c r="F281">
        <v>15</v>
      </c>
      <c r="G281">
        <v>50.67</v>
      </c>
      <c r="H281">
        <v>1</v>
      </c>
    </row>
    <row r="282" spans="1:8" x14ac:dyDescent="0.25">
      <c r="A282" t="s">
        <v>292</v>
      </c>
      <c r="B282" t="s">
        <v>324</v>
      </c>
      <c r="C282" t="s">
        <v>40</v>
      </c>
      <c r="D282">
        <v>90</v>
      </c>
      <c r="E282" t="s">
        <v>14</v>
      </c>
      <c r="F282">
        <v>299</v>
      </c>
      <c r="G282">
        <v>71.760000000000005</v>
      </c>
      <c r="H282">
        <v>1</v>
      </c>
    </row>
    <row r="283" spans="1:8" x14ac:dyDescent="0.25">
      <c r="A283" t="s">
        <v>292</v>
      </c>
      <c r="B283" t="s">
        <v>325</v>
      </c>
      <c r="C283" t="s">
        <v>78</v>
      </c>
      <c r="D283">
        <v>8</v>
      </c>
      <c r="E283" t="s">
        <v>19</v>
      </c>
      <c r="F283">
        <v>120</v>
      </c>
      <c r="G283">
        <v>88.29</v>
      </c>
      <c r="H283">
        <v>5</v>
      </c>
    </row>
    <row r="284" spans="1:8" x14ac:dyDescent="0.25">
      <c r="A284" t="s">
        <v>292</v>
      </c>
      <c r="B284" t="s">
        <v>326</v>
      </c>
      <c r="C284" t="s">
        <v>44</v>
      </c>
      <c r="D284">
        <v>84</v>
      </c>
      <c r="E284" t="s">
        <v>19</v>
      </c>
      <c r="F284">
        <v>244</v>
      </c>
      <c r="G284">
        <v>56.34</v>
      </c>
      <c r="H284">
        <v>5</v>
      </c>
    </row>
    <row r="285" spans="1:8" x14ac:dyDescent="0.25">
      <c r="A285" t="s">
        <v>292</v>
      </c>
      <c r="B285" t="s">
        <v>327</v>
      </c>
      <c r="C285" t="s">
        <v>37</v>
      </c>
      <c r="D285">
        <v>50</v>
      </c>
      <c r="E285" t="s">
        <v>19</v>
      </c>
      <c r="F285">
        <v>248</v>
      </c>
      <c r="G285">
        <v>69.42</v>
      </c>
      <c r="H285">
        <v>0</v>
      </c>
    </row>
    <row r="286" spans="1:8" x14ac:dyDescent="0.25">
      <c r="A286" t="s">
        <v>292</v>
      </c>
      <c r="B286" t="s">
        <v>328</v>
      </c>
      <c r="C286" t="s">
        <v>26</v>
      </c>
      <c r="D286">
        <v>119</v>
      </c>
      <c r="E286" t="s">
        <v>14</v>
      </c>
      <c r="F286">
        <v>344</v>
      </c>
      <c r="G286">
        <v>10.28</v>
      </c>
      <c r="H286">
        <v>0</v>
      </c>
    </row>
    <row r="287" spans="1:8" x14ac:dyDescent="0.25">
      <c r="A287" t="s">
        <v>292</v>
      </c>
      <c r="B287" t="s">
        <v>329</v>
      </c>
      <c r="C287" t="s">
        <v>33</v>
      </c>
      <c r="D287">
        <v>55</v>
      </c>
      <c r="E287" t="s">
        <v>14</v>
      </c>
      <c r="F287">
        <v>389</v>
      </c>
      <c r="G287">
        <v>67.430000000000007</v>
      </c>
      <c r="H287">
        <v>3</v>
      </c>
    </row>
    <row r="288" spans="1:8" x14ac:dyDescent="0.25">
      <c r="A288" t="s">
        <v>292</v>
      </c>
      <c r="B288" t="s">
        <v>330</v>
      </c>
      <c r="C288" t="s">
        <v>44</v>
      </c>
      <c r="D288">
        <v>95</v>
      </c>
      <c r="E288" t="s">
        <v>11</v>
      </c>
      <c r="F288">
        <v>51</v>
      </c>
      <c r="G288">
        <v>94.77</v>
      </c>
      <c r="H288">
        <v>5</v>
      </c>
    </row>
    <row r="289" spans="1:8" x14ac:dyDescent="0.25">
      <c r="A289" t="s">
        <v>292</v>
      </c>
      <c r="B289" t="s">
        <v>331</v>
      </c>
      <c r="C289" t="s">
        <v>33</v>
      </c>
      <c r="D289">
        <v>32</v>
      </c>
      <c r="E289" t="s">
        <v>14</v>
      </c>
      <c r="F289">
        <v>4</v>
      </c>
      <c r="G289">
        <v>39</v>
      </c>
      <c r="H289">
        <v>0</v>
      </c>
    </row>
    <row r="290" spans="1:8" x14ac:dyDescent="0.25">
      <c r="A290" t="s">
        <v>292</v>
      </c>
      <c r="B290" t="s">
        <v>332</v>
      </c>
      <c r="C290" t="s">
        <v>64</v>
      </c>
      <c r="D290">
        <v>32</v>
      </c>
      <c r="E290" t="s">
        <v>22</v>
      </c>
      <c r="F290">
        <v>31</v>
      </c>
      <c r="G290">
        <v>67.040000000000006</v>
      </c>
      <c r="H290">
        <v>1</v>
      </c>
    </row>
    <row r="291" spans="1:8" x14ac:dyDescent="0.25">
      <c r="A291" t="s">
        <v>292</v>
      </c>
      <c r="B291" t="s">
        <v>333</v>
      </c>
      <c r="C291" t="s">
        <v>64</v>
      </c>
      <c r="D291">
        <v>62</v>
      </c>
      <c r="E291" t="s">
        <v>22</v>
      </c>
      <c r="F291">
        <v>136</v>
      </c>
      <c r="G291">
        <v>88.61</v>
      </c>
      <c r="H291">
        <v>2</v>
      </c>
    </row>
    <row r="292" spans="1:8" x14ac:dyDescent="0.25">
      <c r="A292" t="s">
        <v>292</v>
      </c>
      <c r="B292" t="s">
        <v>334</v>
      </c>
      <c r="C292" t="s">
        <v>73</v>
      </c>
      <c r="D292">
        <v>5</v>
      </c>
      <c r="E292" t="s">
        <v>11</v>
      </c>
      <c r="F292">
        <v>384</v>
      </c>
      <c r="G292">
        <v>97.26</v>
      </c>
      <c r="H292">
        <v>3</v>
      </c>
    </row>
    <row r="293" spans="1:8" x14ac:dyDescent="0.25">
      <c r="A293" t="s">
        <v>292</v>
      </c>
      <c r="B293" t="s">
        <v>335</v>
      </c>
      <c r="C293" t="s">
        <v>18</v>
      </c>
      <c r="D293">
        <v>118</v>
      </c>
      <c r="E293" t="s">
        <v>22</v>
      </c>
      <c r="F293">
        <v>489</v>
      </c>
      <c r="G293">
        <v>76.22</v>
      </c>
      <c r="H293">
        <v>2</v>
      </c>
    </row>
    <row r="294" spans="1:8" x14ac:dyDescent="0.25">
      <c r="A294" t="s">
        <v>292</v>
      </c>
      <c r="B294" t="s">
        <v>336</v>
      </c>
      <c r="C294" t="s">
        <v>18</v>
      </c>
      <c r="D294">
        <v>105</v>
      </c>
      <c r="E294" t="s">
        <v>22</v>
      </c>
      <c r="F294">
        <v>3</v>
      </c>
      <c r="G294">
        <v>71.010000000000005</v>
      </c>
      <c r="H294">
        <v>1</v>
      </c>
    </row>
    <row r="295" spans="1:8" x14ac:dyDescent="0.25">
      <c r="A295" t="s">
        <v>292</v>
      </c>
      <c r="B295" t="s">
        <v>337</v>
      </c>
      <c r="C295" t="s">
        <v>21</v>
      </c>
      <c r="D295">
        <v>47</v>
      </c>
      <c r="E295" t="s">
        <v>22</v>
      </c>
      <c r="F295">
        <v>340</v>
      </c>
      <c r="G295">
        <v>31.02</v>
      </c>
      <c r="H295">
        <v>5</v>
      </c>
    </row>
    <row r="296" spans="1:8" x14ac:dyDescent="0.25">
      <c r="A296" t="s">
        <v>292</v>
      </c>
      <c r="B296" t="s">
        <v>338</v>
      </c>
      <c r="C296" t="s">
        <v>26</v>
      </c>
      <c r="D296">
        <v>81</v>
      </c>
      <c r="E296" t="s">
        <v>14</v>
      </c>
      <c r="F296">
        <v>298</v>
      </c>
      <c r="G296">
        <v>53.61</v>
      </c>
      <c r="H296">
        <v>2</v>
      </c>
    </row>
    <row r="297" spans="1:8" x14ac:dyDescent="0.25">
      <c r="A297" t="s">
        <v>292</v>
      </c>
      <c r="B297" t="s">
        <v>339</v>
      </c>
      <c r="C297" t="s">
        <v>131</v>
      </c>
      <c r="D297">
        <v>91</v>
      </c>
      <c r="E297" t="s">
        <v>22</v>
      </c>
      <c r="F297">
        <v>404</v>
      </c>
      <c r="G297">
        <v>76.53</v>
      </c>
      <c r="H297">
        <v>5</v>
      </c>
    </row>
    <row r="298" spans="1:8" x14ac:dyDescent="0.25">
      <c r="A298" t="s">
        <v>292</v>
      </c>
      <c r="B298" t="s">
        <v>340</v>
      </c>
      <c r="C298" t="s">
        <v>10</v>
      </c>
      <c r="D298">
        <v>87</v>
      </c>
      <c r="E298" t="s">
        <v>19</v>
      </c>
      <c r="F298">
        <v>21</v>
      </c>
      <c r="G298">
        <v>81.459999999999994</v>
      </c>
      <c r="H298">
        <v>3</v>
      </c>
    </row>
    <row r="299" spans="1:8" x14ac:dyDescent="0.25">
      <c r="A299" t="s">
        <v>292</v>
      </c>
      <c r="B299" t="s">
        <v>341</v>
      </c>
      <c r="C299" t="s">
        <v>131</v>
      </c>
      <c r="D299">
        <v>4</v>
      </c>
      <c r="E299" t="s">
        <v>14</v>
      </c>
      <c r="F299">
        <v>49</v>
      </c>
      <c r="G299">
        <v>41.35</v>
      </c>
      <c r="H299">
        <v>5</v>
      </c>
    </row>
    <row r="300" spans="1:8" x14ac:dyDescent="0.25">
      <c r="A300" t="s">
        <v>342</v>
      </c>
      <c r="B300" t="s">
        <v>343</v>
      </c>
      <c r="C300" t="s">
        <v>16</v>
      </c>
      <c r="D300">
        <v>76</v>
      </c>
      <c r="E300" t="s">
        <v>19</v>
      </c>
      <c r="F300">
        <v>192</v>
      </c>
      <c r="G300">
        <v>68.53</v>
      </c>
      <c r="H300">
        <v>0</v>
      </c>
    </row>
    <row r="301" spans="1:8" x14ac:dyDescent="0.25">
      <c r="A301" t="s">
        <v>342</v>
      </c>
      <c r="B301" t="s">
        <v>344</v>
      </c>
      <c r="C301" t="s">
        <v>18</v>
      </c>
      <c r="D301">
        <v>69</v>
      </c>
      <c r="E301" t="s">
        <v>11</v>
      </c>
      <c r="F301">
        <v>486</v>
      </c>
      <c r="G301">
        <v>34.770000000000003</v>
      </c>
      <c r="H301">
        <v>0</v>
      </c>
    </row>
    <row r="302" spans="1:8" x14ac:dyDescent="0.25">
      <c r="A302" t="s">
        <v>342</v>
      </c>
      <c r="B302" t="s">
        <v>345</v>
      </c>
      <c r="C302" t="s">
        <v>26</v>
      </c>
      <c r="D302">
        <v>25</v>
      </c>
      <c r="E302" t="s">
        <v>14</v>
      </c>
      <c r="F302">
        <v>218</v>
      </c>
      <c r="G302">
        <v>68.790000000000006</v>
      </c>
      <c r="H302">
        <v>0</v>
      </c>
    </row>
    <row r="303" spans="1:8" x14ac:dyDescent="0.25">
      <c r="A303" t="s">
        <v>342</v>
      </c>
      <c r="B303" t="s">
        <v>346</v>
      </c>
      <c r="C303" t="s">
        <v>40</v>
      </c>
      <c r="D303">
        <v>109</v>
      </c>
      <c r="E303" t="s">
        <v>22</v>
      </c>
      <c r="F303">
        <v>347</v>
      </c>
      <c r="G303">
        <v>43.06</v>
      </c>
      <c r="H303">
        <v>4</v>
      </c>
    </row>
    <row r="304" spans="1:8" x14ac:dyDescent="0.25">
      <c r="A304" t="s">
        <v>342</v>
      </c>
      <c r="B304" t="s">
        <v>347</v>
      </c>
      <c r="C304" t="s">
        <v>24</v>
      </c>
      <c r="D304">
        <v>50</v>
      </c>
      <c r="E304" t="s">
        <v>14</v>
      </c>
      <c r="F304">
        <v>430</v>
      </c>
      <c r="G304">
        <v>20.8</v>
      </c>
      <c r="H304">
        <v>2</v>
      </c>
    </row>
    <row r="305" spans="1:8" x14ac:dyDescent="0.25">
      <c r="A305" t="s">
        <v>342</v>
      </c>
      <c r="B305" t="s">
        <v>348</v>
      </c>
      <c r="C305" t="s">
        <v>37</v>
      </c>
      <c r="D305">
        <v>55</v>
      </c>
      <c r="E305" t="s">
        <v>11</v>
      </c>
      <c r="F305">
        <v>86</v>
      </c>
      <c r="G305">
        <v>17.440000000000001</v>
      </c>
      <c r="H305">
        <v>2</v>
      </c>
    </row>
    <row r="306" spans="1:8" x14ac:dyDescent="0.25">
      <c r="A306" t="s">
        <v>342</v>
      </c>
      <c r="B306" t="s">
        <v>349</v>
      </c>
      <c r="C306" t="s">
        <v>78</v>
      </c>
      <c r="D306">
        <v>41</v>
      </c>
      <c r="E306" t="s">
        <v>14</v>
      </c>
      <c r="F306">
        <v>474</v>
      </c>
      <c r="G306">
        <v>54.03</v>
      </c>
      <c r="H306">
        <v>4</v>
      </c>
    </row>
    <row r="307" spans="1:8" x14ac:dyDescent="0.25">
      <c r="A307" t="s">
        <v>342</v>
      </c>
      <c r="B307" t="s">
        <v>350</v>
      </c>
      <c r="C307" t="s">
        <v>57</v>
      </c>
      <c r="D307">
        <v>99</v>
      </c>
      <c r="E307" t="s">
        <v>19</v>
      </c>
      <c r="F307">
        <v>28</v>
      </c>
      <c r="G307">
        <v>70.19</v>
      </c>
      <c r="H307">
        <v>1</v>
      </c>
    </row>
    <row r="308" spans="1:8" x14ac:dyDescent="0.25">
      <c r="A308" t="s">
        <v>342</v>
      </c>
      <c r="B308" t="s">
        <v>351</v>
      </c>
      <c r="C308" t="s">
        <v>89</v>
      </c>
      <c r="D308">
        <v>47</v>
      </c>
      <c r="E308" t="s">
        <v>11</v>
      </c>
      <c r="F308">
        <v>49</v>
      </c>
      <c r="G308">
        <v>55.88</v>
      </c>
      <c r="H308">
        <v>3</v>
      </c>
    </row>
    <row r="309" spans="1:8" x14ac:dyDescent="0.25">
      <c r="A309" t="s">
        <v>342</v>
      </c>
      <c r="B309" t="s">
        <v>352</v>
      </c>
      <c r="C309" t="s">
        <v>137</v>
      </c>
      <c r="D309">
        <v>103</v>
      </c>
      <c r="E309" t="s">
        <v>22</v>
      </c>
      <c r="F309">
        <v>182</v>
      </c>
      <c r="G309">
        <v>12.07</v>
      </c>
      <c r="H309">
        <v>5</v>
      </c>
    </row>
    <row r="310" spans="1:8" x14ac:dyDescent="0.25">
      <c r="A310" t="s">
        <v>342</v>
      </c>
      <c r="B310" t="s">
        <v>353</v>
      </c>
      <c r="C310" t="s">
        <v>31</v>
      </c>
      <c r="D310">
        <v>87</v>
      </c>
      <c r="E310" t="s">
        <v>22</v>
      </c>
      <c r="F310">
        <v>498</v>
      </c>
      <c r="G310">
        <v>61.57</v>
      </c>
      <c r="H310">
        <v>0</v>
      </c>
    </row>
    <row r="311" spans="1:8" x14ac:dyDescent="0.25">
      <c r="A311" t="s">
        <v>342</v>
      </c>
      <c r="B311" t="s">
        <v>354</v>
      </c>
      <c r="C311" t="s">
        <v>40</v>
      </c>
      <c r="D311">
        <v>120</v>
      </c>
      <c r="E311" t="s">
        <v>22</v>
      </c>
      <c r="F311">
        <v>242</v>
      </c>
      <c r="G311">
        <v>61.54</v>
      </c>
      <c r="H311">
        <v>1</v>
      </c>
    </row>
    <row r="312" spans="1:8" x14ac:dyDescent="0.25">
      <c r="A312" t="s">
        <v>342</v>
      </c>
      <c r="B312" t="s">
        <v>355</v>
      </c>
      <c r="C312" t="s">
        <v>16</v>
      </c>
      <c r="D312">
        <v>102</v>
      </c>
      <c r="E312" t="s">
        <v>19</v>
      </c>
      <c r="F312">
        <v>91</v>
      </c>
      <c r="G312">
        <v>34.64</v>
      </c>
      <c r="H312">
        <v>2</v>
      </c>
    </row>
    <row r="313" spans="1:8" x14ac:dyDescent="0.25">
      <c r="A313" t="s">
        <v>342</v>
      </c>
      <c r="B313" t="s">
        <v>356</v>
      </c>
      <c r="C313" t="s">
        <v>78</v>
      </c>
      <c r="D313">
        <v>17</v>
      </c>
      <c r="E313" t="s">
        <v>22</v>
      </c>
      <c r="F313">
        <v>483</v>
      </c>
      <c r="G313">
        <v>77.08</v>
      </c>
      <c r="H313">
        <v>0</v>
      </c>
    </row>
    <row r="314" spans="1:8" x14ac:dyDescent="0.25">
      <c r="A314" t="s">
        <v>342</v>
      </c>
      <c r="B314" t="s">
        <v>357</v>
      </c>
      <c r="C314" t="s">
        <v>131</v>
      </c>
      <c r="D314">
        <v>67</v>
      </c>
      <c r="E314" t="s">
        <v>14</v>
      </c>
      <c r="F314">
        <v>26</v>
      </c>
      <c r="G314">
        <v>81.489999999999995</v>
      </c>
      <c r="H314">
        <v>4</v>
      </c>
    </row>
    <row r="315" spans="1:8" x14ac:dyDescent="0.25">
      <c r="A315" t="s">
        <v>342</v>
      </c>
      <c r="B315" t="s">
        <v>358</v>
      </c>
      <c r="C315" t="s">
        <v>37</v>
      </c>
      <c r="D315">
        <v>85</v>
      </c>
      <c r="E315" t="s">
        <v>14</v>
      </c>
      <c r="F315">
        <v>60</v>
      </c>
      <c r="G315">
        <v>26.3</v>
      </c>
      <c r="H315">
        <v>2</v>
      </c>
    </row>
    <row r="316" spans="1:8" x14ac:dyDescent="0.25">
      <c r="A316" t="s">
        <v>342</v>
      </c>
      <c r="B316" t="s">
        <v>359</v>
      </c>
      <c r="C316" t="s">
        <v>18</v>
      </c>
      <c r="D316">
        <v>78</v>
      </c>
      <c r="E316" t="s">
        <v>11</v>
      </c>
      <c r="F316">
        <v>263</v>
      </c>
      <c r="G316">
        <v>53.58</v>
      </c>
      <c r="H316">
        <v>5</v>
      </c>
    </row>
    <row r="317" spans="1:8" x14ac:dyDescent="0.25">
      <c r="A317" t="s">
        <v>342</v>
      </c>
      <c r="B317" t="s">
        <v>360</v>
      </c>
      <c r="C317" t="s">
        <v>18</v>
      </c>
      <c r="D317">
        <v>76</v>
      </c>
      <c r="E317" t="s">
        <v>22</v>
      </c>
      <c r="F317">
        <v>332</v>
      </c>
      <c r="G317">
        <v>68.010000000000005</v>
      </c>
      <c r="H317">
        <v>4</v>
      </c>
    </row>
    <row r="318" spans="1:8" x14ac:dyDescent="0.25">
      <c r="A318" t="s">
        <v>342</v>
      </c>
      <c r="B318" t="s">
        <v>361</v>
      </c>
      <c r="C318" t="s">
        <v>18</v>
      </c>
      <c r="D318">
        <v>29</v>
      </c>
      <c r="E318" t="s">
        <v>19</v>
      </c>
      <c r="F318">
        <v>173</v>
      </c>
      <c r="G318">
        <v>49.03</v>
      </c>
      <c r="H318">
        <v>3</v>
      </c>
    </row>
    <row r="319" spans="1:8" x14ac:dyDescent="0.25">
      <c r="A319" t="s">
        <v>342</v>
      </c>
      <c r="B319" t="s">
        <v>362</v>
      </c>
      <c r="C319" t="s">
        <v>131</v>
      </c>
      <c r="D319">
        <v>14</v>
      </c>
      <c r="E319" t="s">
        <v>14</v>
      </c>
      <c r="F319">
        <v>303</v>
      </c>
      <c r="G319">
        <v>61.43</v>
      </c>
      <c r="H319">
        <v>1</v>
      </c>
    </row>
    <row r="320" spans="1:8" x14ac:dyDescent="0.25">
      <c r="A320" t="s">
        <v>342</v>
      </c>
      <c r="B320" t="s">
        <v>363</v>
      </c>
      <c r="C320" t="s">
        <v>16</v>
      </c>
      <c r="D320">
        <v>51</v>
      </c>
      <c r="E320" t="s">
        <v>11</v>
      </c>
      <c r="F320">
        <v>222</v>
      </c>
      <c r="G320">
        <v>18.95</v>
      </c>
      <c r="H320">
        <v>4</v>
      </c>
    </row>
    <row r="321" spans="1:8" x14ac:dyDescent="0.25">
      <c r="A321" t="s">
        <v>342</v>
      </c>
      <c r="B321" t="s">
        <v>364</v>
      </c>
      <c r="C321" t="s">
        <v>16</v>
      </c>
      <c r="D321">
        <v>2</v>
      </c>
      <c r="E321" t="s">
        <v>14</v>
      </c>
      <c r="F321">
        <v>496</v>
      </c>
      <c r="G321">
        <v>15.71</v>
      </c>
      <c r="H321">
        <v>3</v>
      </c>
    </row>
    <row r="322" spans="1:8" x14ac:dyDescent="0.25">
      <c r="A322" t="s">
        <v>342</v>
      </c>
      <c r="B322" t="s">
        <v>365</v>
      </c>
      <c r="C322" t="s">
        <v>24</v>
      </c>
      <c r="D322">
        <v>69</v>
      </c>
      <c r="E322" t="s">
        <v>14</v>
      </c>
      <c r="F322">
        <v>76</v>
      </c>
      <c r="G322">
        <v>91.8</v>
      </c>
      <c r="H322">
        <v>5</v>
      </c>
    </row>
    <row r="323" spans="1:8" x14ac:dyDescent="0.25">
      <c r="A323" t="s">
        <v>342</v>
      </c>
      <c r="B323" t="s">
        <v>366</v>
      </c>
      <c r="C323" t="s">
        <v>60</v>
      </c>
      <c r="D323">
        <v>110</v>
      </c>
      <c r="E323" t="s">
        <v>11</v>
      </c>
      <c r="F323">
        <v>321</v>
      </c>
      <c r="G323">
        <v>81.569999999999993</v>
      </c>
      <c r="H323">
        <v>2</v>
      </c>
    </row>
    <row r="324" spans="1:8" x14ac:dyDescent="0.25">
      <c r="A324" t="s">
        <v>342</v>
      </c>
      <c r="B324" t="s">
        <v>367</v>
      </c>
      <c r="C324" t="s">
        <v>10</v>
      </c>
      <c r="D324">
        <v>59</v>
      </c>
      <c r="E324" t="s">
        <v>14</v>
      </c>
      <c r="F324">
        <v>369</v>
      </c>
      <c r="G324">
        <v>26.64</v>
      </c>
      <c r="H324">
        <v>4</v>
      </c>
    </row>
    <row r="325" spans="1:8" x14ac:dyDescent="0.25">
      <c r="A325" t="s">
        <v>342</v>
      </c>
      <c r="B325" t="s">
        <v>368</v>
      </c>
      <c r="C325" t="s">
        <v>24</v>
      </c>
      <c r="D325">
        <v>41</v>
      </c>
      <c r="E325" t="s">
        <v>14</v>
      </c>
      <c r="F325">
        <v>206</v>
      </c>
      <c r="G325">
        <v>83.16</v>
      </c>
      <c r="H325">
        <v>2</v>
      </c>
    </row>
    <row r="326" spans="1:8" x14ac:dyDescent="0.25">
      <c r="A326" t="s">
        <v>342</v>
      </c>
      <c r="B326" t="s">
        <v>369</v>
      </c>
      <c r="C326" t="s">
        <v>57</v>
      </c>
      <c r="D326">
        <v>19</v>
      </c>
      <c r="E326" t="s">
        <v>19</v>
      </c>
      <c r="F326">
        <v>125</v>
      </c>
      <c r="G326">
        <v>11.78</v>
      </c>
      <c r="H326">
        <v>4</v>
      </c>
    </row>
    <row r="327" spans="1:8" x14ac:dyDescent="0.25">
      <c r="A327" t="s">
        <v>342</v>
      </c>
      <c r="B327" t="s">
        <v>370</v>
      </c>
      <c r="C327" t="s">
        <v>57</v>
      </c>
      <c r="D327">
        <v>105</v>
      </c>
      <c r="E327" t="s">
        <v>11</v>
      </c>
      <c r="F327">
        <v>17</v>
      </c>
      <c r="G327">
        <v>60.05</v>
      </c>
      <c r="H327">
        <v>4</v>
      </c>
    </row>
    <row r="328" spans="1:8" x14ac:dyDescent="0.25">
      <c r="A328" t="s">
        <v>342</v>
      </c>
      <c r="B328" t="s">
        <v>371</v>
      </c>
      <c r="C328" t="s">
        <v>67</v>
      </c>
      <c r="D328">
        <v>38</v>
      </c>
      <c r="E328" t="s">
        <v>11</v>
      </c>
      <c r="F328">
        <v>60</v>
      </c>
      <c r="G328">
        <v>58.28</v>
      </c>
      <c r="H328">
        <v>4</v>
      </c>
    </row>
    <row r="329" spans="1:8" x14ac:dyDescent="0.25">
      <c r="A329" t="s">
        <v>342</v>
      </c>
      <c r="B329" t="s">
        <v>372</v>
      </c>
      <c r="C329" t="s">
        <v>51</v>
      </c>
      <c r="D329">
        <v>108</v>
      </c>
      <c r="E329" t="s">
        <v>22</v>
      </c>
      <c r="F329">
        <v>123</v>
      </c>
      <c r="G329">
        <v>83.1</v>
      </c>
      <c r="H329">
        <v>1</v>
      </c>
    </row>
    <row r="330" spans="1:8" x14ac:dyDescent="0.25">
      <c r="A330" t="s">
        <v>342</v>
      </c>
      <c r="B330" t="s">
        <v>373</v>
      </c>
      <c r="C330" t="s">
        <v>35</v>
      </c>
      <c r="D330">
        <v>29</v>
      </c>
      <c r="E330" t="s">
        <v>14</v>
      </c>
      <c r="F330">
        <v>203</v>
      </c>
      <c r="G330">
        <v>53.97</v>
      </c>
      <c r="H330">
        <v>5</v>
      </c>
    </row>
    <row r="331" spans="1:8" x14ac:dyDescent="0.25">
      <c r="A331" t="s">
        <v>342</v>
      </c>
      <c r="B331" t="s">
        <v>374</v>
      </c>
      <c r="C331" t="s">
        <v>40</v>
      </c>
      <c r="D331">
        <v>64</v>
      </c>
      <c r="E331" t="s">
        <v>19</v>
      </c>
      <c r="F331">
        <v>250</v>
      </c>
      <c r="G331">
        <v>56.7</v>
      </c>
      <c r="H331">
        <v>0</v>
      </c>
    </row>
    <row r="332" spans="1:8" x14ac:dyDescent="0.25">
      <c r="A332" t="s">
        <v>342</v>
      </c>
      <c r="B332" t="s">
        <v>375</v>
      </c>
      <c r="C332" t="s">
        <v>51</v>
      </c>
      <c r="D332">
        <v>88</v>
      </c>
      <c r="E332" t="s">
        <v>22</v>
      </c>
      <c r="F332">
        <v>154</v>
      </c>
      <c r="G332">
        <v>62.62</v>
      </c>
      <c r="H332">
        <v>5</v>
      </c>
    </row>
    <row r="333" spans="1:8" x14ac:dyDescent="0.25">
      <c r="A333" t="s">
        <v>342</v>
      </c>
      <c r="B333" t="s">
        <v>376</v>
      </c>
      <c r="C333" t="s">
        <v>40</v>
      </c>
      <c r="D333">
        <v>59</v>
      </c>
      <c r="E333" t="s">
        <v>11</v>
      </c>
      <c r="F333">
        <v>352</v>
      </c>
      <c r="G333">
        <v>74.239999999999995</v>
      </c>
      <c r="H333">
        <v>0</v>
      </c>
    </row>
    <row r="334" spans="1:8" x14ac:dyDescent="0.25">
      <c r="A334" t="s">
        <v>342</v>
      </c>
      <c r="B334" t="s">
        <v>377</v>
      </c>
      <c r="C334" t="s">
        <v>78</v>
      </c>
      <c r="D334">
        <v>19</v>
      </c>
      <c r="E334" t="s">
        <v>19</v>
      </c>
      <c r="F334">
        <v>305</v>
      </c>
      <c r="G334">
        <v>81.11</v>
      </c>
      <c r="H334">
        <v>1</v>
      </c>
    </row>
    <row r="335" spans="1:8" x14ac:dyDescent="0.25">
      <c r="A335" t="s">
        <v>342</v>
      </c>
      <c r="B335" t="s">
        <v>378</v>
      </c>
      <c r="C335" t="s">
        <v>18</v>
      </c>
      <c r="D335">
        <v>77</v>
      </c>
      <c r="E335" t="s">
        <v>11</v>
      </c>
      <c r="F335">
        <v>488</v>
      </c>
      <c r="G335">
        <v>21.17</v>
      </c>
      <c r="H335">
        <v>0</v>
      </c>
    </row>
    <row r="336" spans="1:8" x14ac:dyDescent="0.25">
      <c r="A336" t="s">
        <v>342</v>
      </c>
      <c r="B336" t="s">
        <v>379</v>
      </c>
      <c r="C336" t="s">
        <v>89</v>
      </c>
      <c r="D336">
        <v>37</v>
      </c>
      <c r="E336" t="s">
        <v>14</v>
      </c>
      <c r="F336">
        <v>88</v>
      </c>
      <c r="G336">
        <v>77.77</v>
      </c>
      <c r="H336">
        <v>1</v>
      </c>
    </row>
    <row r="337" spans="1:8" x14ac:dyDescent="0.25">
      <c r="A337" t="s">
        <v>342</v>
      </c>
      <c r="B337" t="s">
        <v>380</v>
      </c>
      <c r="C337" t="s">
        <v>33</v>
      </c>
      <c r="D337">
        <v>19</v>
      </c>
      <c r="E337" t="s">
        <v>22</v>
      </c>
      <c r="F337">
        <v>334</v>
      </c>
      <c r="G337">
        <v>96.91</v>
      </c>
      <c r="H337">
        <v>1</v>
      </c>
    </row>
    <row r="338" spans="1:8" x14ac:dyDescent="0.25">
      <c r="A338" t="s">
        <v>342</v>
      </c>
      <c r="B338" t="s">
        <v>381</v>
      </c>
      <c r="C338" t="s">
        <v>18</v>
      </c>
      <c r="D338">
        <v>96</v>
      </c>
      <c r="E338" t="s">
        <v>22</v>
      </c>
      <c r="F338">
        <v>381</v>
      </c>
      <c r="G338">
        <v>90.78</v>
      </c>
      <c r="H338">
        <v>2</v>
      </c>
    </row>
    <row r="339" spans="1:8" x14ac:dyDescent="0.25">
      <c r="A339" t="s">
        <v>342</v>
      </c>
      <c r="B339" t="s">
        <v>382</v>
      </c>
      <c r="C339" t="s">
        <v>51</v>
      </c>
      <c r="D339">
        <v>86</v>
      </c>
      <c r="E339" t="s">
        <v>14</v>
      </c>
      <c r="F339">
        <v>192</v>
      </c>
      <c r="G339">
        <v>26.26</v>
      </c>
      <c r="H339">
        <v>1</v>
      </c>
    </row>
    <row r="340" spans="1:8" x14ac:dyDescent="0.25">
      <c r="A340" t="s">
        <v>342</v>
      </c>
      <c r="B340" t="s">
        <v>383</v>
      </c>
      <c r="C340" t="s">
        <v>89</v>
      </c>
      <c r="D340">
        <v>109</v>
      </c>
      <c r="E340" t="s">
        <v>14</v>
      </c>
      <c r="F340">
        <v>397</v>
      </c>
      <c r="G340">
        <v>63.92</v>
      </c>
      <c r="H340">
        <v>1</v>
      </c>
    </row>
    <row r="341" spans="1:8" x14ac:dyDescent="0.25">
      <c r="A341" t="s">
        <v>342</v>
      </c>
      <c r="B341" t="s">
        <v>384</v>
      </c>
      <c r="C341" t="s">
        <v>21</v>
      </c>
      <c r="D341">
        <v>103</v>
      </c>
      <c r="E341" t="s">
        <v>11</v>
      </c>
      <c r="F341">
        <v>354</v>
      </c>
      <c r="G341">
        <v>26.19</v>
      </c>
      <c r="H341">
        <v>4</v>
      </c>
    </row>
    <row r="342" spans="1:8" x14ac:dyDescent="0.25">
      <c r="A342" t="s">
        <v>342</v>
      </c>
      <c r="B342" t="s">
        <v>385</v>
      </c>
      <c r="C342" t="s">
        <v>44</v>
      </c>
      <c r="D342">
        <v>106</v>
      </c>
      <c r="E342" t="s">
        <v>22</v>
      </c>
      <c r="F342">
        <v>407</v>
      </c>
      <c r="G342">
        <v>59.92</v>
      </c>
      <c r="H342">
        <v>4</v>
      </c>
    </row>
    <row r="343" spans="1:8" x14ac:dyDescent="0.25">
      <c r="A343" t="s">
        <v>342</v>
      </c>
      <c r="B343" t="s">
        <v>386</v>
      </c>
      <c r="C343" t="s">
        <v>78</v>
      </c>
      <c r="D343">
        <v>90</v>
      </c>
      <c r="E343" t="s">
        <v>22</v>
      </c>
      <c r="F343">
        <v>343</v>
      </c>
      <c r="G343">
        <v>82.05</v>
      </c>
      <c r="H343">
        <v>1</v>
      </c>
    </row>
    <row r="344" spans="1:8" x14ac:dyDescent="0.25">
      <c r="A344" t="s">
        <v>342</v>
      </c>
      <c r="B344" t="s">
        <v>387</v>
      </c>
      <c r="C344" t="s">
        <v>131</v>
      </c>
      <c r="D344">
        <v>5</v>
      </c>
      <c r="E344" t="s">
        <v>22</v>
      </c>
      <c r="F344">
        <v>337</v>
      </c>
      <c r="G344">
        <v>21.07</v>
      </c>
      <c r="H344">
        <v>4</v>
      </c>
    </row>
    <row r="345" spans="1:8" x14ac:dyDescent="0.25">
      <c r="A345" t="s">
        <v>342</v>
      </c>
      <c r="B345" t="s">
        <v>388</v>
      </c>
      <c r="C345" t="s">
        <v>89</v>
      </c>
      <c r="D345">
        <v>77</v>
      </c>
      <c r="E345" t="s">
        <v>22</v>
      </c>
      <c r="F345">
        <v>45</v>
      </c>
      <c r="G345">
        <v>21.59</v>
      </c>
      <c r="H345">
        <v>2</v>
      </c>
    </row>
    <row r="346" spans="1:8" x14ac:dyDescent="0.25">
      <c r="A346" t="s">
        <v>342</v>
      </c>
      <c r="B346" t="s">
        <v>389</v>
      </c>
      <c r="C346" t="s">
        <v>18</v>
      </c>
      <c r="D346">
        <v>41</v>
      </c>
      <c r="E346" t="s">
        <v>19</v>
      </c>
      <c r="F346">
        <v>398</v>
      </c>
      <c r="G346">
        <v>28.56</v>
      </c>
      <c r="H346">
        <v>2</v>
      </c>
    </row>
    <row r="347" spans="1:8" x14ac:dyDescent="0.25">
      <c r="A347" t="s">
        <v>342</v>
      </c>
      <c r="B347" t="s">
        <v>390</v>
      </c>
      <c r="C347" t="s">
        <v>64</v>
      </c>
      <c r="D347">
        <v>40</v>
      </c>
      <c r="E347" t="s">
        <v>11</v>
      </c>
      <c r="F347">
        <v>237</v>
      </c>
      <c r="G347">
        <v>24.51</v>
      </c>
      <c r="H347">
        <v>1</v>
      </c>
    </row>
    <row r="348" spans="1:8" x14ac:dyDescent="0.25">
      <c r="A348" t="s">
        <v>342</v>
      </c>
      <c r="B348" t="s">
        <v>391</v>
      </c>
      <c r="C348" t="s">
        <v>35</v>
      </c>
      <c r="D348">
        <v>65</v>
      </c>
      <c r="E348" t="s">
        <v>19</v>
      </c>
      <c r="F348">
        <v>442</v>
      </c>
      <c r="G348">
        <v>60.62</v>
      </c>
      <c r="H348">
        <v>5</v>
      </c>
    </row>
    <row r="349" spans="1:8" x14ac:dyDescent="0.25">
      <c r="A349" t="s">
        <v>342</v>
      </c>
      <c r="B349" t="s">
        <v>392</v>
      </c>
      <c r="C349" t="s">
        <v>62</v>
      </c>
      <c r="D349">
        <v>89</v>
      </c>
      <c r="E349" t="s">
        <v>22</v>
      </c>
      <c r="F349">
        <v>418</v>
      </c>
      <c r="G349">
        <v>86.63</v>
      </c>
      <c r="H349">
        <v>4</v>
      </c>
    </row>
    <row r="350" spans="1:8" x14ac:dyDescent="0.25">
      <c r="A350" t="s">
        <v>393</v>
      </c>
      <c r="B350" t="s">
        <v>394</v>
      </c>
      <c r="C350" t="s">
        <v>67</v>
      </c>
      <c r="D350">
        <v>12</v>
      </c>
      <c r="E350" t="s">
        <v>14</v>
      </c>
      <c r="F350">
        <v>125</v>
      </c>
      <c r="G350">
        <v>36.93</v>
      </c>
      <c r="H350">
        <v>0</v>
      </c>
    </row>
    <row r="351" spans="1:8" x14ac:dyDescent="0.25">
      <c r="A351" t="s">
        <v>393</v>
      </c>
      <c r="B351" t="s">
        <v>395</v>
      </c>
      <c r="C351" t="s">
        <v>131</v>
      </c>
      <c r="D351">
        <v>47</v>
      </c>
      <c r="E351" t="s">
        <v>14</v>
      </c>
      <c r="F351">
        <v>378</v>
      </c>
      <c r="G351">
        <v>36.42</v>
      </c>
      <c r="H351">
        <v>1</v>
      </c>
    </row>
    <row r="352" spans="1:8" x14ac:dyDescent="0.25">
      <c r="A352" t="s">
        <v>393</v>
      </c>
      <c r="B352" t="s">
        <v>396</v>
      </c>
      <c r="C352" t="s">
        <v>16</v>
      </c>
      <c r="D352">
        <v>117</v>
      </c>
      <c r="E352" t="s">
        <v>22</v>
      </c>
      <c r="F352">
        <v>338</v>
      </c>
      <c r="G352">
        <v>29.18</v>
      </c>
      <c r="H352">
        <v>5</v>
      </c>
    </row>
    <row r="353" spans="1:8" x14ac:dyDescent="0.25">
      <c r="A353" t="s">
        <v>393</v>
      </c>
      <c r="B353" t="s">
        <v>397</v>
      </c>
      <c r="C353" t="s">
        <v>29</v>
      </c>
      <c r="D353">
        <v>43</v>
      </c>
      <c r="E353" t="s">
        <v>11</v>
      </c>
      <c r="F353">
        <v>486</v>
      </c>
      <c r="G353">
        <v>76.42</v>
      </c>
      <c r="H353">
        <v>1</v>
      </c>
    </row>
    <row r="354" spans="1:8" x14ac:dyDescent="0.25">
      <c r="A354" t="s">
        <v>393</v>
      </c>
      <c r="B354" t="s">
        <v>398</v>
      </c>
      <c r="C354" t="s">
        <v>131</v>
      </c>
      <c r="D354">
        <v>100</v>
      </c>
      <c r="E354" t="s">
        <v>19</v>
      </c>
      <c r="F354">
        <v>471</v>
      </c>
      <c r="G354">
        <v>61.2</v>
      </c>
      <c r="H354">
        <v>3</v>
      </c>
    </row>
    <row r="355" spans="1:8" x14ac:dyDescent="0.25">
      <c r="A355" t="s">
        <v>393</v>
      </c>
      <c r="B355" t="s">
        <v>399</v>
      </c>
      <c r="C355" t="s">
        <v>127</v>
      </c>
      <c r="D355">
        <v>35</v>
      </c>
      <c r="E355" t="s">
        <v>22</v>
      </c>
      <c r="F355">
        <v>421</v>
      </c>
      <c r="G355">
        <v>29.57</v>
      </c>
      <c r="H355">
        <v>5</v>
      </c>
    </row>
    <row r="356" spans="1:8" x14ac:dyDescent="0.25">
      <c r="A356" t="s">
        <v>393</v>
      </c>
      <c r="B356" t="s">
        <v>400</v>
      </c>
      <c r="C356" t="s">
        <v>40</v>
      </c>
      <c r="D356">
        <v>19</v>
      </c>
      <c r="E356" t="s">
        <v>22</v>
      </c>
      <c r="F356">
        <v>450</v>
      </c>
      <c r="G356">
        <v>37.43</v>
      </c>
      <c r="H356">
        <v>2</v>
      </c>
    </row>
    <row r="357" spans="1:8" x14ac:dyDescent="0.25">
      <c r="A357" t="s">
        <v>393</v>
      </c>
      <c r="B357" t="s">
        <v>401</v>
      </c>
      <c r="C357" t="s">
        <v>67</v>
      </c>
      <c r="D357">
        <v>112</v>
      </c>
      <c r="E357" t="s">
        <v>22</v>
      </c>
      <c r="F357">
        <v>483</v>
      </c>
      <c r="G357">
        <v>93.98</v>
      </c>
      <c r="H357">
        <v>0</v>
      </c>
    </row>
    <row r="358" spans="1:8" x14ac:dyDescent="0.25">
      <c r="A358" t="s">
        <v>393</v>
      </c>
      <c r="B358" t="s">
        <v>402</v>
      </c>
      <c r="C358" t="s">
        <v>13</v>
      </c>
      <c r="D358">
        <v>103</v>
      </c>
      <c r="E358" t="s">
        <v>14</v>
      </c>
      <c r="F358">
        <v>270</v>
      </c>
      <c r="G358">
        <v>67.87</v>
      </c>
      <c r="H358">
        <v>3</v>
      </c>
    </row>
    <row r="359" spans="1:8" x14ac:dyDescent="0.25">
      <c r="A359" t="s">
        <v>393</v>
      </c>
      <c r="B359" t="s">
        <v>403</v>
      </c>
      <c r="C359" t="s">
        <v>10</v>
      </c>
      <c r="D359">
        <v>29</v>
      </c>
      <c r="E359" t="s">
        <v>11</v>
      </c>
      <c r="F359">
        <v>350</v>
      </c>
      <c r="G359">
        <v>84.32</v>
      </c>
      <c r="H359">
        <v>3</v>
      </c>
    </row>
    <row r="360" spans="1:8" x14ac:dyDescent="0.25">
      <c r="A360" t="s">
        <v>393</v>
      </c>
      <c r="B360" t="s">
        <v>404</v>
      </c>
      <c r="C360" t="s">
        <v>37</v>
      </c>
      <c r="D360">
        <v>36</v>
      </c>
      <c r="E360" t="s">
        <v>19</v>
      </c>
      <c r="F360">
        <v>311</v>
      </c>
      <c r="G360">
        <v>13.19</v>
      </c>
      <c r="H360">
        <v>4</v>
      </c>
    </row>
    <row r="361" spans="1:8" x14ac:dyDescent="0.25">
      <c r="A361" t="s">
        <v>393</v>
      </c>
      <c r="B361" t="s">
        <v>405</v>
      </c>
      <c r="C361" t="s">
        <v>44</v>
      </c>
      <c r="D361">
        <v>2</v>
      </c>
      <c r="E361" t="s">
        <v>11</v>
      </c>
      <c r="F361">
        <v>21</v>
      </c>
      <c r="G361">
        <v>51.68</v>
      </c>
      <c r="H361">
        <v>3</v>
      </c>
    </row>
    <row r="362" spans="1:8" x14ac:dyDescent="0.25">
      <c r="A362" t="s">
        <v>393</v>
      </c>
      <c r="B362" t="s">
        <v>406</v>
      </c>
      <c r="C362" t="s">
        <v>60</v>
      </c>
      <c r="D362">
        <v>13</v>
      </c>
      <c r="E362" t="s">
        <v>22</v>
      </c>
      <c r="F362">
        <v>310</v>
      </c>
      <c r="G362">
        <v>65.599999999999994</v>
      </c>
      <c r="H362">
        <v>5</v>
      </c>
    </row>
    <row r="363" spans="1:8" x14ac:dyDescent="0.25">
      <c r="A363" t="s">
        <v>393</v>
      </c>
      <c r="B363" t="s">
        <v>407</v>
      </c>
      <c r="C363" t="s">
        <v>33</v>
      </c>
      <c r="D363">
        <v>49</v>
      </c>
      <c r="E363" t="s">
        <v>14</v>
      </c>
      <c r="F363">
        <v>229</v>
      </c>
      <c r="G363">
        <v>53.94</v>
      </c>
      <c r="H363">
        <v>5</v>
      </c>
    </row>
    <row r="364" spans="1:8" x14ac:dyDescent="0.25">
      <c r="A364" t="s">
        <v>393</v>
      </c>
      <c r="B364" t="s">
        <v>408</v>
      </c>
      <c r="C364" t="s">
        <v>40</v>
      </c>
      <c r="D364">
        <v>29</v>
      </c>
      <c r="E364" t="s">
        <v>14</v>
      </c>
      <c r="F364">
        <v>493</v>
      </c>
      <c r="G364">
        <v>42.02</v>
      </c>
      <c r="H364">
        <v>1</v>
      </c>
    </row>
    <row r="365" spans="1:8" x14ac:dyDescent="0.25">
      <c r="A365" t="s">
        <v>393</v>
      </c>
      <c r="B365" t="s">
        <v>409</v>
      </c>
      <c r="C365" t="s">
        <v>16</v>
      </c>
      <c r="D365">
        <v>49</v>
      </c>
      <c r="E365" t="s">
        <v>22</v>
      </c>
      <c r="F365">
        <v>86</v>
      </c>
      <c r="G365">
        <v>65.400000000000006</v>
      </c>
      <c r="H365">
        <v>2</v>
      </c>
    </row>
    <row r="366" spans="1:8" x14ac:dyDescent="0.25">
      <c r="A366" t="s">
        <v>393</v>
      </c>
      <c r="B366" t="s">
        <v>410</v>
      </c>
      <c r="C366" t="s">
        <v>18</v>
      </c>
      <c r="D366">
        <v>14</v>
      </c>
      <c r="E366" t="s">
        <v>14</v>
      </c>
      <c r="F366">
        <v>345</v>
      </c>
      <c r="G366">
        <v>39.57</v>
      </c>
      <c r="H366">
        <v>3</v>
      </c>
    </row>
    <row r="367" spans="1:8" x14ac:dyDescent="0.25">
      <c r="A367" t="s">
        <v>393</v>
      </c>
      <c r="B367" t="s">
        <v>411</v>
      </c>
      <c r="C367" t="s">
        <v>67</v>
      </c>
      <c r="D367">
        <v>101</v>
      </c>
      <c r="E367" t="s">
        <v>11</v>
      </c>
      <c r="F367">
        <v>476</v>
      </c>
      <c r="G367">
        <v>41.85</v>
      </c>
      <c r="H367">
        <v>4</v>
      </c>
    </row>
    <row r="368" spans="1:8" x14ac:dyDescent="0.25">
      <c r="A368" t="s">
        <v>393</v>
      </c>
      <c r="B368" t="s">
        <v>412</v>
      </c>
      <c r="C368" t="s">
        <v>16</v>
      </c>
      <c r="D368">
        <v>119</v>
      </c>
      <c r="E368" t="s">
        <v>14</v>
      </c>
      <c r="F368">
        <v>451</v>
      </c>
      <c r="G368">
        <v>10.46</v>
      </c>
      <c r="H368">
        <v>5</v>
      </c>
    </row>
    <row r="369" spans="1:8" x14ac:dyDescent="0.25">
      <c r="A369" t="s">
        <v>393</v>
      </c>
      <c r="B369" t="s">
        <v>413</v>
      </c>
      <c r="C369" t="s">
        <v>37</v>
      </c>
      <c r="D369">
        <v>16</v>
      </c>
      <c r="E369" t="s">
        <v>11</v>
      </c>
      <c r="F369">
        <v>391</v>
      </c>
      <c r="G369">
        <v>90.12</v>
      </c>
      <c r="H369">
        <v>5</v>
      </c>
    </row>
    <row r="370" spans="1:8" x14ac:dyDescent="0.25">
      <c r="A370" t="s">
        <v>393</v>
      </c>
      <c r="B370" t="s">
        <v>414</v>
      </c>
      <c r="C370" t="s">
        <v>16</v>
      </c>
      <c r="D370">
        <v>23</v>
      </c>
      <c r="E370" t="s">
        <v>11</v>
      </c>
      <c r="F370">
        <v>268</v>
      </c>
      <c r="G370">
        <v>26.75</v>
      </c>
      <c r="H370">
        <v>3</v>
      </c>
    </row>
    <row r="371" spans="1:8" x14ac:dyDescent="0.25">
      <c r="A371" t="s">
        <v>393</v>
      </c>
      <c r="B371" t="s">
        <v>415</v>
      </c>
      <c r="C371" t="s">
        <v>33</v>
      </c>
      <c r="D371">
        <v>68</v>
      </c>
      <c r="E371" t="s">
        <v>14</v>
      </c>
      <c r="F371">
        <v>462</v>
      </c>
      <c r="G371">
        <v>41.91</v>
      </c>
      <c r="H371">
        <v>1</v>
      </c>
    </row>
    <row r="372" spans="1:8" x14ac:dyDescent="0.25">
      <c r="A372" t="s">
        <v>393</v>
      </c>
      <c r="B372" t="s">
        <v>416</v>
      </c>
      <c r="C372" t="s">
        <v>37</v>
      </c>
      <c r="D372">
        <v>94</v>
      </c>
      <c r="E372" t="s">
        <v>22</v>
      </c>
      <c r="F372">
        <v>115</v>
      </c>
      <c r="G372">
        <v>19.12</v>
      </c>
      <c r="H372">
        <v>0</v>
      </c>
    </row>
    <row r="373" spans="1:8" x14ac:dyDescent="0.25">
      <c r="A373" t="s">
        <v>393</v>
      </c>
      <c r="B373" t="s">
        <v>417</v>
      </c>
      <c r="C373" t="s">
        <v>21</v>
      </c>
      <c r="D373">
        <v>113</v>
      </c>
      <c r="E373" t="s">
        <v>11</v>
      </c>
      <c r="F373">
        <v>89</v>
      </c>
      <c r="G373">
        <v>54.28</v>
      </c>
      <c r="H373">
        <v>0</v>
      </c>
    </row>
    <row r="374" spans="1:8" x14ac:dyDescent="0.25">
      <c r="A374" t="s">
        <v>393</v>
      </c>
      <c r="B374" t="s">
        <v>418</v>
      </c>
      <c r="C374" t="s">
        <v>89</v>
      </c>
      <c r="D374">
        <v>40</v>
      </c>
      <c r="E374" t="s">
        <v>19</v>
      </c>
      <c r="F374">
        <v>38</v>
      </c>
      <c r="G374">
        <v>17.63</v>
      </c>
      <c r="H374">
        <v>0</v>
      </c>
    </row>
    <row r="375" spans="1:8" x14ac:dyDescent="0.25">
      <c r="A375" t="s">
        <v>393</v>
      </c>
      <c r="B375" t="s">
        <v>419</v>
      </c>
      <c r="C375" t="s">
        <v>13</v>
      </c>
      <c r="D375">
        <v>76</v>
      </c>
      <c r="E375" t="s">
        <v>11</v>
      </c>
      <c r="F375">
        <v>187</v>
      </c>
      <c r="G375">
        <v>56.29</v>
      </c>
      <c r="H375">
        <v>1</v>
      </c>
    </row>
    <row r="376" spans="1:8" x14ac:dyDescent="0.25">
      <c r="A376" t="s">
        <v>393</v>
      </c>
      <c r="B376" t="s">
        <v>420</v>
      </c>
      <c r="C376" t="s">
        <v>16</v>
      </c>
      <c r="D376">
        <v>106</v>
      </c>
      <c r="E376" t="s">
        <v>14</v>
      </c>
      <c r="F376">
        <v>429</v>
      </c>
      <c r="G376">
        <v>23.83</v>
      </c>
      <c r="H376">
        <v>1</v>
      </c>
    </row>
    <row r="377" spans="1:8" x14ac:dyDescent="0.25">
      <c r="A377" t="s">
        <v>393</v>
      </c>
      <c r="B377" t="s">
        <v>421</v>
      </c>
      <c r="C377" t="s">
        <v>73</v>
      </c>
      <c r="D377">
        <v>104</v>
      </c>
      <c r="E377" t="s">
        <v>11</v>
      </c>
      <c r="F377">
        <v>68</v>
      </c>
      <c r="G377">
        <v>21.15</v>
      </c>
      <c r="H377">
        <v>2</v>
      </c>
    </row>
    <row r="378" spans="1:8" x14ac:dyDescent="0.25">
      <c r="A378" t="s">
        <v>393</v>
      </c>
      <c r="B378" t="s">
        <v>422</v>
      </c>
      <c r="C378" t="s">
        <v>31</v>
      </c>
      <c r="D378">
        <v>63</v>
      </c>
      <c r="E378" t="s">
        <v>19</v>
      </c>
      <c r="F378">
        <v>263</v>
      </c>
      <c r="G378">
        <v>53.87</v>
      </c>
      <c r="H378">
        <v>4</v>
      </c>
    </row>
    <row r="379" spans="1:8" x14ac:dyDescent="0.25">
      <c r="A379" t="s">
        <v>393</v>
      </c>
      <c r="B379" t="s">
        <v>423</v>
      </c>
      <c r="C379" t="s">
        <v>29</v>
      </c>
      <c r="D379">
        <v>13</v>
      </c>
      <c r="E379" t="s">
        <v>19</v>
      </c>
      <c r="F379">
        <v>180</v>
      </c>
      <c r="G379">
        <v>24.01</v>
      </c>
      <c r="H379">
        <v>0</v>
      </c>
    </row>
    <row r="380" spans="1:8" x14ac:dyDescent="0.25">
      <c r="A380" t="s">
        <v>393</v>
      </c>
      <c r="B380" t="s">
        <v>424</v>
      </c>
      <c r="C380" t="s">
        <v>10</v>
      </c>
      <c r="D380">
        <v>68</v>
      </c>
      <c r="E380" t="s">
        <v>19</v>
      </c>
      <c r="F380">
        <v>487</v>
      </c>
      <c r="G380">
        <v>69.099999999999994</v>
      </c>
      <c r="H380">
        <v>5</v>
      </c>
    </row>
    <row r="381" spans="1:8" x14ac:dyDescent="0.25">
      <c r="A381" t="s">
        <v>393</v>
      </c>
      <c r="B381" t="s">
        <v>425</v>
      </c>
      <c r="C381" t="s">
        <v>44</v>
      </c>
      <c r="D381">
        <v>45</v>
      </c>
      <c r="E381" t="s">
        <v>22</v>
      </c>
      <c r="F381">
        <v>26</v>
      </c>
      <c r="G381">
        <v>30.35</v>
      </c>
      <c r="H381">
        <v>1</v>
      </c>
    </row>
    <row r="382" spans="1:8" x14ac:dyDescent="0.25">
      <c r="A382" t="s">
        <v>393</v>
      </c>
      <c r="B382" t="s">
        <v>426</v>
      </c>
      <c r="C382" t="s">
        <v>78</v>
      </c>
      <c r="D382">
        <v>90</v>
      </c>
      <c r="E382" t="s">
        <v>19</v>
      </c>
      <c r="F382">
        <v>216</v>
      </c>
      <c r="G382">
        <v>45.58</v>
      </c>
      <c r="H382">
        <v>0</v>
      </c>
    </row>
    <row r="383" spans="1:8" x14ac:dyDescent="0.25">
      <c r="A383" t="s">
        <v>393</v>
      </c>
      <c r="B383" t="s">
        <v>427</v>
      </c>
      <c r="C383" t="s">
        <v>24</v>
      </c>
      <c r="D383">
        <v>74</v>
      </c>
      <c r="E383" t="s">
        <v>22</v>
      </c>
      <c r="F383">
        <v>253</v>
      </c>
      <c r="G383">
        <v>36.94</v>
      </c>
      <c r="H383">
        <v>5</v>
      </c>
    </row>
    <row r="384" spans="1:8" x14ac:dyDescent="0.25">
      <c r="A384" t="s">
        <v>393</v>
      </c>
      <c r="B384" t="s">
        <v>428</v>
      </c>
      <c r="C384" t="s">
        <v>10</v>
      </c>
      <c r="D384">
        <v>111</v>
      </c>
      <c r="E384" t="s">
        <v>19</v>
      </c>
      <c r="F384">
        <v>194</v>
      </c>
      <c r="G384">
        <v>48.55</v>
      </c>
      <c r="H384">
        <v>2</v>
      </c>
    </row>
    <row r="385" spans="1:8" x14ac:dyDescent="0.25">
      <c r="A385" t="s">
        <v>393</v>
      </c>
      <c r="B385" t="s">
        <v>429</v>
      </c>
      <c r="C385" t="s">
        <v>131</v>
      </c>
      <c r="D385">
        <v>37</v>
      </c>
      <c r="E385" t="s">
        <v>19</v>
      </c>
      <c r="F385">
        <v>87</v>
      </c>
      <c r="G385">
        <v>26.4</v>
      </c>
      <c r="H385">
        <v>3</v>
      </c>
    </row>
    <row r="386" spans="1:8" x14ac:dyDescent="0.25">
      <c r="A386" t="s">
        <v>393</v>
      </c>
      <c r="B386" t="s">
        <v>430</v>
      </c>
      <c r="C386" t="s">
        <v>64</v>
      </c>
      <c r="D386">
        <v>71</v>
      </c>
      <c r="E386" t="s">
        <v>11</v>
      </c>
      <c r="F386">
        <v>191</v>
      </c>
      <c r="G386">
        <v>83.04</v>
      </c>
      <c r="H386">
        <v>4</v>
      </c>
    </row>
    <row r="387" spans="1:8" x14ac:dyDescent="0.25">
      <c r="A387" t="s">
        <v>393</v>
      </c>
      <c r="B387" t="s">
        <v>431</v>
      </c>
      <c r="C387" t="s">
        <v>31</v>
      </c>
      <c r="D387">
        <v>35</v>
      </c>
      <c r="E387" t="s">
        <v>14</v>
      </c>
      <c r="F387">
        <v>496</v>
      </c>
      <c r="G387">
        <v>19.78</v>
      </c>
      <c r="H387">
        <v>5</v>
      </c>
    </row>
    <row r="388" spans="1:8" x14ac:dyDescent="0.25">
      <c r="A388" t="s">
        <v>393</v>
      </c>
      <c r="B388" t="s">
        <v>432</v>
      </c>
      <c r="C388" t="s">
        <v>57</v>
      </c>
      <c r="D388">
        <v>78</v>
      </c>
      <c r="E388" t="s">
        <v>19</v>
      </c>
      <c r="F388">
        <v>57</v>
      </c>
      <c r="G388">
        <v>49.47</v>
      </c>
      <c r="H388">
        <v>0</v>
      </c>
    </row>
    <row r="389" spans="1:8" x14ac:dyDescent="0.25">
      <c r="A389" t="s">
        <v>393</v>
      </c>
      <c r="B389" t="s">
        <v>433</v>
      </c>
      <c r="C389" t="s">
        <v>40</v>
      </c>
      <c r="D389">
        <v>13</v>
      </c>
      <c r="E389" t="s">
        <v>14</v>
      </c>
      <c r="F389">
        <v>173</v>
      </c>
      <c r="G389">
        <v>85.54</v>
      </c>
      <c r="H389">
        <v>3</v>
      </c>
    </row>
    <row r="390" spans="1:8" x14ac:dyDescent="0.25">
      <c r="A390" t="s">
        <v>393</v>
      </c>
      <c r="B390" t="s">
        <v>434</v>
      </c>
      <c r="C390" t="s">
        <v>67</v>
      </c>
      <c r="D390">
        <v>115</v>
      </c>
      <c r="E390" t="s">
        <v>22</v>
      </c>
      <c r="F390">
        <v>467</v>
      </c>
      <c r="G390">
        <v>24.57</v>
      </c>
      <c r="H390">
        <v>3</v>
      </c>
    </row>
    <row r="391" spans="1:8" x14ac:dyDescent="0.25">
      <c r="A391" t="s">
        <v>393</v>
      </c>
      <c r="B391" t="s">
        <v>435</v>
      </c>
      <c r="C391" t="s">
        <v>51</v>
      </c>
      <c r="D391">
        <v>7</v>
      </c>
      <c r="E391" t="s">
        <v>14</v>
      </c>
      <c r="F391">
        <v>347</v>
      </c>
      <c r="G391">
        <v>41.84</v>
      </c>
      <c r="H391">
        <v>2</v>
      </c>
    </row>
    <row r="392" spans="1:8" x14ac:dyDescent="0.25">
      <c r="A392" t="s">
        <v>393</v>
      </c>
      <c r="B392" t="s">
        <v>436</v>
      </c>
      <c r="C392" t="s">
        <v>60</v>
      </c>
      <c r="D392">
        <v>22</v>
      </c>
      <c r="E392" t="s">
        <v>14</v>
      </c>
      <c r="F392">
        <v>127</v>
      </c>
      <c r="G392">
        <v>49.06</v>
      </c>
      <c r="H392">
        <v>2</v>
      </c>
    </row>
    <row r="393" spans="1:8" x14ac:dyDescent="0.25">
      <c r="A393" t="s">
        <v>393</v>
      </c>
      <c r="B393" t="s">
        <v>437</v>
      </c>
      <c r="C393" t="s">
        <v>51</v>
      </c>
      <c r="D393">
        <v>41</v>
      </c>
      <c r="E393" t="s">
        <v>19</v>
      </c>
      <c r="F393">
        <v>425</v>
      </c>
      <c r="G393">
        <v>42.33</v>
      </c>
      <c r="H393">
        <v>3</v>
      </c>
    </row>
    <row r="394" spans="1:8" x14ac:dyDescent="0.25">
      <c r="A394" t="s">
        <v>393</v>
      </c>
      <c r="B394" t="s">
        <v>438</v>
      </c>
      <c r="C394" t="s">
        <v>13</v>
      </c>
      <c r="D394">
        <v>97</v>
      </c>
      <c r="E394" t="s">
        <v>14</v>
      </c>
      <c r="F394">
        <v>276</v>
      </c>
      <c r="G394">
        <v>88.35</v>
      </c>
      <c r="H394">
        <v>0</v>
      </c>
    </row>
    <row r="395" spans="1:8" x14ac:dyDescent="0.25">
      <c r="A395" t="s">
        <v>393</v>
      </c>
      <c r="B395" t="s">
        <v>439</v>
      </c>
      <c r="C395" t="s">
        <v>60</v>
      </c>
      <c r="D395">
        <v>50</v>
      </c>
      <c r="E395" t="s">
        <v>19</v>
      </c>
      <c r="F395">
        <v>435</v>
      </c>
      <c r="G395">
        <v>27.86</v>
      </c>
      <c r="H395">
        <v>3</v>
      </c>
    </row>
    <row r="396" spans="1:8" x14ac:dyDescent="0.25">
      <c r="A396" t="s">
        <v>393</v>
      </c>
      <c r="B396" t="s">
        <v>440</v>
      </c>
      <c r="C396" t="s">
        <v>10</v>
      </c>
      <c r="D396">
        <v>24</v>
      </c>
      <c r="E396" t="s">
        <v>22</v>
      </c>
      <c r="F396">
        <v>392</v>
      </c>
      <c r="G396">
        <v>27.06</v>
      </c>
      <c r="H396">
        <v>1</v>
      </c>
    </row>
    <row r="397" spans="1:8" x14ac:dyDescent="0.25">
      <c r="A397" t="s">
        <v>393</v>
      </c>
      <c r="B397" t="s">
        <v>441</v>
      </c>
      <c r="C397" t="s">
        <v>40</v>
      </c>
      <c r="D397">
        <v>45</v>
      </c>
      <c r="E397" t="s">
        <v>19</v>
      </c>
      <c r="F397">
        <v>439</v>
      </c>
      <c r="G397">
        <v>13.62</v>
      </c>
      <c r="H397">
        <v>4</v>
      </c>
    </row>
    <row r="398" spans="1:8" x14ac:dyDescent="0.25">
      <c r="A398" t="s">
        <v>393</v>
      </c>
      <c r="B398" t="s">
        <v>442</v>
      </c>
      <c r="C398" t="s">
        <v>78</v>
      </c>
      <c r="D398">
        <v>104</v>
      </c>
      <c r="E398" t="s">
        <v>14</v>
      </c>
      <c r="F398">
        <v>60</v>
      </c>
      <c r="G398">
        <v>45.51</v>
      </c>
      <c r="H398">
        <v>1</v>
      </c>
    </row>
    <row r="399" spans="1:8" x14ac:dyDescent="0.25">
      <c r="A399" t="s">
        <v>393</v>
      </c>
      <c r="B399" t="s">
        <v>443</v>
      </c>
      <c r="C399" t="s">
        <v>16</v>
      </c>
      <c r="D399">
        <v>95</v>
      </c>
      <c r="E399" t="s">
        <v>11</v>
      </c>
      <c r="F399">
        <v>148</v>
      </c>
      <c r="G399">
        <v>76.95</v>
      </c>
      <c r="H399">
        <v>5</v>
      </c>
    </row>
    <row r="400" spans="1:8" x14ac:dyDescent="0.25">
      <c r="A400" t="s">
        <v>444</v>
      </c>
      <c r="B400" t="s">
        <v>445</v>
      </c>
      <c r="C400" t="s">
        <v>51</v>
      </c>
      <c r="D400">
        <v>83</v>
      </c>
      <c r="E400" t="s">
        <v>11</v>
      </c>
      <c r="F400">
        <v>105</v>
      </c>
      <c r="G400">
        <v>20.46</v>
      </c>
      <c r="H400">
        <v>1</v>
      </c>
    </row>
    <row r="401" spans="1:8" x14ac:dyDescent="0.25">
      <c r="A401" t="s">
        <v>444</v>
      </c>
      <c r="B401" t="s">
        <v>446</v>
      </c>
      <c r="C401" t="s">
        <v>67</v>
      </c>
      <c r="D401">
        <v>7</v>
      </c>
      <c r="E401" t="s">
        <v>22</v>
      </c>
      <c r="F401">
        <v>94</v>
      </c>
      <c r="G401">
        <v>68.38</v>
      </c>
      <c r="H401">
        <v>3</v>
      </c>
    </row>
    <row r="402" spans="1:8" x14ac:dyDescent="0.25">
      <c r="A402" t="s">
        <v>444</v>
      </c>
      <c r="B402" t="s">
        <v>447</v>
      </c>
      <c r="C402" t="s">
        <v>37</v>
      </c>
      <c r="D402">
        <v>39</v>
      </c>
      <c r="E402" t="s">
        <v>11</v>
      </c>
      <c r="F402">
        <v>1</v>
      </c>
      <c r="G402">
        <v>66.94</v>
      </c>
      <c r="H402">
        <v>5</v>
      </c>
    </row>
    <row r="403" spans="1:8" x14ac:dyDescent="0.25">
      <c r="A403" t="s">
        <v>444</v>
      </c>
      <c r="B403" t="s">
        <v>448</v>
      </c>
      <c r="C403" t="s">
        <v>57</v>
      </c>
      <c r="D403">
        <v>15</v>
      </c>
      <c r="E403" t="s">
        <v>22</v>
      </c>
      <c r="F403">
        <v>81</v>
      </c>
      <c r="G403">
        <v>97.5</v>
      </c>
      <c r="H403">
        <v>4</v>
      </c>
    </row>
    <row r="404" spans="1:8" x14ac:dyDescent="0.25">
      <c r="A404" t="s">
        <v>444</v>
      </c>
      <c r="B404" t="s">
        <v>449</v>
      </c>
      <c r="C404" t="s">
        <v>13</v>
      </c>
      <c r="D404">
        <v>35</v>
      </c>
      <c r="E404" t="s">
        <v>14</v>
      </c>
      <c r="F404">
        <v>292</v>
      </c>
      <c r="G404">
        <v>39.21</v>
      </c>
      <c r="H404">
        <v>1</v>
      </c>
    </row>
    <row r="405" spans="1:8" x14ac:dyDescent="0.25">
      <c r="A405" t="s">
        <v>444</v>
      </c>
      <c r="B405" t="s">
        <v>450</v>
      </c>
      <c r="C405" t="s">
        <v>10</v>
      </c>
      <c r="D405">
        <v>47</v>
      </c>
      <c r="E405" t="s">
        <v>19</v>
      </c>
      <c r="F405">
        <v>111</v>
      </c>
      <c r="G405">
        <v>95.18</v>
      </c>
      <c r="H405">
        <v>0</v>
      </c>
    </row>
    <row r="406" spans="1:8" x14ac:dyDescent="0.25">
      <c r="A406" t="s">
        <v>444</v>
      </c>
      <c r="B406" t="s">
        <v>451</v>
      </c>
      <c r="C406" t="s">
        <v>33</v>
      </c>
      <c r="D406">
        <v>36</v>
      </c>
      <c r="E406" t="s">
        <v>19</v>
      </c>
      <c r="F406">
        <v>303</v>
      </c>
      <c r="G406">
        <v>89.56</v>
      </c>
      <c r="H406">
        <v>1</v>
      </c>
    </row>
    <row r="407" spans="1:8" x14ac:dyDescent="0.25">
      <c r="A407" t="s">
        <v>444</v>
      </c>
      <c r="B407" t="s">
        <v>452</v>
      </c>
      <c r="C407" t="s">
        <v>26</v>
      </c>
      <c r="D407">
        <v>45</v>
      </c>
      <c r="E407" t="s">
        <v>22</v>
      </c>
      <c r="F407">
        <v>356</v>
      </c>
      <c r="G407">
        <v>33.76</v>
      </c>
      <c r="H407">
        <v>0</v>
      </c>
    </row>
    <row r="408" spans="1:8" x14ac:dyDescent="0.25">
      <c r="A408" t="s">
        <v>444</v>
      </c>
      <c r="B408" t="s">
        <v>453</v>
      </c>
      <c r="C408" t="s">
        <v>37</v>
      </c>
      <c r="D408">
        <v>92</v>
      </c>
      <c r="E408" t="s">
        <v>19</v>
      </c>
      <c r="F408">
        <v>4</v>
      </c>
      <c r="G408">
        <v>22.03</v>
      </c>
      <c r="H408">
        <v>3</v>
      </c>
    </row>
    <row r="409" spans="1:8" x14ac:dyDescent="0.25">
      <c r="A409" t="s">
        <v>444</v>
      </c>
      <c r="B409" t="s">
        <v>454</v>
      </c>
      <c r="C409" t="s">
        <v>24</v>
      </c>
      <c r="D409">
        <v>54</v>
      </c>
      <c r="E409" t="s">
        <v>19</v>
      </c>
      <c r="F409">
        <v>450</v>
      </c>
      <c r="G409">
        <v>90.85</v>
      </c>
      <c r="H409">
        <v>1</v>
      </c>
    </row>
    <row r="410" spans="1:8" x14ac:dyDescent="0.25">
      <c r="A410" t="s">
        <v>444</v>
      </c>
      <c r="B410" t="s">
        <v>455</v>
      </c>
      <c r="C410" t="s">
        <v>24</v>
      </c>
      <c r="D410">
        <v>32</v>
      </c>
      <c r="E410" t="s">
        <v>22</v>
      </c>
      <c r="F410">
        <v>475</v>
      </c>
      <c r="G410">
        <v>36.54</v>
      </c>
      <c r="H410">
        <v>3</v>
      </c>
    </row>
    <row r="411" spans="1:8" x14ac:dyDescent="0.25">
      <c r="A411" t="s">
        <v>444</v>
      </c>
      <c r="B411" t="s">
        <v>456</v>
      </c>
      <c r="C411" t="s">
        <v>51</v>
      </c>
      <c r="D411">
        <v>41</v>
      </c>
      <c r="E411" t="s">
        <v>22</v>
      </c>
      <c r="F411">
        <v>404</v>
      </c>
      <c r="G411">
        <v>98.67</v>
      </c>
      <c r="H411">
        <v>5</v>
      </c>
    </row>
    <row r="412" spans="1:8" x14ac:dyDescent="0.25">
      <c r="A412" t="s">
        <v>444</v>
      </c>
      <c r="B412" t="s">
        <v>457</v>
      </c>
      <c r="C412" t="s">
        <v>37</v>
      </c>
      <c r="D412">
        <v>115</v>
      </c>
      <c r="E412" t="s">
        <v>14</v>
      </c>
      <c r="F412">
        <v>262</v>
      </c>
      <c r="G412">
        <v>66.34</v>
      </c>
      <c r="H412">
        <v>3</v>
      </c>
    </row>
    <row r="413" spans="1:8" x14ac:dyDescent="0.25">
      <c r="A413" t="s">
        <v>444</v>
      </c>
      <c r="B413" t="s">
        <v>458</v>
      </c>
      <c r="C413" t="s">
        <v>18</v>
      </c>
      <c r="D413">
        <v>7</v>
      </c>
      <c r="E413" t="s">
        <v>19</v>
      </c>
      <c r="F413">
        <v>233</v>
      </c>
      <c r="G413">
        <v>10.94</v>
      </c>
      <c r="H413">
        <v>0</v>
      </c>
    </row>
    <row r="414" spans="1:8" x14ac:dyDescent="0.25">
      <c r="A414" t="s">
        <v>444</v>
      </c>
      <c r="B414" t="s">
        <v>459</v>
      </c>
      <c r="C414" t="s">
        <v>73</v>
      </c>
      <c r="D414">
        <v>24</v>
      </c>
      <c r="E414" t="s">
        <v>19</v>
      </c>
      <c r="F414">
        <v>257</v>
      </c>
      <c r="G414">
        <v>41.99</v>
      </c>
      <c r="H414">
        <v>5</v>
      </c>
    </row>
    <row r="415" spans="1:8" x14ac:dyDescent="0.25">
      <c r="A415" t="s">
        <v>444</v>
      </c>
      <c r="B415" t="s">
        <v>460</v>
      </c>
      <c r="C415" t="s">
        <v>31</v>
      </c>
      <c r="D415">
        <v>6</v>
      </c>
      <c r="E415" t="s">
        <v>11</v>
      </c>
      <c r="F415">
        <v>362</v>
      </c>
      <c r="G415">
        <v>75.739999999999995</v>
      </c>
      <c r="H415">
        <v>4</v>
      </c>
    </row>
    <row r="416" spans="1:8" x14ac:dyDescent="0.25">
      <c r="A416" t="s">
        <v>444</v>
      </c>
      <c r="B416" t="s">
        <v>461</v>
      </c>
      <c r="C416" t="s">
        <v>29</v>
      </c>
      <c r="D416">
        <v>1</v>
      </c>
      <c r="E416" t="s">
        <v>11</v>
      </c>
      <c r="F416">
        <v>368</v>
      </c>
      <c r="G416">
        <v>35.17</v>
      </c>
      <c r="H416">
        <v>1</v>
      </c>
    </row>
    <row r="417" spans="1:8" x14ac:dyDescent="0.25">
      <c r="A417" t="s">
        <v>444</v>
      </c>
      <c r="B417" t="s">
        <v>462</v>
      </c>
      <c r="C417" t="s">
        <v>33</v>
      </c>
      <c r="D417">
        <v>7</v>
      </c>
      <c r="E417" t="s">
        <v>14</v>
      </c>
      <c r="F417">
        <v>268</v>
      </c>
      <c r="G417">
        <v>33.04</v>
      </c>
      <c r="H417">
        <v>5</v>
      </c>
    </row>
    <row r="418" spans="1:8" x14ac:dyDescent="0.25">
      <c r="A418" t="s">
        <v>444</v>
      </c>
      <c r="B418" t="s">
        <v>463</v>
      </c>
      <c r="C418" t="s">
        <v>89</v>
      </c>
      <c r="D418">
        <v>85</v>
      </c>
      <c r="E418" t="s">
        <v>22</v>
      </c>
      <c r="F418">
        <v>132</v>
      </c>
      <c r="G418">
        <v>11.41</v>
      </c>
      <c r="H418">
        <v>0</v>
      </c>
    </row>
    <row r="419" spans="1:8" x14ac:dyDescent="0.25">
      <c r="A419" t="s">
        <v>444</v>
      </c>
      <c r="B419" t="s">
        <v>464</v>
      </c>
      <c r="C419" t="s">
        <v>16</v>
      </c>
      <c r="D419">
        <v>96</v>
      </c>
      <c r="E419" t="s">
        <v>22</v>
      </c>
      <c r="F419">
        <v>155</v>
      </c>
      <c r="G419">
        <v>69.16</v>
      </c>
      <c r="H419">
        <v>4</v>
      </c>
    </row>
    <row r="420" spans="1:8" x14ac:dyDescent="0.25">
      <c r="A420" t="s">
        <v>444</v>
      </c>
      <c r="B420" t="s">
        <v>465</v>
      </c>
      <c r="C420" t="s">
        <v>16</v>
      </c>
      <c r="D420">
        <v>42</v>
      </c>
      <c r="E420" t="s">
        <v>19</v>
      </c>
      <c r="F420">
        <v>436</v>
      </c>
      <c r="G420">
        <v>88.12</v>
      </c>
      <c r="H420">
        <v>0</v>
      </c>
    </row>
    <row r="421" spans="1:8" x14ac:dyDescent="0.25">
      <c r="A421" t="s">
        <v>444</v>
      </c>
      <c r="B421" t="s">
        <v>466</v>
      </c>
      <c r="C421" t="s">
        <v>44</v>
      </c>
      <c r="D421">
        <v>28</v>
      </c>
      <c r="E421" t="s">
        <v>22</v>
      </c>
      <c r="F421">
        <v>112</v>
      </c>
      <c r="G421">
        <v>94.51</v>
      </c>
      <c r="H421">
        <v>3</v>
      </c>
    </row>
    <row r="422" spans="1:8" x14ac:dyDescent="0.25">
      <c r="A422" t="s">
        <v>444</v>
      </c>
      <c r="B422" t="s">
        <v>467</v>
      </c>
      <c r="C422" t="s">
        <v>57</v>
      </c>
      <c r="D422">
        <v>37</v>
      </c>
      <c r="E422" t="s">
        <v>22</v>
      </c>
      <c r="F422">
        <v>151</v>
      </c>
      <c r="G422">
        <v>62.49</v>
      </c>
      <c r="H422">
        <v>3</v>
      </c>
    </row>
    <row r="423" spans="1:8" x14ac:dyDescent="0.25">
      <c r="A423" t="s">
        <v>444</v>
      </c>
      <c r="B423" t="s">
        <v>468</v>
      </c>
      <c r="C423" t="s">
        <v>51</v>
      </c>
      <c r="D423">
        <v>61</v>
      </c>
      <c r="E423" t="s">
        <v>14</v>
      </c>
      <c r="F423">
        <v>362</v>
      </c>
      <c r="G423">
        <v>75.03</v>
      </c>
      <c r="H423">
        <v>0</v>
      </c>
    </row>
    <row r="424" spans="1:8" x14ac:dyDescent="0.25">
      <c r="A424" t="s">
        <v>444</v>
      </c>
      <c r="B424" t="s">
        <v>469</v>
      </c>
      <c r="C424" t="s">
        <v>44</v>
      </c>
      <c r="D424">
        <v>36</v>
      </c>
      <c r="E424" t="s">
        <v>11</v>
      </c>
      <c r="F424">
        <v>137</v>
      </c>
      <c r="G424">
        <v>71.930000000000007</v>
      </c>
      <c r="H424">
        <v>0</v>
      </c>
    </row>
    <row r="425" spans="1:8" x14ac:dyDescent="0.25">
      <c r="A425" t="s">
        <v>444</v>
      </c>
      <c r="B425" t="s">
        <v>470</v>
      </c>
      <c r="C425" t="s">
        <v>131</v>
      </c>
      <c r="D425">
        <v>117</v>
      </c>
      <c r="E425" t="s">
        <v>11</v>
      </c>
      <c r="F425">
        <v>282</v>
      </c>
      <c r="G425">
        <v>95.11</v>
      </c>
      <c r="H425">
        <v>0</v>
      </c>
    </row>
    <row r="426" spans="1:8" x14ac:dyDescent="0.25">
      <c r="A426" t="s">
        <v>444</v>
      </c>
      <c r="B426" t="s">
        <v>471</v>
      </c>
      <c r="C426" t="s">
        <v>62</v>
      </c>
      <c r="D426">
        <v>78</v>
      </c>
      <c r="E426" t="s">
        <v>11</v>
      </c>
      <c r="F426">
        <v>60</v>
      </c>
      <c r="G426">
        <v>33.159999999999997</v>
      </c>
      <c r="H426">
        <v>5</v>
      </c>
    </row>
    <row r="427" spans="1:8" x14ac:dyDescent="0.25">
      <c r="A427" t="s">
        <v>444</v>
      </c>
      <c r="B427" t="s">
        <v>472</v>
      </c>
      <c r="C427" t="s">
        <v>67</v>
      </c>
      <c r="D427">
        <v>13</v>
      </c>
      <c r="E427" t="s">
        <v>14</v>
      </c>
      <c r="F427">
        <v>87</v>
      </c>
      <c r="G427">
        <v>66.36</v>
      </c>
      <c r="H427">
        <v>0</v>
      </c>
    </row>
    <row r="428" spans="1:8" x14ac:dyDescent="0.25">
      <c r="A428" t="s">
        <v>444</v>
      </c>
      <c r="B428" t="s">
        <v>473</v>
      </c>
      <c r="C428" t="s">
        <v>33</v>
      </c>
      <c r="D428">
        <v>56</v>
      </c>
      <c r="E428" t="s">
        <v>19</v>
      </c>
      <c r="F428">
        <v>114</v>
      </c>
      <c r="G428">
        <v>64.39</v>
      </c>
      <c r="H428">
        <v>1</v>
      </c>
    </row>
    <row r="429" spans="1:8" x14ac:dyDescent="0.25">
      <c r="A429" t="s">
        <v>444</v>
      </c>
      <c r="B429" t="s">
        <v>474</v>
      </c>
      <c r="C429" t="s">
        <v>44</v>
      </c>
      <c r="D429">
        <v>24</v>
      </c>
      <c r="E429" t="s">
        <v>14</v>
      </c>
      <c r="F429">
        <v>23</v>
      </c>
      <c r="G429">
        <v>28.55</v>
      </c>
      <c r="H429">
        <v>1</v>
      </c>
    </row>
    <row r="430" spans="1:8" x14ac:dyDescent="0.25">
      <c r="A430" t="s">
        <v>444</v>
      </c>
      <c r="B430" t="s">
        <v>475</v>
      </c>
      <c r="C430" t="s">
        <v>10</v>
      </c>
      <c r="D430">
        <v>33</v>
      </c>
      <c r="E430" t="s">
        <v>19</v>
      </c>
      <c r="F430">
        <v>273</v>
      </c>
      <c r="G430">
        <v>49.8</v>
      </c>
      <c r="H430">
        <v>0</v>
      </c>
    </row>
    <row r="431" spans="1:8" x14ac:dyDescent="0.25">
      <c r="A431" t="s">
        <v>444</v>
      </c>
      <c r="B431" t="s">
        <v>476</v>
      </c>
      <c r="C431" t="s">
        <v>64</v>
      </c>
      <c r="D431">
        <v>63</v>
      </c>
      <c r="E431" t="s">
        <v>14</v>
      </c>
      <c r="F431">
        <v>121</v>
      </c>
      <c r="G431">
        <v>39.18</v>
      </c>
      <c r="H431">
        <v>2</v>
      </c>
    </row>
    <row r="432" spans="1:8" x14ac:dyDescent="0.25">
      <c r="A432" t="s">
        <v>444</v>
      </c>
      <c r="B432" t="s">
        <v>477</v>
      </c>
      <c r="C432" t="s">
        <v>31</v>
      </c>
      <c r="D432">
        <v>47</v>
      </c>
      <c r="E432" t="s">
        <v>14</v>
      </c>
      <c r="F432">
        <v>149</v>
      </c>
      <c r="G432">
        <v>28.35</v>
      </c>
      <c r="H432">
        <v>1</v>
      </c>
    </row>
    <row r="433" spans="1:8" x14ac:dyDescent="0.25">
      <c r="A433" t="s">
        <v>444</v>
      </c>
      <c r="B433" t="s">
        <v>478</v>
      </c>
      <c r="C433" t="s">
        <v>33</v>
      </c>
      <c r="D433">
        <v>43</v>
      </c>
      <c r="E433" t="s">
        <v>19</v>
      </c>
      <c r="F433">
        <v>20</v>
      </c>
      <c r="G433">
        <v>66.680000000000007</v>
      </c>
      <c r="H433">
        <v>5</v>
      </c>
    </row>
    <row r="434" spans="1:8" x14ac:dyDescent="0.25">
      <c r="A434" t="s">
        <v>444</v>
      </c>
      <c r="B434" t="s">
        <v>479</v>
      </c>
      <c r="C434" t="s">
        <v>40</v>
      </c>
      <c r="D434">
        <v>39</v>
      </c>
      <c r="E434" t="s">
        <v>22</v>
      </c>
      <c r="F434">
        <v>327</v>
      </c>
      <c r="G434">
        <v>87.24</v>
      </c>
      <c r="H434">
        <v>4</v>
      </c>
    </row>
    <row r="435" spans="1:8" x14ac:dyDescent="0.25">
      <c r="A435" t="s">
        <v>444</v>
      </c>
      <c r="B435" t="s">
        <v>480</v>
      </c>
      <c r="C435" t="s">
        <v>62</v>
      </c>
      <c r="D435">
        <v>15</v>
      </c>
      <c r="E435" t="s">
        <v>11</v>
      </c>
      <c r="F435">
        <v>75</v>
      </c>
      <c r="G435">
        <v>45.59</v>
      </c>
      <c r="H435">
        <v>0</v>
      </c>
    </row>
    <row r="436" spans="1:8" x14ac:dyDescent="0.25">
      <c r="A436" t="s">
        <v>444</v>
      </c>
      <c r="B436" t="s">
        <v>481</v>
      </c>
      <c r="C436" t="s">
        <v>131</v>
      </c>
      <c r="D436">
        <v>13</v>
      </c>
      <c r="E436" t="s">
        <v>22</v>
      </c>
      <c r="F436">
        <v>482</v>
      </c>
      <c r="G436">
        <v>50.15</v>
      </c>
      <c r="H436">
        <v>0</v>
      </c>
    </row>
    <row r="437" spans="1:8" x14ac:dyDescent="0.25">
      <c r="A437" t="s">
        <v>444</v>
      </c>
      <c r="B437" t="s">
        <v>482</v>
      </c>
      <c r="C437" t="s">
        <v>10</v>
      </c>
      <c r="D437">
        <v>86</v>
      </c>
      <c r="E437" t="s">
        <v>11</v>
      </c>
      <c r="F437">
        <v>452</v>
      </c>
      <c r="G437">
        <v>75.680000000000007</v>
      </c>
      <c r="H437">
        <v>0</v>
      </c>
    </row>
    <row r="438" spans="1:8" x14ac:dyDescent="0.25">
      <c r="A438" t="s">
        <v>444</v>
      </c>
      <c r="B438" t="s">
        <v>483</v>
      </c>
      <c r="C438" t="s">
        <v>73</v>
      </c>
      <c r="D438">
        <v>2</v>
      </c>
      <c r="E438" t="s">
        <v>19</v>
      </c>
      <c r="F438">
        <v>142</v>
      </c>
      <c r="G438">
        <v>49.05</v>
      </c>
      <c r="H438">
        <v>4</v>
      </c>
    </row>
    <row r="439" spans="1:8" x14ac:dyDescent="0.25">
      <c r="A439" t="s">
        <v>444</v>
      </c>
      <c r="B439" t="s">
        <v>484</v>
      </c>
      <c r="C439" t="s">
        <v>35</v>
      </c>
      <c r="D439">
        <v>88</v>
      </c>
      <c r="E439" t="s">
        <v>19</v>
      </c>
      <c r="F439">
        <v>474</v>
      </c>
      <c r="G439">
        <v>23.35</v>
      </c>
      <c r="H439">
        <v>5</v>
      </c>
    </row>
    <row r="440" spans="1:8" x14ac:dyDescent="0.25">
      <c r="A440" t="s">
        <v>444</v>
      </c>
      <c r="B440" t="s">
        <v>485</v>
      </c>
      <c r="C440" t="s">
        <v>37</v>
      </c>
      <c r="D440">
        <v>71</v>
      </c>
      <c r="E440" t="s">
        <v>22</v>
      </c>
      <c r="F440">
        <v>68</v>
      </c>
      <c r="G440">
        <v>53.11</v>
      </c>
      <c r="H440">
        <v>2</v>
      </c>
    </row>
    <row r="441" spans="1:8" x14ac:dyDescent="0.25">
      <c r="A441" t="s">
        <v>444</v>
      </c>
      <c r="B441" t="s">
        <v>486</v>
      </c>
      <c r="C441" t="s">
        <v>16</v>
      </c>
      <c r="D441">
        <v>99</v>
      </c>
      <c r="E441" t="s">
        <v>14</v>
      </c>
      <c r="F441">
        <v>138</v>
      </c>
      <c r="G441">
        <v>54.64</v>
      </c>
      <c r="H441">
        <v>5</v>
      </c>
    </row>
    <row r="442" spans="1:8" x14ac:dyDescent="0.25">
      <c r="A442" t="s">
        <v>444</v>
      </c>
      <c r="B442" t="s">
        <v>487</v>
      </c>
      <c r="C442" t="s">
        <v>57</v>
      </c>
      <c r="D442">
        <v>111</v>
      </c>
      <c r="E442" t="s">
        <v>14</v>
      </c>
      <c r="F442">
        <v>447</v>
      </c>
      <c r="G442">
        <v>51.35</v>
      </c>
      <c r="H442">
        <v>0</v>
      </c>
    </row>
    <row r="443" spans="1:8" x14ac:dyDescent="0.25">
      <c r="A443" t="s">
        <v>444</v>
      </c>
      <c r="B443" t="s">
        <v>488</v>
      </c>
      <c r="C443" t="s">
        <v>57</v>
      </c>
      <c r="D443">
        <v>17</v>
      </c>
      <c r="E443" t="s">
        <v>19</v>
      </c>
      <c r="F443">
        <v>404</v>
      </c>
      <c r="G443">
        <v>83.4</v>
      </c>
      <c r="H443">
        <v>1</v>
      </c>
    </row>
    <row r="444" spans="1:8" x14ac:dyDescent="0.25">
      <c r="A444" t="s">
        <v>444</v>
      </c>
      <c r="B444" t="s">
        <v>489</v>
      </c>
      <c r="C444" t="s">
        <v>78</v>
      </c>
      <c r="D444">
        <v>43</v>
      </c>
      <c r="E444" t="s">
        <v>22</v>
      </c>
      <c r="F444">
        <v>26</v>
      </c>
      <c r="G444">
        <v>25.85</v>
      </c>
      <c r="H444">
        <v>1</v>
      </c>
    </row>
    <row r="445" spans="1:8" x14ac:dyDescent="0.25">
      <c r="A445" t="s">
        <v>444</v>
      </c>
      <c r="B445" t="s">
        <v>490</v>
      </c>
      <c r="C445" t="s">
        <v>10</v>
      </c>
      <c r="D445">
        <v>47</v>
      </c>
      <c r="E445" t="s">
        <v>14</v>
      </c>
      <c r="F445">
        <v>328</v>
      </c>
      <c r="G445">
        <v>61.27</v>
      </c>
      <c r="H445">
        <v>3</v>
      </c>
    </row>
    <row r="446" spans="1:8" x14ac:dyDescent="0.25">
      <c r="A446" t="s">
        <v>444</v>
      </c>
      <c r="B446" t="s">
        <v>491</v>
      </c>
      <c r="C446" t="s">
        <v>26</v>
      </c>
      <c r="D446">
        <v>95</v>
      </c>
      <c r="E446" t="s">
        <v>14</v>
      </c>
      <c r="F446">
        <v>127</v>
      </c>
      <c r="G446">
        <v>94.9</v>
      </c>
      <c r="H446">
        <v>4</v>
      </c>
    </row>
    <row r="447" spans="1:8" x14ac:dyDescent="0.25">
      <c r="A447" t="s">
        <v>444</v>
      </c>
      <c r="B447" t="s">
        <v>492</v>
      </c>
      <c r="C447" t="s">
        <v>62</v>
      </c>
      <c r="D447">
        <v>104</v>
      </c>
      <c r="E447" t="s">
        <v>14</v>
      </c>
      <c r="F447">
        <v>421</v>
      </c>
      <c r="G447">
        <v>26.24</v>
      </c>
      <c r="H447">
        <v>3</v>
      </c>
    </row>
    <row r="448" spans="1:8" x14ac:dyDescent="0.25">
      <c r="A448" t="s">
        <v>444</v>
      </c>
      <c r="B448" t="s">
        <v>493</v>
      </c>
      <c r="C448" t="s">
        <v>73</v>
      </c>
      <c r="D448">
        <v>47</v>
      </c>
      <c r="E448" t="s">
        <v>14</v>
      </c>
      <c r="F448">
        <v>107</v>
      </c>
      <c r="G448">
        <v>35.380000000000003</v>
      </c>
      <c r="H448">
        <v>1</v>
      </c>
    </row>
    <row r="449" spans="1:8" x14ac:dyDescent="0.25">
      <c r="A449" t="s">
        <v>444</v>
      </c>
      <c r="B449" t="s">
        <v>494</v>
      </c>
      <c r="C449" t="s">
        <v>10</v>
      </c>
      <c r="D449">
        <v>96</v>
      </c>
      <c r="E449" t="s">
        <v>11</v>
      </c>
      <c r="F449">
        <v>273</v>
      </c>
      <c r="G449">
        <v>37.909999999999997</v>
      </c>
      <c r="H449">
        <v>2</v>
      </c>
    </row>
    <row r="450" spans="1:8" x14ac:dyDescent="0.25">
      <c r="A450" t="s">
        <v>495</v>
      </c>
      <c r="B450" t="s">
        <v>496</v>
      </c>
      <c r="C450" t="s">
        <v>60</v>
      </c>
      <c r="D450">
        <v>43</v>
      </c>
      <c r="E450" t="s">
        <v>11</v>
      </c>
      <c r="F450">
        <v>193</v>
      </c>
      <c r="G450">
        <v>35.81</v>
      </c>
      <c r="H450">
        <v>0</v>
      </c>
    </row>
    <row r="451" spans="1:8" x14ac:dyDescent="0.25">
      <c r="A451" t="s">
        <v>495</v>
      </c>
      <c r="B451" t="s">
        <v>497</v>
      </c>
      <c r="C451" t="s">
        <v>37</v>
      </c>
      <c r="D451">
        <v>77</v>
      </c>
      <c r="E451" t="s">
        <v>22</v>
      </c>
      <c r="F451">
        <v>375</v>
      </c>
      <c r="G451">
        <v>24.03</v>
      </c>
      <c r="H451">
        <v>1</v>
      </c>
    </row>
    <row r="452" spans="1:8" x14ac:dyDescent="0.25">
      <c r="A452" t="s">
        <v>495</v>
      </c>
      <c r="B452" t="s">
        <v>498</v>
      </c>
      <c r="C452" t="s">
        <v>67</v>
      </c>
      <c r="D452">
        <v>24</v>
      </c>
      <c r="E452" t="s">
        <v>19</v>
      </c>
      <c r="F452">
        <v>13</v>
      </c>
      <c r="G452">
        <v>89.3</v>
      </c>
      <c r="H452">
        <v>2</v>
      </c>
    </row>
    <row r="453" spans="1:8" x14ac:dyDescent="0.25">
      <c r="A453" t="s">
        <v>495</v>
      </c>
      <c r="B453" t="s">
        <v>499</v>
      </c>
      <c r="C453" t="s">
        <v>16</v>
      </c>
      <c r="D453">
        <v>87</v>
      </c>
      <c r="E453" t="s">
        <v>11</v>
      </c>
      <c r="F453">
        <v>356</v>
      </c>
      <c r="G453">
        <v>12.89</v>
      </c>
      <c r="H453">
        <v>0</v>
      </c>
    </row>
    <row r="454" spans="1:8" x14ac:dyDescent="0.25">
      <c r="A454" t="s">
        <v>495</v>
      </c>
      <c r="B454" t="s">
        <v>500</v>
      </c>
      <c r="C454" t="s">
        <v>60</v>
      </c>
      <c r="D454">
        <v>55</v>
      </c>
      <c r="E454" t="s">
        <v>22</v>
      </c>
      <c r="F454">
        <v>494</v>
      </c>
      <c r="G454">
        <v>77.599999999999994</v>
      </c>
      <c r="H454">
        <v>4</v>
      </c>
    </row>
    <row r="455" spans="1:8" x14ac:dyDescent="0.25">
      <c r="A455" t="s">
        <v>495</v>
      </c>
      <c r="B455" t="s">
        <v>501</v>
      </c>
      <c r="C455" t="s">
        <v>51</v>
      </c>
      <c r="D455">
        <v>20</v>
      </c>
      <c r="E455" t="s">
        <v>22</v>
      </c>
      <c r="F455">
        <v>217</v>
      </c>
      <c r="G455">
        <v>55.3</v>
      </c>
      <c r="H455">
        <v>4</v>
      </c>
    </row>
    <row r="456" spans="1:8" x14ac:dyDescent="0.25">
      <c r="A456" t="s">
        <v>495</v>
      </c>
      <c r="B456" t="s">
        <v>502</v>
      </c>
      <c r="C456" t="s">
        <v>64</v>
      </c>
      <c r="D456">
        <v>115</v>
      </c>
      <c r="E456" t="s">
        <v>14</v>
      </c>
      <c r="F456">
        <v>190</v>
      </c>
      <c r="G456">
        <v>10.98</v>
      </c>
      <c r="H456">
        <v>0</v>
      </c>
    </row>
    <row r="457" spans="1:8" x14ac:dyDescent="0.25">
      <c r="A457" t="s">
        <v>495</v>
      </c>
      <c r="B457" t="s">
        <v>503</v>
      </c>
      <c r="C457" t="s">
        <v>62</v>
      </c>
      <c r="D457">
        <v>86</v>
      </c>
      <c r="E457" t="s">
        <v>11</v>
      </c>
      <c r="F457">
        <v>27</v>
      </c>
      <c r="G457">
        <v>84.94</v>
      </c>
      <c r="H457">
        <v>4</v>
      </c>
    </row>
    <row r="458" spans="1:8" x14ac:dyDescent="0.25">
      <c r="A458" t="s">
        <v>495</v>
      </c>
      <c r="B458" t="s">
        <v>504</v>
      </c>
      <c r="C458" t="s">
        <v>51</v>
      </c>
      <c r="D458">
        <v>88</v>
      </c>
      <c r="E458" t="s">
        <v>11</v>
      </c>
      <c r="F458">
        <v>359</v>
      </c>
      <c r="G458">
        <v>71.19</v>
      </c>
      <c r="H458">
        <v>3</v>
      </c>
    </row>
    <row r="459" spans="1:8" x14ac:dyDescent="0.25">
      <c r="A459" t="s">
        <v>495</v>
      </c>
      <c r="B459" t="s">
        <v>505</v>
      </c>
      <c r="C459" t="s">
        <v>60</v>
      </c>
      <c r="D459">
        <v>39</v>
      </c>
      <c r="E459" t="s">
        <v>14</v>
      </c>
      <c r="F459">
        <v>54</v>
      </c>
      <c r="G459">
        <v>88.84</v>
      </c>
      <c r="H459">
        <v>0</v>
      </c>
    </row>
    <row r="460" spans="1:8" x14ac:dyDescent="0.25">
      <c r="A460" t="s">
        <v>495</v>
      </c>
      <c r="B460" t="s">
        <v>506</v>
      </c>
      <c r="C460" t="s">
        <v>35</v>
      </c>
      <c r="D460">
        <v>80</v>
      </c>
      <c r="E460" t="s">
        <v>14</v>
      </c>
      <c r="F460">
        <v>339</v>
      </c>
      <c r="G460">
        <v>59.87</v>
      </c>
      <c r="H460">
        <v>0</v>
      </c>
    </row>
    <row r="461" spans="1:8" x14ac:dyDescent="0.25">
      <c r="A461" t="s">
        <v>495</v>
      </c>
      <c r="B461" t="s">
        <v>507</v>
      </c>
      <c r="C461" t="s">
        <v>51</v>
      </c>
      <c r="D461">
        <v>105</v>
      </c>
      <c r="E461" t="s">
        <v>14</v>
      </c>
      <c r="F461">
        <v>297</v>
      </c>
      <c r="G461">
        <v>84.66</v>
      </c>
      <c r="H461">
        <v>2</v>
      </c>
    </row>
    <row r="462" spans="1:8" x14ac:dyDescent="0.25">
      <c r="A462" t="s">
        <v>495</v>
      </c>
      <c r="B462" t="s">
        <v>508</v>
      </c>
      <c r="C462" t="s">
        <v>73</v>
      </c>
      <c r="D462">
        <v>37</v>
      </c>
      <c r="E462" t="s">
        <v>14</v>
      </c>
      <c r="F462">
        <v>37</v>
      </c>
      <c r="G462">
        <v>92.72</v>
      </c>
      <c r="H462">
        <v>0</v>
      </c>
    </row>
    <row r="463" spans="1:8" x14ac:dyDescent="0.25">
      <c r="A463" t="s">
        <v>495</v>
      </c>
      <c r="B463" t="s">
        <v>509</v>
      </c>
      <c r="C463" t="s">
        <v>10</v>
      </c>
      <c r="D463">
        <v>45</v>
      </c>
      <c r="E463" t="s">
        <v>11</v>
      </c>
      <c r="F463">
        <v>244</v>
      </c>
      <c r="G463">
        <v>55.17</v>
      </c>
      <c r="H463">
        <v>2</v>
      </c>
    </row>
    <row r="464" spans="1:8" x14ac:dyDescent="0.25">
      <c r="A464" t="s">
        <v>495</v>
      </c>
      <c r="B464" t="s">
        <v>510</v>
      </c>
      <c r="C464" t="s">
        <v>44</v>
      </c>
      <c r="D464">
        <v>113</v>
      </c>
      <c r="E464" t="s">
        <v>22</v>
      </c>
      <c r="F464">
        <v>428</v>
      </c>
      <c r="G464">
        <v>73.84</v>
      </c>
      <c r="H464">
        <v>0</v>
      </c>
    </row>
    <row r="465" spans="1:8" x14ac:dyDescent="0.25">
      <c r="A465" t="s">
        <v>495</v>
      </c>
      <c r="B465" t="s">
        <v>511</v>
      </c>
      <c r="C465" t="s">
        <v>64</v>
      </c>
      <c r="D465">
        <v>14</v>
      </c>
      <c r="E465" t="s">
        <v>22</v>
      </c>
      <c r="F465">
        <v>304</v>
      </c>
      <c r="G465">
        <v>48.13</v>
      </c>
      <c r="H465">
        <v>2</v>
      </c>
    </row>
    <row r="466" spans="1:8" x14ac:dyDescent="0.25">
      <c r="A466" t="s">
        <v>495</v>
      </c>
      <c r="B466" t="s">
        <v>512</v>
      </c>
      <c r="C466" t="s">
        <v>57</v>
      </c>
      <c r="D466">
        <v>35</v>
      </c>
      <c r="E466" t="s">
        <v>14</v>
      </c>
      <c r="F466">
        <v>445</v>
      </c>
      <c r="G466">
        <v>24.11</v>
      </c>
      <c r="H466">
        <v>2</v>
      </c>
    </row>
    <row r="467" spans="1:8" x14ac:dyDescent="0.25">
      <c r="A467" t="s">
        <v>495</v>
      </c>
      <c r="B467" t="s">
        <v>513</v>
      </c>
      <c r="C467" t="s">
        <v>64</v>
      </c>
      <c r="D467">
        <v>118</v>
      </c>
      <c r="E467" t="s">
        <v>14</v>
      </c>
      <c r="F467">
        <v>80</v>
      </c>
      <c r="G467">
        <v>97.58</v>
      </c>
      <c r="H467">
        <v>3</v>
      </c>
    </row>
    <row r="468" spans="1:8" x14ac:dyDescent="0.25">
      <c r="A468" t="s">
        <v>495</v>
      </c>
      <c r="B468" t="s">
        <v>514</v>
      </c>
      <c r="C468" t="s">
        <v>57</v>
      </c>
      <c r="D468">
        <v>64</v>
      </c>
      <c r="E468" t="s">
        <v>14</v>
      </c>
      <c r="F468">
        <v>15</v>
      </c>
      <c r="G468">
        <v>56.94</v>
      </c>
      <c r="H468">
        <v>4</v>
      </c>
    </row>
    <row r="469" spans="1:8" x14ac:dyDescent="0.25">
      <c r="A469" t="s">
        <v>495</v>
      </c>
      <c r="B469" t="s">
        <v>515</v>
      </c>
      <c r="C469" t="s">
        <v>10</v>
      </c>
      <c r="D469">
        <v>85</v>
      </c>
      <c r="E469" t="s">
        <v>14</v>
      </c>
      <c r="F469">
        <v>75</v>
      </c>
      <c r="G469">
        <v>98.01</v>
      </c>
      <c r="H469">
        <v>1</v>
      </c>
    </row>
    <row r="470" spans="1:8" x14ac:dyDescent="0.25">
      <c r="A470" t="s">
        <v>495</v>
      </c>
      <c r="B470" t="s">
        <v>516</v>
      </c>
      <c r="C470" t="s">
        <v>131</v>
      </c>
      <c r="D470">
        <v>48</v>
      </c>
      <c r="E470" t="s">
        <v>22</v>
      </c>
      <c r="F470">
        <v>187</v>
      </c>
      <c r="G470">
        <v>21.26</v>
      </c>
      <c r="H470">
        <v>2</v>
      </c>
    </row>
    <row r="471" spans="1:8" x14ac:dyDescent="0.25">
      <c r="A471" t="s">
        <v>495</v>
      </c>
      <c r="B471" t="s">
        <v>517</v>
      </c>
      <c r="C471" t="s">
        <v>44</v>
      </c>
      <c r="D471">
        <v>120</v>
      </c>
      <c r="E471" t="s">
        <v>14</v>
      </c>
      <c r="F471">
        <v>72</v>
      </c>
      <c r="G471">
        <v>29.07</v>
      </c>
      <c r="H471">
        <v>3</v>
      </c>
    </row>
    <row r="472" spans="1:8" x14ac:dyDescent="0.25">
      <c r="A472" t="s">
        <v>495</v>
      </c>
      <c r="B472" t="s">
        <v>518</v>
      </c>
      <c r="C472" t="s">
        <v>21</v>
      </c>
      <c r="D472">
        <v>34</v>
      </c>
      <c r="E472" t="s">
        <v>19</v>
      </c>
      <c r="F472">
        <v>40</v>
      </c>
      <c r="G472">
        <v>65.709999999999994</v>
      </c>
      <c r="H472">
        <v>5</v>
      </c>
    </row>
    <row r="473" spans="1:8" x14ac:dyDescent="0.25">
      <c r="A473" t="s">
        <v>495</v>
      </c>
      <c r="B473" t="s">
        <v>519</v>
      </c>
      <c r="C473" t="s">
        <v>16</v>
      </c>
      <c r="D473">
        <v>104</v>
      </c>
      <c r="E473" t="s">
        <v>14</v>
      </c>
      <c r="F473">
        <v>125</v>
      </c>
      <c r="G473">
        <v>29.7</v>
      </c>
      <c r="H473">
        <v>2</v>
      </c>
    </row>
    <row r="474" spans="1:8" x14ac:dyDescent="0.25">
      <c r="A474" t="s">
        <v>495</v>
      </c>
      <c r="B474" t="s">
        <v>520</v>
      </c>
      <c r="C474" t="s">
        <v>35</v>
      </c>
      <c r="D474">
        <v>117</v>
      </c>
      <c r="E474" t="s">
        <v>22</v>
      </c>
      <c r="F474">
        <v>39</v>
      </c>
      <c r="G474">
        <v>26.53</v>
      </c>
      <c r="H474">
        <v>1</v>
      </c>
    </row>
    <row r="475" spans="1:8" x14ac:dyDescent="0.25">
      <c r="A475" t="s">
        <v>495</v>
      </c>
      <c r="B475" t="s">
        <v>521</v>
      </c>
      <c r="C475" t="s">
        <v>57</v>
      </c>
      <c r="D475">
        <v>92</v>
      </c>
      <c r="E475" t="s">
        <v>19</v>
      </c>
      <c r="F475">
        <v>6</v>
      </c>
      <c r="G475">
        <v>77.14</v>
      </c>
      <c r="H475">
        <v>5</v>
      </c>
    </row>
    <row r="476" spans="1:8" x14ac:dyDescent="0.25">
      <c r="A476" t="s">
        <v>495</v>
      </c>
      <c r="B476" t="s">
        <v>522</v>
      </c>
      <c r="C476" t="s">
        <v>13</v>
      </c>
      <c r="D476">
        <v>103</v>
      </c>
      <c r="E476" t="s">
        <v>22</v>
      </c>
      <c r="F476">
        <v>291</v>
      </c>
      <c r="G476">
        <v>60.34</v>
      </c>
      <c r="H476">
        <v>5</v>
      </c>
    </row>
    <row r="477" spans="1:8" x14ac:dyDescent="0.25">
      <c r="A477" t="s">
        <v>495</v>
      </c>
      <c r="B477" t="s">
        <v>523</v>
      </c>
      <c r="C477" t="s">
        <v>131</v>
      </c>
      <c r="D477">
        <v>10</v>
      </c>
      <c r="E477" t="s">
        <v>11</v>
      </c>
      <c r="F477">
        <v>425</v>
      </c>
      <c r="G477">
        <v>85.75</v>
      </c>
      <c r="H477">
        <v>0</v>
      </c>
    </row>
    <row r="478" spans="1:8" x14ac:dyDescent="0.25">
      <c r="A478" t="s">
        <v>495</v>
      </c>
      <c r="B478" t="s">
        <v>524</v>
      </c>
      <c r="C478" t="s">
        <v>13</v>
      </c>
      <c r="D478">
        <v>101</v>
      </c>
      <c r="E478" t="s">
        <v>19</v>
      </c>
      <c r="F478">
        <v>416</v>
      </c>
      <c r="G478">
        <v>83.49</v>
      </c>
      <c r="H478">
        <v>2</v>
      </c>
    </row>
    <row r="479" spans="1:8" x14ac:dyDescent="0.25">
      <c r="A479" t="s">
        <v>495</v>
      </c>
      <c r="B479" t="s">
        <v>525</v>
      </c>
      <c r="C479" t="s">
        <v>37</v>
      </c>
      <c r="D479">
        <v>1</v>
      </c>
      <c r="E479" t="s">
        <v>22</v>
      </c>
      <c r="F479">
        <v>213</v>
      </c>
      <c r="G479">
        <v>52.16</v>
      </c>
      <c r="H479">
        <v>3</v>
      </c>
    </row>
    <row r="480" spans="1:8" x14ac:dyDescent="0.25">
      <c r="A480" t="s">
        <v>495</v>
      </c>
      <c r="B480" t="s">
        <v>526</v>
      </c>
      <c r="C480" t="s">
        <v>51</v>
      </c>
      <c r="D480">
        <v>111</v>
      </c>
      <c r="E480" t="s">
        <v>19</v>
      </c>
      <c r="F480">
        <v>76</v>
      </c>
      <c r="G480">
        <v>38.19</v>
      </c>
      <c r="H480">
        <v>5</v>
      </c>
    </row>
    <row r="481" spans="1:8" x14ac:dyDescent="0.25">
      <c r="A481" t="s">
        <v>495</v>
      </c>
      <c r="B481" t="s">
        <v>527</v>
      </c>
      <c r="C481" t="s">
        <v>26</v>
      </c>
      <c r="D481">
        <v>120</v>
      </c>
      <c r="E481" t="s">
        <v>11</v>
      </c>
      <c r="F481">
        <v>391</v>
      </c>
      <c r="G481">
        <v>67.77</v>
      </c>
      <c r="H481">
        <v>4</v>
      </c>
    </row>
    <row r="482" spans="1:8" x14ac:dyDescent="0.25">
      <c r="A482" t="s">
        <v>495</v>
      </c>
      <c r="B482" t="s">
        <v>528</v>
      </c>
      <c r="C482" t="s">
        <v>29</v>
      </c>
      <c r="D482">
        <v>20</v>
      </c>
      <c r="E482" t="s">
        <v>14</v>
      </c>
      <c r="F482">
        <v>93</v>
      </c>
      <c r="G482">
        <v>84.45</v>
      </c>
      <c r="H482">
        <v>0</v>
      </c>
    </row>
    <row r="483" spans="1:8" x14ac:dyDescent="0.25">
      <c r="A483" t="s">
        <v>495</v>
      </c>
      <c r="B483" t="s">
        <v>529</v>
      </c>
      <c r="C483" t="s">
        <v>51</v>
      </c>
      <c r="D483">
        <v>100</v>
      </c>
      <c r="E483" t="s">
        <v>22</v>
      </c>
      <c r="F483">
        <v>240</v>
      </c>
      <c r="G483">
        <v>24.83</v>
      </c>
      <c r="H483">
        <v>4</v>
      </c>
    </row>
    <row r="484" spans="1:8" x14ac:dyDescent="0.25">
      <c r="A484" t="s">
        <v>495</v>
      </c>
      <c r="B484" t="s">
        <v>530</v>
      </c>
      <c r="C484" t="s">
        <v>57</v>
      </c>
      <c r="D484">
        <v>84</v>
      </c>
      <c r="E484" t="s">
        <v>19</v>
      </c>
      <c r="F484">
        <v>380</v>
      </c>
      <c r="G484">
        <v>82.3</v>
      </c>
      <c r="H484">
        <v>1</v>
      </c>
    </row>
    <row r="485" spans="1:8" x14ac:dyDescent="0.25">
      <c r="A485" t="s">
        <v>495</v>
      </c>
      <c r="B485" t="s">
        <v>531</v>
      </c>
      <c r="C485" t="s">
        <v>51</v>
      </c>
      <c r="D485">
        <v>19</v>
      </c>
      <c r="E485" t="s">
        <v>19</v>
      </c>
      <c r="F485">
        <v>71</v>
      </c>
      <c r="G485">
        <v>68.2</v>
      </c>
      <c r="H485">
        <v>0</v>
      </c>
    </row>
    <row r="486" spans="1:8" x14ac:dyDescent="0.25">
      <c r="A486" t="s">
        <v>495</v>
      </c>
      <c r="B486" t="s">
        <v>532</v>
      </c>
      <c r="C486" t="s">
        <v>35</v>
      </c>
      <c r="D486">
        <v>41</v>
      </c>
      <c r="E486" t="s">
        <v>11</v>
      </c>
      <c r="F486">
        <v>383</v>
      </c>
      <c r="G486">
        <v>27.53</v>
      </c>
      <c r="H486">
        <v>4</v>
      </c>
    </row>
    <row r="487" spans="1:8" x14ac:dyDescent="0.25">
      <c r="A487" t="s">
        <v>495</v>
      </c>
      <c r="B487" t="s">
        <v>533</v>
      </c>
      <c r="C487" t="s">
        <v>21</v>
      </c>
      <c r="D487">
        <v>19</v>
      </c>
      <c r="E487" t="s">
        <v>11</v>
      </c>
      <c r="F487">
        <v>270</v>
      </c>
      <c r="G487">
        <v>19.760000000000002</v>
      </c>
      <c r="H487">
        <v>3</v>
      </c>
    </row>
    <row r="488" spans="1:8" x14ac:dyDescent="0.25">
      <c r="A488" t="s">
        <v>495</v>
      </c>
      <c r="B488" t="s">
        <v>534</v>
      </c>
      <c r="C488" t="s">
        <v>40</v>
      </c>
      <c r="D488">
        <v>50</v>
      </c>
      <c r="E488" t="s">
        <v>22</v>
      </c>
      <c r="F488">
        <v>357</v>
      </c>
      <c r="G488">
        <v>17</v>
      </c>
      <c r="H488">
        <v>3</v>
      </c>
    </row>
    <row r="489" spans="1:8" x14ac:dyDescent="0.25">
      <c r="A489" t="s">
        <v>495</v>
      </c>
      <c r="B489" t="s">
        <v>535</v>
      </c>
      <c r="C489" t="s">
        <v>31</v>
      </c>
      <c r="D489">
        <v>58</v>
      </c>
      <c r="E489" t="s">
        <v>11</v>
      </c>
      <c r="F489">
        <v>485</v>
      </c>
      <c r="G489">
        <v>64.290000000000006</v>
      </c>
      <c r="H489">
        <v>4</v>
      </c>
    </row>
    <row r="490" spans="1:8" x14ac:dyDescent="0.25">
      <c r="A490" t="s">
        <v>495</v>
      </c>
      <c r="B490" t="s">
        <v>536</v>
      </c>
      <c r="C490" t="s">
        <v>78</v>
      </c>
      <c r="D490">
        <v>93</v>
      </c>
      <c r="E490" t="s">
        <v>14</v>
      </c>
      <c r="F490">
        <v>153</v>
      </c>
      <c r="G490">
        <v>86.19</v>
      </c>
      <c r="H490">
        <v>0</v>
      </c>
    </row>
    <row r="491" spans="1:8" x14ac:dyDescent="0.25">
      <c r="A491" t="s">
        <v>495</v>
      </c>
      <c r="B491" t="s">
        <v>537</v>
      </c>
      <c r="C491" t="s">
        <v>51</v>
      </c>
      <c r="D491">
        <v>102</v>
      </c>
      <c r="E491" t="s">
        <v>22</v>
      </c>
      <c r="F491">
        <v>240</v>
      </c>
      <c r="G491">
        <v>12.52</v>
      </c>
      <c r="H491">
        <v>2</v>
      </c>
    </row>
    <row r="492" spans="1:8" x14ac:dyDescent="0.25">
      <c r="A492" t="s">
        <v>495</v>
      </c>
      <c r="B492" t="s">
        <v>538</v>
      </c>
      <c r="C492" t="s">
        <v>21</v>
      </c>
      <c r="D492">
        <v>101</v>
      </c>
      <c r="E492" t="s">
        <v>14</v>
      </c>
      <c r="F492">
        <v>210</v>
      </c>
      <c r="G492">
        <v>35.4</v>
      </c>
      <c r="H492">
        <v>1</v>
      </c>
    </row>
    <row r="493" spans="1:8" x14ac:dyDescent="0.25">
      <c r="A493" t="s">
        <v>495</v>
      </c>
      <c r="B493" t="s">
        <v>539</v>
      </c>
      <c r="C493" t="s">
        <v>40</v>
      </c>
      <c r="D493">
        <v>62</v>
      </c>
      <c r="E493" t="s">
        <v>22</v>
      </c>
      <c r="F493">
        <v>369</v>
      </c>
      <c r="G493">
        <v>58.74</v>
      </c>
      <c r="H493">
        <v>1</v>
      </c>
    </row>
    <row r="494" spans="1:8" x14ac:dyDescent="0.25">
      <c r="A494" t="s">
        <v>495</v>
      </c>
      <c r="B494" t="s">
        <v>540</v>
      </c>
      <c r="C494" t="s">
        <v>62</v>
      </c>
      <c r="D494">
        <v>105</v>
      </c>
      <c r="E494" t="s">
        <v>22</v>
      </c>
      <c r="F494">
        <v>172</v>
      </c>
      <c r="G494">
        <v>15.88</v>
      </c>
      <c r="H494">
        <v>5</v>
      </c>
    </row>
    <row r="495" spans="1:8" x14ac:dyDescent="0.25">
      <c r="A495" t="s">
        <v>495</v>
      </c>
      <c r="B495" t="s">
        <v>541</v>
      </c>
      <c r="C495" t="s">
        <v>31</v>
      </c>
      <c r="D495">
        <v>9</v>
      </c>
      <c r="E495" t="s">
        <v>22</v>
      </c>
      <c r="F495">
        <v>227</v>
      </c>
      <c r="G495">
        <v>63.74</v>
      </c>
      <c r="H495">
        <v>3</v>
      </c>
    </row>
    <row r="496" spans="1:8" x14ac:dyDescent="0.25">
      <c r="A496" t="s">
        <v>495</v>
      </c>
      <c r="B496" t="s">
        <v>542</v>
      </c>
      <c r="C496" t="s">
        <v>44</v>
      </c>
      <c r="D496">
        <v>15</v>
      </c>
      <c r="E496" t="s">
        <v>19</v>
      </c>
      <c r="F496">
        <v>400</v>
      </c>
      <c r="G496">
        <v>78.09</v>
      </c>
      <c r="H496">
        <v>0</v>
      </c>
    </row>
    <row r="497" spans="1:8" x14ac:dyDescent="0.25">
      <c r="A497" t="s">
        <v>495</v>
      </c>
      <c r="B497" t="s">
        <v>543</v>
      </c>
      <c r="C497" t="s">
        <v>29</v>
      </c>
      <c r="D497">
        <v>74</v>
      </c>
      <c r="E497" t="s">
        <v>22</v>
      </c>
      <c r="F497">
        <v>330</v>
      </c>
      <c r="G497">
        <v>37.82</v>
      </c>
      <c r="H497">
        <v>5</v>
      </c>
    </row>
    <row r="498" spans="1:8" x14ac:dyDescent="0.25">
      <c r="A498" t="s">
        <v>495</v>
      </c>
      <c r="B498" t="s">
        <v>544</v>
      </c>
      <c r="C498" t="s">
        <v>10</v>
      </c>
      <c r="D498">
        <v>55</v>
      </c>
      <c r="E498" t="s">
        <v>19</v>
      </c>
      <c r="F498">
        <v>355</v>
      </c>
      <c r="G498">
        <v>59.65</v>
      </c>
      <c r="H498">
        <v>0</v>
      </c>
    </row>
    <row r="499" spans="1:8" x14ac:dyDescent="0.25">
      <c r="A499" t="s">
        <v>495</v>
      </c>
      <c r="B499" t="s">
        <v>545</v>
      </c>
      <c r="C499" t="s">
        <v>73</v>
      </c>
      <c r="D499">
        <v>94</v>
      </c>
      <c r="E499" t="s">
        <v>22</v>
      </c>
      <c r="F499">
        <v>6</v>
      </c>
      <c r="G499">
        <v>67.459999999999994</v>
      </c>
      <c r="H499">
        <v>5</v>
      </c>
    </row>
    <row r="500" spans="1:8" x14ac:dyDescent="0.25">
      <c r="A500" t="s">
        <v>546</v>
      </c>
      <c r="B500" t="s">
        <v>547</v>
      </c>
      <c r="C500" t="s">
        <v>16</v>
      </c>
      <c r="D500">
        <v>120</v>
      </c>
      <c r="E500" t="s">
        <v>19</v>
      </c>
      <c r="F500">
        <v>27</v>
      </c>
      <c r="G500">
        <v>24.46</v>
      </c>
      <c r="H500">
        <v>3</v>
      </c>
    </row>
    <row r="501" spans="1:8" x14ac:dyDescent="0.25">
      <c r="A501" t="s">
        <v>546</v>
      </c>
      <c r="B501" t="s">
        <v>548</v>
      </c>
      <c r="C501" t="s">
        <v>44</v>
      </c>
      <c r="D501">
        <v>38</v>
      </c>
      <c r="E501" t="s">
        <v>19</v>
      </c>
      <c r="F501">
        <v>108</v>
      </c>
      <c r="G501">
        <v>72.7</v>
      </c>
      <c r="H501">
        <v>3</v>
      </c>
    </row>
    <row r="502" spans="1:8" x14ac:dyDescent="0.25">
      <c r="A502" t="s">
        <v>546</v>
      </c>
      <c r="B502" t="s">
        <v>549</v>
      </c>
      <c r="C502" t="s">
        <v>137</v>
      </c>
      <c r="D502">
        <v>21</v>
      </c>
      <c r="E502" t="s">
        <v>22</v>
      </c>
      <c r="F502">
        <v>444</v>
      </c>
      <c r="G502">
        <v>41.92</v>
      </c>
      <c r="H502">
        <v>3</v>
      </c>
    </row>
    <row r="503" spans="1:8" x14ac:dyDescent="0.25">
      <c r="A503" t="s">
        <v>546</v>
      </c>
      <c r="B503" t="s">
        <v>550</v>
      </c>
      <c r="C503" t="s">
        <v>37</v>
      </c>
      <c r="D503">
        <v>9</v>
      </c>
      <c r="E503" t="s">
        <v>19</v>
      </c>
      <c r="F503">
        <v>11</v>
      </c>
      <c r="G503">
        <v>72.36</v>
      </c>
      <c r="H503">
        <v>2</v>
      </c>
    </row>
    <row r="504" spans="1:8" x14ac:dyDescent="0.25">
      <c r="A504" t="s">
        <v>546</v>
      </c>
      <c r="B504" t="s">
        <v>551</v>
      </c>
      <c r="C504" t="s">
        <v>29</v>
      </c>
      <c r="D504">
        <v>36</v>
      </c>
      <c r="E504" t="s">
        <v>22</v>
      </c>
      <c r="F504">
        <v>487</v>
      </c>
      <c r="G504">
        <v>45.02</v>
      </c>
      <c r="H504">
        <v>2</v>
      </c>
    </row>
    <row r="505" spans="1:8" x14ac:dyDescent="0.25">
      <c r="A505" t="s">
        <v>546</v>
      </c>
      <c r="B505" t="s">
        <v>552</v>
      </c>
      <c r="C505" t="s">
        <v>73</v>
      </c>
      <c r="D505">
        <v>74</v>
      </c>
      <c r="E505" t="s">
        <v>19</v>
      </c>
      <c r="F505">
        <v>388</v>
      </c>
      <c r="G505">
        <v>10.89</v>
      </c>
      <c r="H505">
        <v>4</v>
      </c>
    </row>
    <row r="506" spans="1:8" x14ac:dyDescent="0.25">
      <c r="A506" t="s">
        <v>546</v>
      </c>
      <c r="B506" t="s">
        <v>553</v>
      </c>
      <c r="C506" t="s">
        <v>73</v>
      </c>
      <c r="D506">
        <v>47</v>
      </c>
      <c r="E506" t="s">
        <v>11</v>
      </c>
      <c r="F506">
        <v>350</v>
      </c>
      <c r="G506">
        <v>80.48</v>
      </c>
      <c r="H506">
        <v>3</v>
      </c>
    </row>
    <row r="507" spans="1:8" x14ac:dyDescent="0.25">
      <c r="A507" t="s">
        <v>546</v>
      </c>
      <c r="B507" t="s">
        <v>554</v>
      </c>
      <c r="C507" t="s">
        <v>18</v>
      </c>
      <c r="D507">
        <v>46</v>
      </c>
      <c r="E507" t="s">
        <v>14</v>
      </c>
      <c r="F507">
        <v>216</v>
      </c>
      <c r="G507">
        <v>63.74</v>
      </c>
      <c r="H507">
        <v>4</v>
      </c>
    </row>
    <row r="508" spans="1:8" x14ac:dyDescent="0.25">
      <c r="A508" t="s">
        <v>546</v>
      </c>
      <c r="B508" t="s">
        <v>555</v>
      </c>
      <c r="C508" t="s">
        <v>31</v>
      </c>
      <c r="D508">
        <v>12</v>
      </c>
      <c r="E508" t="s">
        <v>22</v>
      </c>
      <c r="F508">
        <v>138</v>
      </c>
      <c r="G508">
        <v>17</v>
      </c>
      <c r="H508">
        <v>2</v>
      </c>
    </row>
    <row r="509" spans="1:8" x14ac:dyDescent="0.25">
      <c r="A509" t="s">
        <v>546</v>
      </c>
      <c r="B509" t="s">
        <v>556</v>
      </c>
      <c r="C509" t="s">
        <v>16</v>
      </c>
      <c r="D509">
        <v>10</v>
      </c>
      <c r="E509" t="s">
        <v>14</v>
      </c>
      <c r="F509">
        <v>129</v>
      </c>
      <c r="G509">
        <v>70.12</v>
      </c>
      <c r="H509">
        <v>0</v>
      </c>
    </row>
    <row r="510" spans="1:8" x14ac:dyDescent="0.25">
      <c r="A510" t="s">
        <v>546</v>
      </c>
      <c r="B510" t="s">
        <v>557</v>
      </c>
      <c r="C510" t="s">
        <v>73</v>
      </c>
      <c r="D510">
        <v>23</v>
      </c>
      <c r="E510" t="s">
        <v>19</v>
      </c>
      <c r="F510">
        <v>325</v>
      </c>
      <c r="G510">
        <v>65.489999999999995</v>
      </c>
      <c r="H510">
        <v>1</v>
      </c>
    </row>
    <row r="511" spans="1:8" x14ac:dyDescent="0.25">
      <c r="A511" t="s">
        <v>546</v>
      </c>
      <c r="B511" t="s">
        <v>558</v>
      </c>
      <c r="C511" t="s">
        <v>137</v>
      </c>
      <c r="D511">
        <v>91</v>
      </c>
      <c r="E511" t="s">
        <v>22</v>
      </c>
      <c r="F511">
        <v>90</v>
      </c>
      <c r="G511">
        <v>39.14</v>
      </c>
      <c r="H511">
        <v>3</v>
      </c>
    </row>
    <row r="512" spans="1:8" x14ac:dyDescent="0.25">
      <c r="A512" t="s">
        <v>546</v>
      </c>
      <c r="B512" t="s">
        <v>559</v>
      </c>
      <c r="C512" t="s">
        <v>78</v>
      </c>
      <c r="D512">
        <v>99</v>
      </c>
      <c r="E512" t="s">
        <v>14</v>
      </c>
      <c r="F512">
        <v>42</v>
      </c>
      <c r="G512">
        <v>98.77</v>
      </c>
      <c r="H512">
        <v>3</v>
      </c>
    </row>
    <row r="513" spans="1:8" x14ac:dyDescent="0.25">
      <c r="A513" t="s">
        <v>546</v>
      </c>
      <c r="B513" t="s">
        <v>560</v>
      </c>
      <c r="C513" t="s">
        <v>127</v>
      </c>
      <c r="D513">
        <v>59</v>
      </c>
      <c r="E513" t="s">
        <v>14</v>
      </c>
      <c r="F513">
        <v>72</v>
      </c>
      <c r="G513">
        <v>94.51</v>
      </c>
      <c r="H513">
        <v>2</v>
      </c>
    </row>
    <row r="514" spans="1:8" x14ac:dyDescent="0.25">
      <c r="A514" t="s">
        <v>546</v>
      </c>
      <c r="B514" t="s">
        <v>561</v>
      </c>
      <c r="C514" t="s">
        <v>24</v>
      </c>
      <c r="D514">
        <v>34</v>
      </c>
      <c r="E514" t="s">
        <v>19</v>
      </c>
      <c r="F514">
        <v>35</v>
      </c>
      <c r="G514">
        <v>76.86</v>
      </c>
      <c r="H514">
        <v>1</v>
      </c>
    </row>
    <row r="515" spans="1:8" x14ac:dyDescent="0.25">
      <c r="A515" t="s">
        <v>546</v>
      </c>
      <c r="B515" t="s">
        <v>562</v>
      </c>
      <c r="C515" t="s">
        <v>44</v>
      </c>
      <c r="D515">
        <v>61</v>
      </c>
      <c r="E515" t="s">
        <v>11</v>
      </c>
      <c r="F515">
        <v>140</v>
      </c>
      <c r="G515">
        <v>76.3</v>
      </c>
      <c r="H515">
        <v>4</v>
      </c>
    </row>
    <row r="516" spans="1:8" x14ac:dyDescent="0.25">
      <c r="A516" t="s">
        <v>546</v>
      </c>
      <c r="B516" t="s">
        <v>563</v>
      </c>
      <c r="C516" t="s">
        <v>78</v>
      </c>
      <c r="D516">
        <v>33</v>
      </c>
      <c r="E516" t="s">
        <v>14</v>
      </c>
      <c r="F516">
        <v>207</v>
      </c>
      <c r="G516">
        <v>38.49</v>
      </c>
      <c r="H516">
        <v>4</v>
      </c>
    </row>
    <row r="517" spans="1:8" x14ac:dyDescent="0.25">
      <c r="A517" t="s">
        <v>546</v>
      </c>
      <c r="B517" t="s">
        <v>564</v>
      </c>
      <c r="C517" t="s">
        <v>35</v>
      </c>
      <c r="D517">
        <v>98</v>
      </c>
      <c r="E517" t="s">
        <v>14</v>
      </c>
      <c r="F517">
        <v>41</v>
      </c>
      <c r="G517">
        <v>23.55</v>
      </c>
      <c r="H517">
        <v>1</v>
      </c>
    </row>
    <row r="518" spans="1:8" x14ac:dyDescent="0.25">
      <c r="A518" t="s">
        <v>546</v>
      </c>
      <c r="B518" t="s">
        <v>565</v>
      </c>
      <c r="C518" t="s">
        <v>21</v>
      </c>
      <c r="D518">
        <v>113</v>
      </c>
      <c r="E518" t="s">
        <v>14</v>
      </c>
      <c r="F518">
        <v>152</v>
      </c>
      <c r="G518">
        <v>51.28</v>
      </c>
      <c r="H518">
        <v>4</v>
      </c>
    </row>
    <row r="519" spans="1:8" x14ac:dyDescent="0.25">
      <c r="A519" t="s">
        <v>546</v>
      </c>
      <c r="B519" t="s">
        <v>566</v>
      </c>
      <c r="C519" t="s">
        <v>31</v>
      </c>
      <c r="D519">
        <v>57</v>
      </c>
      <c r="E519" t="s">
        <v>19</v>
      </c>
      <c r="F519">
        <v>447</v>
      </c>
      <c r="G519">
        <v>23.27</v>
      </c>
      <c r="H519">
        <v>3</v>
      </c>
    </row>
    <row r="520" spans="1:8" x14ac:dyDescent="0.25">
      <c r="A520" t="s">
        <v>546</v>
      </c>
      <c r="B520" t="s">
        <v>567</v>
      </c>
      <c r="C520" t="s">
        <v>10</v>
      </c>
      <c r="D520">
        <v>84</v>
      </c>
      <c r="E520" t="s">
        <v>19</v>
      </c>
      <c r="F520">
        <v>364</v>
      </c>
      <c r="G520">
        <v>87.79</v>
      </c>
      <c r="H520">
        <v>3</v>
      </c>
    </row>
    <row r="521" spans="1:8" x14ac:dyDescent="0.25">
      <c r="A521" t="s">
        <v>546</v>
      </c>
      <c r="B521" t="s">
        <v>568</v>
      </c>
      <c r="C521" t="s">
        <v>62</v>
      </c>
      <c r="D521">
        <v>119</v>
      </c>
      <c r="E521" t="s">
        <v>22</v>
      </c>
      <c r="F521">
        <v>231</v>
      </c>
      <c r="G521">
        <v>20.22</v>
      </c>
      <c r="H521">
        <v>2</v>
      </c>
    </row>
    <row r="522" spans="1:8" x14ac:dyDescent="0.25">
      <c r="A522" t="s">
        <v>546</v>
      </c>
      <c r="B522" t="s">
        <v>569</v>
      </c>
      <c r="C522" t="s">
        <v>37</v>
      </c>
      <c r="D522">
        <v>18</v>
      </c>
      <c r="E522" t="s">
        <v>19</v>
      </c>
      <c r="F522">
        <v>446</v>
      </c>
      <c r="G522">
        <v>97.3</v>
      </c>
      <c r="H522">
        <v>5</v>
      </c>
    </row>
    <row r="523" spans="1:8" x14ac:dyDescent="0.25">
      <c r="A523" t="s">
        <v>546</v>
      </c>
      <c r="B523" t="s">
        <v>570</v>
      </c>
      <c r="C523" t="s">
        <v>137</v>
      </c>
      <c r="D523">
        <v>16</v>
      </c>
      <c r="E523" t="s">
        <v>14</v>
      </c>
      <c r="F523">
        <v>214</v>
      </c>
      <c r="G523">
        <v>46.57</v>
      </c>
      <c r="H523">
        <v>5</v>
      </c>
    </row>
    <row r="524" spans="1:8" x14ac:dyDescent="0.25">
      <c r="A524" t="s">
        <v>546</v>
      </c>
      <c r="B524" t="s">
        <v>571</v>
      </c>
      <c r="C524" t="s">
        <v>13</v>
      </c>
      <c r="D524">
        <v>73</v>
      </c>
      <c r="E524" t="s">
        <v>14</v>
      </c>
      <c r="F524">
        <v>268</v>
      </c>
      <c r="G524">
        <v>56.86</v>
      </c>
      <c r="H524">
        <v>5</v>
      </c>
    </row>
    <row r="525" spans="1:8" x14ac:dyDescent="0.25">
      <c r="A525" t="s">
        <v>546</v>
      </c>
      <c r="B525" t="s">
        <v>572</v>
      </c>
      <c r="C525" t="s">
        <v>131</v>
      </c>
      <c r="D525">
        <v>63</v>
      </c>
      <c r="E525" t="s">
        <v>22</v>
      </c>
      <c r="F525">
        <v>109</v>
      </c>
      <c r="G525">
        <v>10.33</v>
      </c>
      <c r="H525">
        <v>3</v>
      </c>
    </row>
    <row r="526" spans="1:8" x14ac:dyDescent="0.25">
      <c r="A526" t="s">
        <v>546</v>
      </c>
      <c r="B526" t="s">
        <v>573</v>
      </c>
      <c r="C526" t="s">
        <v>57</v>
      </c>
      <c r="D526">
        <v>6</v>
      </c>
      <c r="E526" t="s">
        <v>14</v>
      </c>
      <c r="F526">
        <v>342</v>
      </c>
      <c r="G526">
        <v>50.55</v>
      </c>
      <c r="H526">
        <v>5</v>
      </c>
    </row>
    <row r="527" spans="1:8" x14ac:dyDescent="0.25">
      <c r="A527" t="s">
        <v>546</v>
      </c>
      <c r="B527" t="s">
        <v>574</v>
      </c>
      <c r="C527" t="s">
        <v>33</v>
      </c>
      <c r="D527">
        <v>47</v>
      </c>
      <c r="E527" t="s">
        <v>11</v>
      </c>
      <c r="F527">
        <v>457</v>
      </c>
      <c r="G527">
        <v>84.93</v>
      </c>
      <c r="H527">
        <v>2</v>
      </c>
    </row>
    <row r="528" spans="1:8" x14ac:dyDescent="0.25">
      <c r="A528" t="s">
        <v>546</v>
      </c>
      <c r="B528" t="s">
        <v>575</v>
      </c>
      <c r="C528" t="s">
        <v>31</v>
      </c>
      <c r="D528">
        <v>110</v>
      </c>
      <c r="E528" t="s">
        <v>19</v>
      </c>
      <c r="F528">
        <v>132</v>
      </c>
      <c r="G528">
        <v>21.31</v>
      </c>
      <c r="H528">
        <v>5</v>
      </c>
    </row>
    <row r="529" spans="1:8" x14ac:dyDescent="0.25">
      <c r="A529" t="s">
        <v>546</v>
      </c>
      <c r="B529" t="s">
        <v>576</v>
      </c>
      <c r="C529" t="s">
        <v>31</v>
      </c>
      <c r="D529">
        <v>37</v>
      </c>
      <c r="E529" t="s">
        <v>11</v>
      </c>
      <c r="F529">
        <v>94</v>
      </c>
      <c r="G529">
        <v>50.44</v>
      </c>
      <c r="H529">
        <v>4</v>
      </c>
    </row>
    <row r="530" spans="1:8" x14ac:dyDescent="0.25">
      <c r="A530" t="s">
        <v>546</v>
      </c>
      <c r="B530" t="s">
        <v>577</v>
      </c>
      <c r="C530" t="s">
        <v>40</v>
      </c>
      <c r="D530">
        <v>52</v>
      </c>
      <c r="E530" t="s">
        <v>11</v>
      </c>
      <c r="F530">
        <v>425</v>
      </c>
      <c r="G530">
        <v>97.25</v>
      </c>
      <c r="H530">
        <v>0</v>
      </c>
    </row>
    <row r="531" spans="1:8" x14ac:dyDescent="0.25">
      <c r="A531" t="s">
        <v>546</v>
      </c>
      <c r="B531" t="s">
        <v>578</v>
      </c>
      <c r="C531" t="s">
        <v>44</v>
      </c>
      <c r="D531">
        <v>53</v>
      </c>
      <c r="E531" t="s">
        <v>14</v>
      </c>
      <c r="F531">
        <v>27</v>
      </c>
      <c r="G531">
        <v>18.77</v>
      </c>
      <c r="H531">
        <v>0</v>
      </c>
    </row>
    <row r="532" spans="1:8" x14ac:dyDescent="0.25">
      <c r="A532" t="s">
        <v>546</v>
      </c>
      <c r="B532" t="s">
        <v>579</v>
      </c>
      <c r="C532" t="s">
        <v>89</v>
      </c>
      <c r="D532">
        <v>110</v>
      </c>
      <c r="E532" t="s">
        <v>22</v>
      </c>
      <c r="F532">
        <v>47</v>
      </c>
      <c r="G532">
        <v>29.68</v>
      </c>
      <c r="H532">
        <v>0</v>
      </c>
    </row>
    <row r="533" spans="1:8" x14ac:dyDescent="0.25">
      <c r="A533" t="s">
        <v>546</v>
      </c>
      <c r="B533" t="s">
        <v>580</v>
      </c>
      <c r="C533" t="s">
        <v>16</v>
      </c>
      <c r="D533">
        <v>80</v>
      </c>
      <c r="E533" t="s">
        <v>14</v>
      </c>
      <c r="F533">
        <v>458</v>
      </c>
      <c r="G533">
        <v>98.11</v>
      </c>
      <c r="H533">
        <v>0</v>
      </c>
    </row>
    <row r="534" spans="1:8" x14ac:dyDescent="0.25">
      <c r="A534" t="s">
        <v>546</v>
      </c>
      <c r="B534" t="s">
        <v>581</v>
      </c>
      <c r="C534" t="s">
        <v>26</v>
      </c>
      <c r="D534">
        <v>118</v>
      </c>
      <c r="E534" t="s">
        <v>19</v>
      </c>
      <c r="F534">
        <v>461</v>
      </c>
      <c r="G534">
        <v>47.82</v>
      </c>
      <c r="H534">
        <v>5</v>
      </c>
    </row>
    <row r="535" spans="1:8" x14ac:dyDescent="0.25">
      <c r="A535" t="s">
        <v>546</v>
      </c>
      <c r="B535" t="s">
        <v>582</v>
      </c>
      <c r="C535" t="s">
        <v>51</v>
      </c>
      <c r="D535">
        <v>88</v>
      </c>
      <c r="E535" t="s">
        <v>11</v>
      </c>
      <c r="F535">
        <v>219</v>
      </c>
      <c r="G535">
        <v>59.15</v>
      </c>
      <c r="H535">
        <v>0</v>
      </c>
    </row>
    <row r="536" spans="1:8" x14ac:dyDescent="0.25">
      <c r="A536" t="s">
        <v>546</v>
      </c>
      <c r="B536" t="s">
        <v>583</v>
      </c>
      <c r="C536" t="s">
        <v>24</v>
      </c>
      <c r="D536">
        <v>17</v>
      </c>
      <c r="E536" t="s">
        <v>14</v>
      </c>
      <c r="F536">
        <v>175</v>
      </c>
      <c r="G536">
        <v>24.95</v>
      </c>
      <c r="H536">
        <v>4</v>
      </c>
    </row>
    <row r="537" spans="1:8" x14ac:dyDescent="0.25">
      <c r="A537" t="s">
        <v>546</v>
      </c>
      <c r="B537" t="s">
        <v>584</v>
      </c>
      <c r="C537" t="s">
        <v>64</v>
      </c>
      <c r="D537">
        <v>57</v>
      </c>
      <c r="E537" t="s">
        <v>19</v>
      </c>
      <c r="F537">
        <v>493</v>
      </c>
      <c r="G537">
        <v>43.98</v>
      </c>
      <c r="H537">
        <v>3</v>
      </c>
    </row>
    <row r="538" spans="1:8" x14ac:dyDescent="0.25">
      <c r="A538" t="s">
        <v>546</v>
      </c>
      <c r="B538" t="s">
        <v>585</v>
      </c>
      <c r="C538" t="s">
        <v>44</v>
      </c>
      <c r="D538">
        <v>47</v>
      </c>
      <c r="E538" t="s">
        <v>22</v>
      </c>
      <c r="F538">
        <v>385</v>
      </c>
      <c r="G538">
        <v>41.33</v>
      </c>
      <c r="H538">
        <v>0</v>
      </c>
    </row>
    <row r="539" spans="1:8" x14ac:dyDescent="0.25">
      <c r="A539" t="s">
        <v>546</v>
      </c>
      <c r="B539" t="s">
        <v>586</v>
      </c>
      <c r="C539" t="s">
        <v>137</v>
      </c>
      <c r="D539">
        <v>66</v>
      </c>
      <c r="E539" t="s">
        <v>14</v>
      </c>
      <c r="F539">
        <v>152</v>
      </c>
      <c r="G539">
        <v>95.71</v>
      </c>
      <c r="H539">
        <v>3</v>
      </c>
    </row>
    <row r="540" spans="1:8" x14ac:dyDescent="0.25">
      <c r="A540" t="s">
        <v>546</v>
      </c>
      <c r="B540" t="s">
        <v>587</v>
      </c>
      <c r="C540" t="s">
        <v>35</v>
      </c>
      <c r="D540">
        <v>109</v>
      </c>
      <c r="E540" t="s">
        <v>22</v>
      </c>
      <c r="F540">
        <v>84</v>
      </c>
      <c r="G540">
        <v>97.46</v>
      </c>
      <c r="H540">
        <v>5</v>
      </c>
    </row>
    <row r="541" spans="1:8" x14ac:dyDescent="0.25">
      <c r="A541" t="s">
        <v>546</v>
      </c>
      <c r="B541" t="s">
        <v>588</v>
      </c>
      <c r="C541" t="s">
        <v>60</v>
      </c>
      <c r="D541">
        <v>80</v>
      </c>
      <c r="E541" t="s">
        <v>22</v>
      </c>
      <c r="F541">
        <v>101</v>
      </c>
      <c r="G541">
        <v>61.92</v>
      </c>
      <c r="H541">
        <v>4</v>
      </c>
    </row>
    <row r="542" spans="1:8" x14ac:dyDescent="0.25">
      <c r="A542" t="s">
        <v>546</v>
      </c>
      <c r="B542" t="s">
        <v>589</v>
      </c>
      <c r="C542" t="s">
        <v>24</v>
      </c>
      <c r="D542">
        <v>41</v>
      </c>
      <c r="E542" t="s">
        <v>11</v>
      </c>
      <c r="F542">
        <v>178</v>
      </c>
      <c r="G542">
        <v>11.29</v>
      </c>
      <c r="H542">
        <v>4</v>
      </c>
    </row>
    <row r="543" spans="1:8" x14ac:dyDescent="0.25">
      <c r="A543" t="s">
        <v>546</v>
      </c>
      <c r="B543" t="s">
        <v>590</v>
      </c>
      <c r="C543" t="s">
        <v>24</v>
      </c>
      <c r="D543">
        <v>48</v>
      </c>
      <c r="E543" t="s">
        <v>19</v>
      </c>
      <c r="F543">
        <v>482</v>
      </c>
      <c r="G543">
        <v>83.24</v>
      </c>
      <c r="H543">
        <v>0</v>
      </c>
    </row>
    <row r="544" spans="1:8" x14ac:dyDescent="0.25">
      <c r="A544" t="s">
        <v>546</v>
      </c>
      <c r="B544" t="s">
        <v>591</v>
      </c>
      <c r="C544" t="s">
        <v>40</v>
      </c>
      <c r="D544">
        <v>11</v>
      </c>
      <c r="E544" t="s">
        <v>14</v>
      </c>
      <c r="F544">
        <v>214</v>
      </c>
      <c r="G544">
        <v>11.46</v>
      </c>
      <c r="H544">
        <v>5</v>
      </c>
    </row>
    <row r="545" spans="1:8" x14ac:dyDescent="0.25">
      <c r="A545" t="s">
        <v>546</v>
      </c>
      <c r="B545" t="s">
        <v>592</v>
      </c>
      <c r="C545" t="s">
        <v>26</v>
      </c>
      <c r="D545">
        <v>88</v>
      </c>
      <c r="E545" t="s">
        <v>19</v>
      </c>
      <c r="F545">
        <v>246</v>
      </c>
      <c r="G545">
        <v>90.7</v>
      </c>
      <c r="H545">
        <v>3</v>
      </c>
    </row>
    <row r="546" spans="1:8" x14ac:dyDescent="0.25">
      <c r="A546" t="s">
        <v>546</v>
      </c>
      <c r="B546" t="s">
        <v>593</v>
      </c>
      <c r="C546" t="s">
        <v>51</v>
      </c>
      <c r="D546">
        <v>53</v>
      </c>
      <c r="E546" t="s">
        <v>11</v>
      </c>
      <c r="F546">
        <v>243</v>
      </c>
      <c r="G546">
        <v>55.19</v>
      </c>
      <c r="H546">
        <v>4</v>
      </c>
    </row>
    <row r="547" spans="1:8" x14ac:dyDescent="0.25">
      <c r="A547" t="s">
        <v>546</v>
      </c>
      <c r="B547" t="s">
        <v>594</v>
      </c>
      <c r="C547" t="s">
        <v>127</v>
      </c>
      <c r="D547">
        <v>65</v>
      </c>
      <c r="E547" t="s">
        <v>14</v>
      </c>
      <c r="F547">
        <v>274</v>
      </c>
      <c r="G547">
        <v>88.1</v>
      </c>
      <c r="H547">
        <v>4</v>
      </c>
    </row>
    <row r="548" spans="1:8" x14ac:dyDescent="0.25">
      <c r="A548" t="s">
        <v>546</v>
      </c>
      <c r="B548" t="s">
        <v>595</v>
      </c>
      <c r="C548" t="s">
        <v>78</v>
      </c>
      <c r="D548">
        <v>58</v>
      </c>
      <c r="E548" t="s">
        <v>14</v>
      </c>
      <c r="F548">
        <v>352</v>
      </c>
      <c r="G548">
        <v>72.94</v>
      </c>
      <c r="H548">
        <v>0</v>
      </c>
    </row>
    <row r="549" spans="1:8" x14ac:dyDescent="0.25">
      <c r="A549" t="s">
        <v>546</v>
      </c>
      <c r="B549" t="s">
        <v>596</v>
      </c>
      <c r="C549" t="s">
        <v>29</v>
      </c>
      <c r="D549">
        <v>34</v>
      </c>
      <c r="E549" t="s">
        <v>22</v>
      </c>
      <c r="F549">
        <v>401</v>
      </c>
      <c r="G549">
        <v>68.400000000000006</v>
      </c>
      <c r="H549">
        <v>5</v>
      </c>
    </row>
    <row r="550" spans="1:8" x14ac:dyDescent="0.25">
      <c r="A550" t="s">
        <v>597</v>
      </c>
      <c r="B550" t="s">
        <v>598</v>
      </c>
      <c r="C550" t="s">
        <v>57</v>
      </c>
      <c r="D550">
        <v>51</v>
      </c>
      <c r="E550" t="s">
        <v>22</v>
      </c>
      <c r="F550">
        <v>152</v>
      </c>
      <c r="G550">
        <v>34.630000000000003</v>
      </c>
      <c r="H550">
        <v>2</v>
      </c>
    </row>
    <row r="551" spans="1:8" x14ac:dyDescent="0.25">
      <c r="A551" t="s">
        <v>597</v>
      </c>
      <c r="B551" t="s">
        <v>599</v>
      </c>
      <c r="C551" t="s">
        <v>137</v>
      </c>
      <c r="D551">
        <v>25</v>
      </c>
      <c r="E551" t="s">
        <v>19</v>
      </c>
      <c r="F551">
        <v>5</v>
      </c>
      <c r="G551">
        <v>27.93</v>
      </c>
      <c r="H551">
        <v>0</v>
      </c>
    </row>
    <row r="552" spans="1:8" x14ac:dyDescent="0.25">
      <c r="A552" t="s">
        <v>597</v>
      </c>
      <c r="B552" t="s">
        <v>600</v>
      </c>
      <c r="C552" t="s">
        <v>127</v>
      </c>
      <c r="D552">
        <v>79</v>
      </c>
      <c r="E552" t="s">
        <v>19</v>
      </c>
      <c r="F552">
        <v>462</v>
      </c>
      <c r="G552">
        <v>18.28</v>
      </c>
      <c r="H552">
        <v>0</v>
      </c>
    </row>
    <row r="553" spans="1:8" x14ac:dyDescent="0.25">
      <c r="A553" t="s">
        <v>597</v>
      </c>
      <c r="B553" t="s">
        <v>601</v>
      </c>
      <c r="C553" t="s">
        <v>60</v>
      </c>
      <c r="D553">
        <v>83</v>
      </c>
      <c r="E553" t="s">
        <v>14</v>
      </c>
      <c r="F553">
        <v>91</v>
      </c>
      <c r="G553">
        <v>73.73</v>
      </c>
      <c r="H553">
        <v>2</v>
      </c>
    </row>
    <row r="554" spans="1:8" x14ac:dyDescent="0.25">
      <c r="A554" t="s">
        <v>597</v>
      </c>
      <c r="B554" t="s">
        <v>602</v>
      </c>
      <c r="C554" t="s">
        <v>131</v>
      </c>
      <c r="D554">
        <v>51</v>
      </c>
      <c r="E554" t="s">
        <v>19</v>
      </c>
      <c r="F554">
        <v>337</v>
      </c>
      <c r="G554">
        <v>68.67</v>
      </c>
      <c r="H554">
        <v>5</v>
      </c>
    </row>
    <row r="555" spans="1:8" x14ac:dyDescent="0.25">
      <c r="A555" t="s">
        <v>597</v>
      </c>
      <c r="B555" t="s">
        <v>603</v>
      </c>
      <c r="C555" t="s">
        <v>51</v>
      </c>
      <c r="D555">
        <v>107</v>
      </c>
      <c r="E555" t="s">
        <v>22</v>
      </c>
      <c r="F555">
        <v>290</v>
      </c>
      <c r="G555">
        <v>52.03</v>
      </c>
      <c r="H555">
        <v>0</v>
      </c>
    </row>
    <row r="556" spans="1:8" x14ac:dyDescent="0.25">
      <c r="A556" t="s">
        <v>597</v>
      </c>
      <c r="B556" t="s">
        <v>604</v>
      </c>
      <c r="C556" t="s">
        <v>33</v>
      </c>
      <c r="D556">
        <v>7</v>
      </c>
      <c r="E556" t="s">
        <v>14</v>
      </c>
      <c r="F556">
        <v>323</v>
      </c>
      <c r="G556">
        <v>82.81</v>
      </c>
      <c r="H556">
        <v>5</v>
      </c>
    </row>
    <row r="557" spans="1:8" x14ac:dyDescent="0.25">
      <c r="A557" t="s">
        <v>597</v>
      </c>
      <c r="B557" t="s">
        <v>605</v>
      </c>
      <c r="C557" t="s">
        <v>26</v>
      </c>
      <c r="D557">
        <v>103</v>
      </c>
      <c r="E557" t="s">
        <v>11</v>
      </c>
      <c r="F557">
        <v>310</v>
      </c>
      <c r="G557">
        <v>49.25</v>
      </c>
      <c r="H557">
        <v>2</v>
      </c>
    </row>
    <row r="558" spans="1:8" x14ac:dyDescent="0.25">
      <c r="A558" t="s">
        <v>597</v>
      </c>
      <c r="B558" t="s">
        <v>606</v>
      </c>
      <c r="C558" t="s">
        <v>51</v>
      </c>
      <c r="D558">
        <v>120</v>
      </c>
      <c r="E558" t="s">
        <v>22</v>
      </c>
      <c r="F558">
        <v>437</v>
      </c>
      <c r="G558">
        <v>95.17</v>
      </c>
      <c r="H558">
        <v>1</v>
      </c>
    </row>
    <row r="559" spans="1:8" x14ac:dyDescent="0.25">
      <c r="A559" t="s">
        <v>597</v>
      </c>
      <c r="B559" t="s">
        <v>607</v>
      </c>
      <c r="C559" t="s">
        <v>21</v>
      </c>
      <c r="D559">
        <v>74</v>
      </c>
      <c r="E559" t="s">
        <v>22</v>
      </c>
      <c r="F559">
        <v>16</v>
      </c>
      <c r="G559">
        <v>93.01</v>
      </c>
      <c r="H559">
        <v>3</v>
      </c>
    </row>
    <row r="560" spans="1:8" x14ac:dyDescent="0.25">
      <c r="A560" t="s">
        <v>597</v>
      </c>
      <c r="B560" t="s">
        <v>608</v>
      </c>
      <c r="C560" t="s">
        <v>24</v>
      </c>
      <c r="D560">
        <v>55</v>
      </c>
      <c r="E560" t="s">
        <v>22</v>
      </c>
      <c r="F560">
        <v>60</v>
      </c>
      <c r="G560">
        <v>32.51</v>
      </c>
      <c r="H560">
        <v>4</v>
      </c>
    </row>
    <row r="561" spans="1:8" x14ac:dyDescent="0.25">
      <c r="A561" t="s">
        <v>597</v>
      </c>
      <c r="B561" t="s">
        <v>609</v>
      </c>
      <c r="C561" t="s">
        <v>127</v>
      </c>
      <c r="D561">
        <v>17</v>
      </c>
      <c r="E561" t="s">
        <v>11</v>
      </c>
      <c r="F561">
        <v>499</v>
      </c>
      <c r="G561">
        <v>27.81</v>
      </c>
      <c r="H561">
        <v>2</v>
      </c>
    </row>
    <row r="562" spans="1:8" x14ac:dyDescent="0.25">
      <c r="A562" t="s">
        <v>597</v>
      </c>
      <c r="B562" t="s">
        <v>610</v>
      </c>
      <c r="C562" t="s">
        <v>10</v>
      </c>
      <c r="D562">
        <v>82</v>
      </c>
      <c r="E562" t="s">
        <v>22</v>
      </c>
      <c r="F562">
        <v>175</v>
      </c>
      <c r="G562">
        <v>86.14</v>
      </c>
      <c r="H562">
        <v>1</v>
      </c>
    </row>
    <row r="563" spans="1:8" x14ac:dyDescent="0.25">
      <c r="A563" t="s">
        <v>597</v>
      </c>
      <c r="B563" t="s">
        <v>611</v>
      </c>
      <c r="C563" t="s">
        <v>16</v>
      </c>
      <c r="D563">
        <v>50</v>
      </c>
      <c r="E563" t="s">
        <v>22</v>
      </c>
      <c r="F563">
        <v>177</v>
      </c>
      <c r="G563">
        <v>74.569999999999993</v>
      </c>
      <c r="H563">
        <v>4</v>
      </c>
    </row>
    <row r="564" spans="1:8" x14ac:dyDescent="0.25">
      <c r="A564" t="s">
        <v>597</v>
      </c>
      <c r="B564" t="s">
        <v>612</v>
      </c>
      <c r="C564" t="s">
        <v>37</v>
      </c>
      <c r="D564">
        <v>94</v>
      </c>
      <c r="E564" t="s">
        <v>14</v>
      </c>
      <c r="F564">
        <v>247</v>
      </c>
      <c r="G564">
        <v>96.57</v>
      </c>
      <c r="H564">
        <v>0</v>
      </c>
    </row>
    <row r="565" spans="1:8" x14ac:dyDescent="0.25">
      <c r="A565" t="s">
        <v>597</v>
      </c>
      <c r="B565" t="s">
        <v>613</v>
      </c>
      <c r="C565" t="s">
        <v>24</v>
      </c>
      <c r="D565">
        <v>23</v>
      </c>
      <c r="E565" t="s">
        <v>11</v>
      </c>
      <c r="F565">
        <v>314</v>
      </c>
      <c r="G565">
        <v>19.260000000000002</v>
      </c>
      <c r="H565">
        <v>3</v>
      </c>
    </row>
    <row r="566" spans="1:8" x14ac:dyDescent="0.25">
      <c r="A566" t="s">
        <v>597</v>
      </c>
      <c r="B566" t="s">
        <v>614</v>
      </c>
      <c r="C566" t="s">
        <v>18</v>
      </c>
      <c r="D566">
        <v>52</v>
      </c>
      <c r="E566" t="s">
        <v>19</v>
      </c>
      <c r="F566">
        <v>307</v>
      </c>
      <c r="G566">
        <v>81.38</v>
      </c>
      <c r="H566">
        <v>2</v>
      </c>
    </row>
    <row r="567" spans="1:8" x14ac:dyDescent="0.25">
      <c r="A567" t="s">
        <v>597</v>
      </c>
      <c r="B567" t="s">
        <v>615</v>
      </c>
      <c r="C567" t="s">
        <v>131</v>
      </c>
      <c r="D567">
        <v>116</v>
      </c>
      <c r="E567" t="s">
        <v>11</v>
      </c>
      <c r="F567">
        <v>279</v>
      </c>
      <c r="G567">
        <v>62.88</v>
      </c>
      <c r="H567">
        <v>4</v>
      </c>
    </row>
    <row r="568" spans="1:8" x14ac:dyDescent="0.25">
      <c r="A568" t="s">
        <v>597</v>
      </c>
      <c r="B568" t="s">
        <v>616</v>
      </c>
      <c r="C568" t="s">
        <v>64</v>
      </c>
      <c r="D568">
        <v>41</v>
      </c>
      <c r="E568" t="s">
        <v>19</v>
      </c>
      <c r="F568">
        <v>2</v>
      </c>
      <c r="G568">
        <v>24.91</v>
      </c>
      <c r="H568">
        <v>1</v>
      </c>
    </row>
    <row r="569" spans="1:8" x14ac:dyDescent="0.25">
      <c r="A569" t="s">
        <v>597</v>
      </c>
      <c r="B569" t="s">
        <v>617</v>
      </c>
      <c r="C569" t="s">
        <v>21</v>
      </c>
      <c r="D569">
        <v>67</v>
      </c>
      <c r="E569" t="s">
        <v>22</v>
      </c>
      <c r="F569">
        <v>81</v>
      </c>
      <c r="G569">
        <v>28.52</v>
      </c>
      <c r="H569">
        <v>4</v>
      </c>
    </row>
    <row r="570" spans="1:8" x14ac:dyDescent="0.25">
      <c r="A570" t="s">
        <v>597</v>
      </c>
      <c r="B570" t="s">
        <v>618</v>
      </c>
      <c r="C570" t="s">
        <v>24</v>
      </c>
      <c r="D570">
        <v>21</v>
      </c>
      <c r="E570" t="s">
        <v>19</v>
      </c>
      <c r="F570">
        <v>267</v>
      </c>
      <c r="G570">
        <v>74.989999999999995</v>
      </c>
      <c r="H570">
        <v>1</v>
      </c>
    </row>
    <row r="571" spans="1:8" x14ac:dyDescent="0.25">
      <c r="A571" t="s">
        <v>597</v>
      </c>
      <c r="B571" t="s">
        <v>619</v>
      </c>
      <c r="C571" t="s">
        <v>57</v>
      </c>
      <c r="D571">
        <v>56</v>
      </c>
      <c r="E571" t="s">
        <v>19</v>
      </c>
      <c r="F571">
        <v>379</v>
      </c>
      <c r="G571">
        <v>49.01</v>
      </c>
      <c r="H571">
        <v>0</v>
      </c>
    </row>
    <row r="572" spans="1:8" x14ac:dyDescent="0.25">
      <c r="A572" t="s">
        <v>597</v>
      </c>
      <c r="B572" t="s">
        <v>620</v>
      </c>
      <c r="C572" t="s">
        <v>73</v>
      </c>
      <c r="D572">
        <v>30</v>
      </c>
      <c r="E572" t="s">
        <v>19</v>
      </c>
      <c r="F572">
        <v>130</v>
      </c>
      <c r="G572">
        <v>50.15</v>
      </c>
      <c r="H572">
        <v>4</v>
      </c>
    </row>
    <row r="573" spans="1:8" x14ac:dyDescent="0.25">
      <c r="A573" t="s">
        <v>597</v>
      </c>
      <c r="B573" t="s">
        <v>621</v>
      </c>
      <c r="C573" t="s">
        <v>35</v>
      </c>
      <c r="D573">
        <v>13</v>
      </c>
      <c r="E573" t="s">
        <v>14</v>
      </c>
      <c r="F573">
        <v>474</v>
      </c>
      <c r="G573">
        <v>63.67</v>
      </c>
      <c r="H573">
        <v>2</v>
      </c>
    </row>
    <row r="574" spans="1:8" x14ac:dyDescent="0.25">
      <c r="A574" t="s">
        <v>597</v>
      </c>
      <c r="B574" t="s">
        <v>622</v>
      </c>
      <c r="C574" t="s">
        <v>67</v>
      </c>
      <c r="D574">
        <v>91</v>
      </c>
      <c r="E574" t="s">
        <v>19</v>
      </c>
      <c r="F574">
        <v>62</v>
      </c>
      <c r="G574">
        <v>34.450000000000003</v>
      </c>
      <c r="H574">
        <v>5</v>
      </c>
    </row>
    <row r="575" spans="1:8" x14ac:dyDescent="0.25">
      <c r="A575" t="s">
        <v>597</v>
      </c>
      <c r="B575" t="s">
        <v>623</v>
      </c>
      <c r="C575" t="s">
        <v>13</v>
      </c>
      <c r="D575">
        <v>103</v>
      </c>
      <c r="E575" t="s">
        <v>19</v>
      </c>
      <c r="F575">
        <v>98</v>
      </c>
      <c r="G575">
        <v>38.69</v>
      </c>
      <c r="H575">
        <v>4</v>
      </c>
    </row>
    <row r="576" spans="1:8" x14ac:dyDescent="0.25">
      <c r="A576" t="s">
        <v>597</v>
      </c>
      <c r="B576" t="s">
        <v>624</v>
      </c>
      <c r="C576" t="s">
        <v>67</v>
      </c>
      <c r="D576">
        <v>17</v>
      </c>
      <c r="E576" t="s">
        <v>22</v>
      </c>
      <c r="F576">
        <v>310</v>
      </c>
      <c r="G576">
        <v>19.68</v>
      </c>
      <c r="H576">
        <v>5</v>
      </c>
    </row>
    <row r="577" spans="1:8" x14ac:dyDescent="0.25">
      <c r="A577" t="s">
        <v>597</v>
      </c>
      <c r="B577" t="s">
        <v>625</v>
      </c>
      <c r="C577" t="s">
        <v>35</v>
      </c>
      <c r="D577">
        <v>65</v>
      </c>
      <c r="E577" t="s">
        <v>11</v>
      </c>
      <c r="F577">
        <v>15</v>
      </c>
      <c r="G577">
        <v>44.47</v>
      </c>
      <c r="H577">
        <v>0</v>
      </c>
    </row>
    <row r="578" spans="1:8" x14ac:dyDescent="0.25">
      <c r="A578" t="s">
        <v>597</v>
      </c>
      <c r="B578" t="s">
        <v>626</v>
      </c>
      <c r="C578" t="s">
        <v>24</v>
      </c>
      <c r="D578">
        <v>16</v>
      </c>
      <c r="E578" t="s">
        <v>11</v>
      </c>
      <c r="F578">
        <v>274</v>
      </c>
      <c r="G578">
        <v>27.97</v>
      </c>
      <c r="H578">
        <v>4</v>
      </c>
    </row>
    <row r="579" spans="1:8" x14ac:dyDescent="0.25">
      <c r="A579" t="s">
        <v>597</v>
      </c>
      <c r="B579" t="s">
        <v>627</v>
      </c>
      <c r="C579" t="s">
        <v>10</v>
      </c>
      <c r="D579">
        <v>81</v>
      </c>
      <c r="E579" t="s">
        <v>22</v>
      </c>
      <c r="F579">
        <v>11</v>
      </c>
      <c r="G579">
        <v>41.76</v>
      </c>
      <c r="H579">
        <v>5</v>
      </c>
    </row>
    <row r="580" spans="1:8" x14ac:dyDescent="0.25">
      <c r="A580" t="s">
        <v>597</v>
      </c>
      <c r="B580" t="s">
        <v>628</v>
      </c>
      <c r="C580" t="s">
        <v>13</v>
      </c>
      <c r="D580">
        <v>74</v>
      </c>
      <c r="E580" t="s">
        <v>19</v>
      </c>
      <c r="F580">
        <v>265</v>
      </c>
      <c r="G580">
        <v>90.81</v>
      </c>
      <c r="H580">
        <v>3</v>
      </c>
    </row>
    <row r="581" spans="1:8" x14ac:dyDescent="0.25">
      <c r="A581" t="s">
        <v>597</v>
      </c>
      <c r="B581" t="s">
        <v>629</v>
      </c>
      <c r="C581" t="s">
        <v>57</v>
      </c>
      <c r="D581">
        <v>101</v>
      </c>
      <c r="E581" t="s">
        <v>19</v>
      </c>
      <c r="F581">
        <v>262</v>
      </c>
      <c r="G581">
        <v>83.74</v>
      </c>
      <c r="H581">
        <v>5</v>
      </c>
    </row>
    <row r="582" spans="1:8" x14ac:dyDescent="0.25">
      <c r="A582" t="s">
        <v>597</v>
      </c>
      <c r="B582" t="s">
        <v>630</v>
      </c>
      <c r="C582" t="s">
        <v>64</v>
      </c>
      <c r="D582">
        <v>51</v>
      </c>
      <c r="E582" t="s">
        <v>14</v>
      </c>
      <c r="F582">
        <v>389</v>
      </c>
      <c r="G582">
        <v>50.45</v>
      </c>
      <c r="H582">
        <v>3</v>
      </c>
    </row>
    <row r="583" spans="1:8" x14ac:dyDescent="0.25">
      <c r="A583" t="s">
        <v>597</v>
      </c>
      <c r="B583" t="s">
        <v>631</v>
      </c>
      <c r="C583" t="s">
        <v>10</v>
      </c>
      <c r="D583">
        <v>108</v>
      </c>
      <c r="E583" t="s">
        <v>11</v>
      </c>
      <c r="F583">
        <v>78</v>
      </c>
      <c r="G583">
        <v>90.05</v>
      </c>
      <c r="H583">
        <v>2</v>
      </c>
    </row>
    <row r="584" spans="1:8" x14ac:dyDescent="0.25">
      <c r="A584" t="s">
        <v>597</v>
      </c>
      <c r="B584" t="s">
        <v>632</v>
      </c>
      <c r="C584" t="s">
        <v>62</v>
      </c>
      <c r="D584">
        <v>98</v>
      </c>
      <c r="E584" t="s">
        <v>22</v>
      </c>
      <c r="F584">
        <v>110</v>
      </c>
      <c r="G584">
        <v>96.23</v>
      </c>
      <c r="H584">
        <v>2</v>
      </c>
    </row>
    <row r="585" spans="1:8" x14ac:dyDescent="0.25">
      <c r="A585" t="s">
        <v>597</v>
      </c>
      <c r="B585" t="s">
        <v>633</v>
      </c>
      <c r="C585" t="s">
        <v>64</v>
      </c>
      <c r="D585">
        <v>81</v>
      </c>
      <c r="E585" t="s">
        <v>14</v>
      </c>
      <c r="F585">
        <v>443</v>
      </c>
      <c r="G585">
        <v>32.78</v>
      </c>
      <c r="H585">
        <v>1</v>
      </c>
    </row>
    <row r="586" spans="1:8" x14ac:dyDescent="0.25">
      <c r="A586" t="s">
        <v>597</v>
      </c>
      <c r="B586" t="s">
        <v>634</v>
      </c>
      <c r="C586" t="s">
        <v>64</v>
      </c>
      <c r="D586">
        <v>118</v>
      </c>
      <c r="E586" t="s">
        <v>19</v>
      </c>
      <c r="F586">
        <v>186</v>
      </c>
      <c r="G586">
        <v>46.88</v>
      </c>
      <c r="H586">
        <v>1</v>
      </c>
    </row>
    <row r="587" spans="1:8" x14ac:dyDescent="0.25">
      <c r="A587" t="s">
        <v>597</v>
      </c>
      <c r="B587" t="s">
        <v>635</v>
      </c>
      <c r="C587" t="s">
        <v>44</v>
      </c>
      <c r="D587">
        <v>34</v>
      </c>
      <c r="E587" t="s">
        <v>14</v>
      </c>
      <c r="F587">
        <v>58</v>
      </c>
      <c r="G587">
        <v>64.349999999999994</v>
      </c>
      <c r="H587">
        <v>0</v>
      </c>
    </row>
    <row r="588" spans="1:8" x14ac:dyDescent="0.25">
      <c r="A588" t="s">
        <v>597</v>
      </c>
      <c r="B588" t="s">
        <v>636</v>
      </c>
      <c r="C588" t="s">
        <v>24</v>
      </c>
      <c r="D588">
        <v>108</v>
      </c>
      <c r="E588" t="s">
        <v>19</v>
      </c>
      <c r="F588">
        <v>460</v>
      </c>
      <c r="G588">
        <v>88.95</v>
      </c>
      <c r="H588">
        <v>3</v>
      </c>
    </row>
    <row r="589" spans="1:8" x14ac:dyDescent="0.25">
      <c r="A589" t="s">
        <v>597</v>
      </c>
      <c r="B589" t="s">
        <v>637</v>
      </c>
      <c r="C589" t="s">
        <v>21</v>
      </c>
      <c r="D589">
        <v>71</v>
      </c>
      <c r="E589" t="s">
        <v>14</v>
      </c>
      <c r="F589">
        <v>111</v>
      </c>
      <c r="G589">
        <v>95.53</v>
      </c>
      <c r="H589">
        <v>3</v>
      </c>
    </row>
    <row r="590" spans="1:8" x14ac:dyDescent="0.25">
      <c r="A590" t="s">
        <v>597</v>
      </c>
      <c r="B590" t="s">
        <v>638</v>
      </c>
      <c r="C590" t="s">
        <v>73</v>
      </c>
      <c r="D590">
        <v>21</v>
      </c>
      <c r="E590" t="s">
        <v>19</v>
      </c>
      <c r="F590">
        <v>15</v>
      </c>
      <c r="G590">
        <v>57.74</v>
      </c>
      <c r="H590">
        <v>0</v>
      </c>
    </row>
    <row r="591" spans="1:8" x14ac:dyDescent="0.25">
      <c r="A591" t="s">
        <v>597</v>
      </c>
      <c r="B591" t="s">
        <v>639</v>
      </c>
      <c r="C591" t="s">
        <v>18</v>
      </c>
      <c r="D591">
        <v>42</v>
      </c>
      <c r="E591" t="s">
        <v>14</v>
      </c>
      <c r="F591">
        <v>167</v>
      </c>
      <c r="G591">
        <v>45.85</v>
      </c>
      <c r="H591">
        <v>2</v>
      </c>
    </row>
    <row r="592" spans="1:8" x14ac:dyDescent="0.25">
      <c r="A592" t="s">
        <v>597</v>
      </c>
      <c r="B592" t="s">
        <v>640</v>
      </c>
      <c r="C592" t="s">
        <v>31</v>
      </c>
      <c r="D592">
        <v>27</v>
      </c>
      <c r="E592" t="s">
        <v>19</v>
      </c>
      <c r="F592">
        <v>70</v>
      </c>
      <c r="G592">
        <v>20.32</v>
      </c>
      <c r="H592">
        <v>3</v>
      </c>
    </row>
    <row r="593" spans="1:8" x14ac:dyDescent="0.25">
      <c r="A593" t="s">
        <v>597</v>
      </c>
      <c r="B593" t="s">
        <v>641</v>
      </c>
      <c r="C593" t="s">
        <v>78</v>
      </c>
      <c r="D593">
        <v>12</v>
      </c>
      <c r="E593" t="s">
        <v>22</v>
      </c>
      <c r="F593">
        <v>112</v>
      </c>
      <c r="G593">
        <v>82.81</v>
      </c>
      <c r="H593">
        <v>0</v>
      </c>
    </row>
    <row r="594" spans="1:8" x14ac:dyDescent="0.25">
      <c r="A594" t="s">
        <v>597</v>
      </c>
      <c r="B594" t="s">
        <v>642</v>
      </c>
      <c r="C594" t="s">
        <v>78</v>
      </c>
      <c r="D594">
        <v>12</v>
      </c>
      <c r="E594" t="s">
        <v>14</v>
      </c>
      <c r="F594">
        <v>42</v>
      </c>
      <c r="G594">
        <v>48.64</v>
      </c>
      <c r="H594">
        <v>0</v>
      </c>
    </row>
    <row r="595" spans="1:8" x14ac:dyDescent="0.25">
      <c r="A595" t="s">
        <v>597</v>
      </c>
      <c r="B595" t="s">
        <v>643</v>
      </c>
      <c r="C595" t="s">
        <v>29</v>
      </c>
      <c r="D595">
        <v>4</v>
      </c>
      <c r="E595" t="s">
        <v>14</v>
      </c>
      <c r="F595">
        <v>372</v>
      </c>
      <c r="G595">
        <v>26.73</v>
      </c>
      <c r="H595">
        <v>3</v>
      </c>
    </row>
    <row r="596" spans="1:8" x14ac:dyDescent="0.25">
      <c r="A596" t="s">
        <v>597</v>
      </c>
      <c r="B596" t="s">
        <v>644</v>
      </c>
      <c r="C596" t="s">
        <v>89</v>
      </c>
      <c r="D596">
        <v>56</v>
      </c>
      <c r="E596" t="s">
        <v>11</v>
      </c>
      <c r="F596">
        <v>354</v>
      </c>
      <c r="G596">
        <v>32.08</v>
      </c>
      <c r="H596">
        <v>1</v>
      </c>
    </row>
    <row r="597" spans="1:8" x14ac:dyDescent="0.25">
      <c r="A597" t="s">
        <v>597</v>
      </c>
      <c r="B597" t="s">
        <v>645</v>
      </c>
      <c r="C597" t="s">
        <v>10</v>
      </c>
      <c r="D597">
        <v>2</v>
      </c>
      <c r="E597" t="s">
        <v>14</v>
      </c>
      <c r="F597">
        <v>481</v>
      </c>
      <c r="G597">
        <v>29.37</v>
      </c>
      <c r="H597">
        <v>4</v>
      </c>
    </row>
    <row r="598" spans="1:8" x14ac:dyDescent="0.25">
      <c r="A598" t="s">
        <v>597</v>
      </c>
      <c r="B598" t="s">
        <v>646</v>
      </c>
      <c r="C598" t="s">
        <v>57</v>
      </c>
      <c r="D598">
        <v>81</v>
      </c>
      <c r="E598" t="s">
        <v>22</v>
      </c>
      <c r="F598">
        <v>64</v>
      </c>
      <c r="G598">
        <v>43.45</v>
      </c>
      <c r="H598">
        <v>2</v>
      </c>
    </row>
    <row r="599" spans="1:8" x14ac:dyDescent="0.25">
      <c r="A599" t="s">
        <v>597</v>
      </c>
      <c r="B599" t="s">
        <v>647</v>
      </c>
      <c r="C599" t="s">
        <v>60</v>
      </c>
      <c r="D599">
        <v>99</v>
      </c>
      <c r="E599" t="s">
        <v>22</v>
      </c>
      <c r="F599">
        <v>137</v>
      </c>
      <c r="G599">
        <v>23.05</v>
      </c>
      <c r="H599">
        <v>4</v>
      </c>
    </row>
    <row r="600" spans="1:8" x14ac:dyDescent="0.25">
      <c r="A600" t="s">
        <v>648</v>
      </c>
      <c r="B600" t="s">
        <v>649</v>
      </c>
      <c r="C600" t="s">
        <v>35</v>
      </c>
      <c r="D600">
        <v>18</v>
      </c>
      <c r="E600" t="s">
        <v>14</v>
      </c>
      <c r="F600">
        <v>75</v>
      </c>
      <c r="G600">
        <v>57.66</v>
      </c>
      <c r="H600">
        <v>1</v>
      </c>
    </row>
    <row r="601" spans="1:8" x14ac:dyDescent="0.25">
      <c r="A601" t="s">
        <v>648</v>
      </c>
      <c r="B601" t="s">
        <v>650</v>
      </c>
      <c r="C601" t="s">
        <v>64</v>
      </c>
      <c r="D601">
        <v>14</v>
      </c>
      <c r="E601" t="s">
        <v>14</v>
      </c>
      <c r="F601">
        <v>236</v>
      </c>
      <c r="G601">
        <v>54.43</v>
      </c>
      <c r="H601">
        <v>3</v>
      </c>
    </row>
    <row r="602" spans="1:8" x14ac:dyDescent="0.25">
      <c r="A602" t="s">
        <v>648</v>
      </c>
      <c r="B602" t="s">
        <v>651</v>
      </c>
      <c r="C602" t="s">
        <v>16</v>
      </c>
      <c r="D602">
        <v>42</v>
      </c>
      <c r="E602" t="s">
        <v>19</v>
      </c>
      <c r="F602">
        <v>448</v>
      </c>
      <c r="G602">
        <v>49.02</v>
      </c>
      <c r="H602">
        <v>0</v>
      </c>
    </row>
    <row r="603" spans="1:8" x14ac:dyDescent="0.25">
      <c r="A603" t="s">
        <v>648</v>
      </c>
      <c r="B603" t="s">
        <v>652</v>
      </c>
      <c r="C603" t="s">
        <v>24</v>
      </c>
      <c r="D603">
        <v>111</v>
      </c>
      <c r="E603" t="s">
        <v>22</v>
      </c>
      <c r="F603">
        <v>54</v>
      </c>
      <c r="G603">
        <v>71.3</v>
      </c>
      <c r="H603">
        <v>0</v>
      </c>
    </row>
    <row r="604" spans="1:8" x14ac:dyDescent="0.25">
      <c r="A604" t="s">
        <v>648</v>
      </c>
      <c r="B604" t="s">
        <v>653</v>
      </c>
      <c r="C604" t="s">
        <v>89</v>
      </c>
      <c r="D604">
        <v>89</v>
      </c>
      <c r="E604" t="s">
        <v>14</v>
      </c>
      <c r="F604">
        <v>381</v>
      </c>
      <c r="G604">
        <v>68.17</v>
      </c>
      <c r="H604">
        <v>0</v>
      </c>
    </row>
    <row r="605" spans="1:8" x14ac:dyDescent="0.25">
      <c r="A605" t="s">
        <v>648</v>
      </c>
      <c r="B605" t="s">
        <v>654</v>
      </c>
      <c r="C605" t="s">
        <v>64</v>
      </c>
      <c r="D605">
        <v>93</v>
      </c>
      <c r="E605" t="s">
        <v>14</v>
      </c>
      <c r="F605">
        <v>56</v>
      </c>
      <c r="G605">
        <v>96.31</v>
      </c>
      <c r="H605">
        <v>4</v>
      </c>
    </row>
    <row r="606" spans="1:8" x14ac:dyDescent="0.25">
      <c r="A606" t="s">
        <v>648</v>
      </c>
      <c r="B606" t="s">
        <v>655</v>
      </c>
      <c r="C606" t="s">
        <v>127</v>
      </c>
      <c r="D606">
        <v>56</v>
      </c>
      <c r="E606" t="s">
        <v>11</v>
      </c>
      <c r="F606">
        <v>123</v>
      </c>
      <c r="G606">
        <v>29.76</v>
      </c>
      <c r="H606">
        <v>5</v>
      </c>
    </row>
    <row r="607" spans="1:8" x14ac:dyDescent="0.25">
      <c r="A607" t="s">
        <v>648</v>
      </c>
      <c r="B607" t="s">
        <v>656</v>
      </c>
      <c r="C607" t="s">
        <v>35</v>
      </c>
      <c r="D607">
        <v>29</v>
      </c>
      <c r="E607" t="s">
        <v>11</v>
      </c>
      <c r="F607">
        <v>8</v>
      </c>
      <c r="G607">
        <v>14.78</v>
      </c>
      <c r="H607">
        <v>2</v>
      </c>
    </row>
    <row r="608" spans="1:8" x14ac:dyDescent="0.25">
      <c r="A608" t="s">
        <v>648</v>
      </c>
      <c r="B608" t="s">
        <v>657</v>
      </c>
      <c r="C608" t="s">
        <v>44</v>
      </c>
      <c r="D608">
        <v>22</v>
      </c>
      <c r="E608" t="s">
        <v>14</v>
      </c>
      <c r="F608">
        <v>457</v>
      </c>
      <c r="G608">
        <v>13.21</v>
      </c>
      <c r="H608">
        <v>1</v>
      </c>
    </row>
    <row r="609" spans="1:8" x14ac:dyDescent="0.25">
      <c r="A609" t="s">
        <v>648</v>
      </c>
      <c r="B609" t="s">
        <v>658</v>
      </c>
      <c r="C609" t="s">
        <v>131</v>
      </c>
      <c r="D609">
        <v>12</v>
      </c>
      <c r="E609" t="s">
        <v>22</v>
      </c>
      <c r="F609">
        <v>235</v>
      </c>
      <c r="G609">
        <v>33.96</v>
      </c>
      <c r="H609">
        <v>4</v>
      </c>
    </row>
    <row r="610" spans="1:8" x14ac:dyDescent="0.25">
      <c r="A610" t="s">
        <v>648</v>
      </c>
      <c r="B610" t="s">
        <v>659</v>
      </c>
      <c r="C610" t="s">
        <v>62</v>
      </c>
      <c r="D610">
        <v>25</v>
      </c>
      <c r="E610" t="s">
        <v>19</v>
      </c>
      <c r="F610">
        <v>95</v>
      </c>
      <c r="G610">
        <v>15.93</v>
      </c>
      <c r="H610">
        <v>4</v>
      </c>
    </row>
    <row r="611" spans="1:8" x14ac:dyDescent="0.25">
      <c r="A611" t="s">
        <v>648</v>
      </c>
      <c r="B611" t="s">
        <v>660</v>
      </c>
      <c r="C611" t="s">
        <v>60</v>
      </c>
      <c r="D611">
        <v>93</v>
      </c>
      <c r="E611" t="s">
        <v>11</v>
      </c>
      <c r="F611">
        <v>136</v>
      </c>
      <c r="G611">
        <v>19.09</v>
      </c>
      <c r="H611">
        <v>1</v>
      </c>
    </row>
    <row r="612" spans="1:8" x14ac:dyDescent="0.25">
      <c r="A612" t="s">
        <v>648</v>
      </c>
      <c r="B612" t="s">
        <v>661</v>
      </c>
      <c r="C612" t="s">
        <v>73</v>
      </c>
      <c r="D612">
        <v>116</v>
      </c>
      <c r="E612" t="s">
        <v>11</v>
      </c>
      <c r="F612">
        <v>14</v>
      </c>
      <c r="G612">
        <v>30.38</v>
      </c>
      <c r="H612">
        <v>1</v>
      </c>
    </row>
    <row r="613" spans="1:8" x14ac:dyDescent="0.25">
      <c r="A613" t="s">
        <v>648</v>
      </c>
      <c r="B613" t="s">
        <v>662</v>
      </c>
      <c r="C613" t="s">
        <v>62</v>
      </c>
      <c r="D613">
        <v>104</v>
      </c>
      <c r="E613" t="s">
        <v>19</v>
      </c>
      <c r="F613">
        <v>243</v>
      </c>
      <c r="G613">
        <v>65.819999999999993</v>
      </c>
      <c r="H613">
        <v>0</v>
      </c>
    </row>
    <row r="614" spans="1:8" x14ac:dyDescent="0.25">
      <c r="A614" t="s">
        <v>648</v>
      </c>
      <c r="B614" t="s">
        <v>663</v>
      </c>
      <c r="C614" t="s">
        <v>78</v>
      </c>
      <c r="D614">
        <v>48</v>
      </c>
      <c r="E614" t="s">
        <v>11</v>
      </c>
      <c r="F614">
        <v>338</v>
      </c>
      <c r="G614">
        <v>74.42</v>
      </c>
      <c r="H614">
        <v>0</v>
      </c>
    </row>
    <row r="615" spans="1:8" x14ac:dyDescent="0.25">
      <c r="A615" t="s">
        <v>648</v>
      </c>
      <c r="B615" t="s">
        <v>664</v>
      </c>
      <c r="C615" t="s">
        <v>16</v>
      </c>
      <c r="D615">
        <v>105</v>
      </c>
      <c r="E615" t="s">
        <v>22</v>
      </c>
      <c r="F615">
        <v>271</v>
      </c>
      <c r="G615">
        <v>45.27</v>
      </c>
      <c r="H615">
        <v>2</v>
      </c>
    </row>
    <row r="616" spans="1:8" x14ac:dyDescent="0.25">
      <c r="A616" t="s">
        <v>648</v>
      </c>
      <c r="B616" t="s">
        <v>665</v>
      </c>
      <c r="C616" t="s">
        <v>64</v>
      </c>
      <c r="D616">
        <v>116</v>
      </c>
      <c r="E616" t="s">
        <v>22</v>
      </c>
      <c r="F616">
        <v>231</v>
      </c>
      <c r="G616">
        <v>19.12</v>
      </c>
      <c r="H616">
        <v>5</v>
      </c>
    </row>
    <row r="617" spans="1:8" x14ac:dyDescent="0.25">
      <c r="A617" t="s">
        <v>648</v>
      </c>
      <c r="B617" t="s">
        <v>666</v>
      </c>
      <c r="C617" t="s">
        <v>40</v>
      </c>
      <c r="D617">
        <v>69</v>
      </c>
      <c r="E617" t="s">
        <v>19</v>
      </c>
      <c r="F617">
        <v>180</v>
      </c>
      <c r="G617">
        <v>76.05</v>
      </c>
      <c r="H617">
        <v>2</v>
      </c>
    </row>
    <row r="618" spans="1:8" x14ac:dyDescent="0.25">
      <c r="A618" t="s">
        <v>648</v>
      </c>
      <c r="B618" t="s">
        <v>667</v>
      </c>
      <c r="C618" t="s">
        <v>26</v>
      </c>
      <c r="D618">
        <v>1</v>
      </c>
      <c r="E618" t="s">
        <v>19</v>
      </c>
      <c r="F618">
        <v>135</v>
      </c>
      <c r="G618">
        <v>89.16</v>
      </c>
      <c r="H618">
        <v>3</v>
      </c>
    </row>
    <row r="619" spans="1:8" x14ac:dyDescent="0.25">
      <c r="A619" t="s">
        <v>648</v>
      </c>
      <c r="B619" t="s">
        <v>668</v>
      </c>
      <c r="C619" t="s">
        <v>51</v>
      </c>
      <c r="D619">
        <v>120</v>
      </c>
      <c r="E619" t="s">
        <v>14</v>
      </c>
      <c r="F619">
        <v>60</v>
      </c>
      <c r="G619">
        <v>34.14</v>
      </c>
      <c r="H619">
        <v>3</v>
      </c>
    </row>
    <row r="620" spans="1:8" x14ac:dyDescent="0.25">
      <c r="A620" t="s">
        <v>648</v>
      </c>
      <c r="B620" t="s">
        <v>669</v>
      </c>
      <c r="C620" t="s">
        <v>24</v>
      </c>
      <c r="D620">
        <v>89</v>
      </c>
      <c r="E620" t="s">
        <v>19</v>
      </c>
      <c r="F620">
        <v>474</v>
      </c>
      <c r="G620">
        <v>28.51</v>
      </c>
      <c r="H620">
        <v>5</v>
      </c>
    </row>
    <row r="621" spans="1:8" x14ac:dyDescent="0.25">
      <c r="A621" t="s">
        <v>648</v>
      </c>
      <c r="B621" t="s">
        <v>670</v>
      </c>
      <c r="C621" t="s">
        <v>10</v>
      </c>
      <c r="D621">
        <v>112</v>
      </c>
      <c r="E621" t="s">
        <v>22</v>
      </c>
      <c r="F621">
        <v>281</v>
      </c>
      <c r="G621">
        <v>80.72</v>
      </c>
      <c r="H621">
        <v>2</v>
      </c>
    </row>
    <row r="622" spans="1:8" x14ac:dyDescent="0.25">
      <c r="A622" t="s">
        <v>648</v>
      </c>
      <c r="B622" t="s">
        <v>671</v>
      </c>
      <c r="C622" t="s">
        <v>18</v>
      </c>
      <c r="D622">
        <v>7</v>
      </c>
      <c r="E622" t="s">
        <v>19</v>
      </c>
      <c r="F622">
        <v>43</v>
      </c>
      <c r="G622">
        <v>41.29</v>
      </c>
      <c r="H622">
        <v>4</v>
      </c>
    </row>
    <row r="623" spans="1:8" x14ac:dyDescent="0.25">
      <c r="A623" t="s">
        <v>648</v>
      </c>
      <c r="B623" t="s">
        <v>672</v>
      </c>
      <c r="C623" t="s">
        <v>35</v>
      </c>
      <c r="D623">
        <v>34</v>
      </c>
      <c r="E623" t="s">
        <v>22</v>
      </c>
      <c r="F623">
        <v>181</v>
      </c>
      <c r="G623">
        <v>35.92</v>
      </c>
      <c r="H623">
        <v>2</v>
      </c>
    </row>
    <row r="624" spans="1:8" x14ac:dyDescent="0.25">
      <c r="A624" t="s">
        <v>648</v>
      </c>
      <c r="B624" t="s">
        <v>673</v>
      </c>
      <c r="C624" t="s">
        <v>67</v>
      </c>
      <c r="D624">
        <v>114</v>
      </c>
      <c r="E624" t="s">
        <v>14</v>
      </c>
      <c r="F624">
        <v>220</v>
      </c>
      <c r="G624">
        <v>63.67</v>
      </c>
      <c r="H624">
        <v>5</v>
      </c>
    </row>
    <row r="625" spans="1:8" x14ac:dyDescent="0.25">
      <c r="A625" t="s">
        <v>648</v>
      </c>
      <c r="B625" t="s">
        <v>674</v>
      </c>
      <c r="C625" t="s">
        <v>78</v>
      </c>
      <c r="D625">
        <v>101</v>
      </c>
      <c r="E625" t="s">
        <v>14</v>
      </c>
      <c r="F625">
        <v>108</v>
      </c>
      <c r="G625">
        <v>76.05</v>
      </c>
      <c r="H625">
        <v>3</v>
      </c>
    </row>
    <row r="626" spans="1:8" x14ac:dyDescent="0.25">
      <c r="A626" t="s">
        <v>648</v>
      </c>
      <c r="B626" t="s">
        <v>675</v>
      </c>
      <c r="C626" t="s">
        <v>137</v>
      </c>
      <c r="D626">
        <v>6</v>
      </c>
      <c r="E626" t="s">
        <v>22</v>
      </c>
      <c r="F626">
        <v>77</v>
      </c>
      <c r="G626">
        <v>18.48</v>
      </c>
      <c r="H626">
        <v>2</v>
      </c>
    </row>
    <row r="627" spans="1:8" x14ac:dyDescent="0.25">
      <c r="A627" t="s">
        <v>648</v>
      </c>
      <c r="B627" t="s">
        <v>676</v>
      </c>
      <c r="C627" t="s">
        <v>21</v>
      </c>
      <c r="D627">
        <v>15</v>
      </c>
      <c r="E627" t="s">
        <v>14</v>
      </c>
      <c r="F627">
        <v>203</v>
      </c>
      <c r="G627">
        <v>55.29</v>
      </c>
      <c r="H627">
        <v>2</v>
      </c>
    </row>
    <row r="628" spans="1:8" x14ac:dyDescent="0.25">
      <c r="A628" t="s">
        <v>648</v>
      </c>
      <c r="B628" t="s">
        <v>677</v>
      </c>
      <c r="C628" t="s">
        <v>131</v>
      </c>
      <c r="D628">
        <v>7</v>
      </c>
      <c r="E628" t="s">
        <v>19</v>
      </c>
      <c r="F628">
        <v>257</v>
      </c>
      <c r="G628">
        <v>73.040000000000006</v>
      </c>
      <c r="H628">
        <v>3</v>
      </c>
    </row>
    <row r="629" spans="1:8" x14ac:dyDescent="0.25">
      <c r="A629" t="s">
        <v>648</v>
      </c>
      <c r="B629" t="s">
        <v>678</v>
      </c>
      <c r="C629" t="s">
        <v>40</v>
      </c>
      <c r="D629">
        <v>39</v>
      </c>
      <c r="E629" t="s">
        <v>11</v>
      </c>
      <c r="F629">
        <v>220</v>
      </c>
      <c r="G629">
        <v>52.91</v>
      </c>
      <c r="H629">
        <v>0</v>
      </c>
    </row>
    <row r="630" spans="1:8" x14ac:dyDescent="0.25">
      <c r="A630" t="s">
        <v>648</v>
      </c>
      <c r="B630" t="s">
        <v>679</v>
      </c>
      <c r="C630" t="s">
        <v>60</v>
      </c>
      <c r="D630">
        <v>10</v>
      </c>
      <c r="E630" t="s">
        <v>22</v>
      </c>
      <c r="F630">
        <v>260</v>
      </c>
      <c r="G630">
        <v>37.479999999999997</v>
      </c>
      <c r="H630">
        <v>2</v>
      </c>
    </row>
    <row r="631" spans="1:8" x14ac:dyDescent="0.25">
      <c r="A631" t="s">
        <v>648</v>
      </c>
      <c r="B631" t="s">
        <v>680</v>
      </c>
      <c r="C631" t="s">
        <v>137</v>
      </c>
      <c r="D631">
        <v>34</v>
      </c>
      <c r="E631" t="s">
        <v>11</v>
      </c>
      <c r="F631">
        <v>170</v>
      </c>
      <c r="G631">
        <v>91.6</v>
      </c>
      <c r="H631">
        <v>2</v>
      </c>
    </row>
    <row r="632" spans="1:8" x14ac:dyDescent="0.25">
      <c r="A632" t="s">
        <v>648</v>
      </c>
      <c r="B632" t="s">
        <v>681</v>
      </c>
      <c r="C632" t="s">
        <v>78</v>
      </c>
      <c r="D632">
        <v>43</v>
      </c>
      <c r="E632" t="s">
        <v>11</v>
      </c>
      <c r="F632">
        <v>27</v>
      </c>
      <c r="G632">
        <v>31.48</v>
      </c>
      <c r="H632">
        <v>5</v>
      </c>
    </row>
    <row r="633" spans="1:8" x14ac:dyDescent="0.25">
      <c r="A633" t="s">
        <v>648</v>
      </c>
      <c r="B633" t="s">
        <v>682</v>
      </c>
      <c r="C633" t="s">
        <v>26</v>
      </c>
      <c r="D633">
        <v>89</v>
      </c>
      <c r="E633" t="s">
        <v>14</v>
      </c>
      <c r="F633">
        <v>225</v>
      </c>
      <c r="G633">
        <v>38.36</v>
      </c>
      <c r="H633">
        <v>2</v>
      </c>
    </row>
    <row r="634" spans="1:8" x14ac:dyDescent="0.25">
      <c r="A634" t="s">
        <v>648</v>
      </c>
      <c r="B634" t="s">
        <v>683</v>
      </c>
      <c r="C634" t="s">
        <v>31</v>
      </c>
      <c r="D634">
        <v>79</v>
      </c>
      <c r="E634" t="s">
        <v>22</v>
      </c>
      <c r="F634">
        <v>139</v>
      </c>
      <c r="G634">
        <v>16.25</v>
      </c>
      <c r="H634">
        <v>4</v>
      </c>
    </row>
    <row r="635" spans="1:8" x14ac:dyDescent="0.25">
      <c r="A635" t="s">
        <v>648</v>
      </c>
      <c r="B635" t="s">
        <v>684</v>
      </c>
      <c r="C635" t="s">
        <v>62</v>
      </c>
      <c r="D635">
        <v>102</v>
      </c>
      <c r="E635" t="s">
        <v>19</v>
      </c>
      <c r="F635">
        <v>189</v>
      </c>
      <c r="G635">
        <v>26.86</v>
      </c>
      <c r="H635">
        <v>5</v>
      </c>
    </row>
    <row r="636" spans="1:8" x14ac:dyDescent="0.25">
      <c r="A636" t="s">
        <v>648</v>
      </c>
      <c r="B636" t="s">
        <v>685</v>
      </c>
      <c r="C636" t="s">
        <v>131</v>
      </c>
      <c r="D636">
        <v>104</v>
      </c>
      <c r="E636" t="s">
        <v>22</v>
      </c>
      <c r="F636">
        <v>50</v>
      </c>
      <c r="G636">
        <v>90.99</v>
      </c>
      <c r="H636">
        <v>4</v>
      </c>
    </row>
    <row r="637" spans="1:8" x14ac:dyDescent="0.25">
      <c r="A637" t="s">
        <v>648</v>
      </c>
      <c r="B637" t="s">
        <v>686</v>
      </c>
      <c r="C637" t="s">
        <v>35</v>
      </c>
      <c r="D637">
        <v>49</v>
      </c>
      <c r="E637" t="s">
        <v>22</v>
      </c>
      <c r="F637">
        <v>25</v>
      </c>
      <c r="G637">
        <v>22.77</v>
      </c>
      <c r="H637">
        <v>3</v>
      </c>
    </row>
    <row r="638" spans="1:8" x14ac:dyDescent="0.25">
      <c r="A638" t="s">
        <v>648</v>
      </c>
      <c r="B638" t="s">
        <v>687</v>
      </c>
      <c r="C638" t="s">
        <v>37</v>
      </c>
      <c r="D638">
        <v>35</v>
      </c>
      <c r="E638" t="s">
        <v>11</v>
      </c>
      <c r="F638">
        <v>332</v>
      </c>
      <c r="G638">
        <v>11.15</v>
      </c>
      <c r="H638">
        <v>0</v>
      </c>
    </row>
    <row r="639" spans="1:8" x14ac:dyDescent="0.25">
      <c r="A639" t="s">
        <v>648</v>
      </c>
      <c r="B639" t="s">
        <v>688</v>
      </c>
      <c r="C639" t="s">
        <v>127</v>
      </c>
      <c r="D639">
        <v>90</v>
      </c>
      <c r="E639" t="s">
        <v>14</v>
      </c>
      <c r="F639">
        <v>195</v>
      </c>
      <c r="G639">
        <v>52.71</v>
      </c>
      <c r="H639">
        <v>2</v>
      </c>
    </row>
    <row r="640" spans="1:8" x14ac:dyDescent="0.25">
      <c r="A640" t="s">
        <v>648</v>
      </c>
      <c r="B640" t="s">
        <v>689</v>
      </c>
      <c r="C640" t="s">
        <v>26</v>
      </c>
      <c r="D640">
        <v>22</v>
      </c>
      <c r="E640" t="s">
        <v>14</v>
      </c>
      <c r="F640">
        <v>374</v>
      </c>
      <c r="G640">
        <v>40.06</v>
      </c>
      <c r="H640">
        <v>5</v>
      </c>
    </row>
    <row r="641" spans="1:8" x14ac:dyDescent="0.25">
      <c r="A641" t="s">
        <v>648</v>
      </c>
      <c r="B641" t="s">
        <v>690</v>
      </c>
      <c r="C641" t="s">
        <v>16</v>
      </c>
      <c r="D641">
        <v>119</v>
      </c>
      <c r="E641" t="s">
        <v>22</v>
      </c>
      <c r="F641">
        <v>475</v>
      </c>
      <c r="G641">
        <v>25.98</v>
      </c>
      <c r="H641">
        <v>4</v>
      </c>
    </row>
    <row r="642" spans="1:8" x14ac:dyDescent="0.25">
      <c r="A642" t="s">
        <v>648</v>
      </c>
      <c r="B642" t="s">
        <v>691</v>
      </c>
      <c r="C642" t="s">
        <v>51</v>
      </c>
      <c r="D642">
        <v>18</v>
      </c>
      <c r="E642" t="s">
        <v>14</v>
      </c>
      <c r="F642">
        <v>216</v>
      </c>
      <c r="G642">
        <v>33.74</v>
      </c>
      <c r="H642">
        <v>5</v>
      </c>
    </row>
    <row r="643" spans="1:8" x14ac:dyDescent="0.25">
      <c r="A643" t="s">
        <v>648</v>
      </c>
      <c r="B643" t="s">
        <v>692</v>
      </c>
      <c r="C643" t="s">
        <v>21</v>
      </c>
      <c r="D643">
        <v>75</v>
      </c>
      <c r="E643" t="s">
        <v>22</v>
      </c>
      <c r="F643">
        <v>99</v>
      </c>
      <c r="G643">
        <v>16.93</v>
      </c>
      <c r="H643">
        <v>5</v>
      </c>
    </row>
    <row r="644" spans="1:8" x14ac:dyDescent="0.25">
      <c r="A644" t="s">
        <v>648</v>
      </c>
      <c r="B644" t="s">
        <v>693</v>
      </c>
      <c r="C644" t="s">
        <v>31</v>
      </c>
      <c r="D644">
        <v>59</v>
      </c>
      <c r="E644" t="s">
        <v>19</v>
      </c>
      <c r="F644">
        <v>150</v>
      </c>
      <c r="G644">
        <v>71.13</v>
      </c>
      <c r="H644">
        <v>0</v>
      </c>
    </row>
    <row r="645" spans="1:8" x14ac:dyDescent="0.25">
      <c r="A645" t="s">
        <v>648</v>
      </c>
      <c r="B645" t="s">
        <v>694</v>
      </c>
      <c r="C645" t="s">
        <v>51</v>
      </c>
      <c r="D645">
        <v>16</v>
      </c>
      <c r="E645" t="s">
        <v>11</v>
      </c>
      <c r="F645">
        <v>96</v>
      </c>
      <c r="G645">
        <v>86.78</v>
      </c>
      <c r="H645">
        <v>1</v>
      </c>
    </row>
    <row r="646" spans="1:8" x14ac:dyDescent="0.25">
      <c r="A646" t="s">
        <v>648</v>
      </c>
      <c r="B646" t="s">
        <v>695</v>
      </c>
      <c r="C646" t="s">
        <v>64</v>
      </c>
      <c r="D646">
        <v>17</v>
      </c>
      <c r="E646" t="s">
        <v>14</v>
      </c>
      <c r="F646">
        <v>206</v>
      </c>
      <c r="G646">
        <v>63.46</v>
      </c>
      <c r="H646">
        <v>3</v>
      </c>
    </row>
    <row r="647" spans="1:8" x14ac:dyDescent="0.25">
      <c r="A647" t="s">
        <v>648</v>
      </c>
      <c r="B647" t="s">
        <v>696</v>
      </c>
      <c r="C647" t="s">
        <v>57</v>
      </c>
      <c r="D647">
        <v>41</v>
      </c>
      <c r="E647" t="s">
        <v>22</v>
      </c>
      <c r="F647">
        <v>90</v>
      </c>
      <c r="G647">
        <v>97.26</v>
      </c>
      <c r="H647">
        <v>1</v>
      </c>
    </row>
    <row r="648" spans="1:8" x14ac:dyDescent="0.25">
      <c r="A648" t="s">
        <v>648</v>
      </c>
      <c r="B648" t="s">
        <v>697</v>
      </c>
      <c r="C648" t="s">
        <v>62</v>
      </c>
      <c r="D648">
        <v>111</v>
      </c>
      <c r="E648" t="s">
        <v>11</v>
      </c>
      <c r="F648">
        <v>304</v>
      </c>
      <c r="G648">
        <v>62.48</v>
      </c>
      <c r="H648">
        <v>5</v>
      </c>
    </row>
    <row r="649" spans="1:8" x14ac:dyDescent="0.25">
      <c r="A649" t="s">
        <v>648</v>
      </c>
      <c r="B649" t="s">
        <v>698</v>
      </c>
      <c r="C649" t="s">
        <v>64</v>
      </c>
      <c r="D649">
        <v>19</v>
      </c>
      <c r="E649" t="s">
        <v>19</v>
      </c>
      <c r="F649">
        <v>141</v>
      </c>
      <c r="G649">
        <v>53.95</v>
      </c>
      <c r="H649">
        <v>1</v>
      </c>
    </row>
    <row r="650" spans="1:8" x14ac:dyDescent="0.25">
      <c r="A650" t="s">
        <v>699</v>
      </c>
      <c r="B650" t="s">
        <v>700</v>
      </c>
      <c r="C650" t="s">
        <v>18</v>
      </c>
      <c r="D650">
        <v>20</v>
      </c>
      <c r="E650" t="s">
        <v>19</v>
      </c>
      <c r="F650">
        <v>297</v>
      </c>
      <c r="G650">
        <v>14.77</v>
      </c>
      <c r="H650">
        <v>0</v>
      </c>
    </row>
    <row r="651" spans="1:8" x14ac:dyDescent="0.25">
      <c r="A651" t="s">
        <v>699</v>
      </c>
      <c r="B651" t="s">
        <v>701</v>
      </c>
      <c r="C651" t="s">
        <v>37</v>
      </c>
      <c r="D651">
        <v>67</v>
      </c>
      <c r="E651" t="s">
        <v>11</v>
      </c>
      <c r="F651">
        <v>262</v>
      </c>
      <c r="G651">
        <v>28.46</v>
      </c>
      <c r="H651">
        <v>3</v>
      </c>
    </row>
    <row r="652" spans="1:8" x14ac:dyDescent="0.25">
      <c r="A652" t="s">
        <v>699</v>
      </c>
      <c r="B652" t="s">
        <v>702</v>
      </c>
      <c r="C652" t="s">
        <v>10</v>
      </c>
      <c r="D652">
        <v>38</v>
      </c>
      <c r="E652" t="s">
        <v>22</v>
      </c>
      <c r="F652">
        <v>191</v>
      </c>
      <c r="G652">
        <v>22.97</v>
      </c>
      <c r="H652">
        <v>3</v>
      </c>
    </row>
    <row r="653" spans="1:8" x14ac:dyDescent="0.25">
      <c r="A653" t="s">
        <v>699</v>
      </c>
      <c r="B653" t="s">
        <v>703</v>
      </c>
      <c r="C653" t="s">
        <v>21</v>
      </c>
      <c r="D653">
        <v>80</v>
      </c>
      <c r="E653" t="s">
        <v>19</v>
      </c>
      <c r="F653">
        <v>65</v>
      </c>
      <c r="G653">
        <v>76.64</v>
      </c>
      <c r="H653">
        <v>3</v>
      </c>
    </row>
    <row r="654" spans="1:8" x14ac:dyDescent="0.25">
      <c r="A654" t="s">
        <v>699</v>
      </c>
      <c r="B654" t="s">
        <v>704</v>
      </c>
      <c r="C654" t="s">
        <v>33</v>
      </c>
      <c r="D654">
        <v>72</v>
      </c>
      <c r="E654" t="s">
        <v>14</v>
      </c>
      <c r="F654">
        <v>317</v>
      </c>
      <c r="G654">
        <v>54.58</v>
      </c>
      <c r="H654">
        <v>1</v>
      </c>
    </row>
    <row r="655" spans="1:8" x14ac:dyDescent="0.25">
      <c r="A655" t="s">
        <v>699</v>
      </c>
      <c r="B655" t="s">
        <v>705</v>
      </c>
      <c r="C655" t="s">
        <v>18</v>
      </c>
      <c r="D655">
        <v>86</v>
      </c>
      <c r="E655" t="s">
        <v>11</v>
      </c>
      <c r="F655">
        <v>278</v>
      </c>
      <c r="G655">
        <v>30.12</v>
      </c>
      <c r="H655">
        <v>0</v>
      </c>
    </row>
    <row r="656" spans="1:8" x14ac:dyDescent="0.25">
      <c r="A656" t="s">
        <v>699</v>
      </c>
      <c r="B656" t="s">
        <v>706</v>
      </c>
      <c r="C656" t="s">
        <v>40</v>
      </c>
      <c r="D656">
        <v>21</v>
      </c>
      <c r="E656" t="s">
        <v>22</v>
      </c>
      <c r="F656">
        <v>460</v>
      </c>
      <c r="G656">
        <v>70.81</v>
      </c>
      <c r="H656">
        <v>2</v>
      </c>
    </row>
    <row r="657" spans="1:8" x14ac:dyDescent="0.25">
      <c r="A657" t="s">
        <v>699</v>
      </c>
      <c r="B657" t="s">
        <v>707</v>
      </c>
      <c r="C657" t="s">
        <v>33</v>
      </c>
      <c r="D657">
        <v>39</v>
      </c>
      <c r="E657" t="s">
        <v>14</v>
      </c>
      <c r="F657">
        <v>289</v>
      </c>
      <c r="G657">
        <v>86.7</v>
      </c>
      <c r="H657">
        <v>3</v>
      </c>
    </row>
    <row r="658" spans="1:8" x14ac:dyDescent="0.25">
      <c r="A658" t="s">
        <v>699</v>
      </c>
      <c r="B658" t="s">
        <v>708</v>
      </c>
      <c r="C658" t="s">
        <v>131</v>
      </c>
      <c r="D658">
        <v>63</v>
      </c>
      <c r="E658" t="s">
        <v>14</v>
      </c>
      <c r="F658">
        <v>449</v>
      </c>
      <c r="G658">
        <v>37.08</v>
      </c>
      <c r="H658">
        <v>0</v>
      </c>
    </row>
    <row r="659" spans="1:8" x14ac:dyDescent="0.25">
      <c r="A659" t="s">
        <v>699</v>
      </c>
      <c r="B659" t="s">
        <v>709</v>
      </c>
      <c r="C659" t="s">
        <v>16</v>
      </c>
      <c r="D659">
        <v>37</v>
      </c>
      <c r="E659" t="s">
        <v>14</v>
      </c>
      <c r="F659">
        <v>150</v>
      </c>
      <c r="G659">
        <v>37.979999999999997</v>
      </c>
      <c r="H659">
        <v>4</v>
      </c>
    </row>
    <row r="660" spans="1:8" x14ac:dyDescent="0.25">
      <c r="A660" t="s">
        <v>699</v>
      </c>
      <c r="B660" t="s">
        <v>710</v>
      </c>
      <c r="C660" t="s">
        <v>51</v>
      </c>
      <c r="D660">
        <v>9</v>
      </c>
      <c r="E660" t="s">
        <v>19</v>
      </c>
      <c r="F660">
        <v>27</v>
      </c>
      <c r="G660">
        <v>99.02</v>
      </c>
      <c r="H660">
        <v>3</v>
      </c>
    </row>
    <row r="661" spans="1:8" x14ac:dyDescent="0.25">
      <c r="A661" t="s">
        <v>699</v>
      </c>
      <c r="B661" t="s">
        <v>711</v>
      </c>
      <c r="C661" t="s">
        <v>67</v>
      </c>
      <c r="D661">
        <v>103</v>
      </c>
      <c r="E661" t="s">
        <v>11</v>
      </c>
      <c r="F661">
        <v>386</v>
      </c>
      <c r="G661">
        <v>10.58</v>
      </c>
      <c r="H661">
        <v>0</v>
      </c>
    </row>
    <row r="662" spans="1:8" x14ac:dyDescent="0.25">
      <c r="A662" t="s">
        <v>699</v>
      </c>
      <c r="B662" t="s">
        <v>712</v>
      </c>
      <c r="C662" t="s">
        <v>16</v>
      </c>
      <c r="D662">
        <v>38</v>
      </c>
      <c r="E662" t="s">
        <v>11</v>
      </c>
      <c r="F662">
        <v>432</v>
      </c>
      <c r="G662">
        <v>53.65</v>
      </c>
      <c r="H662">
        <v>4</v>
      </c>
    </row>
    <row r="663" spans="1:8" x14ac:dyDescent="0.25">
      <c r="A663" t="s">
        <v>699</v>
      </c>
      <c r="B663" t="s">
        <v>713</v>
      </c>
      <c r="C663" t="s">
        <v>13</v>
      </c>
      <c r="D663">
        <v>2</v>
      </c>
      <c r="E663" t="s">
        <v>11</v>
      </c>
      <c r="F663">
        <v>201</v>
      </c>
      <c r="G663">
        <v>71.900000000000006</v>
      </c>
      <c r="H663">
        <v>2</v>
      </c>
    </row>
    <row r="664" spans="1:8" x14ac:dyDescent="0.25">
      <c r="A664" t="s">
        <v>699</v>
      </c>
      <c r="B664" t="s">
        <v>714</v>
      </c>
      <c r="C664" t="s">
        <v>60</v>
      </c>
      <c r="D664">
        <v>59</v>
      </c>
      <c r="E664" t="s">
        <v>22</v>
      </c>
      <c r="F664">
        <v>64</v>
      </c>
      <c r="G664">
        <v>20.32</v>
      </c>
      <c r="H664">
        <v>0</v>
      </c>
    </row>
    <row r="665" spans="1:8" x14ac:dyDescent="0.25">
      <c r="A665" t="s">
        <v>699</v>
      </c>
      <c r="B665" t="s">
        <v>715</v>
      </c>
      <c r="C665" t="s">
        <v>127</v>
      </c>
      <c r="D665">
        <v>6</v>
      </c>
      <c r="E665" t="s">
        <v>14</v>
      </c>
      <c r="F665">
        <v>206</v>
      </c>
      <c r="G665">
        <v>10</v>
      </c>
      <c r="H665">
        <v>5</v>
      </c>
    </row>
    <row r="666" spans="1:8" x14ac:dyDescent="0.25">
      <c r="A666" t="s">
        <v>699</v>
      </c>
      <c r="B666" t="s">
        <v>716</v>
      </c>
      <c r="C666" t="s">
        <v>73</v>
      </c>
      <c r="D666">
        <v>28</v>
      </c>
      <c r="E666" t="s">
        <v>11</v>
      </c>
      <c r="F666">
        <v>343</v>
      </c>
      <c r="G666">
        <v>64.34</v>
      </c>
      <c r="H666">
        <v>5</v>
      </c>
    </row>
    <row r="667" spans="1:8" x14ac:dyDescent="0.25">
      <c r="A667" t="s">
        <v>699</v>
      </c>
      <c r="B667" t="s">
        <v>717</v>
      </c>
      <c r="C667" t="s">
        <v>29</v>
      </c>
      <c r="D667">
        <v>37</v>
      </c>
      <c r="E667" t="s">
        <v>22</v>
      </c>
      <c r="F667">
        <v>3</v>
      </c>
      <c r="G667">
        <v>20.89</v>
      </c>
      <c r="H667">
        <v>5</v>
      </c>
    </row>
    <row r="668" spans="1:8" x14ac:dyDescent="0.25">
      <c r="A668" t="s">
        <v>699</v>
      </c>
      <c r="B668" t="s">
        <v>718</v>
      </c>
      <c r="C668" t="s">
        <v>67</v>
      </c>
      <c r="D668">
        <v>106</v>
      </c>
      <c r="E668" t="s">
        <v>22</v>
      </c>
      <c r="F668">
        <v>236</v>
      </c>
      <c r="G668">
        <v>18.72</v>
      </c>
      <c r="H668">
        <v>4</v>
      </c>
    </row>
    <row r="669" spans="1:8" x14ac:dyDescent="0.25">
      <c r="A669" t="s">
        <v>699</v>
      </c>
      <c r="B669" t="s">
        <v>719</v>
      </c>
      <c r="C669" t="s">
        <v>13</v>
      </c>
      <c r="D669">
        <v>76</v>
      </c>
      <c r="E669" t="s">
        <v>11</v>
      </c>
      <c r="F669">
        <v>413</v>
      </c>
      <c r="G669">
        <v>28.39</v>
      </c>
      <c r="H669">
        <v>3</v>
      </c>
    </row>
    <row r="670" spans="1:8" x14ac:dyDescent="0.25">
      <c r="A670" t="s">
        <v>699</v>
      </c>
      <c r="B670" t="s">
        <v>720</v>
      </c>
      <c r="C670" t="s">
        <v>21</v>
      </c>
      <c r="D670">
        <v>16</v>
      </c>
      <c r="E670" t="s">
        <v>22</v>
      </c>
      <c r="F670">
        <v>390</v>
      </c>
      <c r="G670">
        <v>52.64</v>
      </c>
      <c r="H670">
        <v>0</v>
      </c>
    </row>
    <row r="671" spans="1:8" x14ac:dyDescent="0.25">
      <c r="A671" t="s">
        <v>699</v>
      </c>
      <c r="B671" t="s">
        <v>721</v>
      </c>
      <c r="C671" t="s">
        <v>78</v>
      </c>
      <c r="D671">
        <v>7</v>
      </c>
      <c r="E671" t="s">
        <v>14</v>
      </c>
      <c r="F671">
        <v>447</v>
      </c>
      <c r="G671">
        <v>84.95</v>
      </c>
      <c r="H671">
        <v>2</v>
      </c>
    </row>
    <row r="672" spans="1:8" x14ac:dyDescent="0.25">
      <c r="A672" t="s">
        <v>699</v>
      </c>
      <c r="B672" t="s">
        <v>722</v>
      </c>
      <c r="C672" t="s">
        <v>131</v>
      </c>
      <c r="D672">
        <v>63</v>
      </c>
      <c r="E672" t="s">
        <v>22</v>
      </c>
      <c r="F672">
        <v>265</v>
      </c>
      <c r="G672">
        <v>49.94</v>
      </c>
      <c r="H672">
        <v>1</v>
      </c>
    </row>
    <row r="673" spans="1:8" x14ac:dyDescent="0.25">
      <c r="A673" t="s">
        <v>699</v>
      </c>
      <c r="B673" t="s">
        <v>723</v>
      </c>
      <c r="C673" t="s">
        <v>89</v>
      </c>
      <c r="D673">
        <v>40</v>
      </c>
      <c r="E673" t="s">
        <v>11</v>
      </c>
      <c r="F673">
        <v>235</v>
      </c>
      <c r="G673">
        <v>15.01</v>
      </c>
      <c r="H673">
        <v>3</v>
      </c>
    </row>
    <row r="674" spans="1:8" x14ac:dyDescent="0.25">
      <c r="A674" t="s">
        <v>699</v>
      </c>
      <c r="B674" t="s">
        <v>724</v>
      </c>
      <c r="C674" t="s">
        <v>10</v>
      </c>
      <c r="D674">
        <v>1</v>
      </c>
      <c r="E674" t="s">
        <v>11</v>
      </c>
      <c r="F674">
        <v>429</v>
      </c>
      <c r="G674">
        <v>20.96</v>
      </c>
      <c r="H674">
        <v>5</v>
      </c>
    </row>
    <row r="675" spans="1:8" x14ac:dyDescent="0.25">
      <c r="A675" t="s">
        <v>699</v>
      </c>
      <c r="B675" t="s">
        <v>725</v>
      </c>
      <c r="C675" t="s">
        <v>67</v>
      </c>
      <c r="D675">
        <v>56</v>
      </c>
      <c r="E675" t="s">
        <v>19</v>
      </c>
      <c r="F675">
        <v>27</v>
      </c>
      <c r="G675">
        <v>46.41</v>
      </c>
      <c r="H675">
        <v>3</v>
      </c>
    </row>
    <row r="676" spans="1:8" x14ac:dyDescent="0.25">
      <c r="A676" t="s">
        <v>699</v>
      </c>
      <c r="B676" t="s">
        <v>726</v>
      </c>
      <c r="C676" t="s">
        <v>35</v>
      </c>
      <c r="D676">
        <v>46</v>
      </c>
      <c r="E676" t="s">
        <v>11</v>
      </c>
      <c r="F676">
        <v>43</v>
      </c>
      <c r="G676">
        <v>98.44</v>
      </c>
      <c r="H676">
        <v>2</v>
      </c>
    </row>
    <row r="677" spans="1:8" x14ac:dyDescent="0.25">
      <c r="A677" t="s">
        <v>699</v>
      </c>
      <c r="B677" t="s">
        <v>727</v>
      </c>
      <c r="C677" t="s">
        <v>33</v>
      </c>
      <c r="D677">
        <v>85</v>
      </c>
      <c r="E677" t="s">
        <v>14</v>
      </c>
      <c r="F677">
        <v>28</v>
      </c>
      <c r="G677">
        <v>83.82</v>
      </c>
      <c r="H677">
        <v>0</v>
      </c>
    </row>
    <row r="678" spans="1:8" x14ac:dyDescent="0.25">
      <c r="A678" t="s">
        <v>699</v>
      </c>
      <c r="B678" t="s">
        <v>728</v>
      </c>
      <c r="C678" t="s">
        <v>62</v>
      </c>
      <c r="D678">
        <v>107</v>
      </c>
      <c r="E678" t="s">
        <v>22</v>
      </c>
      <c r="F678">
        <v>138</v>
      </c>
      <c r="G678">
        <v>85.75</v>
      </c>
      <c r="H678">
        <v>1</v>
      </c>
    </row>
    <row r="679" spans="1:8" x14ac:dyDescent="0.25">
      <c r="A679" t="s">
        <v>699</v>
      </c>
      <c r="B679" t="s">
        <v>729</v>
      </c>
      <c r="C679" t="s">
        <v>89</v>
      </c>
      <c r="D679">
        <v>1</v>
      </c>
      <c r="E679" t="s">
        <v>14</v>
      </c>
      <c r="F679">
        <v>424</v>
      </c>
      <c r="G679">
        <v>59.2</v>
      </c>
      <c r="H679">
        <v>2</v>
      </c>
    </row>
    <row r="680" spans="1:8" x14ac:dyDescent="0.25">
      <c r="A680" t="s">
        <v>699</v>
      </c>
      <c r="B680" t="s">
        <v>730</v>
      </c>
      <c r="C680" t="s">
        <v>73</v>
      </c>
      <c r="D680">
        <v>7</v>
      </c>
      <c r="E680" t="s">
        <v>14</v>
      </c>
      <c r="F680">
        <v>332</v>
      </c>
      <c r="G680">
        <v>83.95</v>
      </c>
      <c r="H680">
        <v>4</v>
      </c>
    </row>
    <row r="681" spans="1:8" x14ac:dyDescent="0.25">
      <c r="A681" t="s">
        <v>699</v>
      </c>
      <c r="B681" t="s">
        <v>731</v>
      </c>
      <c r="C681" t="s">
        <v>37</v>
      </c>
      <c r="D681">
        <v>33</v>
      </c>
      <c r="E681" t="s">
        <v>19</v>
      </c>
      <c r="F681">
        <v>54</v>
      </c>
      <c r="G681">
        <v>71.319999999999993</v>
      </c>
      <c r="H681">
        <v>4</v>
      </c>
    </row>
    <row r="682" spans="1:8" x14ac:dyDescent="0.25">
      <c r="A682" t="s">
        <v>699</v>
      </c>
      <c r="B682" t="s">
        <v>732</v>
      </c>
      <c r="C682" t="s">
        <v>78</v>
      </c>
      <c r="D682">
        <v>18</v>
      </c>
      <c r="E682" t="s">
        <v>22</v>
      </c>
      <c r="F682">
        <v>170</v>
      </c>
      <c r="G682">
        <v>87.34</v>
      </c>
      <c r="H682">
        <v>1</v>
      </c>
    </row>
    <row r="683" spans="1:8" x14ac:dyDescent="0.25">
      <c r="A683" t="s">
        <v>699</v>
      </c>
      <c r="B683" t="s">
        <v>733</v>
      </c>
      <c r="C683" t="s">
        <v>31</v>
      </c>
      <c r="D683">
        <v>45</v>
      </c>
      <c r="E683" t="s">
        <v>14</v>
      </c>
      <c r="F683">
        <v>304</v>
      </c>
      <c r="G683">
        <v>65.540000000000006</v>
      </c>
      <c r="H683">
        <v>2</v>
      </c>
    </row>
    <row r="684" spans="1:8" x14ac:dyDescent="0.25">
      <c r="A684" t="s">
        <v>699</v>
      </c>
      <c r="B684" t="s">
        <v>734</v>
      </c>
      <c r="C684" t="s">
        <v>51</v>
      </c>
      <c r="D684">
        <v>113</v>
      </c>
      <c r="E684" t="s">
        <v>11</v>
      </c>
      <c r="F684">
        <v>49</v>
      </c>
      <c r="G684">
        <v>48.91</v>
      </c>
      <c r="H684">
        <v>5</v>
      </c>
    </row>
    <row r="685" spans="1:8" x14ac:dyDescent="0.25">
      <c r="A685" t="s">
        <v>699</v>
      </c>
      <c r="B685" t="s">
        <v>735</v>
      </c>
      <c r="C685" t="s">
        <v>10</v>
      </c>
      <c r="D685">
        <v>37</v>
      </c>
      <c r="E685" t="s">
        <v>11</v>
      </c>
      <c r="F685">
        <v>420</v>
      </c>
      <c r="G685">
        <v>67.260000000000005</v>
      </c>
      <c r="H685">
        <v>4</v>
      </c>
    </row>
    <row r="686" spans="1:8" x14ac:dyDescent="0.25">
      <c r="A686" t="s">
        <v>699</v>
      </c>
      <c r="B686" t="s">
        <v>736</v>
      </c>
      <c r="C686" t="s">
        <v>24</v>
      </c>
      <c r="D686">
        <v>101</v>
      </c>
      <c r="E686" t="s">
        <v>14</v>
      </c>
      <c r="F686">
        <v>148</v>
      </c>
      <c r="G686">
        <v>26.63</v>
      </c>
      <c r="H686">
        <v>3</v>
      </c>
    </row>
    <row r="687" spans="1:8" x14ac:dyDescent="0.25">
      <c r="A687" t="s">
        <v>699</v>
      </c>
      <c r="B687" t="s">
        <v>737</v>
      </c>
      <c r="C687" t="s">
        <v>127</v>
      </c>
      <c r="D687">
        <v>110</v>
      </c>
      <c r="E687" t="s">
        <v>11</v>
      </c>
      <c r="F687">
        <v>289</v>
      </c>
      <c r="G687">
        <v>83.67</v>
      </c>
      <c r="H687">
        <v>4</v>
      </c>
    </row>
    <row r="688" spans="1:8" x14ac:dyDescent="0.25">
      <c r="A688" t="s">
        <v>699</v>
      </c>
      <c r="B688" t="s">
        <v>738</v>
      </c>
      <c r="C688" t="s">
        <v>89</v>
      </c>
      <c r="D688">
        <v>65</v>
      </c>
      <c r="E688" t="s">
        <v>14</v>
      </c>
      <c r="F688">
        <v>246</v>
      </c>
      <c r="G688">
        <v>69.17</v>
      </c>
      <c r="H688">
        <v>0</v>
      </c>
    </row>
    <row r="689" spans="1:8" x14ac:dyDescent="0.25">
      <c r="A689" t="s">
        <v>699</v>
      </c>
      <c r="B689" t="s">
        <v>739</v>
      </c>
      <c r="C689" t="s">
        <v>24</v>
      </c>
      <c r="D689">
        <v>86</v>
      </c>
      <c r="E689" t="s">
        <v>14</v>
      </c>
      <c r="F689">
        <v>353</v>
      </c>
      <c r="G689">
        <v>25.37</v>
      </c>
      <c r="H689">
        <v>1</v>
      </c>
    </row>
    <row r="690" spans="1:8" x14ac:dyDescent="0.25">
      <c r="A690" t="s">
        <v>699</v>
      </c>
      <c r="B690" t="s">
        <v>740</v>
      </c>
      <c r="C690" t="s">
        <v>24</v>
      </c>
      <c r="D690">
        <v>99</v>
      </c>
      <c r="E690" t="s">
        <v>14</v>
      </c>
      <c r="F690">
        <v>169</v>
      </c>
      <c r="G690">
        <v>76.75</v>
      </c>
      <c r="H690">
        <v>5</v>
      </c>
    </row>
    <row r="691" spans="1:8" x14ac:dyDescent="0.25">
      <c r="A691" t="s">
        <v>699</v>
      </c>
      <c r="B691" t="s">
        <v>741</v>
      </c>
      <c r="C691" t="s">
        <v>21</v>
      </c>
      <c r="D691">
        <v>72</v>
      </c>
      <c r="E691" t="s">
        <v>14</v>
      </c>
      <c r="F691">
        <v>442</v>
      </c>
      <c r="G691">
        <v>59.2</v>
      </c>
      <c r="H691">
        <v>1</v>
      </c>
    </row>
    <row r="692" spans="1:8" x14ac:dyDescent="0.25">
      <c r="A692" t="s">
        <v>699</v>
      </c>
      <c r="B692" t="s">
        <v>742</v>
      </c>
      <c r="C692" t="s">
        <v>35</v>
      </c>
      <c r="D692">
        <v>20</v>
      </c>
      <c r="E692" t="s">
        <v>14</v>
      </c>
      <c r="F692">
        <v>31</v>
      </c>
      <c r="G692">
        <v>52.85</v>
      </c>
      <c r="H692">
        <v>2</v>
      </c>
    </row>
    <row r="693" spans="1:8" x14ac:dyDescent="0.25">
      <c r="A693" t="s">
        <v>699</v>
      </c>
      <c r="B693" t="s">
        <v>743</v>
      </c>
      <c r="C693" t="s">
        <v>51</v>
      </c>
      <c r="D693">
        <v>12</v>
      </c>
      <c r="E693" t="s">
        <v>19</v>
      </c>
      <c r="F693">
        <v>62</v>
      </c>
      <c r="G693">
        <v>36.1</v>
      </c>
      <c r="H693">
        <v>5</v>
      </c>
    </row>
    <row r="694" spans="1:8" x14ac:dyDescent="0.25">
      <c r="A694" t="s">
        <v>699</v>
      </c>
      <c r="B694" t="s">
        <v>744</v>
      </c>
      <c r="C694" t="s">
        <v>64</v>
      </c>
      <c r="D694">
        <v>92</v>
      </c>
      <c r="E694" t="s">
        <v>19</v>
      </c>
      <c r="F694">
        <v>379</v>
      </c>
      <c r="G694">
        <v>70.08</v>
      </c>
      <c r="H694">
        <v>5</v>
      </c>
    </row>
    <row r="695" spans="1:8" x14ac:dyDescent="0.25">
      <c r="A695" t="s">
        <v>699</v>
      </c>
      <c r="B695" t="s">
        <v>745</v>
      </c>
      <c r="C695" t="s">
        <v>26</v>
      </c>
      <c r="D695">
        <v>35</v>
      </c>
      <c r="E695" t="s">
        <v>14</v>
      </c>
      <c r="F695">
        <v>299</v>
      </c>
      <c r="G695">
        <v>96.32</v>
      </c>
      <c r="H695">
        <v>4</v>
      </c>
    </row>
    <row r="696" spans="1:8" x14ac:dyDescent="0.25">
      <c r="A696" t="s">
        <v>699</v>
      </c>
      <c r="B696" t="s">
        <v>746</v>
      </c>
      <c r="C696" t="s">
        <v>13</v>
      </c>
      <c r="D696">
        <v>19</v>
      </c>
      <c r="E696" t="s">
        <v>19</v>
      </c>
      <c r="F696">
        <v>345</v>
      </c>
      <c r="G696">
        <v>54.37</v>
      </c>
      <c r="H696">
        <v>2</v>
      </c>
    </row>
    <row r="697" spans="1:8" x14ac:dyDescent="0.25">
      <c r="A697" t="s">
        <v>699</v>
      </c>
      <c r="B697" t="s">
        <v>747</v>
      </c>
      <c r="C697" t="s">
        <v>44</v>
      </c>
      <c r="D697">
        <v>94</v>
      </c>
      <c r="E697" t="s">
        <v>22</v>
      </c>
      <c r="F697">
        <v>261</v>
      </c>
      <c r="G697">
        <v>70.09</v>
      </c>
      <c r="H697">
        <v>3</v>
      </c>
    </row>
    <row r="698" spans="1:8" x14ac:dyDescent="0.25">
      <c r="A698" t="s">
        <v>699</v>
      </c>
      <c r="B698" t="s">
        <v>748</v>
      </c>
      <c r="C698" t="s">
        <v>127</v>
      </c>
      <c r="D698">
        <v>26</v>
      </c>
      <c r="E698" t="s">
        <v>11</v>
      </c>
      <c r="F698">
        <v>378</v>
      </c>
      <c r="G698">
        <v>45.21</v>
      </c>
      <c r="H698">
        <v>5</v>
      </c>
    </row>
    <row r="699" spans="1:8" x14ac:dyDescent="0.25">
      <c r="A699" t="s">
        <v>699</v>
      </c>
      <c r="B699" t="s">
        <v>749</v>
      </c>
      <c r="C699" t="s">
        <v>13</v>
      </c>
      <c r="D699">
        <v>56</v>
      </c>
      <c r="E699" t="s">
        <v>22</v>
      </c>
      <c r="F699">
        <v>367</v>
      </c>
      <c r="G699">
        <v>72.790000000000006</v>
      </c>
      <c r="H699">
        <v>1</v>
      </c>
    </row>
    <row r="700" spans="1:8" x14ac:dyDescent="0.25">
      <c r="A700" t="s">
        <v>750</v>
      </c>
      <c r="B700" t="s">
        <v>751</v>
      </c>
      <c r="C700" t="s">
        <v>35</v>
      </c>
      <c r="D700">
        <v>97</v>
      </c>
      <c r="E700" t="s">
        <v>19</v>
      </c>
      <c r="F700">
        <v>173</v>
      </c>
      <c r="G700">
        <v>19.37</v>
      </c>
      <c r="H700">
        <v>5</v>
      </c>
    </row>
    <row r="701" spans="1:8" x14ac:dyDescent="0.25">
      <c r="A701" t="s">
        <v>750</v>
      </c>
      <c r="B701" t="s">
        <v>752</v>
      </c>
      <c r="C701" t="s">
        <v>131</v>
      </c>
      <c r="D701">
        <v>54</v>
      </c>
      <c r="E701" t="s">
        <v>22</v>
      </c>
      <c r="F701">
        <v>215</v>
      </c>
      <c r="G701">
        <v>54.69</v>
      </c>
      <c r="H701">
        <v>0</v>
      </c>
    </row>
    <row r="702" spans="1:8" x14ac:dyDescent="0.25">
      <c r="A702" t="s">
        <v>750</v>
      </c>
      <c r="B702" t="s">
        <v>753</v>
      </c>
      <c r="C702" t="s">
        <v>40</v>
      </c>
      <c r="D702">
        <v>119</v>
      </c>
      <c r="E702" t="s">
        <v>19</v>
      </c>
      <c r="F702">
        <v>133</v>
      </c>
      <c r="G702">
        <v>30.27</v>
      </c>
      <c r="H702">
        <v>5</v>
      </c>
    </row>
    <row r="703" spans="1:8" x14ac:dyDescent="0.25">
      <c r="A703" t="s">
        <v>750</v>
      </c>
      <c r="B703" t="s">
        <v>754</v>
      </c>
      <c r="C703" t="s">
        <v>16</v>
      </c>
      <c r="D703">
        <v>9</v>
      </c>
      <c r="E703" t="s">
        <v>22</v>
      </c>
      <c r="F703">
        <v>102</v>
      </c>
      <c r="G703">
        <v>41.52</v>
      </c>
      <c r="H703">
        <v>0</v>
      </c>
    </row>
    <row r="704" spans="1:8" x14ac:dyDescent="0.25">
      <c r="A704" t="s">
        <v>750</v>
      </c>
      <c r="B704" t="s">
        <v>755</v>
      </c>
      <c r="C704" t="s">
        <v>26</v>
      </c>
      <c r="D704">
        <v>8</v>
      </c>
      <c r="E704" t="s">
        <v>19</v>
      </c>
      <c r="F704">
        <v>171</v>
      </c>
      <c r="G704">
        <v>52.98</v>
      </c>
      <c r="H704">
        <v>0</v>
      </c>
    </row>
    <row r="705" spans="1:8" x14ac:dyDescent="0.25">
      <c r="A705" t="s">
        <v>750</v>
      </c>
      <c r="B705" t="s">
        <v>756</v>
      </c>
      <c r="C705" t="s">
        <v>131</v>
      </c>
      <c r="D705">
        <v>79</v>
      </c>
      <c r="E705" t="s">
        <v>11</v>
      </c>
      <c r="F705">
        <v>454</v>
      </c>
      <c r="G705">
        <v>80.34</v>
      </c>
      <c r="H705">
        <v>2</v>
      </c>
    </row>
    <row r="706" spans="1:8" x14ac:dyDescent="0.25">
      <c r="A706" t="s">
        <v>750</v>
      </c>
      <c r="B706" t="s">
        <v>757</v>
      </c>
      <c r="C706" t="s">
        <v>26</v>
      </c>
      <c r="D706">
        <v>33</v>
      </c>
      <c r="E706" t="s">
        <v>14</v>
      </c>
      <c r="F706">
        <v>391</v>
      </c>
      <c r="G706">
        <v>88.88</v>
      </c>
      <c r="H706">
        <v>4</v>
      </c>
    </row>
    <row r="707" spans="1:8" x14ac:dyDescent="0.25">
      <c r="A707" t="s">
        <v>750</v>
      </c>
      <c r="B707" t="s">
        <v>758</v>
      </c>
      <c r="C707" t="s">
        <v>31</v>
      </c>
      <c r="D707">
        <v>15</v>
      </c>
      <c r="E707" t="s">
        <v>19</v>
      </c>
      <c r="F707">
        <v>30</v>
      </c>
      <c r="G707">
        <v>30.5</v>
      </c>
      <c r="H707">
        <v>1</v>
      </c>
    </row>
    <row r="708" spans="1:8" x14ac:dyDescent="0.25">
      <c r="A708" t="s">
        <v>750</v>
      </c>
      <c r="B708" t="s">
        <v>759</v>
      </c>
      <c r="C708" t="s">
        <v>13</v>
      </c>
      <c r="D708">
        <v>5</v>
      </c>
      <c r="E708" t="s">
        <v>11</v>
      </c>
      <c r="F708">
        <v>71</v>
      </c>
      <c r="G708">
        <v>93.81</v>
      </c>
      <c r="H708">
        <v>3</v>
      </c>
    </row>
    <row r="709" spans="1:8" x14ac:dyDescent="0.25">
      <c r="A709" t="s">
        <v>750</v>
      </c>
      <c r="B709" t="s">
        <v>760</v>
      </c>
      <c r="C709" t="s">
        <v>29</v>
      </c>
      <c r="D709">
        <v>109</v>
      </c>
      <c r="E709" t="s">
        <v>22</v>
      </c>
      <c r="F709">
        <v>104</v>
      </c>
      <c r="G709">
        <v>12.37</v>
      </c>
      <c r="H709">
        <v>5</v>
      </c>
    </row>
    <row r="710" spans="1:8" x14ac:dyDescent="0.25">
      <c r="A710" t="s">
        <v>750</v>
      </c>
      <c r="B710" t="s">
        <v>761</v>
      </c>
      <c r="C710" t="s">
        <v>89</v>
      </c>
      <c r="D710">
        <v>96</v>
      </c>
      <c r="E710" t="s">
        <v>14</v>
      </c>
      <c r="F710">
        <v>280</v>
      </c>
      <c r="G710">
        <v>80.36</v>
      </c>
      <c r="H710">
        <v>5</v>
      </c>
    </row>
    <row r="711" spans="1:8" x14ac:dyDescent="0.25">
      <c r="A711" t="s">
        <v>750</v>
      </c>
      <c r="B711" t="s">
        <v>762</v>
      </c>
      <c r="C711" t="s">
        <v>37</v>
      </c>
      <c r="D711">
        <v>10</v>
      </c>
      <c r="E711" t="s">
        <v>22</v>
      </c>
      <c r="F711">
        <v>418</v>
      </c>
      <c r="G711">
        <v>27.66</v>
      </c>
      <c r="H711">
        <v>2</v>
      </c>
    </row>
    <row r="712" spans="1:8" x14ac:dyDescent="0.25">
      <c r="A712" t="s">
        <v>750</v>
      </c>
      <c r="B712" t="s">
        <v>763</v>
      </c>
      <c r="C712" t="s">
        <v>73</v>
      </c>
      <c r="D712">
        <v>57</v>
      </c>
      <c r="E712" t="s">
        <v>22</v>
      </c>
      <c r="F712">
        <v>375</v>
      </c>
      <c r="G712">
        <v>64.73</v>
      </c>
      <c r="H712">
        <v>1</v>
      </c>
    </row>
    <row r="713" spans="1:8" x14ac:dyDescent="0.25">
      <c r="A713" t="s">
        <v>750</v>
      </c>
      <c r="B713" t="s">
        <v>764</v>
      </c>
      <c r="C713" t="s">
        <v>137</v>
      </c>
      <c r="D713">
        <v>98</v>
      </c>
      <c r="E713" t="s">
        <v>14</v>
      </c>
      <c r="F713">
        <v>168</v>
      </c>
      <c r="G713">
        <v>44.14</v>
      </c>
      <c r="H713">
        <v>3</v>
      </c>
    </row>
    <row r="714" spans="1:8" x14ac:dyDescent="0.25">
      <c r="A714" t="s">
        <v>750</v>
      </c>
      <c r="B714" t="s">
        <v>765</v>
      </c>
      <c r="C714" t="s">
        <v>13</v>
      </c>
      <c r="D714">
        <v>48</v>
      </c>
      <c r="E714" t="s">
        <v>11</v>
      </c>
      <c r="F714">
        <v>473</v>
      </c>
      <c r="G714">
        <v>71.52</v>
      </c>
      <c r="H714">
        <v>5</v>
      </c>
    </row>
    <row r="715" spans="1:8" x14ac:dyDescent="0.25">
      <c r="A715" t="s">
        <v>750</v>
      </c>
      <c r="B715" t="s">
        <v>766</v>
      </c>
      <c r="C715" t="s">
        <v>73</v>
      </c>
      <c r="D715">
        <v>78</v>
      </c>
      <c r="E715" t="s">
        <v>11</v>
      </c>
      <c r="F715">
        <v>387</v>
      </c>
      <c r="G715">
        <v>11.63</v>
      </c>
      <c r="H715">
        <v>2</v>
      </c>
    </row>
    <row r="716" spans="1:8" x14ac:dyDescent="0.25">
      <c r="A716" t="s">
        <v>750</v>
      </c>
      <c r="B716" t="s">
        <v>767</v>
      </c>
      <c r="C716" t="s">
        <v>67</v>
      </c>
      <c r="D716">
        <v>81</v>
      </c>
      <c r="E716" t="s">
        <v>22</v>
      </c>
      <c r="F716">
        <v>339</v>
      </c>
      <c r="G716">
        <v>53.4</v>
      </c>
      <c r="H716">
        <v>2</v>
      </c>
    </row>
    <row r="717" spans="1:8" x14ac:dyDescent="0.25">
      <c r="A717" t="s">
        <v>750</v>
      </c>
      <c r="B717" t="s">
        <v>768</v>
      </c>
      <c r="C717" t="s">
        <v>44</v>
      </c>
      <c r="D717">
        <v>108</v>
      </c>
      <c r="E717" t="s">
        <v>19</v>
      </c>
      <c r="F717">
        <v>467</v>
      </c>
      <c r="G717">
        <v>44.84</v>
      </c>
      <c r="H717">
        <v>4</v>
      </c>
    </row>
    <row r="718" spans="1:8" x14ac:dyDescent="0.25">
      <c r="A718" t="s">
        <v>750</v>
      </c>
      <c r="B718" t="s">
        <v>769</v>
      </c>
      <c r="C718" t="s">
        <v>37</v>
      </c>
      <c r="D718">
        <v>4</v>
      </c>
      <c r="E718" t="s">
        <v>14</v>
      </c>
      <c r="F718">
        <v>449</v>
      </c>
      <c r="G718">
        <v>43.95</v>
      </c>
      <c r="H718">
        <v>2</v>
      </c>
    </row>
    <row r="719" spans="1:8" x14ac:dyDescent="0.25">
      <c r="A719" t="s">
        <v>750</v>
      </c>
      <c r="B719" t="s">
        <v>770</v>
      </c>
      <c r="C719" t="s">
        <v>78</v>
      </c>
      <c r="D719">
        <v>119</v>
      </c>
      <c r="E719" t="s">
        <v>14</v>
      </c>
      <c r="F719">
        <v>31</v>
      </c>
      <c r="G719">
        <v>21.27</v>
      </c>
      <c r="H719">
        <v>5</v>
      </c>
    </row>
    <row r="720" spans="1:8" x14ac:dyDescent="0.25">
      <c r="A720" t="s">
        <v>750</v>
      </c>
      <c r="B720" t="s">
        <v>771</v>
      </c>
      <c r="C720" t="s">
        <v>89</v>
      </c>
      <c r="D720">
        <v>23</v>
      </c>
      <c r="E720" t="s">
        <v>14</v>
      </c>
      <c r="F720">
        <v>120</v>
      </c>
      <c r="G720">
        <v>73.12</v>
      </c>
      <c r="H720">
        <v>1</v>
      </c>
    </row>
    <row r="721" spans="1:8" x14ac:dyDescent="0.25">
      <c r="A721" t="s">
        <v>750</v>
      </c>
      <c r="B721" t="s">
        <v>772</v>
      </c>
      <c r="C721" t="s">
        <v>89</v>
      </c>
      <c r="D721">
        <v>42</v>
      </c>
      <c r="E721" t="s">
        <v>19</v>
      </c>
      <c r="F721">
        <v>252</v>
      </c>
      <c r="G721">
        <v>59.46</v>
      </c>
      <c r="H721">
        <v>4</v>
      </c>
    </row>
    <row r="722" spans="1:8" x14ac:dyDescent="0.25">
      <c r="A722" t="s">
        <v>750</v>
      </c>
      <c r="B722" t="s">
        <v>773</v>
      </c>
      <c r="C722" t="s">
        <v>21</v>
      </c>
      <c r="D722">
        <v>14</v>
      </c>
      <c r="E722" t="s">
        <v>19</v>
      </c>
      <c r="F722">
        <v>37</v>
      </c>
      <c r="G722">
        <v>20.399999999999999</v>
      </c>
      <c r="H722">
        <v>2</v>
      </c>
    </row>
    <row r="723" spans="1:8" x14ac:dyDescent="0.25">
      <c r="A723" t="s">
        <v>750</v>
      </c>
      <c r="B723" t="s">
        <v>774</v>
      </c>
      <c r="C723" t="s">
        <v>89</v>
      </c>
      <c r="D723">
        <v>90</v>
      </c>
      <c r="E723" t="s">
        <v>22</v>
      </c>
      <c r="F723">
        <v>412</v>
      </c>
      <c r="G723">
        <v>20.62</v>
      </c>
      <c r="H723">
        <v>2</v>
      </c>
    </row>
    <row r="724" spans="1:8" x14ac:dyDescent="0.25">
      <c r="A724" t="s">
        <v>750</v>
      </c>
      <c r="B724" t="s">
        <v>775</v>
      </c>
      <c r="C724" t="s">
        <v>31</v>
      </c>
      <c r="D724">
        <v>58</v>
      </c>
      <c r="E724" t="s">
        <v>11</v>
      </c>
      <c r="F724">
        <v>485</v>
      </c>
      <c r="G724">
        <v>65.41</v>
      </c>
      <c r="H724">
        <v>5</v>
      </c>
    </row>
    <row r="725" spans="1:8" x14ac:dyDescent="0.25">
      <c r="A725" t="s">
        <v>750</v>
      </c>
      <c r="B725" t="s">
        <v>776</v>
      </c>
      <c r="C725" t="s">
        <v>131</v>
      </c>
      <c r="D725">
        <v>49</v>
      </c>
      <c r="E725" t="s">
        <v>19</v>
      </c>
      <c r="F725">
        <v>288</v>
      </c>
      <c r="G725">
        <v>91.32</v>
      </c>
      <c r="H725">
        <v>4</v>
      </c>
    </row>
    <row r="726" spans="1:8" x14ac:dyDescent="0.25">
      <c r="A726" t="s">
        <v>750</v>
      </c>
      <c r="B726" t="s">
        <v>777</v>
      </c>
      <c r="C726" t="s">
        <v>40</v>
      </c>
      <c r="D726">
        <v>18</v>
      </c>
      <c r="E726" t="s">
        <v>19</v>
      </c>
      <c r="F726">
        <v>463</v>
      </c>
      <c r="G726">
        <v>41.66</v>
      </c>
      <c r="H726">
        <v>4</v>
      </c>
    </row>
    <row r="727" spans="1:8" x14ac:dyDescent="0.25">
      <c r="A727" t="s">
        <v>750</v>
      </c>
      <c r="B727" t="s">
        <v>778</v>
      </c>
      <c r="C727" t="s">
        <v>62</v>
      </c>
      <c r="D727">
        <v>82</v>
      </c>
      <c r="E727" t="s">
        <v>14</v>
      </c>
      <c r="F727">
        <v>312</v>
      </c>
      <c r="G727">
        <v>40.880000000000003</v>
      </c>
      <c r="H727">
        <v>0</v>
      </c>
    </row>
    <row r="728" spans="1:8" x14ac:dyDescent="0.25">
      <c r="A728" t="s">
        <v>750</v>
      </c>
      <c r="B728" t="s">
        <v>779</v>
      </c>
      <c r="C728" t="s">
        <v>64</v>
      </c>
      <c r="D728">
        <v>74</v>
      </c>
      <c r="E728" t="s">
        <v>22</v>
      </c>
      <c r="F728">
        <v>359</v>
      </c>
      <c r="G728">
        <v>92.63</v>
      </c>
      <c r="H728">
        <v>0</v>
      </c>
    </row>
    <row r="729" spans="1:8" x14ac:dyDescent="0.25">
      <c r="A729" t="s">
        <v>750</v>
      </c>
      <c r="B729" t="s">
        <v>780</v>
      </c>
      <c r="C729" t="s">
        <v>18</v>
      </c>
      <c r="D729">
        <v>72</v>
      </c>
      <c r="E729" t="s">
        <v>19</v>
      </c>
      <c r="F729">
        <v>427</v>
      </c>
      <c r="G729">
        <v>31.44</v>
      </c>
      <c r="H729">
        <v>2</v>
      </c>
    </row>
    <row r="730" spans="1:8" x14ac:dyDescent="0.25">
      <c r="A730" t="s">
        <v>750</v>
      </c>
      <c r="B730" t="s">
        <v>781</v>
      </c>
      <c r="C730" t="s">
        <v>29</v>
      </c>
      <c r="D730">
        <v>26</v>
      </c>
      <c r="E730" t="s">
        <v>11</v>
      </c>
      <c r="F730">
        <v>391</v>
      </c>
      <c r="G730">
        <v>18.28</v>
      </c>
      <c r="H730">
        <v>3</v>
      </c>
    </row>
    <row r="731" spans="1:8" x14ac:dyDescent="0.25">
      <c r="A731" t="s">
        <v>750</v>
      </c>
      <c r="B731" t="s">
        <v>782</v>
      </c>
      <c r="C731" t="s">
        <v>57</v>
      </c>
      <c r="D731">
        <v>26</v>
      </c>
      <c r="E731" t="s">
        <v>19</v>
      </c>
      <c r="F731">
        <v>413</v>
      </c>
      <c r="G731">
        <v>10.9</v>
      </c>
      <c r="H731">
        <v>5</v>
      </c>
    </row>
    <row r="732" spans="1:8" x14ac:dyDescent="0.25">
      <c r="A732" t="s">
        <v>750</v>
      </c>
      <c r="B732" t="s">
        <v>783</v>
      </c>
      <c r="C732" t="s">
        <v>51</v>
      </c>
      <c r="D732">
        <v>33</v>
      </c>
      <c r="E732" t="s">
        <v>22</v>
      </c>
      <c r="F732">
        <v>18</v>
      </c>
      <c r="G732">
        <v>47.18</v>
      </c>
      <c r="H732">
        <v>4</v>
      </c>
    </row>
    <row r="733" spans="1:8" x14ac:dyDescent="0.25">
      <c r="A733" t="s">
        <v>750</v>
      </c>
      <c r="B733" t="s">
        <v>784</v>
      </c>
      <c r="C733" t="s">
        <v>13</v>
      </c>
      <c r="D733">
        <v>63</v>
      </c>
      <c r="E733" t="s">
        <v>11</v>
      </c>
      <c r="F733">
        <v>177</v>
      </c>
      <c r="G733">
        <v>77.73</v>
      </c>
      <c r="H733">
        <v>3</v>
      </c>
    </row>
    <row r="734" spans="1:8" x14ac:dyDescent="0.25">
      <c r="A734" t="s">
        <v>750</v>
      </c>
      <c r="B734" t="s">
        <v>785</v>
      </c>
      <c r="C734" t="s">
        <v>51</v>
      </c>
      <c r="D734">
        <v>57</v>
      </c>
      <c r="E734" t="s">
        <v>11</v>
      </c>
      <c r="F734">
        <v>36</v>
      </c>
      <c r="G734">
        <v>82.7</v>
      </c>
      <c r="H734">
        <v>2</v>
      </c>
    </row>
    <row r="735" spans="1:8" x14ac:dyDescent="0.25">
      <c r="A735" t="s">
        <v>750</v>
      </c>
      <c r="B735" t="s">
        <v>786</v>
      </c>
      <c r="C735" t="s">
        <v>26</v>
      </c>
      <c r="D735">
        <v>87</v>
      </c>
      <c r="E735" t="s">
        <v>14</v>
      </c>
      <c r="F735">
        <v>486</v>
      </c>
      <c r="G735">
        <v>58.26</v>
      </c>
      <c r="H735">
        <v>0</v>
      </c>
    </row>
    <row r="736" spans="1:8" x14ac:dyDescent="0.25">
      <c r="A736" t="s">
        <v>750</v>
      </c>
      <c r="B736" t="s">
        <v>787</v>
      </c>
      <c r="C736" t="s">
        <v>13</v>
      </c>
      <c r="D736">
        <v>37</v>
      </c>
      <c r="E736" t="s">
        <v>11</v>
      </c>
      <c r="F736">
        <v>213</v>
      </c>
      <c r="G736">
        <v>14.12</v>
      </c>
      <c r="H736">
        <v>1</v>
      </c>
    </row>
    <row r="737" spans="1:8" x14ac:dyDescent="0.25">
      <c r="A737" t="s">
        <v>750</v>
      </c>
      <c r="B737" t="s">
        <v>788</v>
      </c>
      <c r="C737" t="s">
        <v>26</v>
      </c>
      <c r="D737">
        <v>29</v>
      </c>
      <c r="E737" t="s">
        <v>19</v>
      </c>
      <c r="F737">
        <v>306</v>
      </c>
      <c r="G737">
        <v>82.16</v>
      </c>
      <c r="H737">
        <v>1</v>
      </c>
    </row>
    <row r="738" spans="1:8" x14ac:dyDescent="0.25">
      <c r="A738" t="s">
        <v>750</v>
      </c>
      <c r="B738" t="s">
        <v>789</v>
      </c>
      <c r="C738" t="s">
        <v>78</v>
      </c>
      <c r="D738">
        <v>26</v>
      </c>
      <c r="E738" t="s">
        <v>22</v>
      </c>
      <c r="F738">
        <v>378</v>
      </c>
      <c r="G738">
        <v>88.59</v>
      </c>
      <c r="H738">
        <v>4</v>
      </c>
    </row>
    <row r="739" spans="1:8" x14ac:dyDescent="0.25">
      <c r="A739" t="s">
        <v>750</v>
      </c>
      <c r="B739" t="s">
        <v>790</v>
      </c>
      <c r="C739" t="s">
        <v>137</v>
      </c>
      <c r="D739">
        <v>95</v>
      </c>
      <c r="E739" t="s">
        <v>11</v>
      </c>
      <c r="F739">
        <v>313</v>
      </c>
      <c r="G739">
        <v>32.49</v>
      </c>
      <c r="H739">
        <v>1</v>
      </c>
    </row>
    <row r="740" spans="1:8" x14ac:dyDescent="0.25">
      <c r="A740" t="s">
        <v>750</v>
      </c>
      <c r="B740" t="s">
        <v>791</v>
      </c>
      <c r="C740" t="s">
        <v>57</v>
      </c>
      <c r="D740">
        <v>21</v>
      </c>
      <c r="E740" t="s">
        <v>19</v>
      </c>
      <c r="F740">
        <v>475</v>
      </c>
      <c r="G740">
        <v>15.12</v>
      </c>
      <c r="H740">
        <v>2</v>
      </c>
    </row>
    <row r="741" spans="1:8" x14ac:dyDescent="0.25">
      <c r="A741" t="s">
        <v>750</v>
      </c>
      <c r="B741" t="s">
        <v>792</v>
      </c>
      <c r="C741" t="s">
        <v>137</v>
      </c>
      <c r="D741">
        <v>56</v>
      </c>
      <c r="E741" t="s">
        <v>22</v>
      </c>
      <c r="F741">
        <v>41</v>
      </c>
      <c r="G741">
        <v>15.1</v>
      </c>
      <c r="H741">
        <v>5</v>
      </c>
    </row>
    <row r="742" spans="1:8" x14ac:dyDescent="0.25">
      <c r="A742" t="s">
        <v>750</v>
      </c>
      <c r="B742" t="s">
        <v>793</v>
      </c>
      <c r="C742" t="s">
        <v>24</v>
      </c>
      <c r="D742">
        <v>105</v>
      </c>
      <c r="E742" t="s">
        <v>11</v>
      </c>
      <c r="F742">
        <v>454</v>
      </c>
      <c r="G742">
        <v>49.47</v>
      </c>
      <c r="H742">
        <v>4</v>
      </c>
    </row>
    <row r="743" spans="1:8" x14ac:dyDescent="0.25">
      <c r="A743" t="s">
        <v>750</v>
      </c>
      <c r="B743" t="s">
        <v>794</v>
      </c>
      <c r="C743" t="s">
        <v>18</v>
      </c>
      <c r="D743">
        <v>68</v>
      </c>
      <c r="E743" t="s">
        <v>14</v>
      </c>
      <c r="F743">
        <v>282</v>
      </c>
      <c r="G743">
        <v>35.43</v>
      </c>
      <c r="H743">
        <v>1</v>
      </c>
    </row>
    <row r="744" spans="1:8" x14ac:dyDescent="0.25">
      <c r="A744" t="s">
        <v>750</v>
      </c>
      <c r="B744" t="s">
        <v>795</v>
      </c>
      <c r="C744" t="s">
        <v>24</v>
      </c>
      <c r="D744">
        <v>104</v>
      </c>
      <c r="E744" t="s">
        <v>19</v>
      </c>
      <c r="F744">
        <v>245</v>
      </c>
      <c r="G744">
        <v>38.270000000000003</v>
      </c>
      <c r="H744">
        <v>0</v>
      </c>
    </row>
    <row r="745" spans="1:8" x14ac:dyDescent="0.25">
      <c r="A745" t="s">
        <v>750</v>
      </c>
      <c r="B745" t="s">
        <v>796</v>
      </c>
      <c r="C745" t="s">
        <v>57</v>
      </c>
      <c r="D745">
        <v>102</v>
      </c>
      <c r="E745" t="s">
        <v>19</v>
      </c>
      <c r="F745">
        <v>484</v>
      </c>
      <c r="G745">
        <v>64.22</v>
      </c>
      <c r="H745">
        <v>2</v>
      </c>
    </row>
    <row r="746" spans="1:8" x14ac:dyDescent="0.25">
      <c r="A746" t="s">
        <v>750</v>
      </c>
      <c r="B746" t="s">
        <v>797</v>
      </c>
      <c r="C746" t="s">
        <v>51</v>
      </c>
      <c r="D746">
        <v>25</v>
      </c>
      <c r="E746" t="s">
        <v>14</v>
      </c>
      <c r="F746">
        <v>66</v>
      </c>
      <c r="G746">
        <v>90.14</v>
      </c>
      <c r="H746">
        <v>5</v>
      </c>
    </row>
    <row r="747" spans="1:8" x14ac:dyDescent="0.25">
      <c r="A747" t="s">
        <v>750</v>
      </c>
      <c r="B747" t="s">
        <v>798</v>
      </c>
      <c r="C747" t="s">
        <v>29</v>
      </c>
      <c r="D747">
        <v>12</v>
      </c>
      <c r="E747" t="s">
        <v>11</v>
      </c>
      <c r="F747">
        <v>138</v>
      </c>
      <c r="G747">
        <v>99.83</v>
      </c>
      <c r="H747">
        <v>1</v>
      </c>
    </row>
    <row r="748" spans="1:8" x14ac:dyDescent="0.25">
      <c r="A748" t="s">
        <v>750</v>
      </c>
      <c r="B748" t="s">
        <v>799</v>
      </c>
      <c r="C748" t="s">
        <v>18</v>
      </c>
      <c r="D748">
        <v>75</v>
      </c>
      <c r="E748" t="s">
        <v>19</v>
      </c>
      <c r="F748">
        <v>370</v>
      </c>
      <c r="G748">
        <v>21.67</v>
      </c>
      <c r="H748">
        <v>0</v>
      </c>
    </row>
    <row r="749" spans="1:8" x14ac:dyDescent="0.25">
      <c r="A749" t="s">
        <v>750</v>
      </c>
      <c r="B749" t="s">
        <v>800</v>
      </c>
      <c r="C749" t="s">
        <v>131</v>
      </c>
      <c r="D749">
        <v>4</v>
      </c>
      <c r="E749" t="s">
        <v>19</v>
      </c>
      <c r="F749">
        <v>21</v>
      </c>
      <c r="G749">
        <v>45.8</v>
      </c>
      <c r="H749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8D59-AB59-4543-A22B-6CFD1531D56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FF51B7-746B-4C57-B12A-206441AEE6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26_03_2026_Registre_Maintenance</vt:lpstr>
      <vt:lpstr>26_03_2026_Log_Reseau_v1</vt:lpstr>
      <vt:lpstr>Fichier master (Log+Mai+Client)</vt:lpstr>
      <vt:lpstr>Tableau Croisé Dynamique</vt:lpstr>
      <vt:lpstr>Matrice de retention</vt:lpstr>
      <vt:lpstr>Logs reseau et registre mainten</vt:lpstr>
      <vt:lpstr>26_03_2026_Client_Churn_v1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KAZADI</dc:creator>
  <cp:lastModifiedBy>LOIC KAZADI</cp:lastModifiedBy>
  <dcterms:created xsi:type="dcterms:W3CDTF">2026-04-03T15:45:08Z</dcterms:created>
  <dcterms:modified xsi:type="dcterms:W3CDTF">2026-04-03T22:48:00Z</dcterms:modified>
</cp:coreProperties>
</file>